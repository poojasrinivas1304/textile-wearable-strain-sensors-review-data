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poojasrinivasgurram/Downloads/Textile_review_revised/"/>
    </mc:Choice>
  </mc:AlternateContent>
  <xr:revisionPtr revIDLastSave="0" documentId="13_ncr:1_{2CA200C8-0034-8147-B2B6-A4A5208BA9A9}" xr6:coauthVersionLast="47" xr6:coauthVersionMax="47" xr10:uidLastSave="{00000000-0000-0000-0000-000000000000}"/>
  <bookViews>
    <workbookView xWindow="0" yWindow="500" windowWidth="28800" windowHeight="15720" firstSheet="10" activeTab="16" xr2:uid="{00000000-000D-0000-FFFF-FFFF00000000}"/>
  </bookViews>
  <sheets>
    <sheet name="S1 searches" sheetId="2" r:id="rId1"/>
    <sheet name="S2 recorded exclusions" sheetId="3" r:id="rId2"/>
    <sheet name="S2 not retrieved" sheetId="4" r:id="rId3"/>
    <sheet name="S3 consensus log" sheetId="5" r:id="rId4"/>
    <sheet name="Eligibility corrections" sheetId="6" r:id="rId5"/>
    <sheet name="S4a studies" sheetId="7" r:id="rId6"/>
    <sheet name="S4 extraction" sheetId="8" r:id="rId7"/>
    <sheet name="S4c publication years" sheetId="9" r:id="rId8"/>
    <sheet name="S5 category proposals" sheetId="10" r:id="rId9"/>
    <sheet name="S5 category counts" sheetId="11" r:id="rId10"/>
    <sheet name="S6 readiness rubric" sheetId="12" r:id="rId11"/>
    <sheet name="S7 readiness scores" sheetId="13" r:id="rId12"/>
    <sheet name="S7 readiness counts" sheetId="14" r:id="rId13"/>
    <sheet name="S8 reporting rubric" sheetId="15" r:id="rId14"/>
    <sheet name="S9 reporting scores" sheetId="16" r:id="rId15"/>
    <sheet name="S10 reporting counts" sheetId="17" r:id="rId16"/>
    <sheet name="S11 quality evidence" sheetId="18" r:id="rId17"/>
    <sheet name="S11 quality results" sheetId="19" r:id="rId18"/>
    <sheet name="S12 agreement" sheetId="20" r:id="rId19"/>
    <sheet name="S13 checklist" sheetId="21" r:id="rId20"/>
    <sheet name="Codebook" sheetId="22" r:id="rId21"/>
    <sheet name="Sources" sheetId="23" r:id="rId2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9" l="1"/>
  <c r="H22" i="19"/>
  <c r="L21" i="19"/>
  <c r="H21" i="19"/>
  <c r="L20" i="19"/>
  <c r="H20" i="19"/>
  <c r="L19" i="19"/>
  <c r="H19" i="19"/>
  <c r="L18" i="19"/>
  <c r="H18" i="19"/>
  <c r="L17" i="19"/>
  <c r="H17" i="19"/>
  <c r="L16" i="19"/>
  <c r="H16" i="19"/>
  <c r="L15" i="19"/>
  <c r="H15" i="19"/>
  <c r="L14" i="19"/>
  <c r="H14" i="19"/>
  <c r="L13" i="19"/>
  <c r="H13" i="19"/>
  <c r="L12" i="19"/>
  <c r="H12" i="19"/>
  <c r="L11" i="19"/>
  <c r="H11" i="19"/>
  <c r="L10" i="19"/>
  <c r="H10" i="19"/>
  <c r="L9" i="19"/>
  <c r="H9" i="19"/>
  <c r="L8" i="19"/>
  <c r="H8" i="19"/>
  <c r="L7" i="19"/>
  <c r="H7" i="19"/>
  <c r="AI657" i="18"/>
  <c r="AB657" i="18"/>
  <c r="AA657" i="18"/>
  <c r="AI656" i="18"/>
  <c r="AB656" i="18"/>
  <c r="AA656" i="18"/>
  <c r="AI655" i="18"/>
  <c r="AB655" i="18"/>
  <c r="AA655" i="18"/>
  <c r="AI654" i="18"/>
  <c r="AB654" i="18"/>
  <c r="AA654" i="18"/>
  <c r="AI653" i="18"/>
  <c r="AB653" i="18"/>
  <c r="AA653" i="18"/>
  <c r="AI652" i="18"/>
  <c r="AB652" i="18"/>
  <c r="AA652" i="18"/>
  <c r="AI651" i="18"/>
  <c r="AB651" i="18"/>
  <c r="AA651" i="18"/>
  <c r="AI650" i="18"/>
  <c r="AB650" i="18"/>
  <c r="AA650" i="18"/>
  <c r="AI649" i="18"/>
  <c r="AB649" i="18"/>
  <c r="AA649" i="18"/>
  <c r="AI648" i="18"/>
  <c r="AB648" i="18"/>
  <c r="AA648" i="18"/>
  <c r="AI647" i="18"/>
  <c r="AB647" i="18"/>
  <c r="AA647" i="18"/>
  <c r="AI646" i="18"/>
  <c r="AB646" i="18"/>
  <c r="AA646" i="18"/>
  <c r="AI645" i="18"/>
  <c r="AB645" i="18"/>
  <c r="AA645" i="18"/>
  <c r="AI644" i="18"/>
  <c r="AB644" i="18"/>
  <c r="AA644" i="18"/>
  <c r="AI643" i="18"/>
  <c r="AB643" i="18"/>
  <c r="AA643" i="18"/>
  <c r="AI642" i="18"/>
  <c r="AB642" i="18"/>
  <c r="AA642" i="18"/>
  <c r="AI641" i="18"/>
  <c r="AB641" i="18"/>
  <c r="AA641" i="18"/>
  <c r="AI640" i="18"/>
  <c r="AB640" i="18"/>
  <c r="AA640" i="18"/>
  <c r="AI639" i="18"/>
  <c r="AB639" i="18"/>
  <c r="AA639" i="18"/>
  <c r="AI638" i="18"/>
  <c r="AB638" i="18"/>
  <c r="AA638" i="18"/>
  <c r="AI637" i="18"/>
  <c r="AB637" i="18"/>
  <c r="AA637" i="18"/>
  <c r="AI636" i="18"/>
  <c r="AB636" i="18"/>
  <c r="AA636" i="18"/>
  <c r="AI635" i="18"/>
  <c r="AB635" i="18"/>
  <c r="AA635" i="18"/>
  <c r="AI634" i="18"/>
  <c r="AB634" i="18"/>
  <c r="AA634" i="18"/>
  <c r="AI633" i="18"/>
  <c r="AB633" i="18"/>
  <c r="AA633" i="18"/>
  <c r="AI632" i="18"/>
  <c r="AB632" i="18"/>
  <c r="AA632" i="18"/>
  <c r="AI631" i="18"/>
  <c r="AB631" i="18"/>
  <c r="AA631" i="18"/>
  <c r="AI630" i="18"/>
  <c r="AB630" i="18"/>
  <c r="AA630" i="18"/>
  <c r="AI629" i="18"/>
  <c r="AB629" i="18"/>
  <c r="AA629" i="18"/>
  <c r="AI628" i="18"/>
  <c r="AB628" i="18"/>
  <c r="AA628" i="18"/>
  <c r="AI627" i="18"/>
  <c r="AB627" i="18"/>
  <c r="AA627" i="18"/>
  <c r="AI626" i="18"/>
  <c r="AB626" i="18"/>
  <c r="AA626" i="18"/>
  <c r="AI625" i="18"/>
  <c r="AB625" i="18"/>
  <c r="AA625" i="18"/>
  <c r="AI624" i="18"/>
  <c r="AB624" i="18"/>
  <c r="AA624" i="18"/>
  <c r="AI623" i="18"/>
  <c r="AB623" i="18"/>
  <c r="AA623" i="18"/>
  <c r="AI622" i="18"/>
  <c r="AB622" i="18"/>
  <c r="AA622" i="18"/>
  <c r="AI621" i="18"/>
  <c r="AB621" i="18"/>
  <c r="AA621" i="18"/>
  <c r="AI620" i="18"/>
  <c r="AB620" i="18"/>
  <c r="AA620" i="18"/>
  <c r="AI619" i="18"/>
  <c r="AB619" i="18"/>
  <c r="AA619" i="18"/>
  <c r="AI618" i="18"/>
  <c r="AB618" i="18"/>
  <c r="AA618" i="18"/>
  <c r="AI617" i="18"/>
  <c r="AB617" i="18"/>
  <c r="AA617" i="18"/>
  <c r="AI616" i="18"/>
  <c r="AB616" i="18"/>
  <c r="AA616" i="18"/>
  <c r="AI615" i="18"/>
  <c r="AB615" i="18"/>
  <c r="AA615" i="18"/>
  <c r="AI614" i="18"/>
  <c r="AB614" i="18"/>
  <c r="AA614" i="18"/>
  <c r="AI613" i="18"/>
  <c r="AB613" i="18"/>
  <c r="AA613" i="18"/>
  <c r="AI612" i="18"/>
  <c r="AB612" i="18"/>
  <c r="AA612" i="18"/>
  <c r="AI611" i="18"/>
  <c r="AB611" i="18"/>
  <c r="AA611" i="18"/>
  <c r="AI610" i="18"/>
  <c r="AB610" i="18"/>
  <c r="AA610" i="18"/>
  <c r="AI609" i="18"/>
  <c r="AB609" i="18"/>
  <c r="AA609" i="18"/>
  <c r="AI608" i="18"/>
  <c r="AB608" i="18"/>
  <c r="AA608" i="18"/>
  <c r="AI607" i="18"/>
  <c r="AB607" i="18"/>
  <c r="AA607" i="18"/>
  <c r="AI606" i="18"/>
  <c r="AB606" i="18"/>
  <c r="AA606" i="18"/>
  <c r="AI605" i="18"/>
  <c r="AB605" i="18"/>
  <c r="AA605" i="18"/>
  <c r="AI604" i="18"/>
  <c r="AB604" i="18"/>
  <c r="AA604" i="18"/>
  <c r="AI603" i="18"/>
  <c r="AB603" i="18"/>
  <c r="AA603" i="18"/>
  <c r="AI602" i="18"/>
  <c r="AB602" i="18"/>
  <c r="AA602" i="18"/>
  <c r="AI601" i="18"/>
  <c r="AB601" i="18"/>
  <c r="AA601" i="18"/>
  <c r="AI600" i="18"/>
  <c r="AB600" i="18"/>
  <c r="AA600" i="18"/>
  <c r="AI599" i="18"/>
  <c r="AB599" i="18"/>
  <c r="AA599" i="18"/>
  <c r="AI598" i="18"/>
  <c r="AB598" i="18"/>
  <c r="AA598" i="18"/>
  <c r="AI597" i="18"/>
  <c r="AB597" i="18"/>
  <c r="AA597" i="18"/>
  <c r="AI596" i="18"/>
  <c r="AB596" i="18"/>
  <c r="AA596" i="18"/>
  <c r="AI595" i="18"/>
  <c r="AB595" i="18"/>
  <c r="AA595" i="18"/>
  <c r="AI594" i="18"/>
  <c r="AB594" i="18"/>
  <c r="AA594" i="18"/>
  <c r="AI593" i="18"/>
  <c r="AB593" i="18"/>
  <c r="AA593" i="18"/>
  <c r="AI592" i="18"/>
  <c r="AB592" i="18"/>
  <c r="AA592" i="18"/>
  <c r="AI591" i="18"/>
  <c r="AB591" i="18"/>
  <c r="AA591" i="18"/>
  <c r="AI590" i="18"/>
  <c r="AB590" i="18"/>
  <c r="AA590" i="18"/>
  <c r="AI589" i="18"/>
  <c r="AB589" i="18"/>
  <c r="AA589" i="18"/>
  <c r="AI588" i="18"/>
  <c r="AB588" i="18"/>
  <c r="AA588" i="18"/>
  <c r="AI587" i="18"/>
  <c r="AB587" i="18"/>
  <c r="AA587" i="18"/>
  <c r="AI586" i="18"/>
  <c r="AB586" i="18"/>
  <c r="AA586" i="18"/>
  <c r="AI585" i="18"/>
  <c r="AB585" i="18"/>
  <c r="AA585" i="18"/>
  <c r="AI584" i="18"/>
  <c r="AB584" i="18"/>
  <c r="AA584" i="18"/>
  <c r="AI583" i="18"/>
  <c r="AB583" i="18"/>
  <c r="AA583" i="18"/>
  <c r="AI582" i="18"/>
  <c r="AB582" i="18"/>
  <c r="AA582" i="18"/>
  <c r="AI581" i="18"/>
  <c r="AB581" i="18"/>
  <c r="AA581" i="18"/>
  <c r="AI580" i="18"/>
  <c r="AB580" i="18"/>
  <c r="AA580" i="18"/>
  <c r="AI579" i="18"/>
  <c r="AB579" i="18"/>
  <c r="AA579" i="18"/>
  <c r="AI578" i="18"/>
  <c r="AB578" i="18"/>
  <c r="AA578" i="18"/>
  <c r="AI577" i="18"/>
  <c r="AB577" i="18"/>
  <c r="AA577" i="18"/>
  <c r="AI576" i="18"/>
  <c r="AB576" i="18"/>
  <c r="AA576" i="18"/>
  <c r="AI575" i="18"/>
  <c r="AB575" i="18"/>
  <c r="AA575" i="18"/>
  <c r="AI574" i="18"/>
  <c r="AB574" i="18"/>
  <c r="AA574" i="18"/>
  <c r="AI573" i="18"/>
  <c r="AB573" i="18"/>
  <c r="AA573" i="18"/>
  <c r="AI572" i="18"/>
  <c r="AB572" i="18"/>
  <c r="AA572" i="18"/>
  <c r="AI571" i="18"/>
  <c r="AB571" i="18"/>
  <c r="AA571" i="18"/>
  <c r="AI570" i="18"/>
  <c r="AB570" i="18"/>
  <c r="AA570" i="18"/>
  <c r="AI569" i="18"/>
  <c r="AB569" i="18"/>
  <c r="AA569" i="18"/>
  <c r="AI568" i="18"/>
  <c r="AB568" i="18"/>
  <c r="AA568" i="18"/>
  <c r="AI567" i="18"/>
  <c r="AB567" i="18"/>
  <c r="AA567" i="18"/>
  <c r="AI566" i="18"/>
  <c r="AB566" i="18"/>
  <c r="AA566" i="18"/>
  <c r="AI565" i="18"/>
  <c r="AB565" i="18"/>
  <c r="AA565" i="18"/>
  <c r="AI564" i="18"/>
  <c r="AB564" i="18"/>
  <c r="AA564" i="18"/>
  <c r="AI563" i="18"/>
  <c r="AB563" i="18"/>
  <c r="AA563" i="18"/>
  <c r="AI562" i="18"/>
  <c r="AB562" i="18"/>
  <c r="AA562" i="18"/>
  <c r="AI561" i="18"/>
  <c r="AB561" i="18"/>
  <c r="AA561" i="18"/>
  <c r="AI560" i="18"/>
  <c r="AB560" i="18"/>
  <c r="AA560" i="18"/>
  <c r="AI559" i="18"/>
  <c r="AB559" i="18"/>
  <c r="AA559" i="18"/>
  <c r="AI558" i="18"/>
  <c r="AB558" i="18"/>
  <c r="AA558" i="18"/>
  <c r="AI557" i="18"/>
  <c r="AB557" i="18"/>
  <c r="AA557" i="18"/>
  <c r="AI556" i="18"/>
  <c r="AB556" i="18"/>
  <c r="AA556" i="18"/>
  <c r="AI555" i="18"/>
  <c r="AB555" i="18"/>
  <c r="AA555" i="18"/>
  <c r="AI554" i="18"/>
  <c r="AB554" i="18"/>
  <c r="AA554" i="18"/>
  <c r="AI553" i="18"/>
  <c r="AB553" i="18"/>
  <c r="AA553" i="18"/>
  <c r="AI552" i="18"/>
  <c r="AB552" i="18"/>
  <c r="AA552" i="18"/>
  <c r="AI551" i="18"/>
  <c r="AB551" i="18"/>
  <c r="AA551" i="18"/>
  <c r="AI550" i="18"/>
  <c r="AB550" i="18"/>
  <c r="AA550" i="18"/>
  <c r="AI549" i="18"/>
  <c r="AB549" i="18"/>
  <c r="AA549" i="18"/>
  <c r="AI548" i="18"/>
  <c r="AB548" i="18"/>
  <c r="AA548" i="18"/>
  <c r="AI547" i="18"/>
  <c r="AB547" i="18"/>
  <c r="AA547" i="18"/>
  <c r="AI546" i="18"/>
  <c r="AB546" i="18"/>
  <c r="AA546" i="18"/>
  <c r="AI545" i="18"/>
  <c r="AB545" i="18"/>
  <c r="AA545" i="18"/>
  <c r="AI544" i="18"/>
  <c r="AB544" i="18"/>
  <c r="AA544" i="18"/>
  <c r="AI543" i="18"/>
  <c r="AB543" i="18"/>
  <c r="AA543" i="18"/>
  <c r="AI542" i="18"/>
  <c r="AB542" i="18"/>
  <c r="AA542" i="18"/>
  <c r="AI541" i="18"/>
  <c r="AB541" i="18"/>
  <c r="AA541" i="18"/>
  <c r="AI540" i="18"/>
  <c r="AB540" i="18"/>
  <c r="AA540" i="18"/>
  <c r="AI539" i="18"/>
  <c r="AB539" i="18"/>
  <c r="AA539" i="18"/>
  <c r="AI538" i="18"/>
  <c r="AB538" i="18"/>
  <c r="AA538" i="18"/>
  <c r="AI537" i="18"/>
  <c r="AB537" i="18"/>
  <c r="AA537" i="18"/>
  <c r="AI536" i="18"/>
  <c r="AB536" i="18"/>
  <c r="AA536" i="18"/>
  <c r="AI535" i="18"/>
  <c r="AB535" i="18"/>
  <c r="AA535" i="18"/>
  <c r="AI534" i="18"/>
  <c r="AB534" i="18"/>
  <c r="AA534" i="18"/>
  <c r="AI533" i="18"/>
  <c r="AB533" i="18"/>
  <c r="AA533" i="18"/>
  <c r="AI532" i="18"/>
  <c r="AB532" i="18"/>
  <c r="AA532" i="18"/>
  <c r="AI531" i="18"/>
  <c r="AB531" i="18"/>
  <c r="AA531" i="18"/>
  <c r="AI530" i="18"/>
  <c r="AB530" i="18"/>
  <c r="AA530" i="18"/>
  <c r="AI529" i="18"/>
  <c r="AB529" i="18"/>
  <c r="AA529" i="18"/>
  <c r="AI528" i="18"/>
  <c r="AB528" i="18"/>
  <c r="AA528" i="18"/>
  <c r="AI527" i="18"/>
  <c r="AB527" i="18"/>
  <c r="AA527" i="18"/>
  <c r="AI526" i="18"/>
  <c r="AB526" i="18"/>
  <c r="AA526" i="18"/>
  <c r="AI525" i="18"/>
  <c r="AB525" i="18"/>
  <c r="AA525" i="18"/>
  <c r="AI524" i="18"/>
  <c r="AB524" i="18"/>
  <c r="AA524" i="18"/>
  <c r="AI523" i="18"/>
  <c r="AB523" i="18"/>
  <c r="AA523" i="18"/>
  <c r="AI522" i="18"/>
  <c r="AB522" i="18"/>
  <c r="AA522" i="18"/>
  <c r="AI521" i="18"/>
  <c r="AB521" i="18"/>
  <c r="AA521" i="18"/>
  <c r="AI520" i="18"/>
  <c r="AB520" i="18"/>
  <c r="AA520" i="18"/>
  <c r="AI519" i="18"/>
  <c r="AB519" i="18"/>
  <c r="AA519" i="18"/>
  <c r="AI518" i="18"/>
  <c r="AB518" i="18"/>
  <c r="AA518" i="18"/>
  <c r="AI517" i="18"/>
  <c r="AB517" i="18"/>
  <c r="AA517" i="18"/>
  <c r="AI516" i="18"/>
  <c r="AB516" i="18"/>
  <c r="AA516" i="18"/>
  <c r="AI515" i="18"/>
  <c r="AB515" i="18"/>
  <c r="AA515" i="18"/>
  <c r="AI514" i="18"/>
  <c r="AB514" i="18"/>
  <c r="AA514" i="18"/>
  <c r="AI513" i="18"/>
  <c r="AB513" i="18"/>
  <c r="AA513" i="18"/>
  <c r="AI512" i="18"/>
  <c r="AB512" i="18"/>
  <c r="AA512" i="18"/>
  <c r="AI511" i="18"/>
  <c r="AB511" i="18"/>
  <c r="AA511" i="18"/>
  <c r="AI510" i="18"/>
  <c r="AB510" i="18"/>
  <c r="AA510" i="18"/>
  <c r="AI509" i="18"/>
  <c r="AB509" i="18"/>
  <c r="AA509" i="18"/>
  <c r="AI508" i="18"/>
  <c r="AB508" i="18"/>
  <c r="AA508" i="18"/>
  <c r="AI507" i="18"/>
  <c r="AB507" i="18"/>
  <c r="AA507" i="18"/>
  <c r="AI506" i="18"/>
  <c r="AB506" i="18"/>
  <c r="AA506" i="18"/>
  <c r="AI505" i="18"/>
  <c r="AB505" i="18"/>
  <c r="AA505" i="18"/>
  <c r="AI504" i="18"/>
  <c r="AB504" i="18"/>
  <c r="AA504" i="18"/>
  <c r="AI503" i="18"/>
  <c r="AB503" i="18"/>
  <c r="AA503" i="18"/>
  <c r="AI502" i="18"/>
  <c r="AB502" i="18"/>
  <c r="AA502" i="18"/>
  <c r="AI501" i="18"/>
  <c r="AB501" i="18"/>
  <c r="AA501" i="18"/>
  <c r="AI500" i="18"/>
  <c r="AB500" i="18"/>
  <c r="AA500" i="18"/>
  <c r="AI499" i="18"/>
  <c r="AB499" i="18"/>
  <c r="AA499" i="18"/>
  <c r="AI498" i="18"/>
  <c r="AB498" i="18"/>
  <c r="AA498" i="18"/>
  <c r="AI497" i="18"/>
  <c r="AB497" i="18"/>
  <c r="AA497" i="18"/>
  <c r="AI496" i="18"/>
  <c r="AB496" i="18"/>
  <c r="AA496" i="18"/>
  <c r="AI495" i="18"/>
  <c r="AB495" i="18"/>
  <c r="AA495" i="18"/>
  <c r="AI494" i="18"/>
  <c r="AB494" i="18"/>
  <c r="AA494" i="18"/>
  <c r="AI493" i="18"/>
  <c r="AB493" i="18"/>
  <c r="AA493" i="18"/>
  <c r="AI492" i="18"/>
  <c r="AB492" i="18"/>
  <c r="AA492" i="18"/>
  <c r="AI491" i="18"/>
  <c r="AB491" i="18"/>
  <c r="AA491" i="18"/>
  <c r="AI490" i="18"/>
  <c r="AB490" i="18"/>
  <c r="AA490" i="18"/>
  <c r="AI489" i="18"/>
  <c r="AB489" i="18"/>
  <c r="AA489" i="18"/>
  <c r="AI488" i="18"/>
  <c r="AB488" i="18"/>
  <c r="AA488" i="18"/>
  <c r="AI487" i="18"/>
  <c r="AB487" i="18"/>
  <c r="AA487" i="18"/>
  <c r="AI486" i="18"/>
  <c r="AB486" i="18"/>
  <c r="AA486" i="18"/>
  <c r="AI485" i="18"/>
  <c r="AB485" i="18"/>
  <c r="AA485" i="18"/>
  <c r="AI484" i="18"/>
  <c r="AB484" i="18"/>
  <c r="AA484" i="18"/>
  <c r="AI483" i="18"/>
  <c r="AB483" i="18"/>
  <c r="AA483" i="18"/>
  <c r="AI482" i="18"/>
  <c r="AB482" i="18"/>
  <c r="AA482" i="18"/>
  <c r="AI481" i="18"/>
  <c r="AB481" i="18"/>
  <c r="AA481" i="18"/>
  <c r="AI480" i="18"/>
  <c r="AB480" i="18"/>
  <c r="AA480" i="18"/>
  <c r="AI479" i="18"/>
  <c r="AB479" i="18"/>
  <c r="AA479" i="18"/>
  <c r="AI478" i="18"/>
  <c r="AB478" i="18"/>
  <c r="AA478" i="18"/>
  <c r="AI477" i="18"/>
  <c r="AB477" i="18"/>
  <c r="AA477" i="18"/>
  <c r="AI476" i="18"/>
  <c r="AB476" i="18"/>
  <c r="AA476" i="18"/>
  <c r="AI475" i="18"/>
  <c r="AB475" i="18"/>
  <c r="AA475" i="18"/>
  <c r="AI474" i="18"/>
  <c r="AB474" i="18"/>
  <c r="AA474" i="18"/>
  <c r="AI473" i="18"/>
  <c r="AB473" i="18"/>
  <c r="AA473" i="18"/>
  <c r="AI472" i="18"/>
  <c r="AB472" i="18"/>
  <c r="AA472" i="18"/>
  <c r="AI471" i="18"/>
  <c r="AB471" i="18"/>
  <c r="AA471" i="18"/>
  <c r="AI470" i="18"/>
  <c r="AB470" i="18"/>
  <c r="AA470" i="18"/>
  <c r="AI469" i="18"/>
  <c r="AB469" i="18"/>
  <c r="AA469" i="18"/>
  <c r="AI468" i="18"/>
  <c r="AB468" i="18"/>
  <c r="AA468" i="18"/>
  <c r="AI467" i="18"/>
  <c r="AB467" i="18"/>
  <c r="AA467" i="18"/>
  <c r="AI466" i="18"/>
  <c r="AB466" i="18"/>
  <c r="AA466" i="18"/>
  <c r="AI465" i="18"/>
  <c r="AB465" i="18"/>
  <c r="AA465" i="18"/>
  <c r="AI464" i="18"/>
  <c r="AB464" i="18"/>
  <c r="AA464" i="18"/>
  <c r="AI463" i="18"/>
  <c r="AB463" i="18"/>
  <c r="AA463" i="18"/>
  <c r="AI462" i="18"/>
  <c r="AB462" i="18"/>
  <c r="AA462" i="18"/>
  <c r="AI461" i="18"/>
  <c r="AB461" i="18"/>
  <c r="AA461" i="18"/>
  <c r="AI460" i="18"/>
  <c r="AB460" i="18"/>
  <c r="AA460" i="18"/>
  <c r="AI459" i="18"/>
  <c r="AB459" i="18"/>
  <c r="AA459" i="18"/>
  <c r="AI458" i="18"/>
  <c r="AB458" i="18"/>
  <c r="AA458" i="18"/>
  <c r="AI457" i="18"/>
  <c r="AB457" i="18"/>
  <c r="AA457" i="18"/>
  <c r="AI456" i="18"/>
  <c r="AB456" i="18"/>
  <c r="AA456" i="18"/>
  <c r="AI455" i="18"/>
  <c r="AB455" i="18"/>
  <c r="AA455" i="18"/>
  <c r="AI454" i="18"/>
  <c r="AB454" i="18"/>
  <c r="AA454" i="18"/>
  <c r="AI453" i="18"/>
  <c r="AB453" i="18"/>
  <c r="AA453" i="18"/>
  <c r="AI452" i="18"/>
  <c r="AB452" i="18"/>
  <c r="AA452" i="18"/>
  <c r="AI451" i="18"/>
  <c r="AB451" i="18"/>
  <c r="AA451" i="18"/>
  <c r="AI450" i="18"/>
  <c r="AB450" i="18"/>
  <c r="AA450" i="18"/>
  <c r="AI449" i="18"/>
  <c r="AB449" i="18"/>
  <c r="AA449" i="18"/>
  <c r="AI448" i="18"/>
  <c r="AB448" i="18"/>
  <c r="AA448" i="18"/>
  <c r="AI447" i="18"/>
  <c r="AB447" i="18"/>
  <c r="AA447" i="18"/>
  <c r="AI446" i="18"/>
  <c r="AB446" i="18"/>
  <c r="AA446" i="18"/>
  <c r="AI445" i="18"/>
  <c r="AB445" i="18"/>
  <c r="AA445" i="18"/>
  <c r="AI444" i="18"/>
  <c r="AB444" i="18"/>
  <c r="AA444" i="18"/>
  <c r="AI443" i="18"/>
  <c r="AB443" i="18"/>
  <c r="AA443" i="18"/>
  <c r="AI442" i="18"/>
  <c r="AB442" i="18"/>
  <c r="AA442" i="18"/>
  <c r="AI441" i="18"/>
  <c r="AB441" i="18"/>
  <c r="AA441" i="18"/>
  <c r="AI440" i="18"/>
  <c r="AB440" i="18"/>
  <c r="AA440" i="18"/>
  <c r="AI439" i="18"/>
  <c r="AB439" i="18"/>
  <c r="AA439" i="18"/>
  <c r="AI438" i="18"/>
  <c r="AB438" i="18"/>
  <c r="AA438" i="18"/>
  <c r="AI437" i="18"/>
  <c r="AB437" i="18"/>
  <c r="AA437" i="18"/>
  <c r="AI436" i="18"/>
  <c r="AB436" i="18"/>
  <c r="AA436" i="18"/>
  <c r="AI435" i="18"/>
  <c r="AB435" i="18"/>
  <c r="AA435" i="18"/>
  <c r="AI434" i="18"/>
  <c r="AB434" i="18"/>
  <c r="AA434" i="18"/>
  <c r="AI433" i="18"/>
  <c r="AB433" i="18"/>
  <c r="AA433" i="18"/>
  <c r="AI432" i="18"/>
  <c r="AB432" i="18"/>
  <c r="AA432" i="18"/>
  <c r="AI431" i="18"/>
  <c r="AB431" i="18"/>
  <c r="AA431" i="18"/>
  <c r="AI430" i="18"/>
  <c r="AB430" i="18"/>
  <c r="AA430" i="18"/>
  <c r="AI429" i="18"/>
  <c r="AB429" i="18"/>
  <c r="AA429" i="18"/>
  <c r="AI428" i="18"/>
  <c r="AB428" i="18"/>
  <c r="AA428" i="18"/>
  <c r="AI427" i="18"/>
  <c r="AB427" i="18"/>
  <c r="AA427" i="18"/>
  <c r="AI426" i="18"/>
  <c r="AB426" i="18"/>
  <c r="AA426" i="18"/>
  <c r="AI425" i="18"/>
  <c r="AB425" i="18"/>
  <c r="AA425" i="18"/>
  <c r="AI424" i="18"/>
  <c r="AB424" i="18"/>
  <c r="AA424" i="18"/>
  <c r="AI423" i="18"/>
  <c r="AB423" i="18"/>
  <c r="AA423" i="18"/>
  <c r="AI422" i="18"/>
  <c r="AB422" i="18"/>
  <c r="AA422" i="18"/>
  <c r="AI421" i="18"/>
  <c r="AB421" i="18"/>
  <c r="AA421" i="18"/>
  <c r="AI420" i="18"/>
  <c r="AB420" i="18"/>
  <c r="AA420" i="18"/>
  <c r="AI419" i="18"/>
  <c r="AB419" i="18"/>
  <c r="AA419" i="18"/>
  <c r="AI418" i="18"/>
  <c r="AB418" i="18"/>
  <c r="AA418" i="18"/>
  <c r="AI417" i="18"/>
  <c r="AB417" i="18"/>
  <c r="AA417" i="18"/>
  <c r="AI416" i="18"/>
  <c r="AB416" i="18"/>
  <c r="AA416" i="18"/>
  <c r="AI415" i="18"/>
  <c r="AB415" i="18"/>
  <c r="AA415" i="18"/>
  <c r="AI414" i="18"/>
  <c r="AB414" i="18"/>
  <c r="AA414" i="18"/>
  <c r="AI413" i="18"/>
  <c r="AB413" i="18"/>
  <c r="AA413" i="18"/>
  <c r="AI412" i="18"/>
  <c r="AB412" i="18"/>
  <c r="AA412" i="18"/>
  <c r="AI411" i="18"/>
  <c r="AB411" i="18"/>
  <c r="AA411" i="18"/>
  <c r="AI410" i="18"/>
  <c r="AB410" i="18"/>
  <c r="AA410" i="18"/>
  <c r="AI409" i="18"/>
  <c r="AB409" i="18"/>
  <c r="AA409" i="18"/>
  <c r="AI408" i="18"/>
  <c r="AB408" i="18"/>
  <c r="AA408" i="18"/>
  <c r="AI407" i="18"/>
  <c r="AB407" i="18"/>
  <c r="AA407" i="18"/>
  <c r="AI406" i="18"/>
  <c r="AB406" i="18"/>
  <c r="AA406" i="18"/>
  <c r="AI405" i="18"/>
  <c r="AB405" i="18"/>
  <c r="AA405" i="18"/>
  <c r="AI404" i="18"/>
  <c r="AB404" i="18"/>
  <c r="AA404" i="18"/>
  <c r="AI403" i="18"/>
  <c r="AB403" i="18"/>
  <c r="AA403" i="18"/>
  <c r="AI402" i="18"/>
  <c r="AB402" i="18"/>
  <c r="AA402" i="18"/>
  <c r="AI401" i="18"/>
  <c r="AB401" i="18"/>
  <c r="AA401" i="18"/>
  <c r="AI400" i="18"/>
  <c r="AB400" i="18"/>
  <c r="AA400" i="18"/>
  <c r="AI399" i="18"/>
  <c r="AB399" i="18"/>
  <c r="AA399" i="18"/>
  <c r="AI398" i="18"/>
  <c r="AB398" i="18"/>
  <c r="AA398" i="18"/>
  <c r="AI397" i="18"/>
  <c r="AB397" i="18"/>
  <c r="AA397" i="18"/>
  <c r="AI396" i="18"/>
  <c r="AB396" i="18"/>
  <c r="AA396" i="18"/>
  <c r="AI395" i="18"/>
  <c r="AB395" i="18"/>
  <c r="AA395" i="18"/>
  <c r="AI394" i="18"/>
  <c r="AB394" i="18"/>
  <c r="AA394" i="18"/>
  <c r="AI393" i="18"/>
  <c r="AB393" i="18"/>
  <c r="AA393" i="18"/>
  <c r="AI392" i="18"/>
  <c r="AB392" i="18"/>
  <c r="AA392" i="18"/>
  <c r="AI391" i="18"/>
  <c r="AB391" i="18"/>
  <c r="AA391" i="18"/>
  <c r="AI390" i="18"/>
  <c r="AB390" i="18"/>
  <c r="AA390" i="18"/>
  <c r="AI389" i="18"/>
  <c r="AB389" i="18"/>
  <c r="AA389" i="18"/>
  <c r="AI388" i="18"/>
  <c r="AB388" i="18"/>
  <c r="AA388" i="18"/>
  <c r="AI387" i="18"/>
  <c r="AB387" i="18"/>
  <c r="AA387" i="18"/>
  <c r="AI386" i="18"/>
  <c r="AB386" i="18"/>
  <c r="AA386" i="18"/>
  <c r="AI385" i="18"/>
  <c r="AB385" i="18"/>
  <c r="AA385" i="18"/>
  <c r="AI384" i="18"/>
  <c r="AB384" i="18"/>
  <c r="AA384" i="18"/>
  <c r="AI383" i="18"/>
  <c r="AB383" i="18"/>
  <c r="AA383" i="18"/>
  <c r="AI382" i="18"/>
  <c r="AB382" i="18"/>
  <c r="AA382" i="18"/>
  <c r="AI381" i="18"/>
  <c r="AB381" i="18"/>
  <c r="AA381" i="18"/>
  <c r="AI380" i="18"/>
  <c r="AB380" i="18"/>
  <c r="AA380" i="18"/>
  <c r="AI379" i="18"/>
  <c r="AB379" i="18"/>
  <c r="AA379" i="18"/>
  <c r="AI378" i="18"/>
  <c r="AB378" i="18"/>
  <c r="AA378" i="18"/>
  <c r="AI377" i="18"/>
  <c r="AB377" i="18"/>
  <c r="AA377" i="18"/>
  <c r="AI376" i="18"/>
  <c r="AB376" i="18"/>
  <c r="AA376" i="18"/>
  <c r="AI375" i="18"/>
  <c r="AB375" i="18"/>
  <c r="AA375" i="18"/>
  <c r="AI374" i="18"/>
  <c r="AB374" i="18"/>
  <c r="AA374" i="18"/>
  <c r="AI373" i="18"/>
  <c r="AB373" i="18"/>
  <c r="AA373" i="18"/>
  <c r="AI372" i="18"/>
  <c r="AB372" i="18"/>
  <c r="AA372" i="18"/>
  <c r="AI371" i="18"/>
  <c r="AB371" i="18"/>
  <c r="AA371" i="18"/>
  <c r="AI370" i="18"/>
  <c r="AB370" i="18"/>
  <c r="AA370" i="18"/>
  <c r="AI369" i="18"/>
  <c r="AB369" i="18"/>
  <c r="AA369" i="18"/>
  <c r="AI368" i="18"/>
  <c r="AB368" i="18"/>
  <c r="AA368" i="18"/>
  <c r="AI367" i="18"/>
  <c r="AB367" i="18"/>
  <c r="AA367" i="18"/>
  <c r="AI366" i="18"/>
  <c r="AB366" i="18"/>
  <c r="AA366" i="18"/>
  <c r="AI365" i="18"/>
  <c r="AB365" i="18"/>
  <c r="AA365" i="18"/>
  <c r="AI364" i="18"/>
  <c r="AB364" i="18"/>
  <c r="AA364" i="18"/>
  <c r="AI363" i="18"/>
  <c r="AB363" i="18"/>
  <c r="AA363" i="18"/>
  <c r="AI362" i="18"/>
  <c r="AB362" i="18"/>
  <c r="AA362" i="18"/>
  <c r="AI361" i="18"/>
  <c r="AB361" i="18"/>
  <c r="AA361" i="18"/>
  <c r="AI360" i="18"/>
  <c r="AB360" i="18"/>
  <c r="AA360" i="18"/>
  <c r="AI359" i="18"/>
  <c r="AB359" i="18"/>
  <c r="AA359" i="18"/>
  <c r="AI358" i="18"/>
  <c r="AB358" i="18"/>
  <c r="AA358" i="18"/>
  <c r="AI357" i="18"/>
  <c r="AB357" i="18"/>
  <c r="AA357" i="18"/>
  <c r="AI356" i="18"/>
  <c r="AB356" i="18"/>
  <c r="AA356" i="18"/>
  <c r="AI355" i="18"/>
  <c r="AB355" i="18"/>
  <c r="AA355" i="18"/>
  <c r="AI354" i="18"/>
  <c r="AB354" i="18"/>
  <c r="AA354" i="18"/>
  <c r="AI353" i="18"/>
  <c r="AB353" i="18"/>
  <c r="AA353" i="18"/>
  <c r="AI352" i="18"/>
  <c r="AB352" i="18"/>
  <c r="AA352" i="18"/>
  <c r="AI351" i="18"/>
  <c r="AB351" i="18"/>
  <c r="AA351" i="18"/>
  <c r="AI350" i="18"/>
  <c r="AB350" i="18"/>
  <c r="AA350" i="18"/>
  <c r="AI349" i="18"/>
  <c r="AB349" i="18"/>
  <c r="AA349" i="18"/>
  <c r="AI348" i="18"/>
  <c r="AB348" i="18"/>
  <c r="AA348" i="18"/>
  <c r="AI347" i="18"/>
  <c r="AB347" i="18"/>
  <c r="AA347" i="18"/>
  <c r="AI346" i="18"/>
  <c r="AB346" i="18"/>
  <c r="AA346" i="18"/>
  <c r="AI345" i="18"/>
  <c r="AB345" i="18"/>
  <c r="AA345" i="18"/>
  <c r="AI344" i="18"/>
  <c r="AB344" i="18"/>
  <c r="AA344" i="18"/>
  <c r="AI343" i="18"/>
  <c r="AB343" i="18"/>
  <c r="AA343" i="18"/>
  <c r="AI342" i="18"/>
  <c r="AB342" i="18"/>
  <c r="AA342" i="18"/>
  <c r="AI341" i="18"/>
  <c r="AB341" i="18"/>
  <c r="AA341" i="18"/>
  <c r="AI340" i="18"/>
  <c r="AB340" i="18"/>
  <c r="AA340" i="18"/>
  <c r="AI339" i="18"/>
  <c r="AB339" i="18"/>
  <c r="AA339" i="18"/>
  <c r="AI338" i="18"/>
  <c r="AB338" i="18"/>
  <c r="AA338" i="18"/>
  <c r="AI337" i="18"/>
  <c r="AB337" i="18"/>
  <c r="AA337" i="18"/>
  <c r="AI336" i="18"/>
  <c r="AB336" i="18"/>
  <c r="AA336" i="18"/>
  <c r="AI335" i="18"/>
  <c r="AB335" i="18"/>
  <c r="AA335" i="18"/>
  <c r="AI334" i="18"/>
  <c r="AB334" i="18"/>
  <c r="AA334" i="18"/>
  <c r="AI333" i="18"/>
  <c r="AB333" i="18"/>
  <c r="AA333" i="18"/>
  <c r="AI332" i="18"/>
  <c r="AB332" i="18"/>
  <c r="AA332" i="18"/>
  <c r="AI331" i="18"/>
  <c r="AB331" i="18"/>
  <c r="AA331" i="18"/>
  <c r="AI330" i="18"/>
  <c r="AB330" i="18"/>
  <c r="AA330" i="18"/>
  <c r="AI329" i="18"/>
  <c r="AB329" i="18"/>
  <c r="AA329" i="18"/>
  <c r="AI328" i="18"/>
  <c r="AB328" i="18"/>
  <c r="AA328" i="18"/>
  <c r="AI327" i="18"/>
  <c r="AB327" i="18"/>
  <c r="AA327" i="18"/>
  <c r="AI326" i="18"/>
  <c r="AB326" i="18"/>
  <c r="AA326" i="18"/>
  <c r="AI325" i="18"/>
  <c r="AB325" i="18"/>
  <c r="AA325" i="18"/>
  <c r="AI324" i="18"/>
  <c r="AB324" i="18"/>
  <c r="AA324" i="18"/>
  <c r="AI323" i="18"/>
  <c r="AB323" i="18"/>
  <c r="AA323" i="18"/>
  <c r="AI322" i="18"/>
  <c r="AB322" i="18"/>
  <c r="AA322" i="18"/>
  <c r="AI321" i="18"/>
  <c r="AB321" i="18"/>
  <c r="AA321" i="18"/>
  <c r="AI320" i="18"/>
  <c r="AB320" i="18"/>
  <c r="AA320" i="18"/>
  <c r="AI319" i="18"/>
  <c r="AB319" i="18"/>
  <c r="AA319" i="18"/>
  <c r="AI318" i="18"/>
  <c r="AB318" i="18"/>
  <c r="AA318" i="18"/>
  <c r="AI317" i="18"/>
  <c r="AB317" i="18"/>
  <c r="AA317" i="18"/>
  <c r="AI316" i="18"/>
  <c r="AB316" i="18"/>
  <c r="AA316" i="18"/>
  <c r="AI315" i="18"/>
  <c r="AB315" i="18"/>
  <c r="AA315" i="18"/>
  <c r="AI314" i="18"/>
  <c r="AB314" i="18"/>
  <c r="AA314" i="18"/>
  <c r="AI313" i="18"/>
  <c r="AB313" i="18"/>
  <c r="AA313" i="18"/>
  <c r="AI312" i="18"/>
  <c r="AB312" i="18"/>
  <c r="AA312" i="18"/>
  <c r="AI311" i="18"/>
  <c r="AB311" i="18"/>
  <c r="AA311" i="18"/>
  <c r="AI310" i="18"/>
  <c r="AB310" i="18"/>
  <c r="AA310" i="18"/>
  <c r="AI309" i="18"/>
  <c r="AB309" i="18"/>
  <c r="AA309" i="18"/>
  <c r="AI308" i="18"/>
  <c r="AB308" i="18"/>
  <c r="AA308" i="18"/>
  <c r="AI307" i="18"/>
  <c r="AB307" i="18"/>
  <c r="AA307" i="18"/>
  <c r="AI306" i="18"/>
  <c r="AB306" i="18"/>
  <c r="AA306" i="18"/>
  <c r="AI305" i="18"/>
  <c r="AB305" i="18"/>
  <c r="AA305" i="18"/>
  <c r="AI304" i="18"/>
  <c r="AB304" i="18"/>
  <c r="AA304" i="18"/>
  <c r="AI303" i="18"/>
  <c r="AB303" i="18"/>
  <c r="AA303" i="18"/>
  <c r="AI302" i="18"/>
  <c r="AB302" i="18"/>
  <c r="AA302" i="18"/>
  <c r="AI301" i="18"/>
  <c r="AB301" i="18"/>
  <c r="AA301" i="18"/>
  <c r="AI300" i="18"/>
  <c r="AB300" i="18"/>
  <c r="AA300" i="18"/>
  <c r="AI299" i="18"/>
  <c r="AB299" i="18"/>
  <c r="AA299" i="18"/>
  <c r="AI298" i="18"/>
  <c r="AB298" i="18"/>
  <c r="AA298" i="18"/>
  <c r="AI297" i="18"/>
  <c r="AB297" i="18"/>
  <c r="AA297" i="18"/>
  <c r="AI296" i="18"/>
  <c r="AB296" i="18"/>
  <c r="AA296" i="18"/>
  <c r="AI295" i="18"/>
  <c r="AB295" i="18"/>
  <c r="AA295" i="18"/>
  <c r="AI294" i="18"/>
  <c r="AB294" i="18"/>
  <c r="AA294" i="18"/>
  <c r="AI293" i="18"/>
  <c r="AB293" i="18"/>
  <c r="AA293" i="18"/>
  <c r="AI292" i="18"/>
  <c r="AB292" i="18"/>
  <c r="AA292" i="18"/>
  <c r="AI291" i="18"/>
  <c r="AB291" i="18"/>
  <c r="AA291" i="18"/>
  <c r="AI290" i="18"/>
  <c r="AB290" i="18"/>
  <c r="AA290" i="18"/>
  <c r="AI289" i="18"/>
  <c r="AB289" i="18"/>
  <c r="AA289" i="18"/>
  <c r="AI288" i="18"/>
  <c r="AB288" i="18"/>
  <c r="AA288" i="18"/>
  <c r="AI287" i="18"/>
  <c r="AB287" i="18"/>
  <c r="AA287" i="18"/>
  <c r="AI286" i="18"/>
  <c r="AB286" i="18"/>
  <c r="AA286" i="18"/>
  <c r="AI285" i="18"/>
  <c r="AB285" i="18"/>
  <c r="AA285" i="18"/>
  <c r="AI284" i="18"/>
  <c r="AB284" i="18"/>
  <c r="AA284" i="18"/>
  <c r="AI283" i="18"/>
  <c r="AB283" i="18"/>
  <c r="AA283" i="18"/>
  <c r="AI282" i="18"/>
  <c r="AB282" i="18"/>
  <c r="AA282" i="18"/>
  <c r="AI281" i="18"/>
  <c r="AB281" i="18"/>
  <c r="AA281" i="18"/>
  <c r="AI280" i="18"/>
  <c r="AB280" i="18"/>
  <c r="AA280" i="18"/>
  <c r="AI279" i="18"/>
  <c r="AB279" i="18"/>
  <c r="AA279" i="18"/>
  <c r="AI278" i="18"/>
  <c r="AB278" i="18"/>
  <c r="AA278" i="18"/>
  <c r="AI277" i="18"/>
  <c r="AB277" i="18"/>
  <c r="AA277" i="18"/>
  <c r="AI276" i="18"/>
  <c r="AB276" i="18"/>
  <c r="AA276" i="18"/>
  <c r="AI275" i="18"/>
  <c r="AB275" i="18"/>
  <c r="AA275" i="18"/>
  <c r="AI274" i="18"/>
  <c r="AB274" i="18"/>
  <c r="AA274" i="18"/>
  <c r="AI273" i="18"/>
  <c r="AB273" i="18"/>
  <c r="AA273" i="18"/>
  <c r="AI272" i="18"/>
  <c r="AB272" i="18"/>
  <c r="AA272" i="18"/>
  <c r="AI271" i="18"/>
  <c r="AB271" i="18"/>
  <c r="AA271" i="18"/>
  <c r="AI270" i="18"/>
  <c r="AB270" i="18"/>
  <c r="AA270" i="18"/>
  <c r="AI269" i="18"/>
  <c r="AB269" i="18"/>
  <c r="AA269" i="18"/>
  <c r="AI268" i="18"/>
  <c r="AB268" i="18"/>
  <c r="AA268" i="18"/>
  <c r="AI267" i="18"/>
  <c r="AB267" i="18"/>
  <c r="AA267" i="18"/>
  <c r="AI266" i="18"/>
  <c r="AB266" i="18"/>
  <c r="AA266" i="18"/>
  <c r="AI265" i="18"/>
  <c r="AB265" i="18"/>
  <c r="AA265" i="18"/>
  <c r="AI264" i="18"/>
  <c r="AB264" i="18"/>
  <c r="AA264" i="18"/>
  <c r="AI263" i="18"/>
  <c r="AB263" i="18"/>
  <c r="AA263" i="18"/>
  <c r="AI262" i="18"/>
  <c r="AB262" i="18"/>
  <c r="AA262" i="18"/>
  <c r="AI261" i="18"/>
  <c r="AB261" i="18"/>
  <c r="AA261" i="18"/>
  <c r="AI260" i="18"/>
  <c r="AB260" i="18"/>
  <c r="AA260" i="18"/>
  <c r="AI259" i="18"/>
  <c r="AB259" i="18"/>
  <c r="AA259" i="18"/>
  <c r="AI258" i="18"/>
  <c r="AB258" i="18"/>
  <c r="AA258" i="18"/>
  <c r="AI257" i="18"/>
  <c r="AB257" i="18"/>
  <c r="AA257" i="18"/>
  <c r="AI256" i="18"/>
  <c r="AB256" i="18"/>
  <c r="AA256" i="18"/>
  <c r="AI255" i="18"/>
  <c r="AB255" i="18"/>
  <c r="AA255" i="18"/>
  <c r="AI254" i="18"/>
  <c r="AB254" i="18"/>
  <c r="AA254" i="18"/>
  <c r="AI253" i="18"/>
  <c r="AB253" i="18"/>
  <c r="AA253" i="18"/>
  <c r="AI252" i="18"/>
  <c r="AB252" i="18"/>
  <c r="AA252" i="18"/>
  <c r="AI251" i="18"/>
  <c r="AB251" i="18"/>
  <c r="AA251" i="18"/>
  <c r="AI250" i="18"/>
  <c r="AB250" i="18"/>
  <c r="AA250" i="18"/>
  <c r="AI249" i="18"/>
  <c r="AB249" i="18"/>
  <c r="AA249" i="18"/>
  <c r="AI248" i="18"/>
  <c r="AB248" i="18"/>
  <c r="AA248" i="18"/>
  <c r="AI247" i="18"/>
  <c r="AB247" i="18"/>
  <c r="AA247" i="18"/>
  <c r="AI246" i="18"/>
  <c r="AB246" i="18"/>
  <c r="AA246" i="18"/>
  <c r="AI245" i="18"/>
  <c r="AB245" i="18"/>
  <c r="AA245" i="18"/>
  <c r="AI244" i="18"/>
  <c r="AB244" i="18"/>
  <c r="AA244" i="18"/>
  <c r="AI243" i="18"/>
  <c r="AB243" i="18"/>
  <c r="AA243" i="18"/>
  <c r="AI242" i="18"/>
  <c r="AB242" i="18"/>
  <c r="AA242" i="18"/>
  <c r="AI241" i="18"/>
  <c r="AB241" i="18"/>
  <c r="AA241" i="18"/>
  <c r="AI240" i="18"/>
  <c r="AB240" i="18"/>
  <c r="AA240" i="18"/>
  <c r="AI239" i="18"/>
  <c r="AB239" i="18"/>
  <c r="AA239" i="18"/>
  <c r="AI238" i="18"/>
  <c r="AB238" i="18"/>
  <c r="AA238" i="18"/>
  <c r="AI237" i="18"/>
  <c r="AB237" i="18"/>
  <c r="AA237" i="18"/>
  <c r="AI236" i="18"/>
  <c r="AB236" i="18"/>
  <c r="AA236" i="18"/>
  <c r="AI235" i="18"/>
  <c r="AB235" i="18"/>
  <c r="AA235" i="18"/>
  <c r="AI234" i="18"/>
  <c r="AB234" i="18"/>
  <c r="AA234" i="18"/>
  <c r="AI233" i="18"/>
  <c r="AB233" i="18"/>
  <c r="AA233" i="18"/>
  <c r="AI232" i="18"/>
  <c r="AB232" i="18"/>
  <c r="AA232" i="18"/>
  <c r="AI231" i="18"/>
  <c r="AB231" i="18"/>
  <c r="AA231" i="18"/>
  <c r="AI230" i="18"/>
  <c r="AB230" i="18"/>
  <c r="AA230" i="18"/>
  <c r="AI229" i="18"/>
  <c r="AB229" i="18"/>
  <c r="AA229" i="18"/>
  <c r="AI228" i="18"/>
  <c r="AB228" i="18"/>
  <c r="AA228" i="18"/>
  <c r="AI227" i="18"/>
  <c r="AB227" i="18"/>
  <c r="AA227" i="18"/>
  <c r="AI226" i="18"/>
  <c r="AB226" i="18"/>
  <c r="AA226" i="18"/>
  <c r="AI225" i="18"/>
  <c r="AB225" i="18"/>
  <c r="AA225" i="18"/>
  <c r="AI224" i="18"/>
  <c r="AB224" i="18"/>
  <c r="AA224" i="18"/>
  <c r="AI223" i="18"/>
  <c r="AB223" i="18"/>
  <c r="AA223" i="18"/>
  <c r="AI222" i="18"/>
  <c r="AB222" i="18"/>
  <c r="AA222" i="18"/>
  <c r="AI221" i="18"/>
  <c r="AB221" i="18"/>
  <c r="AA221" i="18"/>
  <c r="AI220" i="18"/>
  <c r="AB220" i="18"/>
  <c r="AA220" i="18"/>
  <c r="AI219" i="18"/>
  <c r="AB219" i="18"/>
  <c r="AA219" i="18"/>
  <c r="AI218" i="18"/>
  <c r="AB218" i="18"/>
  <c r="AA218" i="18"/>
  <c r="AI217" i="18"/>
  <c r="AB217" i="18"/>
  <c r="AA217" i="18"/>
  <c r="AI216" i="18"/>
  <c r="AB216" i="18"/>
  <c r="AA216" i="18"/>
  <c r="AI215" i="18"/>
  <c r="AB215" i="18"/>
  <c r="AA215" i="18"/>
  <c r="AI214" i="18"/>
  <c r="AB214" i="18"/>
  <c r="AA214" i="18"/>
  <c r="AI213" i="18"/>
  <c r="AB213" i="18"/>
  <c r="AA213" i="18"/>
  <c r="AI212" i="18"/>
  <c r="AB212" i="18"/>
  <c r="AA212" i="18"/>
  <c r="AI211" i="18"/>
  <c r="AB211" i="18"/>
  <c r="AA211" i="18"/>
  <c r="AI210" i="18"/>
  <c r="AB210" i="18"/>
  <c r="AA210" i="18"/>
  <c r="AI209" i="18"/>
  <c r="AB209" i="18"/>
  <c r="AA209" i="18"/>
  <c r="AI208" i="18"/>
  <c r="AB208" i="18"/>
  <c r="AA208" i="18"/>
  <c r="AI207" i="18"/>
  <c r="AB207" i="18"/>
  <c r="AA207" i="18"/>
  <c r="AI206" i="18"/>
  <c r="AB206" i="18"/>
  <c r="AA206" i="18"/>
  <c r="AI205" i="18"/>
  <c r="AB205" i="18"/>
  <c r="AA205" i="18"/>
  <c r="AI204" i="18"/>
  <c r="AB204" i="18"/>
  <c r="AA204" i="18"/>
  <c r="AI203" i="18"/>
  <c r="AB203" i="18"/>
  <c r="AA203" i="18"/>
  <c r="AI202" i="18"/>
  <c r="AB202" i="18"/>
  <c r="AA202" i="18"/>
  <c r="AI201" i="18"/>
  <c r="AB201" i="18"/>
  <c r="AA201" i="18"/>
  <c r="AI200" i="18"/>
  <c r="AB200" i="18"/>
  <c r="AA200" i="18"/>
  <c r="AI199" i="18"/>
  <c r="AB199" i="18"/>
  <c r="AA199" i="18"/>
  <c r="AI198" i="18"/>
  <c r="AB198" i="18"/>
  <c r="AA198" i="18"/>
  <c r="AI197" i="18"/>
  <c r="AB197" i="18"/>
  <c r="AA197" i="18"/>
  <c r="AI196" i="18"/>
  <c r="AB196" i="18"/>
  <c r="AA196" i="18"/>
  <c r="AI195" i="18"/>
  <c r="AB195" i="18"/>
  <c r="AA195" i="18"/>
  <c r="AI194" i="18"/>
  <c r="AB194" i="18"/>
  <c r="AA194" i="18"/>
  <c r="AI193" i="18"/>
  <c r="AB193" i="18"/>
  <c r="AA193" i="18"/>
  <c r="AI192" i="18"/>
  <c r="AB192" i="18"/>
  <c r="AA192" i="18"/>
  <c r="AI191" i="18"/>
  <c r="AB191" i="18"/>
  <c r="AA191" i="18"/>
  <c r="AI190" i="18"/>
  <c r="AB190" i="18"/>
  <c r="AA190" i="18"/>
  <c r="AI189" i="18"/>
  <c r="AB189" i="18"/>
  <c r="AA189" i="18"/>
  <c r="AI188" i="18"/>
  <c r="AB188" i="18"/>
  <c r="AA188" i="18"/>
  <c r="AI187" i="18"/>
  <c r="AB187" i="18"/>
  <c r="AA187" i="18"/>
  <c r="AI186" i="18"/>
  <c r="AB186" i="18"/>
  <c r="AA186" i="18"/>
  <c r="AI185" i="18"/>
  <c r="AB185" i="18"/>
  <c r="AA185" i="18"/>
  <c r="AI184" i="18"/>
  <c r="AB184" i="18"/>
  <c r="AA184" i="18"/>
  <c r="AI183" i="18"/>
  <c r="AB183" i="18"/>
  <c r="AA183" i="18"/>
  <c r="AI182" i="18"/>
  <c r="AB182" i="18"/>
  <c r="AA182" i="18"/>
  <c r="AI181" i="18"/>
  <c r="AB181" i="18"/>
  <c r="AA181" i="18"/>
  <c r="AI180" i="18"/>
  <c r="AB180" i="18"/>
  <c r="AA180" i="18"/>
  <c r="AI179" i="18"/>
  <c r="AB179" i="18"/>
  <c r="AA179" i="18"/>
  <c r="AI178" i="18"/>
  <c r="AB178" i="18"/>
  <c r="AA178" i="18"/>
  <c r="AI177" i="18"/>
  <c r="AB177" i="18"/>
  <c r="AA177" i="18"/>
  <c r="AI176" i="18"/>
  <c r="AB176" i="18"/>
  <c r="AA176" i="18"/>
  <c r="AI175" i="18"/>
  <c r="AB175" i="18"/>
  <c r="AA175" i="18"/>
  <c r="AI174" i="18"/>
  <c r="AB174" i="18"/>
  <c r="AA174" i="18"/>
  <c r="AI173" i="18"/>
  <c r="AB173" i="18"/>
  <c r="AA173" i="18"/>
  <c r="AI172" i="18"/>
  <c r="AB172" i="18"/>
  <c r="AA172" i="18"/>
  <c r="AI171" i="18"/>
  <c r="AB171" i="18"/>
  <c r="AA171" i="18"/>
  <c r="AI170" i="18"/>
  <c r="AB170" i="18"/>
  <c r="AA170" i="18"/>
  <c r="AI169" i="18"/>
  <c r="AB169" i="18"/>
  <c r="AA169" i="18"/>
  <c r="AI168" i="18"/>
  <c r="AB168" i="18"/>
  <c r="AA168" i="18"/>
  <c r="AI167" i="18"/>
  <c r="AB167" i="18"/>
  <c r="AA167" i="18"/>
  <c r="AI166" i="18"/>
  <c r="AB166" i="18"/>
  <c r="AA166" i="18"/>
  <c r="AI165" i="18"/>
  <c r="AB165" i="18"/>
  <c r="AA165" i="18"/>
  <c r="AI164" i="18"/>
  <c r="AB164" i="18"/>
  <c r="AA164" i="18"/>
  <c r="AI163" i="18"/>
  <c r="AB163" i="18"/>
  <c r="AA163" i="18"/>
  <c r="AI162" i="18"/>
  <c r="AB162" i="18"/>
  <c r="AA162" i="18"/>
  <c r="AI161" i="18"/>
  <c r="AB161" i="18"/>
  <c r="AA161" i="18"/>
  <c r="AI160" i="18"/>
  <c r="AB160" i="18"/>
  <c r="AA160" i="18"/>
  <c r="AI159" i="18"/>
  <c r="AB159" i="18"/>
  <c r="AA159" i="18"/>
  <c r="AI158" i="18"/>
  <c r="AB158" i="18"/>
  <c r="AA158" i="18"/>
  <c r="AI157" i="18"/>
  <c r="AB157" i="18"/>
  <c r="AA157" i="18"/>
  <c r="AI156" i="18"/>
  <c r="AB156" i="18"/>
  <c r="AA156" i="18"/>
  <c r="AI155" i="18"/>
  <c r="AB155" i="18"/>
  <c r="AA155" i="18"/>
  <c r="AI154" i="18"/>
  <c r="AB154" i="18"/>
  <c r="AA154" i="18"/>
  <c r="AI153" i="18"/>
  <c r="AB153" i="18"/>
  <c r="AA153" i="18"/>
  <c r="AI152" i="18"/>
  <c r="AB152" i="18"/>
  <c r="AA152" i="18"/>
  <c r="AI151" i="18"/>
  <c r="AB151" i="18"/>
  <c r="AA151" i="18"/>
  <c r="AI150" i="18"/>
  <c r="AB150" i="18"/>
  <c r="AA150" i="18"/>
  <c r="AI149" i="18"/>
  <c r="AB149" i="18"/>
  <c r="AA149" i="18"/>
  <c r="AI148" i="18"/>
  <c r="AB148" i="18"/>
  <c r="AA148" i="18"/>
  <c r="AI147" i="18"/>
  <c r="AB147" i="18"/>
  <c r="AA147" i="18"/>
  <c r="AI146" i="18"/>
  <c r="AB146" i="18"/>
  <c r="AA146" i="18"/>
  <c r="AI145" i="18"/>
  <c r="AB145" i="18"/>
  <c r="AA145" i="18"/>
  <c r="AI144" i="18"/>
  <c r="AB144" i="18"/>
  <c r="AA144" i="18"/>
  <c r="AI143" i="18"/>
  <c r="AB143" i="18"/>
  <c r="AA143" i="18"/>
  <c r="AI142" i="18"/>
  <c r="AB142" i="18"/>
  <c r="AA142" i="18"/>
  <c r="AI141" i="18"/>
  <c r="AB141" i="18"/>
  <c r="AA141" i="18"/>
  <c r="AI140" i="18"/>
  <c r="AB140" i="18"/>
  <c r="AA140" i="18"/>
  <c r="AI139" i="18"/>
  <c r="AB139" i="18"/>
  <c r="AA139" i="18"/>
  <c r="AI138" i="18"/>
  <c r="AB138" i="18"/>
  <c r="AA138" i="18"/>
  <c r="AI137" i="18"/>
  <c r="AB137" i="18"/>
  <c r="AA137" i="18"/>
  <c r="AI136" i="18"/>
  <c r="AB136" i="18"/>
  <c r="AA136" i="18"/>
  <c r="AI135" i="18"/>
  <c r="AB135" i="18"/>
  <c r="AA135" i="18"/>
  <c r="AI134" i="18"/>
  <c r="AB134" i="18"/>
  <c r="AA134" i="18"/>
  <c r="AI133" i="18"/>
  <c r="AB133" i="18"/>
  <c r="AA133" i="18"/>
  <c r="AI132" i="18"/>
  <c r="AB132" i="18"/>
  <c r="AA132" i="18"/>
  <c r="AI131" i="18"/>
  <c r="AB131" i="18"/>
  <c r="AA131" i="18"/>
  <c r="AI130" i="18"/>
  <c r="AB130" i="18"/>
  <c r="AA130" i="18"/>
  <c r="AI129" i="18"/>
  <c r="AB129" i="18"/>
  <c r="AA129" i="18"/>
  <c r="AI128" i="18"/>
  <c r="AB128" i="18"/>
  <c r="AA128" i="18"/>
  <c r="AI127" i="18"/>
  <c r="AB127" i="18"/>
  <c r="AA127" i="18"/>
  <c r="AI126" i="18"/>
  <c r="AB126" i="18"/>
  <c r="AA126" i="18"/>
  <c r="AI125" i="18"/>
  <c r="AB125" i="18"/>
  <c r="AA125" i="18"/>
  <c r="AI124" i="18"/>
  <c r="AB124" i="18"/>
  <c r="AA124" i="18"/>
  <c r="AI123" i="18"/>
  <c r="AB123" i="18"/>
  <c r="AA123" i="18"/>
  <c r="AI122" i="18"/>
  <c r="AB122" i="18"/>
  <c r="AA122" i="18"/>
  <c r="AI121" i="18"/>
  <c r="AB121" i="18"/>
  <c r="AA121" i="18"/>
  <c r="AI120" i="18"/>
  <c r="AB120" i="18"/>
  <c r="AA120" i="18"/>
  <c r="AI119" i="18"/>
  <c r="AB119" i="18"/>
  <c r="AA119" i="18"/>
  <c r="AI118" i="18"/>
  <c r="AB118" i="18"/>
  <c r="AA118" i="18"/>
  <c r="AI117" i="18"/>
  <c r="AB117" i="18"/>
  <c r="AA117" i="18"/>
  <c r="AI116" i="18"/>
  <c r="AB116" i="18"/>
  <c r="AA116" i="18"/>
  <c r="AI115" i="18"/>
  <c r="AB115" i="18"/>
  <c r="AA115" i="18"/>
  <c r="AI114" i="18"/>
  <c r="AB114" i="18"/>
  <c r="AA114" i="18"/>
  <c r="AI113" i="18"/>
  <c r="AB113" i="18"/>
  <c r="AA113" i="18"/>
  <c r="AI112" i="18"/>
  <c r="AB112" i="18"/>
  <c r="AA112" i="18"/>
  <c r="AI111" i="18"/>
  <c r="AB111" i="18"/>
  <c r="AA111" i="18"/>
  <c r="AI110" i="18"/>
  <c r="AB110" i="18"/>
  <c r="AA110" i="18"/>
  <c r="AI109" i="18"/>
  <c r="AB109" i="18"/>
  <c r="AA109" i="18"/>
  <c r="AI108" i="18"/>
  <c r="AB108" i="18"/>
  <c r="AA108" i="18"/>
  <c r="AI107" i="18"/>
  <c r="AB107" i="18"/>
  <c r="AA107" i="18"/>
  <c r="AI106" i="18"/>
  <c r="AB106" i="18"/>
  <c r="AA106" i="18"/>
  <c r="AI105" i="18"/>
  <c r="AB105" i="18"/>
  <c r="AA105" i="18"/>
  <c r="AI104" i="18"/>
  <c r="AB104" i="18"/>
  <c r="AA104" i="18"/>
  <c r="AI103" i="18"/>
  <c r="AB103" i="18"/>
  <c r="AA103" i="18"/>
  <c r="AI102" i="18"/>
  <c r="AB102" i="18"/>
  <c r="AA102" i="18"/>
  <c r="AI101" i="18"/>
  <c r="AB101" i="18"/>
  <c r="AA101" i="18"/>
  <c r="AI100" i="18"/>
  <c r="AB100" i="18"/>
  <c r="AA100" i="18"/>
  <c r="AI99" i="18"/>
  <c r="AB99" i="18"/>
  <c r="AA99" i="18"/>
  <c r="AI98" i="18"/>
  <c r="AB98" i="18"/>
  <c r="AA98" i="18"/>
  <c r="AI97" i="18"/>
  <c r="AB97" i="18"/>
  <c r="AA97" i="18"/>
  <c r="AI96" i="18"/>
  <c r="AB96" i="18"/>
  <c r="AA96" i="18"/>
  <c r="AI95" i="18"/>
  <c r="AB95" i="18"/>
  <c r="AA95" i="18"/>
  <c r="AI94" i="18"/>
  <c r="AB94" i="18"/>
  <c r="AA94" i="18"/>
  <c r="AI93" i="18"/>
  <c r="AB93" i="18"/>
  <c r="AA93" i="18"/>
  <c r="AI92" i="18"/>
  <c r="AB92" i="18"/>
  <c r="AA92" i="18"/>
  <c r="AI91" i="18"/>
  <c r="AB91" i="18"/>
  <c r="AA91" i="18"/>
  <c r="AI90" i="18"/>
  <c r="AB90" i="18"/>
  <c r="AA90" i="18"/>
  <c r="AI89" i="18"/>
  <c r="AB89" i="18"/>
  <c r="AA89" i="18"/>
  <c r="AI88" i="18"/>
  <c r="AB88" i="18"/>
  <c r="AA88" i="18"/>
  <c r="AI87" i="18"/>
  <c r="AB87" i="18"/>
  <c r="AA87" i="18"/>
  <c r="AI86" i="18"/>
  <c r="AB86" i="18"/>
  <c r="AA86" i="18"/>
  <c r="AI85" i="18"/>
  <c r="AB85" i="18"/>
  <c r="AA85" i="18"/>
  <c r="AI84" i="18"/>
  <c r="AB84" i="18"/>
  <c r="AA84" i="18"/>
  <c r="AI83" i="18"/>
  <c r="AB83" i="18"/>
  <c r="AA83" i="18"/>
  <c r="AI82" i="18"/>
  <c r="AB82" i="18"/>
  <c r="AA82" i="18"/>
  <c r="AI81" i="18"/>
  <c r="AB81" i="18"/>
  <c r="AA81" i="18"/>
  <c r="AI80" i="18"/>
  <c r="AB80" i="18"/>
  <c r="AA80" i="18"/>
  <c r="AI79" i="18"/>
  <c r="AB79" i="18"/>
  <c r="AA79" i="18"/>
  <c r="AI78" i="18"/>
  <c r="AB78" i="18"/>
  <c r="AA78" i="18"/>
  <c r="AI77" i="18"/>
  <c r="AB77" i="18"/>
  <c r="AA77" i="18"/>
  <c r="AI76" i="18"/>
  <c r="AB76" i="18"/>
  <c r="AA76" i="18"/>
  <c r="AI75" i="18"/>
  <c r="AB75" i="18"/>
  <c r="AA75" i="18"/>
  <c r="AI74" i="18"/>
  <c r="AB74" i="18"/>
  <c r="AA74" i="18"/>
  <c r="AI73" i="18"/>
  <c r="AB73" i="18"/>
  <c r="AA73" i="18"/>
  <c r="AI72" i="18"/>
  <c r="AB72" i="18"/>
  <c r="AA72" i="18"/>
  <c r="AI71" i="18"/>
  <c r="AB71" i="18"/>
  <c r="AA71" i="18"/>
  <c r="AI70" i="18"/>
  <c r="AB70" i="18"/>
  <c r="AA70" i="18"/>
  <c r="AI69" i="18"/>
  <c r="AB69" i="18"/>
  <c r="AA69" i="18"/>
  <c r="AI68" i="18"/>
  <c r="AB68" i="18"/>
  <c r="AA68" i="18"/>
  <c r="AI67" i="18"/>
  <c r="AB67" i="18"/>
  <c r="AA67" i="18"/>
  <c r="AI66" i="18"/>
  <c r="AB66" i="18"/>
  <c r="AA66" i="18"/>
  <c r="AI65" i="18"/>
  <c r="AB65" i="18"/>
  <c r="AA65" i="18"/>
  <c r="AI64" i="18"/>
  <c r="AB64" i="18"/>
  <c r="AA64" i="18"/>
  <c r="AI63" i="18"/>
  <c r="AB63" i="18"/>
  <c r="AA63" i="18"/>
  <c r="AI62" i="18"/>
  <c r="AB62" i="18"/>
  <c r="AA62" i="18"/>
  <c r="AI61" i="18"/>
  <c r="AB61" i="18"/>
  <c r="AA61" i="18"/>
  <c r="AI60" i="18"/>
  <c r="AB60" i="18"/>
  <c r="AA60" i="18"/>
  <c r="AI59" i="18"/>
  <c r="AB59" i="18"/>
  <c r="AA59" i="18"/>
  <c r="AI58" i="18"/>
  <c r="AB58" i="18"/>
  <c r="AA58" i="18"/>
  <c r="AI57" i="18"/>
  <c r="AB57" i="18"/>
  <c r="AA57" i="18"/>
  <c r="AI56" i="18"/>
  <c r="AB56" i="18"/>
  <c r="AA56" i="18"/>
  <c r="AI55" i="18"/>
  <c r="AB55" i="18"/>
  <c r="AA55" i="18"/>
  <c r="AI54" i="18"/>
  <c r="AB54" i="18"/>
  <c r="AA54" i="18"/>
  <c r="AI53" i="18"/>
  <c r="AB53" i="18"/>
  <c r="AA53" i="18"/>
  <c r="AI52" i="18"/>
  <c r="AB52" i="18"/>
  <c r="AA52" i="18"/>
  <c r="AI51" i="18"/>
  <c r="AB51" i="18"/>
  <c r="AA51" i="18"/>
  <c r="AI50" i="18"/>
  <c r="AB50" i="18"/>
  <c r="AA50" i="18"/>
  <c r="AI49" i="18"/>
  <c r="AB49" i="18"/>
  <c r="AA49" i="18"/>
  <c r="AI48" i="18"/>
  <c r="AB48" i="18"/>
  <c r="AA48" i="18"/>
  <c r="AI47" i="18"/>
  <c r="AB47" i="18"/>
  <c r="AA47" i="18"/>
  <c r="AI46" i="18"/>
  <c r="AB46" i="18"/>
  <c r="AA46" i="18"/>
  <c r="AI45" i="18"/>
  <c r="AB45" i="18"/>
  <c r="AA45" i="18"/>
  <c r="AI44" i="18"/>
  <c r="AB44" i="18"/>
  <c r="AA44" i="18"/>
  <c r="AI43" i="18"/>
  <c r="AB43" i="18"/>
  <c r="AA43" i="18"/>
  <c r="AI42" i="18"/>
  <c r="AB42" i="18"/>
  <c r="AA42" i="18"/>
  <c r="AI41" i="18"/>
  <c r="AB41" i="18"/>
  <c r="AA41" i="18"/>
  <c r="AI40" i="18"/>
  <c r="AB40" i="18"/>
  <c r="AA40" i="18"/>
  <c r="AI39" i="18"/>
  <c r="AB39" i="18"/>
  <c r="AA39" i="18"/>
  <c r="AI38" i="18"/>
  <c r="AB38" i="18"/>
  <c r="AA38" i="18"/>
  <c r="AI37" i="18"/>
  <c r="AB37" i="18"/>
  <c r="AA37" i="18"/>
  <c r="AI36" i="18"/>
  <c r="AB36" i="18"/>
  <c r="AA36" i="18"/>
  <c r="AI35" i="18"/>
  <c r="AB35" i="18"/>
  <c r="AA35" i="18"/>
  <c r="AI34" i="18"/>
  <c r="AB34" i="18"/>
  <c r="AA34" i="18"/>
  <c r="AI33" i="18"/>
  <c r="AB33" i="18"/>
  <c r="AA33" i="18"/>
  <c r="AI32" i="18"/>
  <c r="AB32" i="18"/>
  <c r="AA32" i="18"/>
  <c r="AI31" i="18"/>
  <c r="AB31" i="18"/>
  <c r="AA31" i="18"/>
  <c r="AI30" i="18"/>
  <c r="AB30" i="18"/>
  <c r="AA30" i="18"/>
  <c r="AI29" i="18"/>
  <c r="AB29" i="18"/>
  <c r="AA29" i="18"/>
  <c r="AI28" i="18"/>
  <c r="AB28" i="18"/>
  <c r="AA28" i="18"/>
  <c r="AI27" i="18"/>
  <c r="AB27" i="18"/>
  <c r="AA27" i="18"/>
  <c r="AI26" i="18"/>
  <c r="AB26" i="18"/>
  <c r="AA26" i="18"/>
  <c r="AI25" i="18"/>
  <c r="AB25" i="18"/>
  <c r="AA25" i="18"/>
  <c r="AI24" i="18"/>
  <c r="AB24" i="18"/>
  <c r="AA24" i="18"/>
  <c r="AI23" i="18"/>
  <c r="AB23" i="18"/>
  <c r="AA23" i="18"/>
  <c r="AI22" i="18"/>
  <c r="AB22" i="18"/>
  <c r="AA22" i="18"/>
  <c r="AI21" i="18"/>
  <c r="AB21" i="18"/>
  <c r="AA21" i="18"/>
  <c r="AI20" i="18"/>
  <c r="AB20" i="18"/>
  <c r="AA20" i="18"/>
  <c r="AI19" i="18"/>
  <c r="AB19" i="18"/>
  <c r="AA19" i="18"/>
  <c r="AI18" i="18"/>
  <c r="AB18" i="18"/>
  <c r="AA18" i="18"/>
  <c r="AI17" i="18"/>
  <c r="AB17" i="18"/>
  <c r="AA17" i="18"/>
  <c r="AI16" i="18"/>
  <c r="AB16" i="18"/>
  <c r="N21" i="19" s="1"/>
  <c r="AA16" i="18"/>
  <c r="D21" i="19" s="1"/>
  <c r="AI15" i="18"/>
  <c r="AB15" i="18"/>
  <c r="N20" i="19" s="1"/>
  <c r="AA15" i="18"/>
  <c r="F20" i="19" s="1"/>
  <c r="AI14" i="18"/>
  <c r="AB14" i="18"/>
  <c r="N19" i="19" s="1"/>
  <c r="AA14" i="18"/>
  <c r="F19" i="19" s="1"/>
  <c r="I19" i="19" s="1"/>
  <c r="AI13" i="18"/>
  <c r="AB13" i="18"/>
  <c r="N18" i="19" s="1"/>
  <c r="AA13" i="18"/>
  <c r="C18" i="19" s="1"/>
  <c r="AI12" i="18"/>
  <c r="AB12" i="18"/>
  <c r="N17" i="19" s="1"/>
  <c r="AA12" i="18"/>
  <c r="AI11" i="18"/>
  <c r="AB11" i="18"/>
  <c r="M16" i="19" s="1"/>
  <c r="AA11" i="18"/>
  <c r="E16" i="19" s="1"/>
  <c r="AI10" i="18"/>
  <c r="AB10" i="18"/>
  <c r="N15" i="19" s="1"/>
  <c r="AA10" i="18"/>
  <c r="F15" i="19" s="1"/>
  <c r="I15" i="19" s="1"/>
  <c r="AI9" i="18"/>
  <c r="AB9" i="18"/>
  <c r="M14" i="19" s="1"/>
  <c r="AA9" i="18"/>
  <c r="F14" i="19" s="1"/>
  <c r="AI8" i="18"/>
  <c r="AB8" i="18"/>
  <c r="N13" i="19" s="1"/>
  <c r="AA8" i="18"/>
  <c r="D13" i="19" s="1"/>
  <c r="AI7" i="18"/>
  <c r="AB7" i="18"/>
  <c r="N12" i="19" s="1"/>
  <c r="AA7" i="18"/>
  <c r="F12" i="19" s="1"/>
  <c r="AI6" i="18"/>
  <c r="AB6" i="18"/>
  <c r="N11" i="19" s="1"/>
  <c r="AA6" i="18"/>
  <c r="F11" i="19" s="1"/>
  <c r="I11" i="19" s="1"/>
  <c r="AI5" i="18"/>
  <c r="AB5" i="18"/>
  <c r="N10" i="19" s="1"/>
  <c r="AA5" i="18"/>
  <c r="C10" i="19" s="1"/>
  <c r="AI4" i="18"/>
  <c r="AB4" i="18"/>
  <c r="M9" i="19" s="1"/>
  <c r="AA4" i="18"/>
  <c r="AI3" i="18"/>
  <c r="AB3" i="18"/>
  <c r="M8" i="19" s="1"/>
  <c r="AA3" i="18"/>
  <c r="E8" i="19" s="1"/>
  <c r="AI2" i="18"/>
  <c r="AB2" i="18"/>
  <c r="N7" i="19" s="1"/>
  <c r="AA2" i="18"/>
  <c r="F7" i="19" s="1"/>
  <c r="I7" i="19" s="1"/>
  <c r="E27" i="17"/>
  <c r="H25" i="17"/>
  <c r="F22" i="17"/>
  <c r="M22" i="17" s="1"/>
  <c r="I20" i="17"/>
  <c r="P20" i="17" s="1"/>
  <c r="G17" i="17"/>
  <c r="N17" i="17" s="1"/>
  <c r="E14" i="17"/>
  <c r="H12" i="17"/>
  <c r="H9" i="17"/>
  <c r="E3" i="17"/>
  <c r="L3" i="17" s="1"/>
  <c r="U352" i="16"/>
  <c r="T352" i="16"/>
  <c r="S352" i="16"/>
  <c r="U351" i="16"/>
  <c r="T351" i="16"/>
  <c r="S351" i="16"/>
  <c r="U350" i="16"/>
  <c r="T350" i="16"/>
  <c r="S350" i="16"/>
  <c r="U349" i="16"/>
  <c r="T349" i="16"/>
  <c r="S349" i="16"/>
  <c r="U348" i="16"/>
  <c r="T348" i="16"/>
  <c r="S348" i="16"/>
  <c r="U347" i="16"/>
  <c r="T347" i="16"/>
  <c r="S347" i="16"/>
  <c r="U346" i="16"/>
  <c r="T346" i="16"/>
  <c r="S346" i="16"/>
  <c r="U345" i="16"/>
  <c r="T345" i="16"/>
  <c r="S345" i="16"/>
  <c r="U344" i="16"/>
  <c r="T344" i="16"/>
  <c r="S344" i="16"/>
  <c r="U343" i="16"/>
  <c r="T343" i="16"/>
  <c r="S343" i="16"/>
  <c r="U342" i="16"/>
  <c r="T342" i="16"/>
  <c r="S342" i="16"/>
  <c r="U341" i="16"/>
  <c r="T341" i="16"/>
  <c r="S341" i="16"/>
  <c r="U340" i="16"/>
  <c r="T340" i="16"/>
  <c r="S340" i="16"/>
  <c r="U339" i="16"/>
  <c r="T339" i="16"/>
  <c r="S339" i="16"/>
  <c r="U338" i="16"/>
  <c r="T338" i="16"/>
  <c r="S338" i="16"/>
  <c r="U337" i="16"/>
  <c r="T337" i="16"/>
  <c r="S337" i="16"/>
  <c r="U336" i="16"/>
  <c r="T336" i="16"/>
  <c r="S336" i="16"/>
  <c r="U335" i="16"/>
  <c r="T335" i="16"/>
  <c r="S335" i="16"/>
  <c r="U334" i="16"/>
  <c r="T334" i="16"/>
  <c r="S334" i="16"/>
  <c r="U333" i="16"/>
  <c r="T333" i="16"/>
  <c r="S333" i="16"/>
  <c r="U332" i="16"/>
  <c r="T332" i="16"/>
  <c r="S332" i="16"/>
  <c r="U331" i="16"/>
  <c r="T331" i="16"/>
  <c r="S331" i="16"/>
  <c r="U330" i="16"/>
  <c r="T330" i="16"/>
  <c r="S330" i="16"/>
  <c r="U329" i="16"/>
  <c r="T329" i="16"/>
  <c r="S329" i="16"/>
  <c r="U328" i="16"/>
  <c r="T328" i="16"/>
  <c r="S328" i="16"/>
  <c r="U327" i="16"/>
  <c r="T327" i="16"/>
  <c r="S327" i="16"/>
  <c r="U326" i="16"/>
  <c r="T326" i="16"/>
  <c r="S326" i="16"/>
  <c r="U325" i="16"/>
  <c r="T325" i="16"/>
  <c r="S325" i="16"/>
  <c r="U324" i="16"/>
  <c r="T324" i="16"/>
  <c r="S324" i="16"/>
  <c r="U323" i="16"/>
  <c r="T323" i="16"/>
  <c r="S323" i="16"/>
  <c r="U322" i="16"/>
  <c r="T322" i="16"/>
  <c r="S322" i="16"/>
  <c r="U321" i="16"/>
  <c r="T321" i="16"/>
  <c r="S321" i="16"/>
  <c r="U320" i="16"/>
  <c r="T320" i="16"/>
  <c r="S320" i="16"/>
  <c r="U319" i="16"/>
  <c r="T319" i="16"/>
  <c r="S319" i="16"/>
  <c r="U318" i="16"/>
  <c r="T318" i="16"/>
  <c r="S318" i="16"/>
  <c r="U317" i="16"/>
  <c r="T317" i="16"/>
  <c r="S317" i="16"/>
  <c r="U316" i="16"/>
  <c r="T316" i="16"/>
  <c r="S316" i="16"/>
  <c r="U315" i="16"/>
  <c r="T315" i="16"/>
  <c r="S315" i="16"/>
  <c r="U314" i="16"/>
  <c r="T314" i="16"/>
  <c r="S314" i="16"/>
  <c r="U313" i="16"/>
  <c r="T313" i="16"/>
  <c r="S313" i="16"/>
  <c r="U312" i="16"/>
  <c r="T312" i="16"/>
  <c r="S312" i="16"/>
  <c r="U311" i="16"/>
  <c r="T311" i="16"/>
  <c r="S311" i="16"/>
  <c r="U310" i="16"/>
  <c r="T310" i="16"/>
  <c r="S310" i="16"/>
  <c r="U309" i="16"/>
  <c r="T309" i="16"/>
  <c r="S309" i="16"/>
  <c r="U308" i="16"/>
  <c r="T308" i="16"/>
  <c r="S308" i="16"/>
  <c r="U307" i="16"/>
  <c r="T307" i="16"/>
  <c r="S307" i="16"/>
  <c r="U306" i="16"/>
  <c r="T306" i="16"/>
  <c r="S306" i="16"/>
  <c r="U305" i="16"/>
  <c r="T305" i="16"/>
  <c r="S305" i="16"/>
  <c r="U304" i="16"/>
  <c r="T304" i="16"/>
  <c r="S304" i="16"/>
  <c r="U303" i="16"/>
  <c r="T303" i="16"/>
  <c r="S303" i="16"/>
  <c r="U302" i="16"/>
  <c r="T302" i="16"/>
  <c r="S302" i="16"/>
  <c r="U301" i="16"/>
  <c r="T301" i="16"/>
  <c r="S301" i="16"/>
  <c r="U300" i="16"/>
  <c r="T300" i="16"/>
  <c r="S300" i="16"/>
  <c r="U299" i="16"/>
  <c r="T299" i="16"/>
  <c r="S299" i="16"/>
  <c r="U298" i="16"/>
  <c r="T298" i="16"/>
  <c r="S298" i="16"/>
  <c r="U297" i="16"/>
  <c r="T297" i="16"/>
  <c r="S297" i="16"/>
  <c r="U296" i="16"/>
  <c r="T296" i="16"/>
  <c r="S296" i="16"/>
  <c r="U295" i="16"/>
  <c r="T295" i="16"/>
  <c r="S295" i="16"/>
  <c r="U294" i="16"/>
  <c r="T294" i="16"/>
  <c r="S294" i="16"/>
  <c r="U293" i="16"/>
  <c r="T293" i="16"/>
  <c r="S293" i="16"/>
  <c r="U292" i="16"/>
  <c r="T292" i="16"/>
  <c r="S292" i="16"/>
  <c r="U291" i="16"/>
  <c r="T291" i="16"/>
  <c r="S291" i="16"/>
  <c r="U290" i="16"/>
  <c r="T290" i="16"/>
  <c r="S290" i="16"/>
  <c r="U289" i="16"/>
  <c r="T289" i="16"/>
  <c r="S289" i="16"/>
  <c r="U288" i="16"/>
  <c r="T288" i="16"/>
  <c r="S288" i="16"/>
  <c r="U287" i="16"/>
  <c r="T287" i="16"/>
  <c r="S287" i="16"/>
  <c r="U286" i="16"/>
  <c r="T286" i="16"/>
  <c r="S286" i="16"/>
  <c r="U285" i="16"/>
  <c r="T285" i="16"/>
  <c r="S285" i="16"/>
  <c r="U284" i="16"/>
  <c r="T284" i="16"/>
  <c r="S284" i="16"/>
  <c r="U283" i="16"/>
  <c r="T283" i="16"/>
  <c r="S283" i="16"/>
  <c r="U282" i="16"/>
  <c r="T282" i="16"/>
  <c r="S282" i="16"/>
  <c r="U281" i="16"/>
  <c r="T281" i="16"/>
  <c r="S281" i="16"/>
  <c r="U280" i="16"/>
  <c r="T280" i="16"/>
  <c r="S280" i="16"/>
  <c r="U279" i="16"/>
  <c r="T279" i="16"/>
  <c r="S279" i="16"/>
  <c r="U278" i="16"/>
  <c r="T278" i="16"/>
  <c r="S278" i="16"/>
  <c r="U277" i="16"/>
  <c r="T277" i="16"/>
  <c r="S277" i="16"/>
  <c r="U276" i="16"/>
  <c r="T276" i="16"/>
  <c r="S276" i="16"/>
  <c r="U275" i="16"/>
  <c r="T275" i="16"/>
  <c r="S275" i="16"/>
  <c r="U274" i="16"/>
  <c r="T274" i="16"/>
  <c r="S274" i="16"/>
  <c r="U273" i="16"/>
  <c r="T273" i="16"/>
  <c r="S273" i="16"/>
  <c r="U272" i="16"/>
  <c r="T272" i="16"/>
  <c r="S272" i="16"/>
  <c r="U271" i="16"/>
  <c r="T271" i="16"/>
  <c r="S271" i="16"/>
  <c r="U270" i="16"/>
  <c r="T270" i="16"/>
  <c r="S270" i="16"/>
  <c r="U269" i="16"/>
  <c r="T269" i="16"/>
  <c r="S269" i="16"/>
  <c r="U268" i="16"/>
  <c r="T268" i="16"/>
  <c r="S268" i="16"/>
  <c r="U267" i="16"/>
  <c r="T267" i="16"/>
  <c r="S267" i="16"/>
  <c r="U266" i="16"/>
  <c r="T266" i="16"/>
  <c r="S266" i="16"/>
  <c r="U265" i="16"/>
  <c r="T265" i="16"/>
  <c r="S265" i="16"/>
  <c r="U264" i="16"/>
  <c r="T264" i="16"/>
  <c r="S264" i="16"/>
  <c r="U263" i="16"/>
  <c r="T263" i="16"/>
  <c r="S263" i="16"/>
  <c r="U262" i="16"/>
  <c r="T262" i="16"/>
  <c r="S262" i="16"/>
  <c r="U261" i="16"/>
  <c r="T261" i="16"/>
  <c r="S261" i="16"/>
  <c r="U260" i="16"/>
  <c r="T260" i="16"/>
  <c r="S260" i="16"/>
  <c r="U259" i="16"/>
  <c r="T259" i="16"/>
  <c r="S259" i="16"/>
  <c r="U258" i="16"/>
  <c r="T258" i="16"/>
  <c r="S258" i="16"/>
  <c r="U257" i="16"/>
  <c r="T257" i="16"/>
  <c r="S257" i="16"/>
  <c r="U256" i="16"/>
  <c r="T256" i="16"/>
  <c r="S256" i="16"/>
  <c r="U255" i="16"/>
  <c r="T255" i="16"/>
  <c r="S255" i="16"/>
  <c r="U254" i="16"/>
  <c r="T254" i="16"/>
  <c r="S254" i="16"/>
  <c r="U253" i="16"/>
  <c r="T253" i="16"/>
  <c r="S253" i="16"/>
  <c r="U252" i="16"/>
  <c r="T252" i="16"/>
  <c r="S252" i="16"/>
  <c r="U251" i="16"/>
  <c r="T251" i="16"/>
  <c r="S251" i="16"/>
  <c r="U250" i="16"/>
  <c r="T250" i="16"/>
  <c r="S250" i="16"/>
  <c r="U249" i="16"/>
  <c r="T249" i="16"/>
  <c r="S249" i="16"/>
  <c r="U248" i="16"/>
  <c r="T248" i="16"/>
  <c r="S248" i="16"/>
  <c r="U247" i="16"/>
  <c r="T247" i="16"/>
  <c r="S247" i="16"/>
  <c r="U246" i="16"/>
  <c r="T246" i="16"/>
  <c r="S246" i="16"/>
  <c r="U245" i="16"/>
  <c r="T245" i="16"/>
  <c r="S245" i="16"/>
  <c r="U244" i="16"/>
  <c r="T244" i="16"/>
  <c r="S244" i="16"/>
  <c r="U243" i="16"/>
  <c r="T243" i="16"/>
  <c r="S243" i="16"/>
  <c r="U242" i="16"/>
  <c r="T242" i="16"/>
  <c r="S242" i="16"/>
  <c r="U241" i="16"/>
  <c r="T241" i="16"/>
  <c r="S241" i="16"/>
  <c r="U240" i="16"/>
  <c r="T240" i="16"/>
  <c r="S240" i="16"/>
  <c r="U239" i="16"/>
  <c r="T239" i="16"/>
  <c r="S239" i="16"/>
  <c r="U238" i="16"/>
  <c r="T238" i="16"/>
  <c r="S238" i="16"/>
  <c r="U237" i="16"/>
  <c r="T237" i="16"/>
  <c r="S237" i="16"/>
  <c r="U236" i="16"/>
  <c r="T236" i="16"/>
  <c r="S236" i="16"/>
  <c r="U235" i="16"/>
  <c r="T235" i="16"/>
  <c r="S235" i="16"/>
  <c r="U234" i="16"/>
  <c r="T234" i="16"/>
  <c r="S234" i="16"/>
  <c r="U233" i="16"/>
  <c r="T233" i="16"/>
  <c r="S233" i="16"/>
  <c r="U232" i="16"/>
  <c r="T232" i="16"/>
  <c r="S232" i="16"/>
  <c r="U231" i="16"/>
  <c r="T231" i="16"/>
  <c r="S231" i="16"/>
  <c r="U230" i="16"/>
  <c r="T230" i="16"/>
  <c r="S230" i="16"/>
  <c r="U229" i="16"/>
  <c r="T229" i="16"/>
  <c r="S229" i="16"/>
  <c r="U228" i="16"/>
  <c r="T228" i="16"/>
  <c r="S228" i="16"/>
  <c r="U227" i="16"/>
  <c r="T227" i="16"/>
  <c r="S227" i="16"/>
  <c r="U226" i="16"/>
  <c r="T226" i="16"/>
  <c r="S226" i="16"/>
  <c r="U225" i="16"/>
  <c r="T225" i="16"/>
  <c r="S225" i="16"/>
  <c r="U224" i="16"/>
  <c r="T224" i="16"/>
  <c r="S224" i="16"/>
  <c r="U223" i="16"/>
  <c r="T223" i="16"/>
  <c r="S223" i="16"/>
  <c r="U222" i="16"/>
  <c r="T222" i="16"/>
  <c r="S222" i="16"/>
  <c r="U221" i="16"/>
  <c r="T221" i="16"/>
  <c r="S221" i="16"/>
  <c r="U220" i="16"/>
  <c r="T220" i="16"/>
  <c r="S220" i="16"/>
  <c r="U219" i="16"/>
  <c r="T219" i="16"/>
  <c r="S219" i="16"/>
  <c r="U218" i="16"/>
  <c r="T218" i="16"/>
  <c r="S218" i="16"/>
  <c r="U217" i="16"/>
  <c r="T217" i="16"/>
  <c r="S217" i="16"/>
  <c r="U216" i="16"/>
  <c r="T216" i="16"/>
  <c r="S216" i="16"/>
  <c r="U215" i="16"/>
  <c r="T215" i="16"/>
  <c r="S215" i="16"/>
  <c r="U214" i="16"/>
  <c r="T214" i="16"/>
  <c r="S214" i="16"/>
  <c r="U213" i="16"/>
  <c r="T213" i="16"/>
  <c r="S213" i="16"/>
  <c r="U212" i="16"/>
  <c r="T212" i="16"/>
  <c r="S212" i="16"/>
  <c r="U211" i="16"/>
  <c r="T211" i="16"/>
  <c r="S211" i="16"/>
  <c r="U210" i="16"/>
  <c r="T210" i="16"/>
  <c r="S210" i="16"/>
  <c r="U209" i="16"/>
  <c r="T209" i="16"/>
  <c r="S209" i="16"/>
  <c r="U208" i="16"/>
  <c r="T208" i="16"/>
  <c r="S208" i="16"/>
  <c r="U207" i="16"/>
  <c r="T207" i="16"/>
  <c r="S207" i="16"/>
  <c r="U206" i="16"/>
  <c r="T206" i="16"/>
  <c r="S206" i="16"/>
  <c r="U205" i="16"/>
  <c r="T205" i="16"/>
  <c r="S205" i="16"/>
  <c r="U204" i="16"/>
  <c r="T204" i="16"/>
  <c r="S204" i="16"/>
  <c r="U203" i="16"/>
  <c r="T203" i="16"/>
  <c r="S203" i="16"/>
  <c r="U202" i="16"/>
  <c r="T202" i="16"/>
  <c r="S202" i="16"/>
  <c r="U201" i="16"/>
  <c r="T201" i="16"/>
  <c r="S201" i="16"/>
  <c r="U200" i="16"/>
  <c r="T200" i="16"/>
  <c r="S200" i="16"/>
  <c r="U199" i="16"/>
  <c r="T199" i="16"/>
  <c r="S199" i="16"/>
  <c r="U198" i="16"/>
  <c r="T198" i="16"/>
  <c r="S198" i="16"/>
  <c r="U197" i="16"/>
  <c r="T197" i="16"/>
  <c r="S197" i="16"/>
  <c r="U196" i="16"/>
  <c r="T196" i="16"/>
  <c r="S196" i="16"/>
  <c r="U195" i="16"/>
  <c r="T195" i="16"/>
  <c r="S195" i="16"/>
  <c r="U194" i="16"/>
  <c r="T194" i="16"/>
  <c r="S194" i="16"/>
  <c r="U193" i="16"/>
  <c r="T193" i="16"/>
  <c r="S193" i="16"/>
  <c r="U192" i="16"/>
  <c r="T192" i="16"/>
  <c r="S192" i="16"/>
  <c r="U191" i="16"/>
  <c r="T191" i="16"/>
  <c r="S191" i="16"/>
  <c r="U190" i="16"/>
  <c r="T190" i="16"/>
  <c r="S190" i="16"/>
  <c r="U189" i="16"/>
  <c r="T189" i="16"/>
  <c r="S189" i="16"/>
  <c r="U188" i="16"/>
  <c r="T188" i="16"/>
  <c r="S188" i="16"/>
  <c r="U187" i="16"/>
  <c r="T187" i="16"/>
  <c r="S187" i="16"/>
  <c r="U186" i="16"/>
  <c r="T186" i="16"/>
  <c r="S186" i="16"/>
  <c r="U185" i="16"/>
  <c r="T185" i="16"/>
  <c r="S185" i="16"/>
  <c r="U184" i="16"/>
  <c r="T184" i="16"/>
  <c r="S184" i="16"/>
  <c r="U183" i="16"/>
  <c r="T183" i="16"/>
  <c r="S183" i="16"/>
  <c r="U182" i="16"/>
  <c r="T182" i="16"/>
  <c r="S182" i="16"/>
  <c r="U181" i="16"/>
  <c r="T181" i="16"/>
  <c r="S181" i="16"/>
  <c r="U180" i="16"/>
  <c r="T180" i="16"/>
  <c r="S180" i="16"/>
  <c r="U179" i="16"/>
  <c r="T179" i="16"/>
  <c r="S179" i="16"/>
  <c r="U178" i="16"/>
  <c r="T178" i="16"/>
  <c r="S178" i="16"/>
  <c r="U177" i="16"/>
  <c r="T177" i="16"/>
  <c r="S177" i="16"/>
  <c r="U176" i="16"/>
  <c r="T176" i="16"/>
  <c r="S176" i="16"/>
  <c r="U175" i="16"/>
  <c r="T175" i="16"/>
  <c r="S175" i="16"/>
  <c r="U174" i="16"/>
  <c r="T174" i="16"/>
  <c r="S174" i="16"/>
  <c r="U173" i="16"/>
  <c r="T173" i="16"/>
  <c r="S173" i="16"/>
  <c r="U172" i="16"/>
  <c r="T172" i="16"/>
  <c r="S172" i="16"/>
  <c r="U171" i="16"/>
  <c r="T171" i="16"/>
  <c r="S171" i="16"/>
  <c r="U170" i="16"/>
  <c r="T170" i="16"/>
  <c r="S170" i="16"/>
  <c r="U169" i="16"/>
  <c r="T169" i="16"/>
  <c r="S169" i="16"/>
  <c r="U168" i="16"/>
  <c r="T168" i="16"/>
  <c r="S168" i="16"/>
  <c r="U167" i="16"/>
  <c r="T167" i="16"/>
  <c r="S167" i="16"/>
  <c r="U166" i="16"/>
  <c r="T166" i="16"/>
  <c r="S166" i="16"/>
  <c r="U165" i="16"/>
  <c r="T165" i="16"/>
  <c r="S165" i="16"/>
  <c r="U164" i="16"/>
  <c r="T164" i="16"/>
  <c r="S164" i="16"/>
  <c r="U163" i="16"/>
  <c r="T163" i="16"/>
  <c r="S163" i="16"/>
  <c r="U162" i="16"/>
  <c r="T162" i="16"/>
  <c r="S162" i="16"/>
  <c r="U161" i="16"/>
  <c r="T161" i="16"/>
  <c r="S161" i="16"/>
  <c r="U160" i="16"/>
  <c r="T160" i="16"/>
  <c r="S160" i="16"/>
  <c r="U159" i="16"/>
  <c r="T159" i="16"/>
  <c r="S159" i="16"/>
  <c r="U158" i="16"/>
  <c r="T158" i="16"/>
  <c r="S158" i="16"/>
  <c r="U157" i="16"/>
  <c r="T157" i="16"/>
  <c r="S157" i="16"/>
  <c r="U156" i="16"/>
  <c r="T156" i="16"/>
  <c r="S156" i="16"/>
  <c r="U155" i="16"/>
  <c r="T155" i="16"/>
  <c r="S155" i="16"/>
  <c r="U154" i="16"/>
  <c r="T154" i="16"/>
  <c r="S154" i="16"/>
  <c r="U153" i="16"/>
  <c r="T153" i="16"/>
  <c r="S153" i="16"/>
  <c r="U152" i="16"/>
  <c r="T152" i="16"/>
  <c r="S152" i="16"/>
  <c r="U151" i="16"/>
  <c r="T151" i="16"/>
  <c r="S151" i="16"/>
  <c r="U150" i="16"/>
  <c r="T150" i="16"/>
  <c r="S150" i="16"/>
  <c r="U149" i="16"/>
  <c r="T149" i="16"/>
  <c r="S149" i="16"/>
  <c r="U148" i="16"/>
  <c r="T148" i="16"/>
  <c r="S148" i="16"/>
  <c r="U147" i="16"/>
  <c r="T147" i="16"/>
  <c r="S147" i="16"/>
  <c r="U146" i="16"/>
  <c r="T146" i="16"/>
  <c r="S146" i="16"/>
  <c r="U145" i="16"/>
  <c r="T145" i="16"/>
  <c r="S145" i="16"/>
  <c r="U144" i="16"/>
  <c r="T144" i="16"/>
  <c r="S144" i="16"/>
  <c r="U143" i="16"/>
  <c r="T143" i="16"/>
  <c r="S143" i="16"/>
  <c r="U142" i="16"/>
  <c r="T142" i="16"/>
  <c r="S142" i="16"/>
  <c r="U141" i="16"/>
  <c r="T141" i="16"/>
  <c r="S141" i="16"/>
  <c r="U140" i="16"/>
  <c r="T140" i="16"/>
  <c r="S140" i="16"/>
  <c r="U139" i="16"/>
  <c r="T139" i="16"/>
  <c r="S139" i="16"/>
  <c r="U138" i="16"/>
  <c r="T138" i="16"/>
  <c r="S138" i="16"/>
  <c r="U137" i="16"/>
  <c r="T137" i="16"/>
  <c r="S137" i="16"/>
  <c r="U136" i="16"/>
  <c r="T136" i="16"/>
  <c r="S136" i="16"/>
  <c r="U135" i="16"/>
  <c r="T135" i="16"/>
  <c r="S135" i="16"/>
  <c r="U134" i="16"/>
  <c r="T134" i="16"/>
  <c r="S134" i="16"/>
  <c r="U133" i="16"/>
  <c r="T133" i="16"/>
  <c r="S133" i="16"/>
  <c r="U132" i="16"/>
  <c r="T132" i="16"/>
  <c r="S132" i="16"/>
  <c r="U131" i="16"/>
  <c r="T131" i="16"/>
  <c r="S131" i="16"/>
  <c r="U130" i="16"/>
  <c r="T130" i="16"/>
  <c r="S130" i="16"/>
  <c r="U129" i="16"/>
  <c r="T129" i="16"/>
  <c r="S129" i="16"/>
  <c r="U128" i="16"/>
  <c r="T128" i="16"/>
  <c r="S128" i="16"/>
  <c r="U127" i="16"/>
  <c r="T127" i="16"/>
  <c r="S127" i="16"/>
  <c r="U126" i="16"/>
  <c r="T126" i="16"/>
  <c r="S126" i="16"/>
  <c r="U125" i="16"/>
  <c r="T125" i="16"/>
  <c r="S125" i="16"/>
  <c r="U124" i="16"/>
  <c r="T124" i="16"/>
  <c r="S124" i="16"/>
  <c r="U123" i="16"/>
  <c r="T123" i="16"/>
  <c r="S123" i="16"/>
  <c r="U122" i="16"/>
  <c r="T122" i="16"/>
  <c r="S122" i="16"/>
  <c r="U121" i="16"/>
  <c r="T121" i="16"/>
  <c r="S121" i="16"/>
  <c r="U120" i="16"/>
  <c r="T120" i="16"/>
  <c r="S120" i="16"/>
  <c r="U119" i="16"/>
  <c r="T119" i="16"/>
  <c r="S119" i="16"/>
  <c r="U118" i="16"/>
  <c r="T118" i="16"/>
  <c r="S118" i="16"/>
  <c r="U117" i="16"/>
  <c r="T117" i="16"/>
  <c r="S117" i="16"/>
  <c r="U116" i="16"/>
  <c r="T116" i="16"/>
  <c r="S116" i="16"/>
  <c r="U115" i="16"/>
  <c r="T115" i="16"/>
  <c r="S115" i="16"/>
  <c r="U114" i="16"/>
  <c r="T114" i="16"/>
  <c r="S114" i="16"/>
  <c r="U113" i="16"/>
  <c r="T113" i="16"/>
  <c r="S113" i="16"/>
  <c r="U112" i="16"/>
  <c r="T112" i="16"/>
  <c r="S112" i="16"/>
  <c r="U111" i="16"/>
  <c r="T111" i="16"/>
  <c r="S111" i="16"/>
  <c r="U110" i="16"/>
  <c r="T110" i="16"/>
  <c r="S110" i="16"/>
  <c r="U109" i="16"/>
  <c r="T109" i="16"/>
  <c r="S109" i="16"/>
  <c r="U108" i="16"/>
  <c r="T108" i="16"/>
  <c r="S108" i="16"/>
  <c r="U107" i="16"/>
  <c r="T107" i="16"/>
  <c r="S107" i="16"/>
  <c r="U106" i="16"/>
  <c r="T106" i="16"/>
  <c r="S106" i="16"/>
  <c r="U105" i="16"/>
  <c r="T105" i="16"/>
  <c r="S105" i="16"/>
  <c r="U104" i="16"/>
  <c r="T104" i="16"/>
  <c r="S104" i="16"/>
  <c r="U103" i="16"/>
  <c r="T103" i="16"/>
  <c r="S103" i="16"/>
  <c r="U102" i="16"/>
  <c r="T102" i="16"/>
  <c r="S102" i="16"/>
  <c r="U101" i="16"/>
  <c r="T101" i="16"/>
  <c r="S101" i="16"/>
  <c r="U100" i="16"/>
  <c r="T100" i="16"/>
  <c r="S100" i="16"/>
  <c r="U99" i="16"/>
  <c r="T99" i="16"/>
  <c r="S99" i="16"/>
  <c r="U98" i="16"/>
  <c r="T98" i="16"/>
  <c r="S98" i="16"/>
  <c r="U97" i="16"/>
  <c r="T97" i="16"/>
  <c r="S97" i="16"/>
  <c r="U96" i="16"/>
  <c r="T96" i="16"/>
  <c r="S96" i="16"/>
  <c r="U95" i="16"/>
  <c r="T95" i="16"/>
  <c r="S95" i="16"/>
  <c r="U94" i="16"/>
  <c r="T94" i="16"/>
  <c r="S94" i="16"/>
  <c r="U93" i="16"/>
  <c r="T93" i="16"/>
  <c r="S93" i="16"/>
  <c r="U92" i="16"/>
  <c r="T92" i="16"/>
  <c r="S92" i="16"/>
  <c r="U91" i="16"/>
  <c r="T91" i="16"/>
  <c r="S91" i="16"/>
  <c r="U90" i="16"/>
  <c r="T90" i="16"/>
  <c r="S90" i="16"/>
  <c r="U89" i="16"/>
  <c r="T89" i="16"/>
  <c r="S89" i="16"/>
  <c r="U88" i="16"/>
  <c r="T88" i="16"/>
  <c r="S88" i="16"/>
  <c r="U87" i="16"/>
  <c r="T87" i="16"/>
  <c r="S87" i="16"/>
  <c r="U86" i="16"/>
  <c r="T86" i="16"/>
  <c r="S86" i="16"/>
  <c r="U85" i="16"/>
  <c r="T85" i="16"/>
  <c r="S85" i="16"/>
  <c r="U84" i="16"/>
  <c r="T84" i="16"/>
  <c r="S84" i="16"/>
  <c r="U83" i="16"/>
  <c r="T83" i="16"/>
  <c r="S83" i="16"/>
  <c r="U82" i="16"/>
  <c r="T82" i="16"/>
  <c r="S82" i="16"/>
  <c r="U81" i="16"/>
  <c r="T81" i="16"/>
  <c r="S81" i="16"/>
  <c r="U80" i="16"/>
  <c r="T80" i="16"/>
  <c r="S80" i="16"/>
  <c r="U79" i="16"/>
  <c r="T79" i="16"/>
  <c r="S79" i="16"/>
  <c r="U78" i="16"/>
  <c r="T78" i="16"/>
  <c r="S78" i="16"/>
  <c r="U77" i="16"/>
  <c r="T77" i="16"/>
  <c r="S77" i="16"/>
  <c r="U76" i="16"/>
  <c r="T76" i="16"/>
  <c r="S76" i="16"/>
  <c r="U75" i="16"/>
  <c r="T75" i="16"/>
  <c r="S75" i="16"/>
  <c r="U74" i="16"/>
  <c r="T74" i="16"/>
  <c r="S74" i="16"/>
  <c r="U73" i="16"/>
  <c r="T73" i="16"/>
  <c r="S73" i="16"/>
  <c r="U72" i="16"/>
  <c r="T72" i="16"/>
  <c r="S72" i="16"/>
  <c r="U71" i="16"/>
  <c r="T71" i="16"/>
  <c r="S71" i="16"/>
  <c r="U70" i="16"/>
  <c r="T70" i="16"/>
  <c r="S70" i="16"/>
  <c r="U69" i="16"/>
  <c r="T69" i="16"/>
  <c r="S69" i="16"/>
  <c r="U68" i="16"/>
  <c r="T68" i="16"/>
  <c r="S68" i="16"/>
  <c r="U67" i="16"/>
  <c r="T67" i="16"/>
  <c r="S67" i="16"/>
  <c r="U66" i="16"/>
  <c r="F3" i="17" s="1"/>
  <c r="M3" i="17" s="1"/>
  <c r="T66" i="16"/>
  <c r="S66" i="16"/>
  <c r="U65" i="16"/>
  <c r="T65" i="16"/>
  <c r="S65" i="16"/>
  <c r="U64" i="16"/>
  <c r="T64" i="16"/>
  <c r="S64" i="16"/>
  <c r="E19" i="17" s="1"/>
  <c r="U63" i="16"/>
  <c r="T63" i="16"/>
  <c r="S63" i="16"/>
  <c r="U62" i="16"/>
  <c r="T62" i="16"/>
  <c r="S62" i="16"/>
  <c r="U61" i="16"/>
  <c r="T61" i="16"/>
  <c r="S61" i="16"/>
  <c r="U60" i="16"/>
  <c r="T60" i="16"/>
  <c r="S60" i="16"/>
  <c r="U59" i="16"/>
  <c r="T59" i="16"/>
  <c r="S59" i="16"/>
  <c r="U58" i="16"/>
  <c r="T58" i="16"/>
  <c r="S58" i="16"/>
  <c r="U57" i="16"/>
  <c r="T57" i="16"/>
  <c r="S57" i="16"/>
  <c r="U56" i="16"/>
  <c r="T56" i="16"/>
  <c r="S56" i="16"/>
  <c r="U55" i="16"/>
  <c r="T55" i="16"/>
  <c r="S55" i="16"/>
  <c r="U54" i="16"/>
  <c r="T54" i="16"/>
  <c r="S54" i="16"/>
  <c r="U53" i="16"/>
  <c r="T53" i="16"/>
  <c r="S53" i="16"/>
  <c r="U52" i="16"/>
  <c r="T52" i="16"/>
  <c r="S52" i="16"/>
  <c r="U51" i="16"/>
  <c r="T51" i="16"/>
  <c r="S51" i="16"/>
  <c r="U50" i="16"/>
  <c r="T50" i="16"/>
  <c r="S50" i="16"/>
  <c r="U49" i="16"/>
  <c r="T49" i="16"/>
  <c r="S49" i="16"/>
  <c r="U48" i="16"/>
  <c r="T48" i="16"/>
  <c r="S48" i="16"/>
  <c r="I12" i="17" s="1"/>
  <c r="P12" i="17" s="1"/>
  <c r="U47" i="16"/>
  <c r="T47" i="16"/>
  <c r="S47" i="16"/>
  <c r="U46" i="16"/>
  <c r="T46" i="16"/>
  <c r="S46" i="16"/>
  <c r="U45" i="16"/>
  <c r="T45" i="16"/>
  <c r="S45" i="16"/>
  <c r="U44" i="16"/>
  <c r="T44" i="16"/>
  <c r="S44" i="16"/>
  <c r="U43" i="16"/>
  <c r="T43" i="16"/>
  <c r="S43" i="16"/>
  <c r="U42" i="16"/>
  <c r="T42" i="16"/>
  <c r="S42" i="16"/>
  <c r="U41" i="16"/>
  <c r="T41" i="16"/>
  <c r="S41" i="16"/>
  <c r="U40" i="16"/>
  <c r="T40" i="16"/>
  <c r="S40" i="16"/>
  <c r="U39" i="16"/>
  <c r="T39" i="16"/>
  <c r="S39" i="16"/>
  <c r="U38" i="16"/>
  <c r="T38" i="16"/>
  <c r="S38" i="16"/>
  <c r="U37" i="16"/>
  <c r="T37" i="16"/>
  <c r="S37" i="16"/>
  <c r="U36" i="16"/>
  <c r="T36" i="16"/>
  <c r="S36" i="16"/>
  <c r="U35" i="16"/>
  <c r="T35" i="16"/>
  <c r="S35" i="16"/>
  <c r="U34" i="16"/>
  <c r="T34" i="16"/>
  <c r="S34" i="16"/>
  <c r="U33" i="16"/>
  <c r="T33" i="16"/>
  <c r="S33" i="16"/>
  <c r="U32" i="16"/>
  <c r="T32" i="16"/>
  <c r="S32" i="16"/>
  <c r="G14" i="17" s="1"/>
  <c r="N14" i="17" s="1"/>
  <c r="U31" i="16"/>
  <c r="T31" i="16"/>
  <c r="S31" i="16"/>
  <c r="U30" i="16"/>
  <c r="T30" i="16"/>
  <c r="S30" i="16"/>
  <c r="U29" i="16"/>
  <c r="T29" i="16"/>
  <c r="S29" i="16"/>
  <c r="U28" i="16"/>
  <c r="T28" i="16"/>
  <c r="S28" i="16"/>
  <c r="U27" i="16"/>
  <c r="T27" i="16"/>
  <c r="S27" i="16"/>
  <c r="F18" i="17" s="1"/>
  <c r="M18" i="17" s="1"/>
  <c r="U26" i="16"/>
  <c r="F8" i="17" s="1"/>
  <c r="M8" i="17" s="1"/>
  <c r="T26" i="16"/>
  <c r="S26" i="16"/>
  <c r="U25" i="16"/>
  <c r="T25" i="16"/>
  <c r="S25" i="16"/>
  <c r="U24" i="16"/>
  <c r="T24" i="16"/>
  <c r="S24" i="16"/>
  <c r="U23" i="16"/>
  <c r="T23" i="16"/>
  <c r="S23" i="16"/>
  <c r="U22" i="16"/>
  <c r="T22" i="16"/>
  <c r="S22" i="16"/>
  <c r="U21" i="16"/>
  <c r="T21" i="16"/>
  <c r="S21" i="16"/>
  <c r="U20" i="16"/>
  <c r="T20" i="16"/>
  <c r="S20" i="16"/>
  <c r="U19" i="16"/>
  <c r="T19" i="16"/>
  <c r="S19" i="16"/>
  <c r="F19" i="17" s="1"/>
  <c r="M19" i="17" s="1"/>
  <c r="U18" i="16"/>
  <c r="I9" i="17" s="1"/>
  <c r="P9" i="17" s="1"/>
  <c r="T18" i="16"/>
  <c r="S18" i="16"/>
  <c r="U17" i="16"/>
  <c r="T17" i="16"/>
  <c r="S17" i="16"/>
  <c r="U16" i="16"/>
  <c r="T16" i="16"/>
  <c r="G25" i="17" s="1"/>
  <c r="N25" i="17" s="1"/>
  <c r="S16" i="16"/>
  <c r="E16" i="17" s="1"/>
  <c r="U15" i="16"/>
  <c r="T15" i="16"/>
  <c r="S15" i="16"/>
  <c r="U14" i="16"/>
  <c r="T14" i="16"/>
  <c r="S14" i="16"/>
  <c r="U13" i="16"/>
  <c r="F4" i="17" s="1"/>
  <c r="M4" i="17" s="1"/>
  <c r="T13" i="16"/>
  <c r="E22" i="17" s="1"/>
  <c r="S13" i="16"/>
  <c r="U12" i="16"/>
  <c r="T12" i="16"/>
  <c r="S12" i="16"/>
  <c r="U11" i="16"/>
  <c r="T11" i="16"/>
  <c r="H20" i="17" s="1"/>
  <c r="S11" i="16"/>
  <c r="F11" i="17" s="1"/>
  <c r="M11" i="17" s="1"/>
  <c r="U10" i="16"/>
  <c r="T10" i="16"/>
  <c r="F28" i="17" s="1"/>
  <c r="M28" i="17" s="1"/>
  <c r="S10" i="16"/>
  <c r="U9" i="16"/>
  <c r="T9" i="16"/>
  <c r="S9" i="16"/>
  <c r="U8" i="16"/>
  <c r="T8" i="16"/>
  <c r="S8" i="16"/>
  <c r="U7" i="16"/>
  <c r="H7" i="17" s="1"/>
  <c r="T7" i="16"/>
  <c r="S7" i="16"/>
  <c r="U6" i="16"/>
  <c r="T6" i="16"/>
  <c r="S6" i="16"/>
  <c r="U5" i="16"/>
  <c r="H5" i="17" s="1"/>
  <c r="T5" i="16"/>
  <c r="S5" i="16"/>
  <c r="I14" i="17" s="1"/>
  <c r="P14" i="17" s="1"/>
  <c r="U4" i="16"/>
  <c r="T4" i="16"/>
  <c r="S4" i="16"/>
  <c r="U3" i="16"/>
  <c r="T3" i="16"/>
  <c r="S3" i="16"/>
  <c r="U2" i="16"/>
  <c r="T2" i="16"/>
  <c r="F20" i="17" s="1"/>
  <c r="M20" i="17" s="1"/>
  <c r="S2" i="16"/>
  <c r="L7" i="14"/>
  <c r="K7" i="14"/>
  <c r="J7" i="14"/>
  <c r="H7" i="14"/>
  <c r="N7" i="14" s="1"/>
  <c r="G7" i="14"/>
  <c r="M7" i="14" s="1"/>
  <c r="F7" i="14"/>
  <c r="E7" i="14"/>
  <c r="D7" i="14"/>
  <c r="I7" i="14" s="1"/>
  <c r="O7" i="14" s="1"/>
  <c r="K6" i="14"/>
  <c r="H6" i="14"/>
  <c r="N6" i="14" s="1"/>
  <c r="G6" i="14"/>
  <c r="M6" i="14" s="1"/>
  <c r="F6" i="14"/>
  <c r="E6" i="14"/>
  <c r="D6" i="14"/>
  <c r="J6" i="14" s="1"/>
  <c r="L5" i="14"/>
  <c r="K5" i="14"/>
  <c r="J5" i="14"/>
  <c r="H5" i="14"/>
  <c r="N5" i="14" s="1"/>
  <c r="G5" i="14"/>
  <c r="M5" i="14" s="1"/>
  <c r="F5" i="14"/>
  <c r="E5" i="14"/>
  <c r="D5" i="14"/>
  <c r="I5" i="14" s="1"/>
  <c r="O5" i="14" s="1"/>
  <c r="K4" i="14"/>
  <c r="H4" i="14"/>
  <c r="N4" i="14" s="1"/>
  <c r="G4" i="14"/>
  <c r="M4" i="14" s="1"/>
  <c r="F4" i="14"/>
  <c r="E4" i="14"/>
  <c r="D4" i="14"/>
  <c r="J4" i="14" s="1"/>
  <c r="M3" i="14"/>
  <c r="L3" i="14"/>
  <c r="H3" i="14"/>
  <c r="N3" i="14" s="1"/>
  <c r="G3" i="14"/>
  <c r="F3" i="14"/>
  <c r="E3" i="14"/>
  <c r="K3" i="14" s="1"/>
  <c r="D3" i="14"/>
  <c r="M2" i="14"/>
  <c r="J2" i="14"/>
  <c r="H2" i="14"/>
  <c r="N2" i="14" s="1"/>
  <c r="G2" i="14"/>
  <c r="F2" i="14"/>
  <c r="L2" i="14" s="1"/>
  <c r="E2" i="14"/>
  <c r="K2" i="14" s="1"/>
  <c r="D2" i="14"/>
  <c r="C14" i="11"/>
  <c r="E14" i="11" s="1"/>
  <c r="C13" i="11"/>
  <c r="E13" i="11" s="1"/>
  <c r="E11" i="11"/>
  <c r="C11" i="11"/>
  <c r="C10" i="11"/>
  <c r="E10" i="11" s="1"/>
  <c r="C9" i="11"/>
  <c r="E9" i="11" s="1"/>
  <c r="C8" i="11"/>
  <c r="E8" i="11" s="1"/>
  <c r="E7" i="11"/>
  <c r="C7" i="11"/>
  <c r="C6" i="11"/>
  <c r="E6" i="11" s="1"/>
  <c r="C5" i="11"/>
  <c r="E5" i="11" s="1"/>
  <c r="C4" i="11"/>
  <c r="E4" i="11" s="1"/>
  <c r="E3" i="11"/>
  <c r="C3" i="11"/>
  <c r="C2" i="11"/>
  <c r="E2" i="11" s="1"/>
  <c r="AE40" i="10"/>
  <c r="AD40" i="10"/>
  <c r="AC40" i="10"/>
  <c r="AB40" i="10"/>
  <c r="AA40" i="10"/>
  <c r="Z40" i="10"/>
  <c r="Y40" i="10"/>
  <c r="T40" i="10"/>
  <c r="AE39" i="10"/>
  <c r="AD39" i="10"/>
  <c r="AC39" i="10"/>
  <c r="AB39" i="10"/>
  <c r="AA39" i="10"/>
  <c r="Z39" i="10"/>
  <c r="Y39" i="10"/>
  <c r="T39" i="10"/>
  <c r="AE38" i="10"/>
  <c r="AD38" i="10"/>
  <c r="AC38" i="10"/>
  <c r="AB38" i="10"/>
  <c r="AA38" i="10"/>
  <c r="Z38" i="10"/>
  <c r="Y38" i="10"/>
  <c r="T38" i="10"/>
  <c r="AE37" i="10"/>
  <c r="AD37" i="10"/>
  <c r="AC37" i="10"/>
  <c r="AB37" i="10"/>
  <c r="AA37" i="10"/>
  <c r="Z37" i="10"/>
  <c r="Y37" i="10"/>
  <c r="T37" i="10"/>
  <c r="AE36" i="10"/>
  <c r="AD36" i="10"/>
  <c r="AC36" i="10"/>
  <c r="AB36" i="10"/>
  <c r="AA36" i="10"/>
  <c r="Z36" i="10"/>
  <c r="Y36" i="10"/>
  <c r="T36" i="10"/>
  <c r="AE35" i="10"/>
  <c r="AD35" i="10"/>
  <c r="AC35" i="10"/>
  <c r="AB35" i="10"/>
  <c r="AA35" i="10"/>
  <c r="Z35" i="10"/>
  <c r="Y35" i="10"/>
  <c r="T35" i="10"/>
  <c r="AE34" i="10"/>
  <c r="AD34" i="10"/>
  <c r="AC34" i="10"/>
  <c r="AB34" i="10"/>
  <c r="AA34" i="10"/>
  <c r="Z34" i="10"/>
  <c r="Y34" i="10"/>
  <c r="T34" i="10"/>
  <c r="AE33" i="10"/>
  <c r="AD33" i="10"/>
  <c r="AC33" i="10"/>
  <c r="AB33" i="10"/>
  <c r="AA33" i="10"/>
  <c r="Z33" i="10"/>
  <c r="Y33" i="10"/>
  <c r="T33" i="10"/>
  <c r="AE32" i="10"/>
  <c r="AD32" i="10"/>
  <c r="AC32" i="10"/>
  <c r="AB32" i="10"/>
  <c r="AA32" i="10"/>
  <c r="Z32" i="10"/>
  <c r="Y32" i="10"/>
  <c r="T32" i="10"/>
  <c r="AE31" i="10"/>
  <c r="AD31" i="10"/>
  <c r="AC31" i="10"/>
  <c r="AB31" i="10"/>
  <c r="AA31" i="10"/>
  <c r="Z31" i="10"/>
  <c r="Y31" i="10"/>
  <c r="T31" i="10"/>
  <c r="AE30" i="10"/>
  <c r="AD30" i="10"/>
  <c r="AC30" i="10"/>
  <c r="AB30" i="10"/>
  <c r="AA30" i="10"/>
  <c r="Z30" i="10"/>
  <c r="Y30" i="10"/>
  <c r="T30" i="10"/>
  <c r="AE29" i="10"/>
  <c r="AD29" i="10"/>
  <c r="AC29" i="10"/>
  <c r="AB29" i="10"/>
  <c r="AA29" i="10"/>
  <c r="Z29" i="10"/>
  <c r="Y29" i="10"/>
  <c r="T29" i="10"/>
  <c r="AE28" i="10"/>
  <c r="AD28" i="10"/>
  <c r="AC28" i="10"/>
  <c r="AB28" i="10"/>
  <c r="AA28" i="10"/>
  <c r="Z28" i="10"/>
  <c r="Y28" i="10"/>
  <c r="T28" i="10"/>
  <c r="AE27" i="10"/>
  <c r="AD27" i="10"/>
  <c r="AC27" i="10"/>
  <c r="AB27" i="10"/>
  <c r="AA27" i="10"/>
  <c r="Z27" i="10"/>
  <c r="Y27" i="10"/>
  <c r="T27" i="10"/>
  <c r="AE26" i="10"/>
  <c r="AD26" i="10"/>
  <c r="AC26" i="10"/>
  <c r="AB26" i="10"/>
  <c r="AA26" i="10"/>
  <c r="Z26" i="10"/>
  <c r="Y26" i="10"/>
  <c r="T26" i="10"/>
  <c r="AE25" i="10"/>
  <c r="AD25" i="10"/>
  <c r="AC25" i="10"/>
  <c r="AB25" i="10"/>
  <c r="AA25" i="10"/>
  <c r="Z25" i="10"/>
  <c r="Y25" i="10"/>
  <c r="T25" i="10"/>
  <c r="AE24" i="10"/>
  <c r="AD24" i="10"/>
  <c r="AC24" i="10"/>
  <c r="AB24" i="10"/>
  <c r="AA24" i="10"/>
  <c r="Z24" i="10"/>
  <c r="Y24" i="10"/>
  <c r="T24" i="10"/>
  <c r="AE23" i="10"/>
  <c r="AD23" i="10"/>
  <c r="AC23" i="10"/>
  <c r="AB23" i="10"/>
  <c r="AA23" i="10"/>
  <c r="Z23" i="10"/>
  <c r="Y23" i="10"/>
  <c r="T23" i="10"/>
  <c r="AE22" i="10"/>
  <c r="AD22" i="10"/>
  <c r="AC22" i="10"/>
  <c r="AB22" i="10"/>
  <c r="AA22" i="10"/>
  <c r="Z22" i="10"/>
  <c r="Y22" i="10"/>
  <c r="T22" i="10"/>
  <c r="AE21" i="10"/>
  <c r="AD21" i="10"/>
  <c r="AC21" i="10"/>
  <c r="AB21" i="10"/>
  <c r="AA21" i="10"/>
  <c r="Z21" i="10"/>
  <c r="Y21" i="10"/>
  <c r="T21" i="10"/>
  <c r="AE20" i="10"/>
  <c r="AD20" i="10"/>
  <c r="AC20" i="10"/>
  <c r="AB20" i="10"/>
  <c r="AA20" i="10"/>
  <c r="Z20" i="10"/>
  <c r="Y20" i="10"/>
  <c r="T20" i="10"/>
  <c r="AE19" i="10"/>
  <c r="AD19" i="10"/>
  <c r="AC19" i="10"/>
  <c r="AB19" i="10"/>
  <c r="AA19" i="10"/>
  <c r="Z19" i="10"/>
  <c r="Y19" i="10"/>
  <c r="T19" i="10"/>
  <c r="AE18" i="10"/>
  <c r="AD18" i="10"/>
  <c r="AC18" i="10"/>
  <c r="AB18" i="10"/>
  <c r="AA18" i="10"/>
  <c r="Z18" i="10"/>
  <c r="Y18" i="10"/>
  <c r="T18" i="10"/>
  <c r="AE17" i="10"/>
  <c r="AD17" i="10"/>
  <c r="AC17" i="10"/>
  <c r="AB17" i="10"/>
  <c r="AA17" i="10"/>
  <c r="Z17" i="10"/>
  <c r="Y17" i="10"/>
  <c r="T17" i="10"/>
  <c r="AE16" i="10"/>
  <c r="AD16" i="10"/>
  <c r="AC16" i="10"/>
  <c r="AB16" i="10"/>
  <c r="AA16" i="10"/>
  <c r="Z16" i="10"/>
  <c r="Y16" i="10"/>
  <c r="T16" i="10"/>
  <c r="AE15" i="10"/>
  <c r="AD15" i="10"/>
  <c r="AC15" i="10"/>
  <c r="AB15" i="10"/>
  <c r="AA15" i="10"/>
  <c r="Z15" i="10"/>
  <c r="Y15" i="10"/>
  <c r="T15" i="10"/>
  <c r="AE14" i="10"/>
  <c r="AD14" i="10"/>
  <c r="AC14" i="10"/>
  <c r="AB14" i="10"/>
  <c r="AA14" i="10"/>
  <c r="Z14" i="10"/>
  <c r="Y14" i="10"/>
  <c r="T14" i="10"/>
  <c r="AE13" i="10"/>
  <c r="AD13" i="10"/>
  <c r="AC13" i="10"/>
  <c r="AB13" i="10"/>
  <c r="AA13" i="10"/>
  <c r="Z13" i="10"/>
  <c r="Y13" i="10"/>
  <c r="T13" i="10"/>
  <c r="AE12" i="10"/>
  <c r="AD12" i="10"/>
  <c r="AC12" i="10"/>
  <c r="AB12" i="10"/>
  <c r="AA12" i="10"/>
  <c r="Z12" i="10"/>
  <c r="Y12" i="10"/>
  <c r="T12" i="10"/>
  <c r="AE11" i="10"/>
  <c r="AD11" i="10"/>
  <c r="AC11" i="10"/>
  <c r="AB11" i="10"/>
  <c r="AA11" i="10"/>
  <c r="Z11" i="10"/>
  <c r="Y11" i="10"/>
  <c r="T11" i="10"/>
  <c r="AE10" i="10"/>
  <c r="AD10" i="10"/>
  <c r="AC10" i="10"/>
  <c r="AB10" i="10"/>
  <c r="AA10" i="10"/>
  <c r="Z10" i="10"/>
  <c r="Y10" i="10"/>
  <c r="T10" i="10"/>
  <c r="AE9" i="10"/>
  <c r="AD9" i="10"/>
  <c r="AC9" i="10"/>
  <c r="AB9" i="10"/>
  <c r="AA9" i="10"/>
  <c r="Z9" i="10"/>
  <c r="Y9" i="10"/>
  <c r="T9" i="10"/>
  <c r="AE8" i="10"/>
  <c r="AD8" i="10"/>
  <c r="AC8" i="10"/>
  <c r="AB8" i="10"/>
  <c r="AA8" i="10"/>
  <c r="Z8" i="10"/>
  <c r="Y8" i="10"/>
  <c r="T8" i="10"/>
  <c r="AE7" i="10"/>
  <c r="AD7" i="10"/>
  <c r="AC7" i="10"/>
  <c r="AB7" i="10"/>
  <c r="AA7" i="10"/>
  <c r="Z7" i="10"/>
  <c r="Y7" i="10"/>
  <c r="T7" i="10"/>
  <c r="AE6" i="10"/>
  <c r="AD6" i="10"/>
  <c r="AC6" i="10"/>
  <c r="AB6" i="10"/>
  <c r="AA6" i="10"/>
  <c r="Z6" i="10"/>
  <c r="Y6" i="10"/>
  <c r="T6" i="10"/>
  <c r="AE5" i="10"/>
  <c r="AD5" i="10"/>
  <c r="AC5" i="10"/>
  <c r="AB5" i="10"/>
  <c r="AA5" i="10"/>
  <c r="Z5" i="10"/>
  <c r="Y5" i="10"/>
  <c r="T5" i="10"/>
  <c r="AE4" i="10"/>
  <c r="AD4" i="10"/>
  <c r="AC4" i="10"/>
  <c r="AB4" i="10"/>
  <c r="AA4" i="10"/>
  <c r="Z4" i="10"/>
  <c r="Y4" i="10"/>
  <c r="T4" i="10"/>
  <c r="AE3" i="10"/>
  <c r="AD3" i="10"/>
  <c r="AC3" i="10"/>
  <c r="AB3" i="10"/>
  <c r="AA3" i="10"/>
  <c r="Z3" i="10"/>
  <c r="Y3" i="10"/>
  <c r="T3" i="10"/>
  <c r="AE2" i="10"/>
  <c r="C18" i="11" s="1"/>
  <c r="E18" i="11" s="1"/>
  <c r="AD2" i="10"/>
  <c r="C17" i="11" s="1"/>
  <c r="E17" i="11" s="1"/>
  <c r="AC2" i="10"/>
  <c r="C16" i="11" s="1"/>
  <c r="E16" i="11" s="1"/>
  <c r="AB2" i="10"/>
  <c r="C15" i="11" s="1"/>
  <c r="E15" i="11" s="1"/>
  <c r="AA2" i="10"/>
  <c r="Z2" i="10"/>
  <c r="Y2" i="10"/>
  <c r="C12" i="11" s="1"/>
  <c r="E12" i="11" s="1"/>
  <c r="T2" i="10"/>
  <c r="D13" i="9"/>
  <c r="B13" i="9"/>
  <c r="B12" i="9"/>
  <c r="D12" i="9" s="1"/>
  <c r="D11" i="9"/>
  <c r="B11" i="9"/>
  <c r="B10" i="9"/>
  <c r="D10" i="9" s="1"/>
  <c r="B9" i="9"/>
  <c r="D9" i="9" s="1"/>
  <c r="B8" i="9"/>
  <c r="D8" i="9" s="1"/>
  <c r="D7" i="9"/>
  <c r="B7" i="9"/>
  <c r="B6" i="9"/>
  <c r="D6" i="9" s="1"/>
  <c r="D5" i="9"/>
  <c r="B5" i="9"/>
  <c r="B4" i="9"/>
  <c r="D4" i="9" s="1"/>
  <c r="D3" i="9"/>
  <c r="B3" i="9"/>
  <c r="B2" i="9"/>
  <c r="D2" i="9" s="1"/>
  <c r="E11" i="19" l="1"/>
  <c r="C21" i="19"/>
  <c r="N9" i="19"/>
  <c r="C13" i="19"/>
  <c r="C16" i="19"/>
  <c r="D19" i="19"/>
  <c r="C8" i="19"/>
  <c r="D16" i="19"/>
  <c r="E19" i="19"/>
  <c r="D8" i="19"/>
  <c r="D11" i="19"/>
  <c r="K20" i="17"/>
  <c r="O20" i="17"/>
  <c r="O5" i="17"/>
  <c r="R5" i="17"/>
  <c r="L22" i="17"/>
  <c r="L16" i="17"/>
  <c r="L19" i="17"/>
  <c r="R7" i="17"/>
  <c r="O7" i="17"/>
  <c r="O9" i="17"/>
  <c r="K9" i="17"/>
  <c r="K12" i="17"/>
  <c r="L4" i="14"/>
  <c r="I4" i="14"/>
  <c r="O4" i="14" s="1"/>
  <c r="I2" i="17"/>
  <c r="P2" i="17" s="1"/>
  <c r="H2" i="17"/>
  <c r="G2" i="17"/>
  <c r="N2" i="17" s="1"/>
  <c r="F2" i="17"/>
  <c r="M2" i="17" s="1"/>
  <c r="E2" i="17"/>
  <c r="I10" i="17"/>
  <c r="P10" i="17" s="1"/>
  <c r="H10" i="17"/>
  <c r="G10" i="17"/>
  <c r="N10" i="17" s="1"/>
  <c r="F10" i="17"/>
  <c r="M10" i="17" s="1"/>
  <c r="E10" i="17"/>
  <c r="F14" i="17"/>
  <c r="M14" i="17" s="1"/>
  <c r="G22" i="17"/>
  <c r="N22" i="17" s="1"/>
  <c r="H24" i="17"/>
  <c r="E11" i="17"/>
  <c r="O12" i="17"/>
  <c r="E24" i="17"/>
  <c r="O25" i="17"/>
  <c r="I2" i="14"/>
  <c r="I21" i="17"/>
  <c r="P21" i="17" s="1"/>
  <c r="H21" i="17"/>
  <c r="G21" i="17"/>
  <c r="N21" i="17" s="1"/>
  <c r="F21" i="17"/>
  <c r="M21" i="17" s="1"/>
  <c r="E21" i="17"/>
  <c r="G15" i="17"/>
  <c r="N15" i="17" s="1"/>
  <c r="F15" i="17"/>
  <c r="M15" i="17" s="1"/>
  <c r="E15" i="17"/>
  <c r="E8" i="17"/>
  <c r="I8" i="17"/>
  <c r="P8" i="17" s="1"/>
  <c r="H14" i="17"/>
  <c r="I7" i="17"/>
  <c r="P7" i="17" s="1"/>
  <c r="G7" i="17"/>
  <c r="N7" i="17" s="1"/>
  <c r="I28" i="17"/>
  <c r="P28" i="17" s="1"/>
  <c r="G13" i="17"/>
  <c r="N13" i="17" s="1"/>
  <c r="E13" i="17"/>
  <c r="G6" i="17"/>
  <c r="N6" i="17" s="1"/>
  <c r="E6" i="17"/>
  <c r="I27" i="17"/>
  <c r="P27" i="17" s="1"/>
  <c r="F27" i="17"/>
  <c r="M27" i="17" s="1"/>
  <c r="G8" i="17"/>
  <c r="N8" i="17" s="1"/>
  <c r="G28" i="17"/>
  <c r="N28" i="17" s="1"/>
  <c r="N14" i="19"/>
  <c r="L6" i="14"/>
  <c r="I6" i="14"/>
  <c r="O6" i="14" s="1"/>
  <c r="G23" i="17"/>
  <c r="N23" i="17" s="1"/>
  <c r="F23" i="17"/>
  <c r="M23" i="17" s="1"/>
  <c r="E23" i="17"/>
  <c r="F12" i="17"/>
  <c r="M12" i="17" s="1"/>
  <c r="E12" i="17"/>
  <c r="H26" i="17"/>
  <c r="G26" i="17"/>
  <c r="N26" i="17" s="1"/>
  <c r="F26" i="17"/>
  <c r="M26" i="17" s="1"/>
  <c r="E26" i="17"/>
  <c r="I3" i="17"/>
  <c r="P3" i="17" s="1"/>
  <c r="H3" i="17"/>
  <c r="I26" i="17"/>
  <c r="P26" i="17" s="1"/>
  <c r="H28" i="17"/>
  <c r="D14" i="19"/>
  <c r="C14" i="19"/>
  <c r="I24" i="17"/>
  <c r="P24" i="17" s="1"/>
  <c r="H8" i="17"/>
  <c r="E22" i="19"/>
  <c r="D22" i="19"/>
  <c r="C22" i="19"/>
  <c r="I13" i="17"/>
  <c r="P13" i="17" s="1"/>
  <c r="I6" i="17"/>
  <c r="P6" i="17" s="1"/>
  <c r="H27" i="17"/>
  <c r="E7" i="17"/>
  <c r="R9" i="17"/>
  <c r="I18" i="17"/>
  <c r="P18" i="17" s="1"/>
  <c r="H23" i="17"/>
  <c r="E9" i="19"/>
  <c r="D9" i="19"/>
  <c r="C9" i="19"/>
  <c r="F17" i="19"/>
  <c r="I17" i="19" s="1"/>
  <c r="E17" i="19"/>
  <c r="D17" i="19"/>
  <c r="C17" i="19"/>
  <c r="N22" i="19"/>
  <c r="M22" i="19"/>
  <c r="M11" i="19"/>
  <c r="F22" i="19"/>
  <c r="L14" i="17"/>
  <c r="J14" i="17"/>
  <c r="E17" i="17"/>
  <c r="I17" i="17"/>
  <c r="P17" i="17" s="1"/>
  <c r="H17" i="17"/>
  <c r="L27" i="17"/>
  <c r="G5" i="17"/>
  <c r="N5" i="17" s="1"/>
  <c r="F5" i="17"/>
  <c r="M5" i="17" s="1"/>
  <c r="E5" i="17"/>
  <c r="I11" i="17"/>
  <c r="P11" i="17" s="1"/>
  <c r="G11" i="17"/>
  <c r="N11" i="17" s="1"/>
  <c r="I4" i="17"/>
  <c r="P4" i="17" s="1"/>
  <c r="I19" i="17"/>
  <c r="P19" i="17" s="1"/>
  <c r="G19" i="17"/>
  <c r="N19" i="17" s="1"/>
  <c r="H18" i="17"/>
  <c r="I5" i="17"/>
  <c r="P5" i="17" s="1"/>
  <c r="I22" i="17"/>
  <c r="P22" i="17" s="1"/>
  <c r="I16" i="17"/>
  <c r="P16" i="17" s="1"/>
  <c r="G9" i="17"/>
  <c r="N9" i="17" s="1"/>
  <c r="G4" i="17"/>
  <c r="N4" i="17" s="1"/>
  <c r="F7" i="17"/>
  <c r="M7" i="17" s="1"/>
  <c r="H15" i="17"/>
  <c r="G20" i="17"/>
  <c r="N20" i="17" s="1"/>
  <c r="I23" i="17"/>
  <c r="P23" i="17" s="1"/>
  <c r="F25" i="17"/>
  <c r="M25" i="17" s="1"/>
  <c r="M19" i="19"/>
  <c r="G22" i="19"/>
  <c r="J3" i="14"/>
  <c r="I3" i="14"/>
  <c r="H11" i="17"/>
  <c r="E4" i="17"/>
  <c r="E25" i="17"/>
  <c r="H19" i="17"/>
  <c r="H4" i="17"/>
  <c r="G12" i="17"/>
  <c r="N12" i="17" s="1"/>
  <c r="I15" i="17"/>
  <c r="P15" i="17" s="1"/>
  <c r="F17" i="17"/>
  <c r="M17" i="17" s="1"/>
  <c r="F9" i="19"/>
  <c r="I9" i="19" s="1"/>
  <c r="I12" i="19"/>
  <c r="E14" i="19"/>
  <c r="I20" i="19"/>
  <c r="G3" i="17"/>
  <c r="N3" i="17" s="1"/>
  <c r="F16" i="17"/>
  <c r="M16" i="17" s="1"/>
  <c r="H22" i="17"/>
  <c r="F24" i="17"/>
  <c r="M24" i="17" s="1"/>
  <c r="I25" i="17"/>
  <c r="P25" i="17" s="1"/>
  <c r="G27" i="17"/>
  <c r="N27" i="17" s="1"/>
  <c r="C7" i="19"/>
  <c r="F8" i="19"/>
  <c r="I8" i="19" s="1"/>
  <c r="N8" i="19"/>
  <c r="D10" i="19"/>
  <c r="E13" i="19"/>
  <c r="M13" i="19"/>
  <c r="C15" i="19"/>
  <c r="F16" i="19"/>
  <c r="G16" i="19" s="1"/>
  <c r="N16" i="19"/>
  <c r="D18" i="19"/>
  <c r="E21" i="19"/>
  <c r="G21" i="19" s="1"/>
  <c r="M21" i="19"/>
  <c r="F6" i="17"/>
  <c r="M6" i="17" s="1"/>
  <c r="F13" i="17"/>
  <c r="M13" i="17" s="1"/>
  <c r="G16" i="17"/>
  <c r="N16" i="17" s="1"/>
  <c r="E18" i="17"/>
  <c r="G24" i="17"/>
  <c r="N24" i="17" s="1"/>
  <c r="D7" i="19"/>
  <c r="G8" i="19"/>
  <c r="E10" i="19"/>
  <c r="M10" i="19"/>
  <c r="C12" i="19"/>
  <c r="F13" i="19"/>
  <c r="I13" i="19" s="1"/>
  <c r="I14" i="19"/>
  <c r="D15" i="19"/>
  <c r="E18" i="19"/>
  <c r="M18" i="19"/>
  <c r="C20" i="19"/>
  <c r="G20" i="19" s="1"/>
  <c r="F21" i="19"/>
  <c r="I21" i="19" s="1"/>
  <c r="I22" i="19"/>
  <c r="E9" i="17"/>
  <c r="H16" i="17"/>
  <c r="E7" i="19"/>
  <c r="M7" i="19"/>
  <c r="F10" i="19"/>
  <c r="I10" i="19" s="1"/>
  <c r="D12" i="19"/>
  <c r="E15" i="19"/>
  <c r="M15" i="19"/>
  <c r="F18" i="19"/>
  <c r="I18" i="19" s="1"/>
  <c r="D20" i="19"/>
  <c r="H6" i="17"/>
  <c r="F9" i="17"/>
  <c r="M9" i="17" s="1"/>
  <c r="H13" i="17"/>
  <c r="G18" i="17"/>
  <c r="N18" i="17" s="1"/>
  <c r="E20" i="17"/>
  <c r="E28" i="17"/>
  <c r="E12" i="19"/>
  <c r="M12" i="19"/>
  <c r="E20" i="19"/>
  <c r="M20" i="19"/>
  <c r="C11" i="19"/>
  <c r="G11" i="19" s="1"/>
  <c r="M17" i="19"/>
  <c r="C19" i="19"/>
  <c r="G19" i="19" s="1"/>
  <c r="G15" i="19" l="1"/>
  <c r="G12" i="19"/>
  <c r="G13" i="19"/>
  <c r="O13" i="19" s="1"/>
  <c r="G10" i="19"/>
  <c r="G14" i="19"/>
  <c r="O14" i="19" s="1"/>
  <c r="G7" i="19"/>
  <c r="O7" i="19" s="1"/>
  <c r="J16" i="19"/>
  <c r="O16" i="19"/>
  <c r="J15" i="19"/>
  <c r="O15" i="19"/>
  <c r="K15" i="19"/>
  <c r="K12" i="19"/>
  <c r="J12" i="19"/>
  <c r="O12" i="19"/>
  <c r="O20" i="19"/>
  <c r="K20" i="19"/>
  <c r="J20" i="19"/>
  <c r="K10" i="19"/>
  <c r="O10" i="19"/>
  <c r="J10" i="19"/>
  <c r="J7" i="19"/>
  <c r="J21" i="19"/>
  <c r="O21" i="19"/>
  <c r="K21" i="19"/>
  <c r="O22" i="19"/>
  <c r="K22" i="19"/>
  <c r="J22" i="19"/>
  <c r="K17" i="17"/>
  <c r="Q17" i="17" s="1"/>
  <c r="O17" i="17"/>
  <c r="O26" i="17"/>
  <c r="Q26" i="17"/>
  <c r="K26" i="17"/>
  <c r="J3" i="17"/>
  <c r="L8" i="17"/>
  <c r="J8" i="17"/>
  <c r="I16" i="19"/>
  <c r="K16" i="19" s="1"/>
  <c r="L28" i="17"/>
  <c r="J28" i="17"/>
  <c r="L18" i="17"/>
  <c r="J18" i="17"/>
  <c r="K4" i="17"/>
  <c r="R4" i="17"/>
  <c r="Q4" i="17"/>
  <c r="O4" i="17"/>
  <c r="O23" i="17"/>
  <c r="K23" i="17"/>
  <c r="Q23" i="17" s="1"/>
  <c r="K28" i="17"/>
  <c r="Q28" i="17"/>
  <c r="O28" i="17"/>
  <c r="L12" i="17"/>
  <c r="J12" i="17"/>
  <c r="L13" i="17"/>
  <c r="J13" i="17"/>
  <c r="L15" i="17"/>
  <c r="J15" i="17"/>
  <c r="O2" i="14"/>
  <c r="P2" i="14"/>
  <c r="J10" i="17"/>
  <c r="L10" i="17"/>
  <c r="Q2" i="17"/>
  <c r="O2" i="17"/>
  <c r="R2" i="17"/>
  <c r="K2" i="17"/>
  <c r="K7" i="17"/>
  <c r="Q7" i="17" s="1"/>
  <c r="O16" i="17"/>
  <c r="K16" i="17"/>
  <c r="Q16" i="17" s="1"/>
  <c r="L9" i="17"/>
  <c r="J9" i="17"/>
  <c r="G18" i="19"/>
  <c r="K19" i="19"/>
  <c r="J19" i="19"/>
  <c r="O19" i="19"/>
  <c r="L20" i="17"/>
  <c r="J20" i="17"/>
  <c r="K19" i="17"/>
  <c r="Q19" i="17"/>
  <c r="O19" i="17"/>
  <c r="L17" i="17"/>
  <c r="J17" i="17"/>
  <c r="G17" i="19"/>
  <c r="K5" i="17"/>
  <c r="Q5" i="17" s="1"/>
  <c r="L25" i="17"/>
  <c r="J25" i="17"/>
  <c r="J24" i="17"/>
  <c r="L24" i="17"/>
  <c r="K25" i="17"/>
  <c r="Q25" i="17" s="1"/>
  <c r="J19" i="17"/>
  <c r="L21" i="17"/>
  <c r="J21" i="17"/>
  <c r="O10" i="17"/>
  <c r="K10" i="17"/>
  <c r="Q10" i="17" s="1"/>
  <c r="R10" i="17"/>
  <c r="K13" i="19"/>
  <c r="J13" i="19"/>
  <c r="L23" i="17"/>
  <c r="J23" i="17"/>
  <c r="K11" i="19"/>
  <c r="J11" i="19"/>
  <c r="O11" i="19"/>
  <c r="L5" i="17"/>
  <c r="J5" i="17"/>
  <c r="K11" i="17"/>
  <c r="Q11" i="17"/>
  <c r="O11" i="17"/>
  <c r="O15" i="17"/>
  <c r="K15" i="17"/>
  <c r="Q15" i="17" s="1"/>
  <c r="K27" i="17"/>
  <c r="Q27" i="17"/>
  <c r="O27" i="17"/>
  <c r="L26" i="17"/>
  <c r="J26" i="17"/>
  <c r="J11" i="17"/>
  <c r="L11" i="17"/>
  <c r="J27" i="17"/>
  <c r="J16" i="17"/>
  <c r="Q12" i="17"/>
  <c r="K8" i="17"/>
  <c r="R8" i="17"/>
  <c r="Q8" i="17"/>
  <c r="O8" i="17"/>
  <c r="Q13" i="17"/>
  <c r="O13" i="17"/>
  <c r="K13" i="17"/>
  <c r="L4" i="17"/>
  <c r="J4" i="17"/>
  <c r="Q6" i="17"/>
  <c r="O6" i="17"/>
  <c r="R6" i="17"/>
  <c r="K6" i="17"/>
  <c r="J8" i="19"/>
  <c r="O8" i="19"/>
  <c r="K8" i="19"/>
  <c r="P3" i="14"/>
  <c r="O3" i="14"/>
  <c r="O18" i="17"/>
  <c r="K18" i="17"/>
  <c r="Q18" i="17"/>
  <c r="G9" i="19"/>
  <c r="K14" i="17"/>
  <c r="Q14" i="17"/>
  <c r="O14" i="17"/>
  <c r="Q24" i="17"/>
  <c r="O24" i="17"/>
  <c r="K24" i="17"/>
  <c r="L2" i="17"/>
  <c r="J2" i="17"/>
  <c r="J22" i="17"/>
  <c r="Q20" i="17"/>
  <c r="K3" i="17"/>
  <c r="Q3" i="17" s="1"/>
  <c r="R3" i="17"/>
  <c r="O3" i="17"/>
  <c r="K22" i="17"/>
  <c r="Q22" i="17" s="1"/>
  <c r="O22" i="17"/>
  <c r="Q9" i="17"/>
  <c r="J7" i="17"/>
  <c r="L7" i="17"/>
  <c r="J6" i="17"/>
  <c r="L6" i="17"/>
  <c r="Q21" i="17"/>
  <c r="O21" i="17"/>
  <c r="K21" i="17"/>
  <c r="J14" i="19" l="1"/>
  <c r="K7" i="19"/>
  <c r="K14" i="19"/>
  <c r="K9" i="19"/>
  <c r="J9" i="19"/>
  <c r="O9" i="19"/>
  <c r="K18" i="19"/>
  <c r="O18" i="19"/>
  <c r="J18" i="19"/>
  <c r="K17" i="19"/>
  <c r="J17" i="19"/>
  <c r="O17" i="19"/>
</calcChain>
</file>

<file path=xl/sharedStrings.xml><?xml version="1.0" encoding="utf-8"?>
<sst xmlns="http://schemas.openxmlformats.org/spreadsheetml/2006/main" count="44236" uniqueCount="15078">
  <si>
    <t>Interpretation</t>
  </si>
  <si>
    <t>Database</t>
  </si>
  <si>
    <t>Actual search date</t>
  </si>
  <si>
    <t>Coverage start</t>
  </si>
  <si>
    <t>Coverage end / retrieval date</t>
  </si>
  <si>
    <t>Exported records</t>
  </si>
  <si>
    <t>Exact query</t>
  </si>
  <si>
    <t>Filters / execution</t>
  </si>
  <si>
    <t>Search-history notes</t>
  </si>
  <si>
    <t>Source</t>
  </si>
  <si>
    <t>Scopus</t>
  </si>
  <si>
    <t>2026-09-06</t>
  </si>
  <si>
    <t>2015-01-01</t>
  </si>
  <si>
    <t>TITLE-ABS-KEY((textile OR fabric OR garment OR "e-textile" OR "smart textile" OR yarn OR knitted OR woven OR embroidered OR braided) AND ("strain sensor" OR "strain sensing" OR "stretch sensor" OR "stretch sensing")) AND PUBYEAR &gt; 2014 AND PUBYEAR &lt; 2027 AND DOCTYPE(ar)</t>
  </si>
  <si>
    <t>Institutional access. Title, abstract and keyword fields; publication years 2015-2026; Article filter.</t>
  </si>
  <si>
    <t>Citation, bibliographic, abstract and keyword fields exported.</t>
  </si>
  <si>
    <t>Systematic_Review_Search_Update_Master.xlsx | Search log!A5:I5; Systematic_Review_Search_Update_Master.xlsx | Search strings!A5:C5</t>
  </si>
  <si>
    <t>PubMed</t>
  </si>
  <si>
    <t>(textile[tiab] OR fabric[tiab] OR garment[tiab] OR "e-textile"[tiab] OR "smart textile"[tiab] OR yarn[tiab] OR knitted[tiab] OR woven[tiab] OR embroidered[tiab] OR braided[tiab]) AND ("strain sensor"[tiab] OR "strain sensing"[tiab] OR "stretch sensor"[tiab] OR "stretch sensing"[tiab]) AND ("2015/01/01"[dp] : "2026/09/06"[dp])</t>
  </si>
  <si>
    <t>Title/abstract-tagged query with publication dates 1 January 2015 to 6 September 2026. No publication-type filter at retrieval.</t>
  </si>
  <si>
    <t>CSV and PubMed-format text exports preserved; CSV contains 239 records plus a header.</t>
  </si>
  <si>
    <t>Systematic_Review_Search_Update_Master.xlsx | Search log!A6:I6; Systematic_Review_Search_Update_Master.xlsx | Search strings!A6:C6</t>
  </si>
  <si>
    <t>IEEE Xplore</t>
  </si>
  <si>
    <t>(textile OR fabric OR garment OR "e-textile" OR "smart textile" OR yarn OR knitted OR woven OR embroidered OR braided) AND ("strain sensor" OR "strain sensing" OR "stretch sensor" OR "stretch sensing")</t>
  </si>
  <si>
    <t>Institutional access. Publication years 2015-2026; Journals and Early Access Articles filters. No manually assigned field commands in the query.</t>
  </si>
  <si>
    <t>Complete results CSV preserved.</t>
  </si>
  <si>
    <t>Systematic_Review_Search_Update_Master.xlsx | Search log!A7:I7; Systematic_Review_Search_Update_Master.xlsx | Search strings!A7:C7</t>
  </si>
  <si>
    <t>Web of Science</t>
  </si>
  <si>
    <t>TS=((textile OR fabric OR garment OR "e-textile" OR "smart textile" OR yarn OR knitted OR woven OR embroidered OR braided) AND ("strain sensor" OR "strain sensing" OR "stretch sensor" OR "stretch sensing")) AND PY=(2015-2026) AND DT=(Article)</t>
  </si>
  <si>
    <t>Institutional access. Topic fields; publication years 2015-2026; Article filter.</t>
  </si>
  <si>
    <t>Full Record exports preserved in two files because of the 1,000-record export limit.</t>
  </si>
  <si>
    <t>Systematic_Review_Search_Update_Master.xlsx | Search log!A8:I8; Systematic_Review_Search_Update_Master.xlsx | Search strings!A8:C8</t>
  </si>
  <si>
    <t>Embase</t>
  </si>
  <si>
    <t>(textile:ti,ab,kw OR fabric:ti,ab,kw OR garment:ti,ab,kw OR 'e-textile':ti,ab,kw OR 'smart textile':ti,ab,kw OR yarn:ti,ab,kw OR knitted:ti,ab,kw OR woven:ti,ab,kw OR embroidered:ti,ab,kw OR braided:ti,ab,kw) AND ('strain sensor':ti,ab,kw OR 'strain sensing':ti,ab,kw OR 'stretch sensor':ti,ab,kw OR 'stretch sensing':ti,ab,kw) AND [2015-2026]/py AND [article]/lim</t>
  </si>
  <si>
    <t>Institutional access. Title, abstract and keyword fields; publication years 2015-2026; article limit.</t>
  </si>
  <si>
    <t>CSV contains citation, abstract, indexing, identifier and link fields.</t>
  </si>
  <si>
    <t>Systematic_Review_Search_Update_Master.xlsx | Search log!A9:I9; Systematic_Review_Search_Update_Master.xlsx | Search strings!A9:C9</t>
  </si>
  <si>
    <t>Record ID</t>
  </si>
  <si>
    <t>Title</t>
  </si>
  <si>
    <t>Year</t>
  </si>
  <si>
    <t>DOI / source identifier</t>
  </si>
  <si>
    <t>Stage</t>
  </si>
  <si>
    <t>Recorded primary code</t>
  </si>
  <si>
    <t>Recorded exclusion reason</t>
  </si>
  <si>
    <t>Evidence location</t>
  </si>
  <si>
    <t>Evidence statement</t>
  </si>
  <si>
    <t>Verification status</t>
  </si>
  <si>
    <t>Audit flag</t>
  </si>
  <si>
    <t>REC-00013</t>
  </si>
  <si>
    <t>One-Dimensional Flexible Capacitive Sensor with Large Strain and High Stability for Human Motion Monitoring</t>
  </si>
  <si>
    <t>10.1021/acsami.4c14974</t>
  </si>
  <si>
    <t>Broad full-text eligibility</t>
  </si>
  <si>
    <t>C2</t>
  </si>
  <si>
    <t>Sensor not textile-integrated in tested wearable configuration</t>
  </si>
  <si>
    <t>Full text: Section 3 (Results and Discussion), human-motion monitoring experiments; Section 4 (Conclusions)</t>
  </si>
  <si>
    <t>The full text evaluates the one-dimensional capacitive sensor directly on several body locations. It does not report the tested sensor incorporated into a fabric, garment, stitch, knit, weave, braid, or other textile structure.</t>
  </si>
  <si>
    <t>Pending</t>
  </si>
  <si>
    <t>Final_Screening_Reconciliation_1076_Reports_20260909.xlsx | FT exclusions!A2:M2</t>
  </si>
  <si>
    <t>REC-00015</t>
  </si>
  <si>
    <t>Textile Strain Sensor Enhancement by Coating Metal Yarns with Carbon-Filled Silicone</t>
  </si>
  <si>
    <t>10.3390/polym14132525</t>
  </si>
  <si>
    <t>Full text: fabrication and 1% bench-stretch tests; Conclusions</t>
  </si>
  <si>
    <t>The report fabricates coated metallic yarn sensors and evaluates them under 1% bench stretching. It states that the yarns could be embedded in larger textile structures, but it does not fabricate or test that integrated structure.</t>
  </si>
  <si>
    <t>Final_Screening_Reconciliation_1076_Reports_20260909.xlsx | FT exclusions!A3:M3</t>
  </si>
  <si>
    <t>REC-00021</t>
  </si>
  <si>
    <t>Highly Stretchable Sheath-Core Yarns for Multifunctional Wearable Electronics</t>
  </si>
  <si>
    <t>10.1021/acsami.0c08840</t>
  </si>
  <si>
    <t>Full text: Section 3 (Results and Discussion), Figure 7; Section 4 (Conclusions)</t>
  </si>
  <si>
    <t>The sheath-core yarn is fixed directly to body locations for deformation monitoring. Textile or garment integration is discussed as an application, but the tested wearable configuration remains a standalone yarn.</t>
  </si>
  <si>
    <t>Final_Screening_Reconciliation_1076_Reports_20260909.xlsx | FT exclusions!A4:M4</t>
  </si>
  <si>
    <t>REC-00032</t>
  </si>
  <si>
    <t>Silk Fabric Functionalized by Nanosilver Enabling the Wearable Sensing for Biomechanics and Biomolecules</t>
  </si>
  <si>
    <t>10.1021/acsami.4c10253</t>
  </si>
  <si>
    <t>C3</t>
  </si>
  <si>
    <t>Strain sensing not evaluated as a primary or co-primary function</t>
  </si>
  <si>
    <t>Full text: Section 2 (Results and Discussion), muscle-sensing evaluation; Conclusions</t>
  </si>
  <si>
    <t>The silk-fabric device is calibrated and reported as a pressure sensor, including pressure sensitivity in kPa-1. The human muscle-related signals are pressure-mediated; a separate quantitative strain-sensing channel is not evaluated.</t>
  </si>
  <si>
    <t>Final_Screening_Reconciliation_1076_Reports_20260909.xlsx | FT exclusions!A5:M5</t>
  </si>
  <si>
    <t>REC-00041</t>
  </si>
  <si>
    <t>A Fabric-Based Textile Stretch Sensor for Optimized Measurement of Strain in Clothing</t>
  </si>
  <si>
    <t>10.3390/s20247323</t>
  </si>
  <si>
    <t>C4</t>
  </si>
  <si>
    <t>No on-body human or worn-garment strain experiment</t>
  </si>
  <si>
    <t>Full text: Sections 2-3, textile-extension and sweat-condition bench tests; Conclusions</t>
  </si>
  <si>
    <t>The complete report evaluates conductive fabric specimens under controlled elongation and sweat conditions. It does not report an on-body participant or worn-garment monitoring experiment.</t>
  </si>
  <si>
    <t>Final_Screening_Reconciliation_1076_Reports_20260909.xlsx | FT exclusions!A6:M6</t>
  </si>
  <si>
    <t>REC-00045</t>
  </si>
  <si>
    <t>Advancing Smart Textiles: Structural Evolution of Knitted Piezoresistive Strain Sensors for Enabling Precise Motion Capture</t>
  </si>
  <si>
    <t>10.3390/polym15193936</t>
  </si>
  <si>
    <t>Full text: cyclic electromechanical bench evaluation; Conclusions</t>
  </si>
  <si>
    <t>The study reports cyclic electromechanical characterization, gauge factor, nonlinearity, hysteresis, and drift of knitted sensors, but no participant or on-body monitoring experiment.</t>
  </si>
  <si>
    <t>Final_Screening_Reconciliation_1076_Reports_20260909.xlsx | FT exclusions!A7:M7</t>
  </si>
  <si>
    <t>REC-00046</t>
  </si>
  <si>
    <t>Development of a Body-Worn Textile-Based Strain Sensor: Application to Diabetic Foot Assessment</t>
  </si>
  <si>
    <t>10.3390/s25072057</t>
  </si>
  <si>
    <t>Full text: body-worn diabetic-foot application</t>
  </si>
  <si>
    <t>The paper reports static and dynamic laboratory testing and presents a sock-based diabetic-foot proof of concept. It does not report strain-sensor data from a participant wearing the sock.</t>
  </si>
  <si>
    <t>Final_Screening_Reconciliation_1076_Reports_20260909.xlsx | FT exclusions!A8:M8</t>
  </si>
  <si>
    <t>REC-00047</t>
  </si>
  <si>
    <t>CNT/Graphite/SBS Conductive Fibers for Strain Sensing in Wearable Telerehabilitation Devices</t>
  </si>
  <si>
    <t>10.3390/s22030800</t>
  </si>
  <si>
    <t>Full text: Sections 2-3, fiber characterization and simulated knee-band cyclic strain tests; Conclusions</t>
  </si>
  <si>
    <t>The standalone fibre is characterized under cyclic strains selected to represent a knee-stabilizing band. The complete report does not fabricate and test a textile-integrated telerehabilitation device.</t>
  </si>
  <si>
    <t>Final_Screening_Reconciliation_1076_Reports_20260909.xlsx | FT exclusions!A9:M9</t>
  </si>
  <si>
    <t>REC-00051</t>
  </si>
  <si>
    <t>Knitted Carbon-Nanotube-Sheath/Spandex-Core Elastomeric Yarns for Artificial Muscles and Strain Sensing</t>
  </si>
  <si>
    <t>10.1021/acsnano.6b04125</t>
  </si>
  <si>
    <t>Full text: Results and Discussion, knee-sleeve prototype; Conclusion</t>
  </si>
  <si>
    <t>The knitted CNT/spandex sensor is presented in a wireless knee-sleeve prototype, but the reported signals are laboratory bending demonstrations rather than data from a participant wearing the sleeve.</t>
  </si>
  <si>
    <t>Final_Screening_Reconciliation_1076_Reports_20260909.xlsx | FT exclusions!A10:M10</t>
  </si>
  <si>
    <t>REC-00053</t>
  </si>
  <si>
    <t>Mechanically robust textile-based strain and pressure multimodal sensors using metal nanowire/polymer conducting fibers</t>
  </si>
  <si>
    <t>10.1016/j.isci.2022.104032</t>
  </si>
  <si>
    <t>Full text: Results and Conclusions</t>
  </si>
  <si>
    <t>The complete report evaluates independent strain and pressure responses and simultaneous detection of applied weights, but reports no named human-movement or physiological-monitoring experiment.</t>
  </si>
  <si>
    <t>Final_Screening_Reconciliation_1076_Reports_20260909.xlsx | FT exclusions!A11:M11</t>
  </si>
  <si>
    <t>REC-00056</t>
  </si>
  <si>
    <t>MnOx-Electrodeposited Fabric-Based Stretchable Supercapacitors with Intrinsic Strain Sensing</t>
  </si>
  <si>
    <t>10.1021/acsami.1c12526</t>
  </si>
  <si>
    <t>Full text: proof-of-concept tests using a ventilated manikin and robotic hand; Conclusions</t>
  </si>
  <si>
    <t>The proof-of-concept health-monitoring test uses volumetric expansion of a ventilated manikin, and the second demonstration uses a robotic hand. No human participant or on-body experiment is reported.</t>
  </si>
  <si>
    <t>Final_Screening_Reconciliation_1076_Reports_20260909.xlsx | FT exclusions!A12:M12</t>
  </si>
  <si>
    <t>REC-00066</t>
  </si>
  <si>
    <t>Development of Knitted Strain Sensor Optimized for Dumbbell Exercise and Evaluation of Its Electrical Characteristics</t>
  </si>
  <si>
    <t>10.3390/s25123685</t>
  </si>
  <si>
    <t>Full text: textile folding-tester experiments at fixed angles and speeds; Conclusions</t>
  </si>
  <si>
    <t>The knitted sensor is evaluated with a textile folding tester at fixed angles and speeds. The paper does not report a participant performing dumbbell exercise or another on-body trial.</t>
  </si>
  <si>
    <t>Final_Screening_Reconciliation_1076_Reports_20260909.xlsx | FT exclusions!A13:M13</t>
  </si>
  <si>
    <t>REC-00068</t>
  </si>
  <si>
    <t>A Novel Textile Stitch-Based Strain Sensor for Wearable End Users</t>
  </si>
  <si>
    <t>10.3390/ma12091469</t>
  </si>
  <si>
    <t>Full text: laboratory electromechanical tests of stitched fabric specimens; Conclusions</t>
  </si>
  <si>
    <t>Seven stitched fabric specimens are evaluated in laboratory electromechanical tests. Wearable physiological monitoring is presented as an expected application rather than an experiment.</t>
  </si>
  <si>
    <t>Final_Screening_Reconciliation_1076_Reports_20260909.xlsx | FT exclusions!A14:M14</t>
  </si>
  <si>
    <t>REC-00069</t>
  </si>
  <si>
    <t>Winding-Locked Carbon Nanotubes/Polymer Nanofibers Helical Yarn for Ultrastretchable Conductor and Strain Sensor</t>
  </si>
  <si>
    <t>10.1021/acsnano.9b09533</t>
  </si>
  <si>
    <t>Full text: Results and Discussion, fiber sensors attached to finger, elbow, wrist, and knee; Conclusions</t>
  </si>
  <si>
    <t>The helical yarn sensor is attached directly to the skin at the finger, elbow, wrist, and knee. The study does not incorporate the tested strain sensor into a textile or garment structure.</t>
  </si>
  <si>
    <t>Final_Screening_Reconciliation_1076_Reports_20260909.xlsx | FT exclusions!A15:M15</t>
  </si>
  <si>
    <t>REC-00075</t>
  </si>
  <si>
    <t>Knitted Strain Sensor Textiles of Highly Conductive All-Polymeric Fibers</t>
  </si>
  <si>
    <t>10.1021/acsami.5b04892</t>
  </si>
  <si>
    <t>Full text: Results and Discussion, wireless knee-sleeve prototype; Conclusion</t>
  </si>
  <si>
    <t>The knitted textile and wireless knee-sleeve prototype are shown, but the reported resistance signals come from controlled bending tests rather than a participant wearing the sleeve.</t>
  </si>
  <si>
    <t>Final_Screening_Reconciliation_1076_Reports_20260909.xlsx | FT exclusions!A16:M16</t>
  </si>
  <si>
    <t>REC-00080</t>
  </si>
  <si>
    <t>Highly Stretchable and Flexible Melt Spun Thermoplastic Conductive Yarns for Smart Textiles</t>
  </si>
  <si>
    <t>10.3390/nano10122324</t>
  </si>
  <si>
    <t>Full text: conductivity, mechanical, thermal, washing, and ageing characterization; Conclusions</t>
  </si>
  <si>
    <t>The report characterizes a conductive yarn and proposes later textile integration. It does not fabricate a textile-integrated sensing configuration; it also does not evaluate a quantitative strain-sensing response.</t>
  </si>
  <si>
    <t>Final_Screening_Reconciliation_1076_Reports_20260909.xlsx | FT exclusions!A17:M17</t>
  </si>
  <si>
    <t>REC-00088</t>
  </si>
  <si>
    <t>Analysis of Sensitivity, Linearity, Hysteresis, Responsiveness, and Fatigue of Textile Knit Stretch Sensors</t>
  </si>
  <si>
    <t>10.3390/s19163618</t>
  </si>
  <si>
    <t>Full text: tensile-tester sensitivity, linearity, hysteresis, responsiveness, and fatigue tests; Conclusions</t>
  </si>
  <si>
    <t>All sixteen textile sensors are assessed on a tensile tester for sensitivity, linearity, hysteresis, responsiveness, and fatigue. No participant or on-body monitoring experiment is reported.</t>
  </si>
  <si>
    <t>Final_Screening_Reconciliation_1076_Reports_20260909.xlsx | FT exclusions!A18:M18</t>
  </si>
  <si>
    <t>REC-00090</t>
  </si>
  <si>
    <t>PDMS/Ag/Mxene/Polyurethane Conductive Yarn as a Highly Reliable and Stretchable Strain Sensor for Human Motion Monitoring</t>
  </si>
  <si>
    <t>10.3390/polym14245401</t>
  </si>
  <si>
    <t>Full text: human-joint monitoring demonstrations</t>
  </si>
  <si>
    <t>The conductive yarn is fixed directly over human joints for motion monitoring. The study does not report the tested yarn incorporated into a fabric, garment, stitch, knit, weave, or braid.</t>
  </si>
  <si>
    <t>Final_Screening_Reconciliation_1076_Reports_20260909.xlsx | FT exclusions!A19:M19</t>
  </si>
  <si>
    <t>REC-00095</t>
  </si>
  <si>
    <t>The Effect of Miss and Tuck Stitches on a Weft Knit Strain Sensor</t>
  </si>
  <si>
    <t>10.3390/s21020358</t>
  </si>
  <si>
    <t>Full text: tensile strain tests and human standing-weight pressure demonstration; Conclusions</t>
  </si>
  <si>
    <t>The strain response is characterized by tensile tests. The reported human experiment has participants stand on samples to apply concentrated weight and evaluates pressure, not body-deformation strain monitoring.</t>
  </si>
  <si>
    <t>Final_Screening_Reconciliation_1076_Reports_20260909.xlsx | FT exclusions!A20:M20</t>
  </si>
  <si>
    <t>REC-00097</t>
  </si>
  <si>
    <t>Multifunctional carboxymethyl cellulose-based gel fabric with fluorescent warning for fire rescue</t>
  </si>
  <si>
    <t>10.1016/j.ijbiomac.2025.145348</t>
  </si>
  <si>
    <t>Full text: simulated high-temperature/firefighter-use tests without an on-body human monitoring experiment; Conclusion</t>
  </si>
  <si>
    <t>The gel fabric is tested under simulated high-temperature and firefighter-use conditions, but the report does not include an on-body participant or worn-garment motion-monitoring experiment.</t>
  </si>
  <si>
    <t>Final_Screening_Reconciliation_1076_Reports_20260909.xlsx | FT exclusions!A21:M21</t>
  </si>
  <si>
    <t>REC-00104</t>
  </si>
  <si>
    <t>Synthesis and Sensing Performance of Chitin Fiber/MoS2 Composites</t>
  </si>
  <si>
    <t>10.3390/nano13091567</t>
  </si>
  <si>
    <t>Full text: Figure 7 and Conclusions</t>
  </si>
  <si>
    <t>Chitin fibres are processed with MoS2 on an electrode sheet and the resulting element is attached with flexible tape. The tested human-motion sensor is not incorporated into a textile or garment structure.</t>
  </si>
  <si>
    <t>Final_Screening_Reconciliation_1076_Reports_20260909.xlsx | FT exclusions!A22:M22</t>
  </si>
  <si>
    <t>REC-00116</t>
  </si>
  <si>
    <t>Polyurethane/Cotton/Carbon Nanotubes Core-Spun Yarn as High Reliability Stretchable Strain Sensor for Human Motion Detection</t>
  </si>
  <si>
    <t>10.1021/acsami.6b08207</t>
  </si>
  <si>
    <t>Full text: Results and Discussions, on-body finger, elbow, knee, and forehead demonstrations; Conclusions</t>
  </si>
  <si>
    <t>The core-spun yarn is applied directly to the finger, elbow, knee, and forehead. The paper states that integration into fabrics is promising or future work, but does not test an integrated textile configuration.</t>
  </si>
  <si>
    <t>Final_Screening_Reconciliation_1076_Reports_20260909.xlsx | FT exclusions!A23:M23</t>
  </si>
  <si>
    <t>REC-00117</t>
  </si>
  <si>
    <t>Wearable Strain Sensors: Carbonized Silk Fabric for Ultrastretchable, Highly Sensitive, and Wearable Strain Sensors (Adv. Mater. 31/2016)</t>
  </si>
  <si>
    <t>10.1002/adma.201670215</t>
  </si>
  <si>
    <t>C1</t>
  </si>
  <si>
    <t>Not an original experimental journal study</t>
  </si>
  <si>
    <t>Full report: page 6639; companion cover highlight referring to page 6640</t>
  </si>
  <si>
    <t>This one-page item is a journal cover/highlight that points readers to the separate original research article beginning on page 6640 (DOI 10.1002/adma.201601572).</t>
  </si>
  <si>
    <t>Final_Screening_Reconciliation_1076_Reports_20260909.xlsx | FT exclusions!A24:M24</t>
  </si>
  <si>
    <t>REC-00135</t>
  </si>
  <si>
    <t>Design and Fabrication of Embroidered Textile Strain Sensors: An Alternative to Stitch-Based Strain Sensors</t>
  </si>
  <si>
    <t>10.3390/s23031503</t>
  </si>
  <si>
    <t>Full text: embroidered-sensor fabrication and bench electromechanical characterization; Conclusions</t>
  </si>
  <si>
    <t>The study develops three embroidered textile strain sensors and reports bench gauge factor, working range, hysteresis, and repeatability. It does not report an on-body or worn-garment human-monitoring experiment.</t>
  </si>
  <si>
    <t>Final_Screening_Reconciliation_1076_Reports_20260909.xlsx | FT exclusions!A25:M25</t>
  </si>
  <si>
    <t>REC-00153</t>
  </si>
  <si>
    <t>Continuously Producible Ultrasensitive Wearable Strain Sensor Assembled with Three-Dimensional Interpenetrating Ag Nanowires/Polyolefin Elastomer Nanofibrous Composite Yarn</t>
  </si>
  <si>
    <t>10.1021/acsami.7b11431</t>
  </si>
  <si>
    <t>Full text: abstract, methods, results and/or cited figure</t>
  </si>
  <si>
    <t>The sensor yarn was tested directly on the body; the textile example demonstrated only possible weaving/knitting rather than the tested strain-sensing configuration.</t>
  </si>
  <si>
    <t>Final_Screening_Reconciliation_1076_Reports_20260909.xlsx | FT exclusions!A26:M26</t>
  </si>
  <si>
    <t>REC-00154</t>
  </si>
  <si>
    <t>A Highly Sensitive and Flexible Strain Sensor Based on Dopamine-Modified Electrospun Styrene-Ethylene-Butylene-Styrene Block Copolymer Yarns and Multi Walled Carbon Nanotubes</t>
  </si>
  <si>
    <t>10.3390/polym14153030</t>
  </si>
  <si>
    <t>The tested strain sensor was a standalone electrospun yarn, with no verified fabric- or garment-integrated strain experiment.</t>
  </si>
  <si>
    <t>Final_Screening_Reconciliation_1076_Reports_20260909.xlsx | FT exclusions!A27:M27</t>
  </si>
  <si>
    <t>REC-00158</t>
  </si>
  <si>
    <t>Highly Integrated Supercapacitor-Sensor Systems via Material and Geometry Design</t>
  </si>
  <si>
    <t>10.1002/smll.201601041</t>
  </si>
  <si>
    <t>Full text: application/results sections</t>
  </si>
  <si>
    <t>The report provides device characterization but no on-body participant or worn-garment strain experiment.</t>
  </si>
  <si>
    <t>Final_Screening_Reconciliation_1076_Reports_20260909.xlsx | FT exclusions!A28:M28</t>
  </si>
  <si>
    <t>REC-00170</t>
  </si>
  <si>
    <t>Hollow-porous fibers for intrinsically thermally insulating textiles and wearable electronics with ultrahigh working sensitivity</t>
  </si>
  <si>
    <t>10.1039/d0mh01818j</t>
  </si>
  <si>
    <t>RSC full text: construction, sensing-characterization and application sections</t>
  </si>
  <si>
    <t>The woven textile is worn for thermal-insulation testing; the strain-sensing experiment uses the separate conductive fibre rather than a textile-integrated human-monitoring configuration.</t>
  </si>
  <si>
    <t>Final_Screening_Reconciliation_1076_Reports_20260909.xlsx | FT exclusions!A29:M29</t>
  </si>
  <si>
    <t>REC-00171</t>
  </si>
  <si>
    <t>Passive UHF RFID-Based Knitted Wearable Compression Sensor</t>
  </si>
  <si>
    <t>10.1109/jiot.2021.3068198</t>
  </si>
  <si>
    <t>Textile device not evaluated as a strain, stretch, or deformation sensor</t>
  </si>
  <si>
    <t>IEEE Xplore full text: methods, results and application sections</t>
  </si>
  <si>
    <t>The knitted RFID device is evaluated as a respiratory compression sensor; strain, stretch or elongation sensing is not separately evaluated as the primary function.</t>
  </si>
  <si>
    <t>Final_Screening_Reconciliation_1076_Reports_20260909.xlsx | FT exclusions!A30:M30</t>
  </si>
  <si>
    <t>REC-00173</t>
  </si>
  <si>
    <t>Highly Conductive PVA/Ag Coating by Aqueous in Situ, Reduction and Its Stretchable Structure for Strain Sensor</t>
  </si>
  <si>
    <t>10.1021/acsami.9b15546</t>
  </si>
  <si>
    <t>The full-text textile statement describes general integration potential rather than an actually tested textile strain-sensor configuration.</t>
  </si>
  <si>
    <t>Final_Screening_Reconciliation_1076_Reports_20260909.xlsx | FT exclusions!A31:M31</t>
  </si>
  <si>
    <t>REC-00180</t>
  </si>
  <si>
    <t>Large-Scale Production of Highly Stretchable CNT/Cotton/Spandex Composite Yarn for Wearable Applications</t>
  </si>
  <si>
    <t>10.1021/acsami.8b11885</t>
  </si>
  <si>
    <t>The yarn was used directly for strain sensing; knitting into fabric was demonstrated for the heater function rather than the strain-sensing experiment.</t>
  </si>
  <si>
    <t>Final_Screening_Reconciliation_1076_Reports_20260909.xlsx | FT exclusions!A32:M32</t>
  </si>
  <si>
    <t>REC-00187</t>
  </si>
  <si>
    <t>Hydrophobic PU fabric with synergistic conductive networks for boosted high sensitivity, wide linear-range wearable strain sensor</t>
  </si>
  <si>
    <t>10.1088/1361-6528/ada9f1</t>
  </si>
  <si>
    <t>IOPscience full text: application demonstration and conclusion</t>
  </si>
  <si>
    <t>The GCPU fabric strain sensor was demonstrated on a mannequin's fingers, wrist, palm, mouth and throat. The complete report does not describe an experiment on a human participant or a human-worn garment.</t>
  </si>
  <si>
    <t>Final_Screening_Reconciliation_1076_Reports_20260909.xlsx | FT exclusions!A33:M33</t>
  </si>
  <si>
    <t>REC-00201</t>
  </si>
  <si>
    <t>Coating of Silicone Monofilaments with Elastic Carbon Black-Silver-Silicone Layers and Their Characterization Especially with Regard to the Change of the Electrical Resistance in Dependence on Strain</t>
  </si>
  <si>
    <t>10.3390/polym14040806</t>
  </si>
  <si>
    <t>Only coated silicone monofilaments were characterized, and textile integration was reserved for future work.</t>
  </si>
  <si>
    <t>Final_Screening_Reconciliation_1076_Reports_20260909.xlsx | FT exclusions!A34:M34</t>
  </si>
  <si>
    <t>REC-00204</t>
  </si>
  <si>
    <t>Scalable fabrication of conductive silk textiles for integrated motion monitoring and adaptive thermal management</t>
  </si>
  <si>
    <t>10.1016/j.bios.2026.118480</t>
  </si>
  <si>
    <t>Human-motion monitoring is presented as an intended application; an on-body participant experiment is not reported.</t>
  </si>
  <si>
    <t>Final_Screening_Reconciliation_1076_Reports_20260909.xlsx | FT exclusions!A35:M35</t>
  </si>
  <si>
    <t>REC-00206</t>
  </si>
  <si>
    <t>Silk Fabric E-Skin with Bioinspired Fingerprint Design Enabled by a Mixed-Dimensional Assembly Strategy</t>
  </si>
  <si>
    <t>10.1021/acssensors.5c02661</t>
  </si>
  <si>
    <t>The silk-fabric device reports strain capability and tactile demonstrations, but no verified on-body or worn-garment strain-output experiment was located.</t>
  </si>
  <si>
    <t>Final_Screening_Reconciliation_1076_Reports_20260909.xlsx | FT exclusions!A36:M36</t>
  </si>
  <si>
    <t>REC-00214</t>
  </si>
  <si>
    <t>Nanocellulose-toughened super-stretchable ionic conductive gel fibers for wearable strain sensors</t>
  </si>
  <si>
    <t>10.1016/j.ijbiomac.2025.140227</t>
  </si>
  <si>
    <t>The ionic-gel fibre is tested directly as a standalone sensor; textile weaving is described as a capability rather than the evaluated configuration.</t>
  </si>
  <si>
    <t>Final_Screening_Reconciliation_1076_Reports_20260909.xlsx | FT exclusions!A37:M37</t>
  </si>
  <si>
    <t>REC-00225</t>
  </si>
  <si>
    <t>Free-Form Three-Dimensional Integrated Circuits on a Thread Using Organic Eutectogel-Gated Electrochemical Transistors</t>
  </si>
  <si>
    <t>10.1021/acsami.5c25103</t>
  </si>
  <si>
    <t>The strain sensor and circuit were assembled on a single thread, without a verified fabric-, garment-, or other textile-structure strain experiment.</t>
  </si>
  <si>
    <t>Final_Screening_Reconciliation_1076_Reports_20260909.xlsx | FT exclusions!A38:M38</t>
  </si>
  <si>
    <t>REC-00226</t>
  </si>
  <si>
    <t>On the Use of Knitted Antennas and Inductively Coupled RFID Tags for Wearable Applications</t>
  </si>
  <si>
    <t>10.1109/tbcas.2016.2518871</t>
  </si>
  <si>
    <t>The knitted strain-sensor application is tested on a programmable infant mannequin, not on a human participant.</t>
  </si>
  <si>
    <t>Final_Screening_Reconciliation_1076_Reports_20260909.xlsx | FT exclusions!A39:M39</t>
  </si>
  <si>
    <t>REC-00263</t>
  </si>
  <si>
    <t>The mechanical and electrical properties of flexible strain sensors based on carbonized cotton knitted fabric</t>
  </si>
  <si>
    <t>10.1177/00405175221143520</t>
  </si>
  <si>
    <t>The full text does not report a verified participant or worn-garment strain-sensor experiment; testing is limited to device characterization, proposed use, or non-human demonstrations.</t>
  </si>
  <si>
    <t>Final_Screening_Reconciliation_1076_Reports_20260909.xlsx | FT exclusions!A40:M40</t>
  </si>
  <si>
    <t>REC-00265</t>
  </si>
  <si>
    <t>Electrostatic Twisting of Core-Shell Nanofibers for Strain Sensing Applications</t>
  </si>
  <si>
    <t>10.1021/acsapm.0c00580</t>
  </si>
  <si>
    <t>Final_Screening_Reconciliation_1076_Reports_20260909.xlsx | FT exclusions!A41:M41</t>
  </si>
  <si>
    <t>REC-00280</t>
  </si>
  <si>
    <t>Performance Evaluation of Embroidered Honeycomb Resistive Textile Strain Sensors</t>
  </si>
  <si>
    <t>10.1109/jsen.2025.3573636</t>
  </si>
  <si>
    <t>The embroidered sensor is characterized through 50 mechanical stretching cycles, without an on-body participant or worn-garment experiment.</t>
  </si>
  <si>
    <t>Final_Screening_Reconciliation_1076_Reports_20260909.xlsx | FT exclusions!A42:M42</t>
  </si>
  <si>
    <t>REC-00289</t>
  </si>
  <si>
    <t>Breathable Kirigami-Shaped Ionotronic e-Textile with Touch/Strain Sensing for Friendly Epidermal Electronics</t>
  </si>
  <si>
    <t>10.1007/s42765-022-00186-z</t>
  </si>
  <si>
    <t>C5</t>
  </si>
  <si>
    <t>Human outcome not produced through strain or deformation</t>
  </si>
  <si>
    <t>Full text: construction, sensing-characterization and application sections</t>
  </si>
  <si>
    <t>The forearm-worn demonstration measures finger touch position; the strain function is characterized separately and no human strain-mediated outcome is reported.</t>
  </si>
  <si>
    <t>Final_Screening_Reconciliation_1076_Reports_20260909.xlsx | FT exclusions!A43:M43</t>
  </si>
  <si>
    <t>REC-00303</t>
  </si>
  <si>
    <t>A highly durable textile-based sensor as a human-worn material interface for long-term multiple mechanical deformation sensing</t>
  </si>
  <si>
    <t>10.1039/c9tc04006d</t>
  </si>
  <si>
    <t>The yarn is woven into a sensing textile and evaluated through mechanical cycling, but the complete report does not present an on-body participant or worn-garment strain experiment.</t>
  </si>
  <si>
    <t>Final_Screening_Reconciliation_1076_Reports_20260909.xlsx | FT exclusions!A44:M44</t>
  </si>
  <si>
    <t>REC-00314</t>
  </si>
  <si>
    <t>Textile-Only Capacitive Sensors for Facile Fabric Integration without Compromise of Wearability</t>
  </si>
  <si>
    <t>10.1002/admt.201900485</t>
  </si>
  <si>
    <t>Kneepad/glove integration is described, but no participant experiment with corresponding strain output is reported.</t>
  </si>
  <si>
    <t>Final_Screening_Reconciliation_1076_Reports_20260909.xlsx | FT exclusions!A45:M45</t>
  </si>
  <si>
    <t>REC-00317</t>
  </si>
  <si>
    <t>Stretchable, self-healing, conductive hydrogel fibers for strain sensing and triboelectric energy-harvesting smart textiles</t>
  </si>
  <si>
    <t>10.1016/j.nanoen.2020.105389</t>
  </si>
  <si>
    <t>Full text: strain-sensing demonstration (Figure 4) and textile energy-harvesting section (Figure 5)</t>
  </si>
  <si>
    <t>Human-motion strain sensing was performed with a single hydrogel fibre fixed directly to the finger. A textile was woven from the fibres, but that textile was evaluated as a triboelectric energy harvester rather than as the tested human strain-sensing configuration.</t>
  </si>
  <si>
    <t>Final_Screening_Reconciliation_1076_Reports_20260909.xlsx | FT exclusions!A46:M46</t>
  </si>
  <si>
    <t>REC-00327</t>
  </si>
  <si>
    <t>Robust, Breathable and Flexible Smart Textiles as Multifunctional Sensor and Heater for Personal Health Management</t>
  </si>
  <si>
    <t>10.1007/s42765-022-00221-z</t>
  </si>
  <si>
    <t>The strain channel was evaluated as a composite fiber attached directly to the body; the woven-fabric demonstration was a pressure sensor rather than the tested strain configuration.</t>
  </si>
  <si>
    <t>Final_Screening_Reconciliation_1076_Reports_20260909.xlsx | FT exclusions!A47:M47</t>
  </si>
  <si>
    <t>REC-00359</t>
  </si>
  <si>
    <t>Multimodal textile-based electromechanical sensor with anchored PANi-microspheres via conjugated electrospinning and electrospraying strategy</t>
  </si>
  <si>
    <t>10.1016/j.coco.2025.102626</t>
  </si>
  <si>
    <t>ScienceDirect full text: tensile-strain characterization and practical-application sections</t>
  </si>
  <si>
    <t>The tensile-strain demonstrations use the APMENSY yarn sensor attached directly to the volunteer's finger, throat, wrist, or skin. The cotton-glove and woven-textile configurations are evaluated for pressing/Morse-code and pressure-mapping functions rather than a textile-integrated strain-sensing experiment.</t>
  </si>
  <si>
    <t>Final_Screening_Reconciliation_1076_Reports_20260909.xlsx | FT exclusions!A48:M48</t>
  </si>
  <si>
    <t>REC-00363</t>
  </si>
  <si>
    <t>Development of textile-based strain sensing material by bar-coating technique</t>
  </si>
  <si>
    <t>10.1007/s10854-024-12503-w</t>
  </si>
  <si>
    <t>The full article reports coating and mechanical/electrical tests on fabric specimens; human-joint use appears only as general application context.</t>
  </si>
  <si>
    <t>Final_Screening_Reconciliation_1076_Reports_20260909.xlsx | FT exclusions!A49:M49</t>
  </si>
  <si>
    <t>REC-00365</t>
  </si>
  <si>
    <t>Production and characterization of Graphene Nanoplatelet-based ink for smart textile strain sensors via screen printing technique</t>
  </si>
  <si>
    <t>10.1016/j.matdes.2020.109306</t>
  </si>
  <si>
    <t>Full text: electromechanical testing and Conclusions</t>
  </si>
  <si>
    <t>The screen-printed GNP/polyester fabric was evaluated by quasi-static tensile and electromechanical tests under controlled laboratory conditions, including testing after one wash. The paper reports a gauge factor of approximately 30 at 5% strain and describes respiration and heart-rate monitoring only as a possible future application; no participant or worn-garment strain experiment is reported.</t>
  </si>
  <si>
    <t>Final_Screening_Reconciliation_1076_Reports_20260909.xlsx | FT exclusions!A50:M50</t>
  </si>
  <si>
    <t>REC-00402</t>
  </si>
  <si>
    <t>Impact of Textile Architecture on the Electromechanical Behavior of Conductive Carbon: Silicone Composite Strain Sensors</t>
  </si>
  <si>
    <t>10.1002/adem.202500290</t>
  </si>
  <si>
    <t>Final_Screening_Reconciliation_1076_Reports_20260909.xlsx | FT exclusions!A51:M51</t>
  </si>
  <si>
    <t>REC-00403</t>
  </si>
  <si>
    <t>A flexible piezoresistive sensor with highly elastic weave pattern for motion detection</t>
  </si>
  <si>
    <t>10.1088/1361-665x/ab0002</t>
  </si>
  <si>
    <t>IOPscience full text: sensing principle, characterization and human-motion demonstration</t>
  </si>
  <si>
    <t>The device is characterized as an out-of-plane piezoresistive pressure sensor. Its resistance is evaluated against compression pressure, and the finger and abdominal demonstrations apply through-thickness compression rather than a separately evaluated tensile or deformation-strain channel.</t>
  </si>
  <si>
    <t>Final_Screening_Reconciliation_1076_Reports_20260909.xlsx | FT exclusions!A52:M52</t>
  </si>
  <si>
    <t>REC-00404</t>
  </si>
  <si>
    <t>Highly conductive fiber with design of dual conductive Ag/CB layers for ultrasensitive and wide-range strain sensing</t>
  </si>
  <si>
    <t>10.1002/smm2.1178</t>
  </si>
  <si>
    <t>The full text says that the fiber could be integrated into textiles, but does not verify a textile-integrated strain-sensor experiment.</t>
  </si>
  <si>
    <t>Final_Screening_Reconciliation_1076_Reports_20260909.xlsx | FT exclusions!A53:M53</t>
  </si>
  <si>
    <t>REC-00420</t>
  </si>
  <si>
    <t>Highly Durable and Fast Response Fabric Strain Sensor for Movement Monitoring Under Extreme Conditions</t>
  </si>
  <si>
    <t>10.1007/s42765-022-00211-1</t>
  </si>
  <si>
    <t>The reported joint demonstration used the finger joint of a mechanical arm rather than a human participant.</t>
  </si>
  <si>
    <t>Final_Screening_Reconciliation_1076_Reports_20260909.xlsx | FT exclusions!A54:M54</t>
  </si>
  <si>
    <t>REC-00425</t>
  </si>
  <si>
    <t>Flexible graphene/PPy/cotton fabric with great Joule heating performance and sensing capabilities for thermal management and motion sensing</t>
  </si>
  <si>
    <t>10.1016/j.indcrop.2024.120096</t>
  </si>
  <si>
    <t>ScienceDirect full text: volunteer Joule-heating experiment and strain-sensing characterization section</t>
  </si>
  <si>
    <t>The knitted graphene/polypyrrole cotton fabric was worn by volunteers only for the Joule-heating and thermal-imaging experiment. Its strain response (2-8% range, gauge factors -3.75 and -1.56, and 500 cycles) was characterized mechanically, but no on-body participant or worn-garment experiment reporting strain-sensor output was presented.</t>
  </si>
  <si>
    <t>Final_Screening_Reconciliation_1076_Reports_20260909.xlsx | FT exclusions!A55:M55</t>
  </si>
  <si>
    <t>REC-00433</t>
  </si>
  <si>
    <t>Environmentally Stable, Highly Conductive, and Mechanically Robust Metallized Textiles</t>
  </si>
  <si>
    <t>10.1021/acsaelm.1c00088</t>
  </si>
  <si>
    <t>The full-text evidence covers metallized-textile characterization and proposed health-monitoring use, without a verified on-body strain-output experiment.</t>
  </si>
  <si>
    <t>Final_Screening_Reconciliation_1076_Reports_20260909.xlsx | FT exclusions!A56:M56</t>
  </si>
  <si>
    <t>REC-00440</t>
  </si>
  <si>
    <t>Wet-adaptive strain sensor based on hierarchical core-sheath yarns for underwater motion monitoring and energy harvesting</t>
  </si>
  <si>
    <t>10.1016/j.nanoen.2024.110407</t>
  </si>
  <si>
    <t>ScienceDirect full text: SGCPY human-motion section and SGCPF triboelectric-fabric section</t>
  </si>
  <si>
    <t>Human strain monitoring was performed with the standalone SGCPY yarn affixed directly to the eyebrows, fingers, wrist, and elbow. The woven SGCPF configuration was evaluated primarily as a triboelectric energy-harvesting/contact sensor, so the tested human strain-sensing configuration did not meet the prespecified textile-integration criterion.</t>
  </si>
  <si>
    <t>Final_Screening_Reconciliation_1076_Reports_20260909.xlsx | FT exclusions!A57:M57</t>
  </si>
  <si>
    <t>REC-00466</t>
  </si>
  <si>
    <t>Robust cholesteric liquid crystal elastomer fibres for mechanochromic textiles</t>
  </si>
  <si>
    <t>10.1038/s41563-022-01355-6</t>
  </si>
  <si>
    <t>Full text: fibre characterization; textile integration and durability demonstrations</t>
  </si>
  <si>
    <t>The cholesteric liquid-crystal elastomer fibre was quantitatively tested up to 200% strain, over 200 cycles and after 10 laundry cycles, and was woven or sewn into elastic cloth. The paper does not report a participant-worn strain-sensing experiment with corresponding output.</t>
  </si>
  <si>
    <t>Final_Screening_Reconciliation_1076_Reports_20260909.xlsx | FT exclusions!A58:M58</t>
  </si>
  <si>
    <t>REC-00530</t>
  </si>
  <si>
    <t>A stretchable fabric as strain sensor integrating electromagnetic shielding and electrochemical energy storage</t>
  </si>
  <si>
    <t>10.1007/s12274-023-6150-8</t>
  </si>
  <si>
    <t>Full text: Abstract, strain-sensing results, and Conclusion</t>
  </si>
  <si>
    <t>The MXene/PANI fabric was quantitatively characterized as a multifunctional strain-sensing, shielding, and energy-storage material, including 3000 stretch-release cycles, but the article reports no participant or worn-garment strain experiment. Smart clothing is presented as a prospective application.</t>
  </si>
  <si>
    <t>Final_Screening_Reconciliation_1076_Reports_20260909.xlsx | FT exclusions!A59:M59</t>
  </si>
  <si>
    <t>REC-00550</t>
  </si>
  <si>
    <t>Flexible and weavable 3D porous graphene/PPy/lignocellulose-based versatile fibrous wearables for thermal management and strain sensing</t>
  </si>
  <si>
    <t>10.1016/j.cej.2022.139338</t>
  </si>
  <si>
    <t>ScienceDirect full text: fabric heater section and Figures 4-5 strain-sensing section</t>
  </si>
  <si>
    <t>The G-PPy-JE fibres were woven into fabric for the Joule-heating demonstration, but the strain sensor tested on volunteers was an Ecoflex-encapsulated standalone fibre attached directly to the face, finger, wrist, abdomen, and knee. The article therefore did not test the human strain-sensing function in an integrated textile configuration.</t>
  </si>
  <si>
    <t>Final_Screening_Reconciliation_1076_Reports_20260909.xlsx | FT exclusions!A60:M60</t>
  </si>
  <si>
    <t>REC-00591</t>
  </si>
  <si>
    <t>Stretchable, self-healing, biocompatible, and durable ionogel for continuous wearable strain and physiological signal monitoring</t>
  </si>
  <si>
    <t>10.1016/j.cej.2023.144675</t>
  </si>
  <si>
    <t>ScienceDirect full text: Sections 2.4 and 3.3.4 and Figure 3</t>
  </si>
  <si>
    <t>The article explicitly states that strain sensitivity was tested on a standalone cast ionogel film. The same material was spray-coated on Ag-nylon textile only for ECG and EMG electrode evaluation, not as the tested strain-sensing configuration.</t>
  </si>
  <si>
    <t>Final_Screening_Reconciliation_1076_Reports_20260909.xlsx | FT exclusions!A61:M61</t>
  </si>
  <si>
    <t>REC-00622</t>
  </si>
  <si>
    <t>Preparation of rGO/Cu NPs Cotton Sensor with a Three-Dimensional Conductive Network Structure for Efficient Strain Sensing Performance via Co-impregnation One-Bath Reduction Method</t>
  </si>
  <si>
    <t>10.1007/s12221-024-00840-w</t>
  </si>
  <si>
    <t>The complete article reports fabric-sample strain, washing and rubbing tests but no participant or worn-garment strain experiment.</t>
  </si>
  <si>
    <t>Final_Screening_Reconciliation_1076_Reports_20260909.xlsx | FT exclusions!A62:M62</t>
  </si>
  <si>
    <t>REC-00637</t>
  </si>
  <si>
    <t>Highly Accurate Wearable Piezoresistive Sensors without Tension Disturbance Based on Weaved Conductive Yarn</t>
  </si>
  <si>
    <t>10.1021/acsami.0c07928</t>
  </si>
  <si>
    <t>The fabric device was designed as a pressure sensor that was intentionally insensitive to tensile strain (reported gauge factor 0.11).</t>
  </si>
  <si>
    <t>Final_Screening_Reconciliation_1076_Reports_20260909.xlsx | FT exclusions!A63:M63</t>
  </si>
  <si>
    <t>REC-00642</t>
  </si>
  <si>
    <t>Wearable patterned nanocomposite circuits for temperature compensated strain sensing</t>
  </si>
  <si>
    <t>10.1088/1361-665x/ade5dd</t>
  </si>
  <si>
    <t>The study validates temperature-compensated strain sensing under controlled conditions but does not report an on-body human experiment.</t>
  </si>
  <si>
    <t>Final_Screening_Reconciliation_1076_Reports_20260909.xlsx | FT exclusions!A64:M64</t>
  </si>
  <si>
    <t>REC-00669</t>
  </si>
  <si>
    <t>Understanding the Impact of Machine Learning Models on the Performance of Different Flexible Strain Sensor Modalities</t>
  </si>
  <si>
    <t>10.3389/fmats.2021.639823</t>
  </si>
  <si>
    <t>The three sensor modalities were compared on a tensile tester without an on-body or worn-garment experiment.</t>
  </si>
  <si>
    <t>Final_Screening_Reconciliation_1076_Reports_20260909.xlsx | FT exclusions!A65:M65</t>
  </si>
  <si>
    <t>REC-00680</t>
  </si>
  <si>
    <t>Environmentally-Friendly and Multifunctional Graphene-Silk Fabric Strain Sensor for Human-Motion Detection</t>
  </si>
  <si>
    <t>10.1002/admi.201901507</t>
  </si>
  <si>
    <t>Full text: textile integration, sensing characterization, and human-application sections</t>
  </si>
  <si>
    <t>The graphene-silk fabric is proposed for sewing and human use, but no on-body participant strain experiment is reported.</t>
  </si>
  <si>
    <t>Final_Screening_Reconciliation_1076_Reports_20260909.xlsx | FT exclusions!A66:M66</t>
  </si>
  <si>
    <t>REC-00689</t>
  </si>
  <si>
    <t>Soft Sensors via Conductive Textile Stitching: Enabling Strain, Tactile, and Volumetric Sensing</t>
  </si>
  <si>
    <t>10.1002/admt.202401306</t>
  </si>
  <si>
    <t>The stitched sensors are demonstrated on rubber bands, films, and balloons rather than on a participant or worn garment.</t>
  </si>
  <si>
    <t>Final_Screening_Reconciliation_1076_Reports_20260909.xlsx | FT exclusions!A67:M67</t>
  </si>
  <si>
    <t>REC-00698</t>
  </si>
  <si>
    <t>Phase-Locked Dynamic Silyl Ether Metathesis Enabled Mechanically Robust, Self-Healing Polyurethane for Multifunctional Smart Textiles</t>
  </si>
  <si>
    <t>10.1021/acs.chemmater.6c00984</t>
  </si>
  <si>
    <t>The multifunctional textile was characterized as a material platform; human monitoring remained a proposed application.</t>
  </si>
  <si>
    <t>Final_Screening_Reconciliation_1076_Reports_20260909.xlsx | FT exclusions!A68:M68</t>
  </si>
  <si>
    <t>REC-00706</t>
  </si>
  <si>
    <t>Multi-functional and water-resistant conductive silver nanoparticle-decorated cotton textiles with excellent joule heating performances and human motion monitoring</t>
  </si>
  <si>
    <t>10.1007/s10570-021-03955-y</t>
  </si>
  <si>
    <t>The article reports fabric strain performance but describes human-motion monitoring as a potential application rather than a verified on-body experiment.</t>
  </si>
  <si>
    <t>Final_Screening_Reconciliation_1076_Reports_20260909.xlsx | FT exclusions!A69:M69</t>
  </si>
  <si>
    <t>REC-00760</t>
  </si>
  <si>
    <t>Wearable Strain Sensor Using Multiwalled Carbon Nanotubes on Different Fabrics</t>
  </si>
  <si>
    <t>10.1007/s11664-022-09948-2</t>
  </si>
  <si>
    <t>The article evaluates coated fabric specimens under mechanical loading; human-joint monitoring is discussed as an example rather than performed.</t>
  </si>
  <si>
    <t>Final_Screening_Reconciliation_1076_Reports_20260909.xlsx | FT exclusions!A70:M70</t>
  </si>
  <si>
    <t>REC-00766</t>
  </si>
  <si>
    <t>Bath Electrospinning of Continuous and Scalable Multifunctional MXene-Infiltrated Nanoyarns</t>
  </si>
  <si>
    <t>10.1002/smll.202002158</t>
  </si>
  <si>
    <t>The tested MXene/PU nanoyarn remains a standalone sensing element; textile integration is described only as a potential use.</t>
  </si>
  <si>
    <t>Final_Screening_Reconciliation_1076_Reports_20260909.xlsx | FT exclusions!A71:M71</t>
  </si>
  <si>
    <t>REC-00821</t>
  </si>
  <si>
    <t>A numerical method for measuring capacitive soft sensors through one channel</t>
  </si>
  <si>
    <t>10.1088/1361-665x/aaab27</t>
  </si>
  <si>
    <t>IOPscience full text: prototype verification and conclusion</t>
  </si>
  <si>
    <t>The numerical readout method was verified with a bench prototype containing three conductive-fabric capacitive stretch sensors. Garment integration is discussed as a future use, but no participant or worn-garment experiment is reported.</t>
  </si>
  <si>
    <t>Final_Screening_Reconciliation_1076_Reports_20260909.xlsx | FT exclusions!A72:M72</t>
  </si>
  <si>
    <t>REC-00850</t>
  </si>
  <si>
    <t>RGO-coated elastic fibres as wearable strain sensors for full-scale detection of human motions</t>
  </si>
  <si>
    <t>10.1088/1361-665x/aa9aff</t>
  </si>
  <si>
    <t>IOPscience full text: fabrication, human-motion methods and conclusion</t>
  </si>
  <si>
    <t>The human-motion experiments use a coated double-covered yarn fixed directly to the body with tape, guards, bandages or a band-aid. The paper states that the fibre could later be embedded into clothing; the tested on-body strain-sensing configuration is not textile-integrated under the prespecified rule.</t>
  </si>
  <si>
    <t>Final_Screening_Reconciliation_1076_Reports_20260909.xlsx | FT exclusions!A73:M73</t>
  </si>
  <si>
    <t>REC-00951</t>
  </si>
  <si>
    <t>Thermally Drawn Super-Elastic Multifunctional Fiber Sensor for Human Movement Monitoring and Joule Heating</t>
  </si>
  <si>
    <t>10.1002/admt.202202079</t>
  </si>
  <si>
    <t>Human strain tests use a fibre fixed directly to the body; the glove/fabric configuration is used for other functions rather than the tested strain configuration.</t>
  </si>
  <si>
    <t>Final_Screening_Reconciliation_1076_Reports_20260909.xlsx | FT exclusions!A74:M74</t>
  </si>
  <si>
    <t>REC-00952</t>
  </si>
  <si>
    <t>Characteristics of polyurethane nanowebs treated with silver nanowire solutions as strain sensors</t>
  </si>
  <si>
    <t>10.1177/0040517517697647</t>
  </si>
  <si>
    <t>The polyurethane nanoweb was characterized mechanically and electrically without an on-body human experiment.</t>
  </si>
  <si>
    <t>Final_Screening_Reconciliation_1076_Reports_20260909.xlsx | FT exclusions!A75:M75</t>
  </si>
  <si>
    <t>REC-01073</t>
  </si>
  <si>
    <t>Highly sensitive, durable and stretchable plastic strain sensors using sandwich structures of PEDOT:PSS and an elastomer</t>
  </si>
  <si>
    <t>10.1039/c7qm00497d</t>
  </si>
  <si>
    <t>The tested sensing device is a PEDOT:PSS/elastomer plastic film mounted on clothing or skin, not a textile-integrated sensing architecture.</t>
  </si>
  <si>
    <t>Final_Screening_Reconciliation_1076_Reports_20260909.xlsx | FT exclusions!A76:M76</t>
  </si>
  <si>
    <t>REC-01092</t>
  </si>
  <si>
    <t>Thermospun Conductive Composites with a Wide Strain Range, Excellent Fatigue Resistance, and High Linearity for Fibrous Strain Sensors</t>
  </si>
  <si>
    <t>10.1021/acsaenm.3c00480</t>
  </si>
  <si>
    <t>The wearability demonstration was performed on joints of a dummy rather than a human participant.</t>
  </si>
  <si>
    <t>Final_Screening_Reconciliation_1076_Reports_20260909.xlsx | FT exclusions!A77:M77</t>
  </si>
  <si>
    <t>REC-01318</t>
  </si>
  <si>
    <t>Laser-patterned Kirigami on conductive composites as multimodal sensors</t>
  </si>
  <si>
    <t>10.1016/j.sna.2025.117039</t>
  </si>
  <si>
    <t>ScienceDirect full text: Sections 4.1-4.2 and Figures 6-12</t>
  </si>
  <si>
    <t>The knitted conductive-fabric Kirigami sensors were evaluated by machine tensile tests, applied weights and hot-plate temperature tests. The paper states that the sensor can be attached to fingers or a fist, but it does not report an actual on-body or worn-garment strain experiment.</t>
  </si>
  <si>
    <t>Final_Screening_Reconciliation_1076_Reports_20260909.xlsx | FT exclusions!A78:M78</t>
  </si>
  <si>
    <t>REC-01366</t>
  </si>
  <si>
    <t>Laytex: A Data-Driven Tool for Automated and Customized Textile Sensor Layout Design in Motion Capture</t>
  </si>
  <si>
    <t>10.1145/3749493</t>
  </si>
  <si>
    <t>The record is a conference proceeding rather than a peer-reviewed journal article.</t>
  </si>
  <si>
    <t>Final_Screening_Reconciliation_1076_Reports_20260909.xlsx | FT exclusions!A79:M79</t>
  </si>
  <si>
    <t>REC-01469</t>
  </si>
  <si>
    <t>Marangoni microjet–photonic sintering synergy enables robust piezoresistive interfaces on methylated polysiloxanes for closed-loop proprioceptive exoskeletons</t>
  </si>
  <si>
    <t>10.1016/j.cej.2025.168901</t>
  </si>
  <si>
    <t>ScienceDirect full text: Sections 2 and 3.5, Figure 5</t>
  </si>
  <si>
    <t>The MWCNT sensor was fabricated on methylated polysiloxane and integrated onto an FDM-molded silicone exoskeleton glove. No textile sensing substrate or textile-integrated strain configuration was fabricated or evaluated.</t>
  </si>
  <si>
    <t>Final_Screening_Reconciliation_1076_Reports_20260909.xlsx | FT exclusions!A80:M80</t>
  </si>
  <si>
    <t>REC-01534</t>
  </si>
  <si>
    <t>Liquid metal/polyurethane core-sheath coaxial conductive filaments for human motion detection and thermal management</t>
  </si>
  <si>
    <t>10.1016/j.jsamd.2026.101114</t>
  </si>
  <si>
    <t>ScienceDirect full text: Sections 2.3-2.4 and Figures 4-5</t>
  </si>
  <si>
    <t>The strain configuration was a standalone liquid-metal/TPU yarn taped directly to the finger, wrist, elbow and knee. Woven fabric made from the yarn was evaluated only for thermal management, not as the on-body strain sensor.</t>
  </si>
  <si>
    <t>Final_Screening_Reconciliation_1076_Reports_20260909.xlsx | FT exclusions!A81:M81</t>
  </si>
  <si>
    <t>REC-01564</t>
  </si>
  <si>
    <t>Assessing the Role of Yarn Placement in Plated Knit Strain Sensors: A Detailed Study of Their Electromechanical Properties and Applicability in Bending Cycle Monitoring</t>
  </si>
  <si>
    <t>10.3390/s24051690</t>
  </si>
  <si>
    <t>The knitted sensor was evaluated in a controlled bending-cycle system; joint monitoring was presented as the intended application.</t>
  </si>
  <si>
    <t>Final_Screening_Reconciliation_1076_Reports_20260909.xlsx | FT exclusions!A82:M82</t>
  </si>
  <si>
    <t>REC-01571</t>
  </si>
  <si>
    <t>Effect of Segment Types on Characterization of Soft Sensing Textile Actuators for Soft Wearable Robots</t>
  </si>
  <si>
    <t>10.3390/biomimetics7040249</t>
  </si>
  <si>
    <t>The sensing experiment characterized textile pneumatic actuators and a soft robotic glove, without a verified participant-worn strain-output experiment.</t>
  </si>
  <si>
    <t>Final_Screening_Reconciliation_1076_Reports_20260909.xlsx | FT exclusions!A83:M83</t>
  </si>
  <si>
    <t>REC-01576</t>
  </si>
  <si>
    <t>EFFECT OF TENSILE FATIGUE CYCLIC LOADING ON PERFORMANCE OF TEXTILE-BASED STRAIN SENSORS</t>
  </si>
  <si>
    <t>10.15240/tul/008/2023-1-001</t>
  </si>
  <si>
    <t>Full text: Experimental section; cyclic-loading methods; Results and Discussion</t>
  </si>
  <si>
    <t>Eight woven textile strain-sensor specimens were evaluated mechanically using a purpose-built tensile instrument, including 500 fatigue cycles at 3.4 Hz and subsequent sensitivity measurements. The paper reports no participant-worn or on-body sensing experiment.</t>
  </si>
  <si>
    <t>Final_Screening_Reconciliation_1076_Reports_20260909.xlsx | FT exclusions!A84:M84</t>
  </si>
  <si>
    <t>REC-01655</t>
  </si>
  <si>
    <t>Zinc oxide nanorods and nanotubes arrays grown on carbon fabric by microwave hydrothermal method for self-powered piezoelectric/triboelectric sensors</t>
  </si>
  <si>
    <t>10.1016/j.tsf.2025.140601</t>
  </si>
  <si>
    <t>ScienceDirect full text: sensor methods and Figure 9</t>
  </si>
  <si>
    <t>ZnO arrays on carbon fabric were evaluated as piezoelectric/triboelectric pressure devices under finger pressing and impact. The study did not perform a textile strain or deformation-sensing experiment with strain-linked output.</t>
  </si>
  <si>
    <t>Final_Screening_Reconciliation_1076_Reports_20260909.xlsx | FT exclusions!A85:M85</t>
  </si>
  <si>
    <t>REC-01678</t>
  </si>
  <si>
    <t>Evaluation of Electrical Characteristics of Weft-Knitted Strain Sensors for Joint Motion Monitoring: Focus on Plating Stitch Structure</t>
  </si>
  <si>
    <t>10.3390/s24237581</t>
  </si>
  <si>
    <t>The knitted sensors underwent stretching and bending experiments with instrumentation; no actual human participant was reported.</t>
  </si>
  <si>
    <t>Final_Screening_Reconciliation_1076_Reports_20260909.xlsx | FT exclusions!A86:M86</t>
  </si>
  <si>
    <t>REC-01700</t>
  </si>
  <si>
    <t>Design and Evaluation of Auxetic E-textile Stretch Sensors for Wearable Technology Applications</t>
  </si>
  <si>
    <t>10.5850/jksct.2024.48.6.1320</t>
  </si>
  <si>
    <t>Final_Screening_Reconciliation_1076_Reports_20260909.xlsx | FT exclusions!A87:M87</t>
  </si>
  <si>
    <t>REC-01751</t>
  </si>
  <si>
    <t>Carbon nanotube/polyurethane core-sheath nanocomposite fibers for wearable strain sensors and electro-thermochromic textiles</t>
  </si>
  <si>
    <t>10.1088/1361-665x/ac0397</t>
  </si>
  <si>
    <t>IOPscience full text: fabrication, body-motion testing and textile demonstration</t>
  </si>
  <si>
    <t>The strain experiments use a coated CNT/PU composite fibre attached directly to the finger, wrist, throat or other body location with adhesive tape. Weaving is demonstrated for the electro-thermochromic function, while textile integration of the tested strain-sensing configuration is described only as a possible application.</t>
  </si>
  <si>
    <t>Final_Screening_Reconciliation_1076_Reports_20260909.xlsx | FT exclusions!A88:M88</t>
  </si>
  <si>
    <t>REC-01757</t>
  </si>
  <si>
    <t>All-organic, conductive and biodegradable yarns from core-shell nanofibers through electrospinning</t>
  </si>
  <si>
    <t>10.1039/d0ra05430e</t>
  </si>
  <si>
    <t>The yarn strain response was characterized separately; stitching into fabric demonstrated an electrode for a capacitive sensor rather than the strain-sensing configuration.</t>
  </si>
  <si>
    <t>Final_Screening_Reconciliation_1076_Reports_20260909.xlsx | FT exclusions!A89:M89</t>
  </si>
  <si>
    <t>REC-01770</t>
  </si>
  <si>
    <t>Wearable gas/strain sensors based on reduced graphene oxide/linen fabrics</t>
  </si>
  <si>
    <t>10.1007/s11706-019-0472-1</t>
  </si>
  <si>
    <t>Full text: Section 3.4 and Figures 8-10</t>
  </si>
  <si>
    <t>The RGO/linen fabric was tested for methane sensing and for bench strain response and cycling. The article discusses wearable healthcare potential but reports no on-body participant or worn-garment strain experiment.</t>
  </si>
  <si>
    <t>Final_Screening_Reconciliation_1076_Reports_20260909.xlsx | FT exclusions!A90:M90</t>
  </si>
  <si>
    <t>REC-01778</t>
  </si>
  <si>
    <t>In Vitro and In Vivo Biocompatibility Studies on Engineered Fabric with Graphene Nanoplatelets</t>
  </si>
  <si>
    <t>10.3390/nano12091405</t>
  </si>
  <si>
    <t>The study assessed biocompatibility of an engineered fabric; strain-sensor development was described as future work.</t>
  </si>
  <si>
    <t>Final_Screening_Reconciliation_1076_Reports_20260909.xlsx | FT exclusions!A91:M91</t>
  </si>
  <si>
    <t>REC-01801</t>
  </si>
  <si>
    <t>Ultrasensitive piezoresistive strain sensors based on CNTs/Ag-NPs coated highly stretchable textile</t>
  </si>
  <si>
    <t>10.1007/s10854-020-03531-3</t>
  </si>
  <si>
    <t>Full text: Materials and methods; Results and discussion; Conclusion</t>
  </si>
  <si>
    <t>The CNT/Ag-nanoparticle-coated stretchable textile specimens were characterized for electromechanical performance. Human-motion monitoring is discussed only as a prospective application; the study does not report an on-body participant or worn-garment strain experiment.</t>
  </si>
  <si>
    <t>Final_Screening_Reconciliation_1076_Reports_20260909.xlsx | FT exclusions!A92:M92</t>
  </si>
  <si>
    <t>REC-01873</t>
  </si>
  <si>
    <t>Fibrous inductance strain sensors for passive inductance textile sensing</t>
  </si>
  <si>
    <t>10.1016/j.mtphys.2020.100243</t>
  </si>
  <si>
    <t>ScienceDirect full text: Figures 2 and 5</t>
  </si>
  <si>
    <t>The inductance sensor remained a standalone complex yarn wound or attached directly to body joints. Garment embedding was described as a possible future configuration rather than fabricated and tested textile integration.</t>
  </si>
  <si>
    <t>Final_Screening_Reconciliation_1076_Reports_20260909.xlsx | FT exclusions!A93:M93</t>
  </si>
  <si>
    <t>REC-01881</t>
  </si>
  <si>
    <t>Maskless Formation of Conductive Carbon Layer on Leather for Highly Sensitive Flexible Strain Sensors</t>
  </si>
  <si>
    <t>10.1002/aelm.202000549</t>
  </si>
  <si>
    <t>The tested sensing substrate is leather and does not meet the prespecified textile-architecture definition.</t>
  </si>
  <si>
    <t>Final_Screening_Reconciliation_1076_Reports_20260909.xlsx | FT exclusions!A94:M94</t>
  </si>
  <si>
    <t>REC-01999</t>
  </si>
  <si>
    <t>Waterproof Electronic-Bandage with Tunable Sensitivity for Wearable Strain Sensors</t>
  </si>
  <si>
    <t>10.1021/acsami.5b12201</t>
  </si>
  <si>
    <t>The electronic bandage was a CNT/AgNP composite embedded in PDMS and attached directly to skin, not a textile-integrated strain sensor.</t>
  </si>
  <si>
    <t>Final_Screening_Reconciliation_1076_Reports_20260909.xlsx | FT exclusions!A95:M95</t>
  </si>
  <si>
    <t>REC-02081</t>
  </si>
  <si>
    <t>Human motion recognition by textile sensors based on machine learning algorithms</t>
  </si>
  <si>
    <t>10.3390/s18093109</t>
  </si>
  <si>
    <t>The record describes the intended evaluation of a textile motion-recognition system but does not report a completed participant experiment.</t>
  </si>
  <si>
    <t>Final_Screening_Reconciliation_1076_Reports_20260909.xlsx | FT exclusions!A96:M96</t>
  </si>
  <si>
    <t>REC-02090</t>
  </si>
  <si>
    <t>The effect of filler dimensionality on the electromechanical performance of polydimethylsiloxane based conductive nanocomposites for flexible strain sensors</t>
  </si>
  <si>
    <t>10.1016/j.compscitech.2016.12.014</t>
  </si>
  <si>
    <t>ScienceDirect full text: Sections 2.2 and 3, Figure 9</t>
  </si>
  <si>
    <t>The tested devices were CB/PDMS and CNT/PDMS composite strips assembled on the forefinger of a rubber glove. No textile substrate, textile architecture or textile-integrated strain configuration was fabricated or evaluated.</t>
  </si>
  <si>
    <t>Final_Screening_Reconciliation_1076_Reports_20260909.xlsx | FT exclusions!A97:M97</t>
  </si>
  <si>
    <t>REC-00002</t>
  </si>
  <si>
    <t>Flexible and Multifunctional Composites with Highly Strain Sensing and Impact Resistance Properties</t>
  </si>
  <si>
    <t>10.3390/polym16111544</t>
  </si>
  <si>
    <t>Abstract and Results/Discussion</t>
  </si>
  <si>
    <t>The complete article reports materials preparation and bench electromechanical characterization, but no participant-worn or on-body textile strain-sensing experiment. Smart protective clothing is discussed only as a prospective application.</t>
  </si>
  <si>
    <t>Final_Screening_Reconciliation_1076_Reports_20260909.xlsx | FT exclusions!A98:M98</t>
  </si>
  <si>
    <t>REC-00004</t>
  </si>
  <si>
    <t>Stretchable Woven Fabric-Based Triboelectric Nanogenerator for Energy Harvesting and Self-Powered Sensing</t>
  </si>
  <si>
    <t>10.3390/nano13050863</t>
  </si>
  <si>
    <t>Abstract, application demonstrations, and Conclusions</t>
  </si>
  <si>
    <t>The complete article reports bench deformation and hand-applied tapping or stretching demonstrations, but no specific participant-worn or on-body textile strain-output experiment. Wearable use is presented prospectively.</t>
  </si>
  <si>
    <t>Final_Screening_Reconciliation_1076_Reports_20260909.xlsx | FT exclusions!A99:M99</t>
  </si>
  <si>
    <t>REC-00043</t>
  </si>
  <si>
    <t>Novel Weft-Knitted Strain Sensors for Motion Capture</t>
  </si>
  <si>
    <t>10.3390/mi15020222</t>
  </si>
  <si>
    <t>Methods, Results, and Conclusions</t>
  </si>
  <si>
    <t>The complete article evaluates five sensor samples through cyclic tensile testing, but reports no participant-worn strain-output experiment; sensory leggings and wearable investigations are stated as future development.</t>
  </si>
  <si>
    <t>Final_Screening_Reconciliation_1076_Reports_20260909.xlsx | FT exclusions!A100:M100</t>
  </si>
  <si>
    <t>REC-00142</t>
  </si>
  <si>
    <t>Study of Performance of Knitted Conductive Sleeves as Wearable Textile Strain Sensors for Joint Motion Tracking</t>
  </si>
  <si>
    <t>10.1109/embc44109.2020.9176429</t>
  </si>
  <si>
    <t>Conference-only paper</t>
  </si>
  <si>
    <t>Journal/source metadata and DOI record</t>
  </si>
  <si>
    <t>The report is a paper in the Annual International Conference of the IEEE Engineering in Medicine and Biology Society, not an original peer-reviewed journal article.</t>
  </si>
  <si>
    <t>Final_Screening_Reconciliation_1076_Reports_20260909.xlsx | FT exclusions!A101:M101</t>
  </si>
  <si>
    <t>REC-00230</t>
  </si>
  <si>
    <t>Data on kilometer scale production of stretchable conductive multifilaments enables knitting wearable strain sensing textiles</t>
  </si>
  <si>
    <t>10.1016/j.dib.2018.04.090</t>
  </si>
  <si>
    <t>Companion</t>
  </si>
  <si>
    <t>Companion data article for an already represented primary study</t>
  </si>
  <si>
    <t>Abstract and linked primary-article statement</t>
  </si>
  <si>
    <t>The Data in Brief article explicitly states that it supplies analyzed data for the primary article 'Continuous Production of Stretchable Conductive Multifilaments in Kilometer Scale Enables Facile Knitting of Wearable Strain Sensing Textiles' (10.1016/j.apmt.2018.02.012), which is already represented as REC-00275.</t>
  </si>
  <si>
    <t>Final_Screening_Reconciliation_1076_Reports_20260909.xlsx | FT exclusions!A102:M102</t>
  </si>
  <si>
    <t>REC-00288</t>
  </si>
  <si>
    <t>Determinants of electrical resistance change of in situ PPy-polymerized stretch plain woven fabric under uniaxial tensile strain</t>
  </si>
  <si>
    <t>10.1080/00405000.2016.1261603</t>
  </si>
  <si>
    <t>Complete article; tensile evaluation</t>
  </si>
  <si>
    <t>PPy-coated stretch-woven fabrics were evaluated under bench uniaxial tensile loading only.</t>
  </si>
  <si>
    <t>Final_Screening_Reconciliation_1076_Reports_20260909.xlsx | FT exclusions!A103:M103</t>
  </si>
  <si>
    <t>REC-00350</t>
  </si>
  <si>
    <t>Appearance and conductivity of weft-knitted unibody positioning flexible sensor</t>
  </si>
  <si>
    <t>10.1108/ijcst-03-2022-0039</t>
  </si>
  <si>
    <t>Complete article; stretching-machine evaluation</t>
  </si>
  <si>
    <t>The weft-knitted sensor was characterized on a stretching machine that simulated wearing; no actual participant-worn test was reported.</t>
  </si>
  <si>
    <t>Final_Screening_Reconciliation_1076_Reports_20260909.xlsx | FT exclusions!A104:M104</t>
  </si>
  <si>
    <t>REC-00389</t>
  </si>
  <si>
    <t>Flexible and strain conductive cotton yarn enabled by low-temperature sintering of silver paste with multifunctional sensing capability in human motion detection and wearable applications</t>
  </si>
  <si>
    <t>10.1016/j.cej.2023.144843</t>
  </si>
  <si>
    <t>No tested textile-integrated strain-sensing configuration</t>
  </si>
  <si>
    <t>Complete article; fabrication and application sections</t>
  </si>
  <si>
    <t>The SSP-CY sensor was encapsulated between polyethylene films and attached directly; textile integration was not experimentally evaluated.</t>
  </si>
  <si>
    <t>Final_Screening_Reconciliation_1076_Reports_20260909.xlsx | FT exclusions!A105:M105</t>
  </si>
  <si>
    <t>REC-00455</t>
  </si>
  <si>
    <t>A Weft Knit Data Glove</t>
  </si>
  <si>
    <t>10.1109/tim.2021.3068173</t>
  </si>
  <si>
    <t>Complete article; data-glove evaluation</t>
  </si>
  <si>
    <t>The knitted data glove was evaluated on a robotic hand only; no participant-worn strain experiment was reported.</t>
  </si>
  <si>
    <t>Final_Screening_Reconciliation_1076_Reports_20260909.xlsx | FT exclusions!A106:M106</t>
  </si>
  <si>
    <t>REC-00535</t>
  </si>
  <si>
    <t>Knitting Elastic Conductive Fibers of MXene/Natural Rubber for Multifunctional Wearable Sensors</t>
  </si>
  <si>
    <t>10.3390/polym16131824</t>
  </si>
  <si>
    <t>Complete article; device fabrication and application sections</t>
  </si>
  <si>
    <t>MXene/natural-rubber fibers were tested as strain sensors, whereas the knitted textile was evaluated only as a capacitive touch sensor.</t>
  </si>
  <si>
    <t>Final_Screening_Reconciliation_1076_Reports_20260909.xlsx | FT exclusions!A107:M107</t>
  </si>
  <si>
    <t>REC-00541</t>
  </si>
  <si>
    <t>Helical core-sheath elastic yarn-based dual strain/humidity sensors with MXene sensing layer</t>
  </si>
  <si>
    <t>10.1007/s10853-020-04425-9</t>
  </si>
  <si>
    <t>Complete article; application section</t>
  </si>
  <si>
    <t>The helical yarn sensor was attached directly to body regions; no knitted, woven, sewn or garment-integrated strain-sensing configuration was tested.</t>
  </si>
  <si>
    <t>Final_Screening_Reconciliation_1076_Reports_20260909.xlsx | FT exclusions!A108:M108</t>
  </si>
  <si>
    <t>REC-00549</t>
  </si>
  <si>
    <t>Fully Printable LC Resonator Chipless RFID Strain Sensor on Textile via Screen Printing</t>
  </si>
  <si>
    <t>10.1155/js/1845098</t>
  </si>
  <si>
    <t>Complete article; Methods, Results and Conclusion</t>
  </si>
  <si>
    <t>The textile-integrated chipless RFID strain sensor was evaluated in a mechanical stretching jig to 150% strain; wearable joint monitoring was described as a future application.</t>
  </si>
  <si>
    <t>Final_Screening_Reconciliation_1076_Reports_20260909.xlsx | FT exclusions!A109:M109</t>
  </si>
  <si>
    <t>REC-00631</t>
  </si>
  <si>
    <t>Graphene-Coated Spandex Sensors Embedded into Silicone Sheath for Composites Health Monitoring and Wearable Applications</t>
  </si>
  <si>
    <t>10.1002/smll.201804991</t>
  </si>
  <si>
    <t>Complete article; wearable demonstration</t>
  </si>
  <si>
    <t>A coated spandex yarn/silicone-sheath sensor was tested on the body; the composite-fabric experiment addressed structural-health use rather than textile-integrated wearable strain sensing.</t>
  </si>
  <si>
    <t>Final_Screening_Reconciliation_1076_Reports_20260909.xlsx | FT exclusions!A110:M110</t>
  </si>
  <si>
    <t>REC-00646</t>
  </si>
  <si>
    <t>Predicting Linear Elongation With Conductive Thread-Based Sensors</t>
  </si>
  <si>
    <t>10.1109/jsen.2017.2743459</t>
  </si>
  <si>
    <t>Complete IEEE article; mechanical evaluation</t>
  </si>
  <si>
    <t>The stitched sensors were evaluated on a mechanical apparatus only; no participant-worn strain experiment was reported.</t>
  </si>
  <si>
    <t>Final_Screening_Reconciliation_1076_Reports_20260909.xlsx | FT exclusions!A111:M111</t>
  </si>
  <si>
    <t>REC-00690</t>
  </si>
  <si>
    <t>Ultra tough and high resilience mechanochromic fibres for real world stress detection</t>
  </si>
  <si>
    <t>10.1038/s41467-025-57522-1</t>
  </si>
  <si>
    <t>Complete article; results and application sections</t>
  </si>
  <si>
    <t>The mechanochromic fibers were characterized under mechanical loading, but the article did not report a participant-worn or on-body strain-sensing experiment.</t>
  </si>
  <si>
    <t>Final_Screening_Reconciliation_1076_Reports_20260909.xlsx | FT exclusions!A112:M112</t>
  </si>
  <si>
    <t>REC-00695</t>
  </si>
  <si>
    <t>Wearable Carbon Nanotube-Spandex Textile Yarns for Knee Flexion Monitoring</t>
  </si>
  <si>
    <t>10.1002/adsr.202200021</t>
  </si>
  <si>
    <t>Complete article; knee-application section</t>
  </si>
  <si>
    <t>A CNT-spandex yarn sensor was mounted with a 3D-printed knee brace rather than tested as a textile- or garment-integrated strain sensor.</t>
  </si>
  <si>
    <t>Final_Screening_Reconciliation_1076_Reports_20260909.xlsx | FT exclusions!A113:M113</t>
  </si>
  <si>
    <t>REC-00711</t>
  </si>
  <si>
    <t>Friction spun spandex/rGO/Ag/polyester core-sheath yarn with antibacterial activity for wearable sensors</t>
  </si>
  <si>
    <t>10.1016/j.surfin.2023.103746</t>
  </si>
  <si>
    <t>Complete article; wearable and textile application sections</t>
  </si>
  <si>
    <t>The sensing yarn was taped directly to the body; the woven-fabric experiment addressed antibacterial performance rather than strain sensing.</t>
  </si>
  <si>
    <t>Final_Screening_Reconciliation_1076_Reports_20260909.xlsx | FT exclusions!A114:M114</t>
  </si>
  <si>
    <t>REC-00730</t>
  </si>
  <si>
    <t>Flexible strain sensors fabricated using aligned carbon nanofiber membranes with cross-stacked structure for extensive applications</t>
  </si>
  <si>
    <t>10.1080/19475411.2022.2091059</t>
  </si>
  <si>
    <t>Complete article; preparation and Figure 6 applications</t>
  </si>
  <si>
    <t>The carbon-nanofiber membrane/TPU device was attached directly to wrist, finger and throat; textile integration was described as possible but not experimentally tested.</t>
  </si>
  <si>
    <t>Final_Screening_Reconciliation_1076_Reports_20260909.xlsx | FT exclusions!A115:M115</t>
  </si>
  <si>
    <t>REC-00852</t>
  </si>
  <si>
    <t>Multifunctional Smart Textronics with Blow-Spun Nonwoven Fabrics</t>
  </si>
  <si>
    <t>10.1002/adfm.201900025</t>
  </si>
  <si>
    <t>Complete article; application sections</t>
  </si>
  <si>
    <t>The all-fabric capacitive strain sensor was characterized on the bench; on-body experiments used the fabric as biopotential or electrodermal electrodes rather than as a strain sensor.</t>
  </si>
  <si>
    <t>Final_Screening_Reconciliation_1076_Reports_20260909.xlsx | FT exclusions!A116:M116</t>
  </si>
  <si>
    <t>REC-00859</t>
  </si>
  <si>
    <t>Flexible, superhydrophobic, and electrically conductive polymer nanofiber composite for multifunctional sensing applications</t>
  </si>
  <si>
    <t>10.1016/j.cej.2019.122778</t>
  </si>
  <si>
    <t>Complete article; device integration and application sections</t>
  </si>
  <si>
    <t>The electrospun composite sensor was attached directly to the body and was not experimentally integrated into a textile structure or garment.</t>
  </si>
  <si>
    <t>Final_Screening_Reconciliation_1076_Reports_20260909.xlsx | FT exclusions!A117:M117</t>
  </si>
  <si>
    <t>REC-00881</t>
  </si>
  <si>
    <t>Laser-Induced Graphene Derived from Aramid Nanofiber Films as Flexible Strain Sensors</t>
  </si>
  <si>
    <t>10.1021/acsanm.5c03840</t>
  </si>
  <si>
    <t>Complete article; on-body demonstrations</t>
  </si>
  <si>
    <t>The laser-induced graphene sensor was formed on an aramid nanofiber film and attached directly to the body without tested textile integration.</t>
  </si>
  <si>
    <t>Final_Screening_Reconciliation_1076_Reports_20260909.xlsx | FT exclusions!A118:M118</t>
  </si>
  <si>
    <t>REC-00887</t>
  </si>
  <si>
    <t>Ultralow-CostGraphene/Fabric-Based Sensors: Characterizati on and Preliminary Results</t>
  </si>
  <si>
    <t>10.1109/jsen.2023.3310588</t>
  </si>
  <si>
    <t>Article abstract and complete experimental description</t>
  </si>
  <si>
    <t>The graphene/polyester fabric sensor was characterized for bench strain and acoustic signals; no participant-worn strain experiment was reported.</t>
  </si>
  <si>
    <t>Final_Screening_Reconciliation_1076_Reports_20260909.xlsx | FT exclusions!A119:M119</t>
  </si>
  <si>
    <t>REC-00892</t>
  </si>
  <si>
    <t>Manufacturing High Sensitive Strain Sensor of Polyurethane Nanofiber Mat/AgNWs by Simple Dip-dry Method</t>
  </si>
  <si>
    <t>10.1007/s12221-020-9521-8</t>
  </si>
  <si>
    <t>Complete article; wearable application section</t>
  </si>
  <si>
    <t>The electrospun PU nanofiber mat/AgNW sensor was attached directly to the finger or wrist without tested textile integration.</t>
  </si>
  <si>
    <t>Final_Screening_Reconciliation_1076_Reports_20260909.xlsx | FT exclusions!A120:M120</t>
  </si>
  <si>
    <t>REC-00930</t>
  </si>
  <si>
    <t>Design and implementation of a wearable patch antenna that serves as a longitudinal strain sensor</t>
  </si>
  <si>
    <t>10.1177/00405175211013828</t>
  </si>
  <si>
    <t>Complete article; antenna evaluation</t>
  </si>
  <si>
    <t>The wearable cotton-fabric patch antenna was evaluated by simulation and experimental rig; human monitoring was described as future work.</t>
  </si>
  <si>
    <t>Final_Screening_Reconciliation_1076_Reports_20260909.xlsx | FT exclusions!A121:M121</t>
  </si>
  <si>
    <t>REC-00942</t>
  </si>
  <si>
    <t>An uncoupled strategy inspired by the rice leaf surface for textile-based multi-protective wearables</t>
  </si>
  <si>
    <t>10.1016/j.cej.2026.173947</t>
  </si>
  <si>
    <t>Complete article; demonstration section</t>
  </si>
  <si>
    <t>The reported strain demonstrations were limited to ruler vibration, bending and twisting on the bench.</t>
  </si>
  <si>
    <t>Final_Screening_Reconciliation_1076_Reports_20260909.xlsx | FT exclusions!A122:M122</t>
  </si>
  <si>
    <t>REC-00961</t>
  </si>
  <si>
    <t>Waste Cotton-Derived Fiber-Based Thermoelectric Aerogel for Wearable and Self-Powered Temperature-Compression Strain Dual-Parameter Sensing</t>
  </si>
  <si>
    <t>10.1016/j.eng.2024.01.015</t>
  </si>
  <si>
    <t>Complete article; multimodal application section</t>
  </si>
  <si>
    <t>The aerogel compression/strain sensor was attached directly to the wrist or throat; textile integration was evaluated only for other sensing modalities.</t>
  </si>
  <si>
    <t>Final_Screening_Reconciliation_1076_Reports_20260909.xlsx | FT exclusions!A123:M123</t>
  </si>
  <si>
    <t>REC-00964</t>
  </si>
  <si>
    <t>Stretchable multi-mode sensor with single and simultaneous sensing modes for human neck motion tracking</t>
  </si>
  <si>
    <t>10.1016/j.apmt.2023.101874</t>
  </si>
  <si>
    <t>Complete article; neck-motion demonstration</t>
  </si>
  <si>
    <t>The yarn sensor was attached directly to the neck without an experimentally tested textile- or garment-integrated strain-sensing configuration.</t>
  </si>
  <si>
    <t>Final_Screening_Reconciliation_1076_Reports_20260909.xlsx | FT exclusions!A124:M124</t>
  </si>
  <si>
    <t>REC-01005</t>
  </si>
  <si>
    <t>Highly Stretchable Strain Sensor with Both an Ultrawide Workable Range and an Ultralow Detection Limit for Human Health Monitoring</t>
  </si>
  <si>
    <t>10.1021/acsanm.4c04593</t>
  </si>
  <si>
    <t>Complete article; volunteer experiment</t>
  </si>
  <si>
    <t>The electrospun OBC/PEG fibrous-film sensor was mounted directly on the volunteer's body without demonstrated textile integration.</t>
  </si>
  <si>
    <t>Final_Screening_Reconciliation_1076_Reports_20260909.xlsx | FT exclusions!A125:M125</t>
  </si>
  <si>
    <t>REC-01013</t>
  </si>
  <si>
    <t>An integrated wearable strain, temperature and humidity sensor for multifunctional monitoring</t>
  </si>
  <si>
    <t>10.1016/j.compositesa.2021.106504</t>
  </si>
  <si>
    <t>Complete article; strain and temperature demonstrations</t>
  </si>
  <si>
    <t>Strain sensing was evaluated only on the bench; the on-body experiment concerned the temperature modality.</t>
  </si>
  <si>
    <t>Final_Screening_Reconciliation_1076_Reports_20260909.xlsx | FT exclusions!A126:M126</t>
  </si>
  <si>
    <t>REC-01161</t>
  </si>
  <si>
    <t>Highly piezoresistive compliant nanofibrous sensors for tactile and epidermal electronic applications</t>
  </si>
  <si>
    <t>10.1557/jmr.2014.361</t>
  </si>
  <si>
    <t>Complete article; Experimental and epidermal-monitoring sections</t>
  </si>
  <si>
    <t>The electrospun nanofiber mesh was encapsulated in PDMS and adhered directly to epidermis; it was not tested as a knitted, woven, sewn or garment-integrated strain sensor.</t>
  </si>
  <si>
    <t>Final_Screening_Reconciliation_1076_Reports_20260909.xlsx | FT exclusions!A127:M127</t>
  </si>
  <si>
    <t>REC-01199</t>
  </si>
  <si>
    <t>Multilayer flexible fiber sensor integrated with solar thermal regulated relaxation, electromagnetic interference shielding, and sustainability</t>
  </si>
  <si>
    <t>10.1016/j.cej.2026.172624</t>
  </si>
  <si>
    <t>Complete article; strain and heating applications</t>
  </si>
  <si>
    <t>The conductive fiber was attached directly for human-motion sensing; its fabric integration was evaluated for heating rather than strain sensing.</t>
  </si>
  <si>
    <t>Final_Screening_Reconciliation_1076_Reports_20260909.xlsx | FT exclusions!A128:M128</t>
  </si>
  <si>
    <t>REC-01215</t>
  </si>
  <si>
    <t>Highly sensitive tubular strain sensors: From nanofiber arrangements and conductive carbon materials perspectives</t>
  </si>
  <si>
    <t>10.1016/j.mtcomm.2025.111569</t>
  </si>
  <si>
    <t>Complete article; wearable demonstrations</t>
  </si>
  <si>
    <t>The tubular electrospun sensor was attached directly to joints or socks without a tested textile-integrated strain-sensing configuration.</t>
  </si>
  <si>
    <t>Final_Screening_Reconciliation_1076_Reports_20260909.xlsx | FT exclusions!A129:M129</t>
  </si>
  <si>
    <t>REC-01226</t>
  </si>
  <si>
    <t>Biomimetic Spinning of Strong and Hyperstable Eutectogel Fibers for Multifunctional Ionotronics</t>
  </si>
  <si>
    <t>10.1021/acsapm.4c03999</t>
  </si>
  <si>
    <t>Complete article; multimodal demonstrations</t>
  </si>
  <si>
    <t>The eutectogel fiber was attached directly to joints; the woven grid/fabric was used for pressure or temperature rather than textile-integrated strain sensing.</t>
  </si>
  <si>
    <t>Final_Screening_Reconciliation_1076_Reports_20260909.xlsx | FT exclusions!A130:M130</t>
  </si>
  <si>
    <t>REC-01270</t>
  </si>
  <si>
    <t>Self-adhesive and contractile silk fibroin/graphene nano-ionotronic skin for strain sensing of irregular surfaces</t>
  </si>
  <si>
    <t>10.1088/1361-6528/ac137e</t>
  </si>
  <si>
    <t>Complete article/repository full text; artificial-skin demonstration</t>
  </si>
  <si>
    <t>The electro-blown silk-fibroin/graphene nano-ionotronic artificial skin was attached directly to the arm or hand without textile integration.</t>
  </si>
  <si>
    <t>Final_Screening_Reconciliation_1076_Reports_20260909.xlsx | FT exclusions!A131:M131</t>
  </si>
  <si>
    <t>REC-01281</t>
  </si>
  <si>
    <t>Self-Adhesive Breathable Janus Nanofiber Membrane-Based Wearable Patch for On-Body Motion Monitoring</t>
  </si>
  <si>
    <t>10.1007/s12221-026-01514-5</t>
  </si>
  <si>
    <t>Complete article; fabrication and wearable application sections</t>
  </si>
  <si>
    <t>The electrospun Janus nanofiber membrane was used as a directly adhered patch rather than being experimentally integrated into a textile or garment strain-sensing structure.</t>
  </si>
  <si>
    <t>Final_Screening_Reconciliation_1076_Reports_20260909.xlsx | FT exclusions!A132:M132</t>
  </si>
  <si>
    <t>REC-01286</t>
  </si>
  <si>
    <t>Bioinspired cattail-like high-sensitivity, wide strain range, and robust TPU@CNT fiber sensor for motion monitoring</t>
  </si>
  <si>
    <t>10.1016/j.sna.2026.118293</t>
  </si>
  <si>
    <t>Complete article; body-motion demonstrations</t>
  </si>
  <si>
    <t>The TPU@CNT fiber was attached directly to joints; textile integration was proposed rather than experimentally tested.</t>
  </si>
  <si>
    <t>Final_Screening_Reconciliation_1076_Reports_20260909.xlsx | FT exclusions!A133:M133</t>
  </si>
  <si>
    <t>REC-01306</t>
  </si>
  <si>
    <t>Breathable, superhydrophobic and multifunctional Janus nanofibers for dual-mode passive thermal management/facial expression recognition with deep learning</t>
  </si>
  <si>
    <t>10.1016/j.cej.2025.159759</t>
  </si>
  <si>
    <t>Complete article; mask application</t>
  </si>
  <si>
    <t>The Janus nanofiber membrane was placed under a mask but was not integrated into a textile structure or garment as a strain sensor.</t>
  </si>
  <si>
    <t>Final_Screening_Reconciliation_1076_Reports_20260909.xlsx | FT exclusions!A134:M134</t>
  </si>
  <si>
    <t>REC-01338</t>
  </si>
  <si>
    <t>Spinning solution viscosity reducing and wet spinning of carbon black-based elastic conductive fibers for sports monitoring and healthcare electrical heating</t>
  </si>
  <si>
    <t>10.1016/j.jmrt.2025.03.096</t>
  </si>
  <si>
    <t>Complete article; strain and heating demonstrations</t>
  </si>
  <si>
    <t>The conductive fiber was fixed directly to joints; the woven fabric was evaluated for heating rather than strain sensing.</t>
  </si>
  <si>
    <t>Final_Screening_Reconciliation_1076_Reports_20260909.xlsx | FT exclusions!A135:M135</t>
  </si>
  <si>
    <t>REC-01347</t>
  </si>
  <si>
    <t>Polyvinyl alcohol/sodium alginate dual-network axial heterostructure gel fibers for high-efficiency moisture-induced electricity generation and wearable sensing</t>
  </si>
  <si>
    <t>10.1016/j.ijbiomac.2025.149751</t>
  </si>
  <si>
    <t>Complete article; human-motion section</t>
  </si>
  <si>
    <t>The hydrogel fiber was attached directly to the body without a tested knitted, woven, sewn or garment-integrated strain-sensing configuration.</t>
  </si>
  <si>
    <t>Final_Screening_Reconciliation_1076_Reports_20260909.xlsx | FT exclusions!A136:M136</t>
  </si>
  <si>
    <t>REC-01387</t>
  </si>
  <si>
    <t>Tunable CNT/CB hybrid percolation networks in TPU nanofibers for enhanced strain sensing performances</t>
  </si>
  <si>
    <t>10.1016/j.sna.2026.118011</t>
  </si>
  <si>
    <t>The electrospun TPU nanofiber membrane was attached directly to the finger, elbow or knee rather than integrated into a textile structure.</t>
  </si>
  <si>
    <t>Final_Screening_Reconciliation_1076_Reports_20260909.xlsx | FT exclusions!A137:M137</t>
  </si>
  <si>
    <t>REC-01417</t>
  </si>
  <si>
    <t>Nacre-mimetic electronic skin based on multilayered Ti3C2Tx/carbon nanotubes/thermoplastic polyurethane fibrous mat with self-powered ability for postural correction training; [基于具有自供电能力的多层Ti3C2Tx/碳纳米管/热塑 性聚氨酯纤维膜的仿珍珠层电子皮肤, 用于姿势矫正 训练]</t>
  </si>
  <si>
    <t>10.1007/s40843-025-3496-5</t>
  </si>
  <si>
    <t>Complete article; e-skin demonstration</t>
  </si>
  <si>
    <t>The multilayer TPU fibrous-mat e-skin was attached directly to the body and was not integrated into a textile or garment.</t>
  </si>
  <si>
    <t>Final_Screening_Reconciliation_1076_Reports_20260909.xlsx | FT exclusions!A138:M138</t>
  </si>
  <si>
    <t>REC-01485</t>
  </si>
  <si>
    <t>Antimicrobial and breathable membranes with printed carbon nanotube-silver composite conductive layers for electronic sensing</t>
  </si>
  <si>
    <t>10.1039/d5sc05696a</t>
  </si>
  <si>
    <t>Complete article; epidermal demonstration</t>
  </si>
  <si>
    <t>The electrospun Tecoflex nanofiber e-skin was attached directly to skin without a conventional textile- or garment-integrated strain-sensing configuration.</t>
  </si>
  <si>
    <t>Final_Screening_Reconciliation_1076_Reports_20260909.xlsx | FT exclusions!A139:M139</t>
  </si>
  <si>
    <t>REC-01519</t>
  </si>
  <si>
    <t>High performance strain sensor based on TPU/PAN with MXene/ILs dual conductive network for human health monitoring and handwriting recognition</t>
  </si>
  <si>
    <t>10.1016/j.diamond.2025.112536</t>
  </si>
  <si>
    <t>The TPU/PAN fibrous film was attached directly to the body or a finger sleeve without demonstrated textile integration.</t>
  </si>
  <si>
    <t>Final_Screening_Reconciliation_1076_Reports_20260909.xlsx | FT exclusions!A140:M140</t>
  </si>
  <si>
    <t>REC-01530</t>
  </si>
  <si>
    <t>A hierarchically structured fibrous sensor with temperature-responsive adhesion for wearable applications</t>
  </si>
  <si>
    <t>10.1016/j.matdes.2025.114694</t>
  </si>
  <si>
    <t>The self-adhesive fibrous film was applied directly to skin and was not tested as a textile-integrated strain sensor.</t>
  </si>
  <si>
    <t>Final_Screening_Reconciliation_1076_Reports_20260909.xlsx | FT exclusions!A141:M141</t>
  </si>
  <si>
    <t>REC-01556</t>
  </si>
  <si>
    <t>A fish-skin-inspired wearable scale-ionogel composite for impact protection and motion sensing</t>
  </si>
  <si>
    <t>10.1016/j.cej.2026.179736</t>
  </si>
  <si>
    <t>Complete article; protective wearable design</t>
  </si>
  <si>
    <t>The ionogel/3D-printed nylon-carbon-fiber assembly was a wearable composite protector but not an experimentally textile-integrated strain sensor.</t>
  </si>
  <si>
    <t>Final_Screening_Reconciliation_1076_Reports_20260909.xlsx | FT exclusions!A142:M142</t>
  </si>
  <si>
    <t>REC-01602</t>
  </si>
  <si>
    <t>Effects of MWCNT and Sodium Dodecyl Sulfate (SDS) contents on the electrical conductivity and sensor properties of thermoplastic polyurethane nanosurfaces; [Influența conținutului de MWCNT și de dodecil sulfat de sodiu (SDS) asupra conductivității electrice și proprietăților senzoriale ale nanosuprafețelor din poliuretan termoplastic]</t>
  </si>
  <si>
    <t>10.35530/it.075.01.2023105</t>
  </si>
  <si>
    <t>Complete article; Materials, Results and Conclusions</t>
  </si>
  <si>
    <t>Electrospun MWCNT/TPU nanocomposite surfaces were mechanically strain-tested for 100 cycles, but no textile- or garment-integrated strain configuration was evaluated.</t>
  </si>
  <si>
    <t>Final_Screening_Reconciliation_1076_Reports_20260909.xlsx | FT exclusions!A143:M143</t>
  </si>
  <si>
    <t>REC-01633</t>
  </si>
  <si>
    <t>Electromechanical Properties of Silver-Plated Yarns and Their Relation to Yarn Construction Parameters</t>
  </si>
  <si>
    <t>10.3390/polym15214210</t>
  </si>
  <si>
    <t>Complete article; fabrication and tensile-testing sections</t>
  </si>
  <si>
    <t>Only conductive yarn specimens were tested in axial tension; textile or garment integration was discussed but not experimentally evaluated for strain sensing.</t>
  </si>
  <si>
    <t>Final_Screening_Reconciliation_1076_Reports_20260909.xlsx | FT exclusions!A144:M144</t>
  </si>
  <si>
    <t>REC-01665</t>
  </si>
  <si>
    <t>Correlating interface pressure with strain-induced electrical resistance changes of smart knitted compression stockings</t>
  </si>
  <si>
    <t>10.1177/15280837251317973</t>
  </si>
  <si>
    <t>Complete article; pressure and resistance experiments</t>
  </si>
  <si>
    <t>The smart knitted compression stocking was evaluated on a leg mannequin; no participant-worn experiment was reported.</t>
  </si>
  <si>
    <t>Final_Screening_Reconciliation_1076_Reports_20260909.xlsx | FT exclusions!A145:M145</t>
  </si>
  <si>
    <t>REC-01712</t>
  </si>
  <si>
    <t>High-Strength and High-Conductivity Core-Sheath Hydrogel Long Fibers for Stretchable Ionic Strain Sensors</t>
  </si>
  <si>
    <t>10.1007/s12221-024-00606-4</t>
  </si>
  <si>
    <t>An individual hydrogel fiber was attached to the finger and wrist for strain sensing; the e-textile assembly was evaluated for pressure mapping, not textile-integrated strain sensing.</t>
  </si>
  <si>
    <t>Final_Screening_Reconciliation_1076_Reports_20260909.xlsx | FT exclusions!A146:M146</t>
  </si>
  <si>
    <t>REC-01726</t>
  </si>
  <si>
    <t>COATING OF ELECTRO-CONDUCTIVE SEWING THREADS TO PRESERVE THE FUNCTIONALITY OF THE TEXTILE RESISTIVE STRAIN SENSORS</t>
  </si>
  <si>
    <t>2-s2.0-85152284525</t>
  </si>
  <si>
    <t>Not an eligible peer-reviewed journal article</t>
  </si>
  <si>
    <t>Bibliographic record and source publication</t>
  </si>
  <si>
    <t>The item is a UNITEX conference/extended abstract rather than an original journal article.</t>
  </si>
  <si>
    <t>Final_Screening_Reconciliation_1076_Reports_20260909.xlsx | FT exclusions!A147:M147</t>
  </si>
  <si>
    <t>REC-01771</t>
  </si>
  <si>
    <t>Ultrasensitive and Wearable Carbon Hybrid Fiber Devices as Robust Intelligent Sensors</t>
  </si>
  <si>
    <t>10.1021/acsami.1c03615</t>
  </si>
  <si>
    <t>Carbon hybrid fibers were encapsulated in PDMS and attached directly to the body without textile integration.</t>
  </si>
  <si>
    <t>Final_Screening_Reconciliation_1076_Reports_20260909.xlsx | FT exclusions!A148:M148</t>
  </si>
  <si>
    <t>REC-01772</t>
  </si>
  <si>
    <t>Study of anisotropic electrical resistance of knitted fabrics</t>
  </si>
  <si>
    <t>10.1177/0040517518763978</t>
  </si>
  <si>
    <t>Complete article; electrical-anisotropy experiment</t>
  </si>
  <si>
    <t>The knitted fabrics were studied for planar electrical anisotropy only; no participant-worn strain-sensing test was reported.</t>
  </si>
  <si>
    <t>Final_Screening_Reconciliation_1076_Reports_20260909.xlsx | FT exclusions!A149:M149</t>
  </si>
  <si>
    <t>REC-01774</t>
  </si>
  <si>
    <t>A deep learning approach to non-linearity in wearable stretch sensors</t>
  </si>
  <si>
    <t>10.3389/frobt.2019.00027</t>
  </si>
  <si>
    <t>Commercial textile and elastomeric stretch sensors were manually strained in a webcam calibration rig; wearable placement was a proposed use case rather than a reported participant experiment.</t>
  </si>
  <si>
    <t>Final_Screening_Reconciliation_1076_Reports_20260909.xlsx | FT exclusions!A150:M150</t>
  </si>
  <si>
    <t>REC-01848</t>
  </si>
  <si>
    <t>Significant stretchability enhancement of a crack-based strain sensor combined with high sensitivity and superior durability for motion monitoring</t>
  </si>
  <si>
    <t>10.1021/acsami.8b20768</t>
  </si>
  <si>
    <t>Complete article; body-motion demonstration</t>
  </si>
  <si>
    <t>The crack-based electrospun TPU fibrous-mat sensor was attached directly to the body rather than integrated into a textile structure.</t>
  </si>
  <si>
    <t>Final_Screening_Reconciliation_1076_Reports_20260909.xlsx | FT exclusions!A151:M151</t>
  </si>
  <si>
    <t>REC-01918</t>
  </si>
  <si>
    <t>Multifunctional conductive hydrogel/thermochromic elastomer hybrid fibers with a core-shell segmental configuration for wearable strain and temperature sensors</t>
  </si>
  <si>
    <t>10.1021/acsami.9b20612</t>
  </si>
  <si>
    <t>Complete article; strain and color-fabric demonstrations</t>
  </si>
  <si>
    <t>The hybrid hydrogel/thermochromic fiber was attached directly for respiration and joint sensing; its woven fabric was not used for the strain-mediated human experiment.</t>
  </si>
  <si>
    <t>Final_Screening_Reconciliation_1076_Reports_20260909.xlsx | FT exclusions!A152:M152</t>
  </si>
  <si>
    <t>REC-01922</t>
  </si>
  <si>
    <t>Highly stretchable, anti-corrosive and wearable strain sensors based on the PDMS/CNTs decorated elastomer nanofiber composite</t>
  </si>
  <si>
    <t>10.1016/j.cej.2019.01.014</t>
  </si>
  <si>
    <t>Complete article; human-motion demonstration</t>
  </si>
  <si>
    <t>The electrospun TPU/CNT/PDMS composite strip was attached directly to the body rather than integrated into a textile structure.</t>
  </si>
  <si>
    <t>Final_Screening_Reconciliation_1076_Reports_20260909.xlsx | FT exclusions!A153:M153</t>
  </si>
  <si>
    <t>REC-02127</t>
  </si>
  <si>
    <t>Posture correction for juvenile idiopathic scoliosis using flexible fabric stretch sensors</t>
  </si>
  <si>
    <t>10.14419/ijet.v7i2.24.12012</t>
  </si>
  <si>
    <t>Complete 3-page article; Materials and methodology</t>
  </si>
  <si>
    <t>The paper describes a proposed scoliosis alert device using a flexible component fixed to fabric, but reports no participant-worn strain-output experiment or quantitative validation.</t>
  </si>
  <si>
    <t>Final_Screening_Reconciliation_1076_Reports_20260909.xlsx | FT exclusions!A154:M154</t>
  </si>
  <si>
    <t>REC-02185</t>
  </si>
  <si>
    <t>Airflow-Induced Flexoelectric Bending Sensors for Human Breath Detection</t>
  </si>
  <si>
    <t>10.1109/jsen.2024.3350748</t>
  </si>
  <si>
    <t>Complete IEEE article; ear-mounted breathing sensor</t>
  </si>
  <si>
    <t>The electrospun Mn3O4@PVDF film was used in an ear-mounted sensor and was not integrated into a textile or garment.</t>
  </si>
  <si>
    <t>Final_Screening_Reconciliation_1076_Reports_20260909.xlsx | FT exclusions!A155:M155</t>
  </si>
  <si>
    <t>REC-00249</t>
  </si>
  <si>
    <t>INVESTIGATION OF THE MECHANICAL TESTING CONDITIONS ON SENSING PROPERTIES OF TEXTILE-BASED STRAIN SENSOR</t>
  </si>
  <si>
    <t>WOS:000404798600001</t>
  </si>
  <si>
    <t>C4: no human worn demonstration</t>
  </si>
  <si>
    <t>Methods, Sections 2.3.2-2.3.3; Future work; pp. 6-8</t>
  </si>
  <si>
    <t>The complete article reports quasi-static and tensile-machine tests, including 40% strain and varied crosshead speeds. Human elbow and knee monitoring is listed as future work; no participant or worn-garment sensor output is reported.</t>
  </si>
  <si>
    <t>Final_Screening_Reconciliation_1076_Reports_20260909.xlsx | Pending retrieval!A12:U12</t>
  </si>
  <si>
    <t>REC-00282</t>
  </si>
  <si>
    <t>Multifunctional polypyrrole and rose-like silver flower-decorated E-textile with outstanding pressure/strain sensing and energy storage performance</t>
  </si>
  <si>
    <t>10.1016/j.cej.2021.130823</t>
  </si>
  <si>
    <t>FT-C5 — Human outcome not shown to be strain-mediated</t>
  </si>
  <si>
    <t>Publisher article: sensing-performance and physiological-demonstration sections</t>
  </si>
  <si>
    <t>Although the E-textile was described as pressure/strain responsive, the reported swallowing, breathing, voice and sleep demonstrations were driven by pressure-contact signals; a separate strain-mediated human output was not established.</t>
  </si>
  <si>
    <t>Final_Screening_Reconciliation_1076_Reports_20260909.xlsx | Pending retrieval!A17:U17</t>
  </si>
  <si>
    <t>REC-00439</t>
  </si>
  <si>
    <t>Multifunctional hierarchically braided yarns for advanced wearable human motion monitoring</t>
  </si>
  <si>
    <t>10.1016/j.cej.2026.180710</t>
  </si>
  <si>
    <t>FT-C4 — No actual human-worn strain-sensing experiment</t>
  </si>
  <si>
    <t>Publisher article: device characterization and application discussion</t>
  </si>
  <si>
    <t>The hierarchically braided yarn was characterized to 220% strain (GF 32.1; 18,000 cycles), but the article did not document an actual human-worn experiment; wearable/rehabilitation integration remained proposed.</t>
  </si>
  <si>
    <t>Final_Screening_Reconciliation_1076_Reports_20260909.xlsx | Pending retrieval!A53:U53</t>
  </si>
  <si>
    <t>REC-00449</t>
  </si>
  <si>
    <t>Performance evaluation of CNT-COOH coated dual-intertwined yarn for wearable resistive strain sensing</t>
  </si>
  <si>
    <t>10.1016/j.chphma.2026.03.005</t>
  </si>
  <si>
    <t>C2: No tested textile or garment integration</t>
  </si>
  <si>
    <t>Abstract; Methods and wearable-motion application</t>
  </si>
  <si>
    <t>The complete author-uploaded article evaluates an Ecoflex-encapsulated CNT-COOH dual-intertwined yarn directly at finger, wrist, elbow and knee locations. It reports compatibility and potential for smart-textile integration, but no tested fabric, garment, knitted, woven, stitched or sewn sensor configuration is presented.</t>
  </si>
  <si>
    <t>Final_Screening_Reconciliation_1076_Reports_20260909.xlsx | Pending retrieval!A57:U57</t>
  </si>
  <si>
    <t>REC-00509</t>
  </si>
  <si>
    <t>Fabrication of Highly Stretchable Strain Sensor Fiber by Laser Slitting of Conductive-polymer-coated Polyurethane Film for Human Hand Monitoring</t>
  </si>
  <si>
    <t>10.18494/sam.2021.2950</t>
  </si>
  <si>
    <t>C4: No human-worn demonstration</t>
  </si>
  <si>
    <t>Section 4; Fig. 8; pp. 1100-1101</t>
  </si>
  <si>
    <t>The complete article reports a woven sensor cot made from PEDOT:PSS-coated polyurethane strip and cotton yarn. For the stated finger experiment, however, the cot was mounted around a 10-mm cylinder instead of a human finger joint; no participant or human-worn test is reported.</t>
  </si>
  <si>
    <t>Final_Screening_Reconciliation_1076_Reports_20260909.xlsx | Pending retrieval!A72:U72</t>
  </si>
  <si>
    <t>REC-00513</t>
  </si>
  <si>
    <t>Laser-Induced Graphene Smart Textiles for Future Space Suits and Telescopes</t>
  </si>
  <si>
    <t>10.1002/adfm.202411257</t>
  </si>
  <si>
    <t>Sections 2.3 and 2.5; Experimental section; Figs. 1, 3 and 5</t>
  </si>
  <si>
    <t>The complete article reports laser-induced graphene strain sensors patterned directly on Kevlar textile and evaluated by motorized tensile and thermal-vacuum tests. A spacesuit application is proposed and illustrated, but no sensor is tested on a participant or worn garment.</t>
  </si>
  <si>
    <t>Final_Screening_Reconciliation_1076_Reports_20260909.xlsx | Pending retrieval!A76:U76</t>
  </si>
  <si>
    <t>REC-00546</t>
  </si>
  <si>
    <t>Electrospun nanofibrous yarn based piezoresistive flexible strain sensor for human motion detection and speech recognition</t>
  </si>
  <si>
    <t>10.1177/08927057221095853</t>
  </si>
  <si>
    <t>Fabrication section; Human motion and speech-recognition section; Figs. 4 and 13-16</t>
  </si>
  <si>
    <t>The complete article reports electrospun TPU/carbon-nanoparticle yarn segments fixed to a flexible polycarbonate substrate for characterization and attached directly to body sites for motion and speech tests. Cotton fabric was used only as an electrospinning collector aid; no fabric- or garment-integrated sensor configuration was tested.</t>
  </si>
  <si>
    <t>Final_Screening_Reconciliation_1076_Reports_20260909.xlsx | Pending retrieval!A80:U80</t>
  </si>
  <si>
    <t>REC-00581</t>
  </si>
  <si>
    <t>Design and Characterization of an Active Compression Garment for the Upper Extremity</t>
  </si>
  <si>
    <t>10.1109/tmech.2019.2916221</t>
  </si>
  <si>
    <t>Methods and Results; Figs. 1-5; author manuscript pp. 2-7</t>
  </si>
  <si>
    <t>The complete author manuscript reports an optical-fiber strain sensor sewn into an elastic active-compression garment prototype. The integrated device was characterized around a rigid cylindrical test fixture and compared with a commercial pressure mat over repeated compression cycles; no participant or human-worn garment experiment was performed.</t>
  </si>
  <si>
    <t>Final_Screening_Reconciliation_1076_Reports_20260909.xlsx | Pending retrieval!A92:U92</t>
  </si>
  <si>
    <t>REC-00753</t>
  </si>
  <si>
    <t>A high stretchability fiber based on a synergistic three-dimensional conductive network for wide-range strain sensing</t>
  </si>
  <si>
    <t>10.1039/d4na00770k</t>
  </si>
  <si>
    <t>Introduction; Section 3.3 Applications of strain sensors; Fig. 5; complete article pp. 517-523</t>
  </si>
  <si>
    <t>The complete open-access article reports an AgNP/MWCNT/graphene/TPU composite fiber strain sensor. For all human demonstrations, the single fiber sensor was attached directly to skin at the wrist, finger, elbow and knee. The article describes integration into textiles as future potential, but no fabric, garment, stitch, knit, weave, braid or other textile-integrated configuration was fabricated and tested.</t>
  </si>
  <si>
    <t>Final_Screening_Reconciliation_1076_Reports_20260909.xlsx | Pending retrieval!A130:U130</t>
  </si>
  <si>
    <t>REC-00765</t>
  </si>
  <si>
    <t>Ivy-Inspired Double-Spiral Gel Fibers with Multifunctional Sensing and Electromagnetic Interference Shielding Properties Toward Wearable Health Care and Monitoring</t>
  </si>
  <si>
    <t>10.1007/s42765-026-00711-4</t>
  </si>
  <si>
    <t>Section on strain-sensing performance; Figs. 3 and 7; complete Springer article</t>
  </si>
  <si>
    <t>The complete article tests strain sensing with individual double-spiral gel fibers adhered directly to body joints. A woven textile is fabricated and tested for electromagnetic-interference shielding, not for strain sensing; no textile- or garment-integrated strain-sensing configuration is evaluated.</t>
  </si>
  <si>
    <t>Final_Screening_Reconciliation_1076_Reports_20260909.xlsx | Pending retrieval!A134:U134</t>
  </si>
  <si>
    <t>REC-00767</t>
  </si>
  <si>
    <t>Wrinkle-guided microcracked conductive composite yarn for decoupled strain and temperature sensing</t>
  </si>
  <si>
    <t>10.1016/j.cej.2025.167319</t>
  </si>
  <si>
    <t>Section 3 Results and discussions; Fig. 5; complete ScienceDirect article</t>
  </si>
  <si>
    <t>The complete article reports an MWCNT/PEDOT:PSS coated spandex-yarn sensor fixed directly to volunteers at the finger, mouth, neck and back. No knitted, woven, sewn or garment-integrated strain-sensing configuration was fabricated and tested.</t>
  </si>
  <si>
    <t>Final_Screening_Reconciliation_1076_Reports_20260909.xlsx | Pending retrieval!A135:U135</t>
  </si>
  <si>
    <t>REC-00787</t>
  </si>
  <si>
    <t>Stretchable PU@CNT/MXene Fiber Fabricated by External Tension for High Performance Strain Sensor and Supercapacitor</t>
  </si>
  <si>
    <t>10.1002/admt.202300479</t>
  </si>
  <si>
    <t>Results and Discussion; Fig. 4; complete Wiley article</t>
  </si>
  <si>
    <t>The complete article tests individual PU@CNT/MXene helical fibers placed directly at the finger, wrist, elbow, neck and knee. Weaving the fibers into multifunctional fabrics is described as a future application, but no textile- or garment-integrated strain-sensing configuration is experimentally tested.</t>
  </si>
  <si>
    <t>Final_Screening_Reconciliation_1076_Reports_20260909.xlsx | Pending retrieval!A140:U140</t>
  </si>
  <si>
    <t>REC-00832</t>
  </si>
  <si>
    <t>Large-scale production of highly responsive, stretchable, and conductive wrapped yarns for wearable strain sensors</t>
  </si>
  <si>
    <t>10.1515/epoly-2024-0091</t>
  </si>
  <si>
    <t>Sections 4.1-4.2; Fig. 6; complete De Gruyter article</t>
  </si>
  <si>
    <t>The complete article tests the wrapped yarn by fixing the individual yarn directly onto a finger knuckle. Transformation of the yarn into multidimensional structures by weaving, knitting or embroidery is described as possible or future work, but no textile- or garment-integrated strain-sensing configuration is fabricated and tested.</t>
  </si>
  <si>
    <t>Final_Screening_Reconciliation_1076_Reports_20260909.xlsx | Pending retrieval!A156:U156</t>
  </si>
  <si>
    <t>REC-00840</t>
  </si>
  <si>
    <t>Highly Sensitive, Stretchable Chopped Carbon Fiber/Silicon Rubber Based Sensors for Human Joint Motion Detection</t>
  </si>
  <si>
    <t>10.1007/s12221-019-8662-0</t>
  </si>
  <si>
    <t>The Human Joint Motion Monitoring; Fig. 8; complete Springer PDF</t>
  </si>
  <si>
    <t>The complete article describes the CCF/silicone composite sensors as skin-mounted and tests them directly at the wrist, knee and elbow. Integration with human textiles is stated as a capability, but no textile- or garment-integrated sensing configuration is experimentally evaluated.</t>
  </si>
  <si>
    <t>Final_Screening_Reconciliation_1076_Reports_20260909.xlsx | Pending retrieval!A157:U157</t>
  </si>
  <si>
    <t>REC-00843</t>
  </si>
  <si>
    <t>Light-weight strain sensor based on carbon nanotube/epoxy composite yarn</t>
  </si>
  <si>
    <t>10.1007/s10853-021-06146-z</t>
  </si>
  <si>
    <t>Results and Discussion; Fig. 5; complete Springer article</t>
  </si>
  <si>
    <t>The complete article tests a single core/sheath CNT-epoxy yarn attached directly to the index finger and used at the elbow and face. The paper states only that the yarn is capable of future incorporation into fabrics by weaving, knitting or braiding; no integrated textile strain sensor is fabricated and tested.</t>
  </si>
  <si>
    <t>Final_Screening_Reconciliation_1076_Reports_20260909.xlsx | Pending retrieval!A158:U158</t>
  </si>
  <si>
    <t>REC-00849</t>
  </si>
  <si>
    <t>Ultra-sensitive graphene strain sensor for sound signal acquisition and recognition</t>
  </si>
  <si>
    <t>10.1007/s12274-014-0652-3</t>
  </si>
  <si>
    <t>FT-C2 — No tested textile-integrated strain-sensing configuration</t>
  </si>
  <si>
    <t>Author manuscript: material structure and acoustic-sensing experiment</t>
  </si>
  <si>
    <t>The term 'graphene woven fabric' referred to a patterned nanoscale graphene film rather than a fabric, garment or physically integrated textile structure; the demonstrated task was acoustic sensing.</t>
  </si>
  <si>
    <t>Final_Screening_Reconciliation_1076_Reports_20260909.xlsx | Pending retrieval!A159:U159</t>
  </si>
  <si>
    <t>REC-00855</t>
  </si>
  <si>
    <t>Constructing Anisotropic Conductive Networks inside Hollow Elastic Fiber with High Sensitivity and Wide-Range Linearity by Cryo-spun Drying Strategy</t>
  </si>
  <si>
    <t>10.1007/s42765-024-00460-2</t>
  </si>
  <si>
    <t>C4: No actual human-worn demonstration</t>
  </si>
  <si>
    <t>Section 3.4; Fig. 4 and Fig. S33; complete Springer article</t>
  </si>
  <si>
    <t>The complete article does test the sensing fiber blended into elastic fabric, satisfying textile integration, but all body-movement demonstrations are performed on a mannequin. No actual human participant wears the textile sensor; therefore the study fails C4 after passing C1-C3.</t>
  </si>
  <si>
    <t>Final_Screening_Reconciliation_1076_Reports_20260909.xlsx | Pending retrieval!A160:U160</t>
  </si>
  <si>
    <t>REC-00915</t>
  </si>
  <si>
    <t>A facile structural strategy for a wearable strain sensor based on carbon nanotube modified helical yarns</t>
  </si>
  <si>
    <t>10.1039/d1na00215e</t>
  </si>
  <si>
    <t>Experimental—Motion sensor fabrication and Characterization; human-motion results; Fig. 6; complete RSC article</t>
  </si>
  <si>
    <t>The complete article fabricates an individual CNT-modified elastic-string sensor encapsulated in PDMS and attaches it directly to skin at the finger, wrist, neck and knee. It does not fabricate or test a fabric-, stitch-, knit-, weave-, braid- or garment-integrated strain-sensing configuration.</t>
  </si>
  <si>
    <t>Final_Screening_Reconciliation_1076_Reports_20260909.xlsx | Pending retrieval!A178:U178</t>
  </si>
  <si>
    <t>REC-00937</t>
  </si>
  <si>
    <t>Thread-Embedded-in-PDMS Wearable Strain Sensor for Real-Time Monitoring of Human Joint Motion</t>
  </si>
  <si>
    <t>10.3390/mi14122250</t>
  </si>
  <si>
    <t>Sections 2.2 and 2.7; Figs. 7-10; complete MDPI article</t>
  </si>
  <si>
    <t>The complete article embeds conductive PBT threads in a molded PDMS strip and straps or affixes the resulting device directly to a volunteer's wrist, elbow, finger and knee. Although a textile thread is used as the conductive core, no textile- or garment-integrated sensing configuration is fabricated and tested.</t>
  </si>
  <si>
    <t>Final_Screening_Reconciliation_1076_Reports_20260909.xlsx | Pending retrieval!A181:U181</t>
  </si>
  <si>
    <t>REC-00944</t>
  </si>
  <si>
    <t>Flexible, wearable multilayer piezoresistive sensor based on mulberry silk fabric for human movement and health detection</t>
  </si>
  <si>
    <t>10.1007/s10854-023-10691-5</t>
  </si>
  <si>
    <t>C3: Strain sensing not a primary or separately evaluated function</t>
  </si>
  <si>
    <t>Preparation and Results; pressure-sensing mechanism; human-motion and health demonstrations; complete Springer article</t>
  </si>
  <si>
    <t>The complete article fabricates a multilayer mulberry-silk-fabric piezoresistive pressure sensor. Its sensing mechanism and performance are evaluated under compression/pressure, and the human demonstrations use pressing, joint contact, pulse and throat vibration. It does not separately evaluate a tensile strain-sensing function or a strain-mediated wearable outcome.</t>
  </si>
  <si>
    <t>Final_Screening_Reconciliation_1076_Reports_20260909.xlsx | Pending retrieval!A185:U185</t>
  </si>
  <si>
    <t>REC-00996</t>
  </si>
  <si>
    <t>Encapsulated core-sheath carbon nanotube-graphene/polyurethane composite fiber for highly stable, stretchable, and sensitive strain sensor</t>
  </si>
  <si>
    <t>10.1007/s10853-020-05394-9</t>
  </si>
  <si>
    <t>Preparation; Applications of TPU/SWCNT-RGO/PU strain sensor; human-activity figure; complete Springer article</t>
  </si>
  <si>
    <t>The complete article fabricates an individual encapsulated composite fiber and adheres or fixes it directly to the volunteer's Adam's apple, neck, finger, wrist and arteries. It discusses possible textile use but does not weave, sew, knit, braid or otherwise test the sensor in a fabric or garment configuration.</t>
  </si>
  <si>
    <t>Final_Screening_Reconciliation_1076_Reports_20260909.xlsx | Pending retrieval!A201:U201</t>
  </si>
  <si>
    <t>REC-01002</t>
  </si>
  <si>
    <t>Highly sensitive flexible strain sensors with novel tubular fiber design for human motion monitoring</t>
  </si>
  <si>
    <t>10.1007/s10854-024-12641-1</t>
  </si>
  <si>
    <t>C2: No tested textile or garment integration for strain sensing</t>
  </si>
  <si>
    <t>Sections 2.2 and 3; Fig. 5; complete Springer article</t>
  </si>
  <si>
    <t>The complete article fabricates a tubular composite fiber and attaches it directly to a volunteer's forearm, finger and eyelid for strain-mediated motion tests. A glove-mounted demonstration is used only as a radial-pressure/touch sensor, not as a textile-integrated strain sensor; no fabric- or garment-integrated strain configuration is tested.</t>
  </si>
  <si>
    <t>Final_Screening_Reconciliation_1076_Reports_20260909.xlsx | Pending retrieval!A203:U203</t>
  </si>
  <si>
    <t>REC-01004</t>
  </si>
  <si>
    <t>Hydrophobic, Hemostatic and Durable Nanofiber Composites with a Screw-Like Surface Architecture for Multifunctional Sensing Electronics</t>
  </si>
  <si>
    <t>10.1007/s42765-023-00324-1</t>
  </si>
  <si>
    <t>Strain and Temperature Sensing Tests; body-motion results; Fig. 5g-l; complete Springer article</t>
  </si>
  <si>
    <t>The complete article prepares an MXene-decorated PU nanofiber membrane/composite and adheres it directly to the volunteer's hand, joints and finger. It does not fabricate or test a fabric-, stitch-, knit-, weave-, braid- or garment-integrated strain-sensing configuration.</t>
  </si>
  <si>
    <t>Final_Screening_Reconciliation_1076_Reports_20260909.xlsx | Pending retrieval!A205:U205</t>
  </si>
  <si>
    <t>REC-01026</t>
  </si>
  <si>
    <t>A Highly Stretchable and Sensitive Strain Sensor Based on Dopamine Modified Electrospun SEBS Fibers and MWCNTs with Carboxylation</t>
  </si>
  <si>
    <t>10.1002/aelm.202100233</t>
  </si>
  <si>
    <t>Section 3.7 and Fig. 11; author-accepted manuscript</t>
  </si>
  <si>
    <t>The complete manuscript tests the electrospun SEBS@PDA/MWCNT composite-fiber sensor by attaching it to a volunteer's wrist and placing it at the vocal cord, finger, elbow and knee. No fabric-, stitch-, knit-, weave-, braid- or garment-integrated strain-sensing configuration is tested.</t>
  </si>
  <si>
    <t>Final_Screening_Reconciliation_1076_Reports_20260909.xlsx | Pending retrieval!A212:U212</t>
  </si>
  <si>
    <t>REC-01047</t>
  </si>
  <si>
    <t>Shape-Programmable Liquid Metal Fibers</t>
  </si>
  <si>
    <t>10.3390/bios13010028</t>
  </si>
  <si>
    <t>Section 3.3 and Fig. 3d-e; complete open-access article</t>
  </si>
  <si>
    <t>For the human-motion strain demonstration, the helical liquid-metal fiber is glued onto an elastomer and fixed directly to a finger, with a ring magnet worn on the finger. Although possible fabric integration is discussed, no textile- or garment-integrated strain-sensing configuration is tested.</t>
  </si>
  <si>
    <t>Final_Screening_Reconciliation_1076_Reports_20260909.xlsx | Pending retrieval!A218:U218</t>
  </si>
  <si>
    <t>REC-01048</t>
  </si>
  <si>
    <t>Thread-type Core-Shell Polypyrrole@Polyurethane Fiber for Wearable Strain Sensor</t>
  </si>
  <si>
    <t>10.11777/j.issn1000-3304.2025.25157</t>
  </si>
  <si>
    <t>Human-motion application section and Fig. 9; complete article PDF</t>
  </si>
  <si>
    <t>The complete article attaches the PPy@PU conductive fiber directly to finger and arm joints for motion detection. It does not fabricate or test the strain sensor in a fabric, stitch, knit, weave, braid or garment configuration.</t>
  </si>
  <si>
    <t>Final_Screening_Reconciliation_1076_Reports_20260909.xlsx | Pending retrieval!A219:U219</t>
  </si>
  <si>
    <t>REC-01049</t>
  </si>
  <si>
    <t>Machine learning facilitated gesture recognition using structural optimized wearable yarn-based strain sensor</t>
  </si>
  <si>
    <t>10.26599/nr.2025.94908084</t>
  </si>
  <si>
    <t>Gesture-recognition results and Fig. 8b; complete publisher text</t>
  </si>
  <si>
    <t>The complete article evaluates hydrophobic conductive spandex-yarn sensors attached directly to finger joints with medical tape for gesture recognition. Ease of weaving is discussed, but no tested textile- or garment-integrated strain-sensing configuration is reported.</t>
  </si>
  <si>
    <t>Final_Screening_Reconciliation_1076_Reports_20260909.xlsx | Pending retrieval!A220:U220</t>
  </si>
  <si>
    <t>REC-01070</t>
  </si>
  <si>
    <t>Laser carbonized fiber-based sensors for flexible anisotropic strain detection</t>
  </si>
  <si>
    <t>10.1016/j.optmat.2025.117398</t>
  </si>
  <si>
    <t>Materials and methods, sensor fabrication and human-motion demonstrations; complete ScienceDirect article page</t>
  </si>
  <si>
    <t>The study fabricates and encapsulates a laser-carbonized electrospun lignin/PAN fiber-membrane strain sensor and fixes the device to the body using self-adhesive bandages for motion demonstrations. It does not test the strain sensor in a fabric, stitch, knit, weave, braid or garment-integrated configuration.</t>
  </si>
  <si>
    <t>Final_Screening_Reconciliation_1076_Reports_20260909.xlsx | Pending retrieval!A226:U226</t>
  </si>
  <si>
    <t>REC-01145</t>
  </si>
  <si>
    <t>Self-powered stretchable strain sensors for motion monitoring and wireless control</t>
  </si>
  <si>
    <t>10.1016/j.nanoen.2021.106754</t>
  </si>
  <si>
    <t>Device preparation, wearable demonstrations and conclusion; complete article text/PDF</t>
  </si>
  <si>
    <t>The self-powered strain sensor is a liquid-metal spiral coil wound around a thermoplastic elastomer tube and positioned directly on fingers, wrists, arms or legs with a magnetic ring. Smart-textile use is proposed, but no fabric-, stitch-, knit-, weave-, braid- or garment-integrated strain-sensing configuration is tested.</t>
  </si>
  <si>
    <t>Final_Screening_Reconciliation_1076_Reports_20260909.xlsx | Pending retrieval!A248:U248</t>
  </si>
  <si>
    <t>REC-01217</t>
  </si>
  <si>
    <t>A highly stretchable tri-channel fiber for composite motion decoupling</t>
  </si>
  <si>
    <t>10.1038/s41467-026-73959-4</t>
  </si>
  <si>
    <t>Results, Composite motions decoupling performance (Fig. 5), and Methods; complete open-access Nature Communications article</t>
  </si>
  <si>
    <t>The tri-channel SEBS/liquid-metal fiber is characterized under controlled tensile and torsional loading and demonstrated with a suspended weight and rotary-platform digital-twin setup. The complete article does not integrate the device into a fabric, textile or garment; therefore it fails the first unmet criterion, C2.</t>
  </si>
  <si>
    <t>Final_Screening_Reconciliation_1076_Reports_20260909.xlsx | Pending retrieval!A265:U265</t>
  </si>
  <si>
    <t>REC-01292</t>
  </si>
  <si>
    <t>Rayleigh Signature Spectral Stitching for Distributed Fiber Optic Sensors Based on Coherent Optical Time-Domain Reflectometry</t>
  </si>
  <si>
    <t>10.1109/jlt.2026.3702251</t>
  </si>
  <si>
    <t>Experimental setup (Fig. 4), Section IV, and complete CC BY accepted manuscript</t>
  </si>
  <si>
    <t>The study evaluates Rayleigh-signature spectral stitching in a 25 km standard single-mode optical fiber using a C-OTDR system, water bath and piezoelectric transducer. It concerns distributed structural/environmental strain sensing and contains no textile, fabric or garment integration, so it fails C2.</t>
  </si>
  <si>
    <t>Final_Screening_Reconciliation_1076_Reports_20260909.xlsx | Pending retrieval!A284:U284</t>
  </si>
  <si>
    <t>REC-01472</t>
  </si>
  <si>
    <t>Braided Yarn-based Textile-embedded Capacitive Stretchable Strain Sensors for Wearable Motion Monitoring</t>
  </si>
  <si>
    <t>10.1109/jsen.2026.3718422</t>
  </si>
  <si>
    <t>Publisher article: sensor construction and bench-testing results</t>
  </si>
  <si>
    <t>The braided capacitive sensor was sewn into elastic textile and characterized for temperature, drift, hysteresis and 10,000 cycles, but no actual participant or worn-garment experiment was documented.</t>
  </si>
  <si>
    <t>Final_Screening_Reconciliation_1076_Reports_20260909.xlsx | Pending retrieval!A312:U312</t>
  </si>
  <si>
    <t>REC-01507</t>
  </si>
  <si>
    <t>3D-printed coaxial intelligent fibers with multimodal sensing capabilities for e-skin</t>
  </si>
  <si>
    <t>10.1016/j.cej.2026.176102</t>
  </si>
  <si>
    <t>Materials, fabrication procedure, application demonstrations and Conclusions; complete ScienceDirect article page</t>
  </si>
  <si>
    <t>The original journal study fabricates a coaxially 3D-printed silicone core-shell fiber mesh as a multimodal electronic skin for pressure, magnetic-field and strain sensing. The demonstrated device is a printed elastomeric e-skin/robotic sensing mesh rather than a fabric, garment, knit, weave, braid, stitch or textile-integrated sensor, so it fails C2.</t>
  </si>
  <si>
    <t>Final_Screening_Reconciliation_1076_Reports_20260909.xlsx | Pending retrieval!A317:U317</t>
  </si>
  <si>
    <t>REC-01560</t>
  </si>
  <si>
    <t>Performance Evaluation of a Sandwich-Structured CNT/Graphene–TPU Nanofiber Strain Sensor for Wearable Deformation Monitoring</t>
  </si>
  <si>
    <t>10.3390/mi17080959</t>
  </si>
  <si>
    <t>Methods, fabrication, Results Sections 3.1-3.4, wearable demonstrations and complete MDPI article</t>
  </si>
  <si>
    <t>The study fabricates a sandwich CNT/graphene-TPU electrospun nanofiber film sensor and demonstrates it by attaching the standalone device at body locations. It does not test the sensor as part of a fabric, garment, knit, weave, braid, stitch or other textile-integrated construction, so it fails C2.</t>
  </si>
  <si>
    <t>Final_Screening_Reconciliation_1076_Reports_20260909.xlsx | Pending retrieval!A329:U329</t>
  </si>
  <si>
    <t>REC-01639</t>
  </si>
  <si>
    <t>Architecture tailoring of smart knitted double face comfortable strain sensors for Intelligent (E-textiles) application</t>
  </si>
  <si>
    <t>10.1080/00405000.2023.2225699</t>
  </si>
  <si>
    <t>Methods Sections 2.3-2.4, Results Sections 3.2-3.5 and complete author-shared manuscript</t>
  </si>
  <si>
    <t>The study fabricates double-face knitted strain-sensor specimens and evaluates them by two-dimensional tensile loading, electrical-resistance measurement and laboratory comfort tests. No participant wears a sensor or garment and no on-body motion experiment is reported, so it fails C4.</t>
  </si>
  <si>
    <t>Final_Screening_Reconciliation_1076_Reports_20260909.xlsx | Pending retrieval!A344:U344</t>
  </si>
  <si>
    <t>REC-01651</t>
  </si>
  <si>
    <t>Development of high sensitivity composite sensors for proprioceptive applications</t>
  </si>
  <si>
    <t>10.1016/j.nwnano.2024.100046</t>
  </si>
  <si>
    <t>Fabrication Section 3.2, proprioceptive tests, speech-recognition tests, Conclusion and complete author-shared manuscript</t>
  </si>
  <si>
    <t>The study centrifugally spins and dip-coats TPU/CNP fibers, twists them into a yarn, and tapes or attaches the standalone yarn sensor directly to finger, knee, ankle, wrist and throat locations. It does not test the sensor within a fabric, garment, knit, weave, braid, stitch or other textile-integrated construction, so it fails C2.</t>
  </si>
  <si>
    <t>Final_Screening_Reconciliation_1076_Reports_20260909.xlsx | Pending retrieval!A347:U347</t>
  </si>
  <si>
    <t>REC-01735</t>
  </si>
  <si>
    <t>Highly stretchable and wearable strain sensors using conductive wool yarns with controllable sensitivity</t>
  </si>
  <si>
    <t>10.1016/j.sna.2018.11.008</t>
  </si>
  <si>
    <t>Sensor fabrication, wearable demonstrations and Conclusion in the complete ScienceDirect article</t>
  </si>
  <si>
    <t>The study coats wool yarn with graphene nanoplatelets/carbon black and encapsulates a straight or serpentine yarn between Ecoflex layers. Although the device is used to monitor muscle and joint motion, it is not tested within a fabric, garment, knit, weave, braid, stitch or other integrated textile construction; it therefore fails C2.</t>
  </si>
  <si>
    <t>Final_Screening_Reconciliation_1076_Reports_20260909.xlsx | Pending retrieval!A366:U366</t>
  </si>
  <si>
    <t>REC-01835</t>
  </si>
  <si>
    <t>Coaxial printing of silicone elastomer composite fibers for stretchable and wearable piezoresistive sensors</t>
  </si>
  <si>
    <t>10.3390/polym11040666</t>
  </si>
  <si>
    <t>Materials and methods, coaxial-printing procedure, wearable demonstrations and Conclusion in the complete open-access article</t>
  </si>
  <si>
    <t>The study coaxially prints a CNT/silicone core within a silica-filled silicone sheath and tests the resulting standalone elastomer fiber as a strain sensor. Human joint movements are demonstrated, but the device is not tested within fabric, clothing, knit, weave, braid, stitch or another integrated textile construction; it fails C2.</t>
  </si>
  <si>
    <t>Final_Screening_Reconciliation_1076_Reports_20260909.xlsx | Pending retrieval!A383:U383</t>
  </si>
  <si>
    <t>REC-01874</t>
  </si>
  <si>
    <t>Design of Helically Double-Leveled Gaps for Stretchable Fiber Strain Sensor with Ultralow Detection Limit, Broad Sensing Range, and High Repeatability</t>
  </si>
  <si>
    <t>10.1021/acsami.8b17666</t>
  </si>
  <si>
    <t>Sensor design/fabrication, electromechanical characterization, human-motion demonstrations and complete author-shared ACS manuscript</t>
  </si>
  <si>
    <t>The study winds a polypropylene fiber around an elastic rubber core and coats the fiber-shaped sensor with CNTs. It demonstrates physiological and vigorous body motions, but the standalone fiber is not integrated into a fabric, garment, knit, weave, braid or stitch construction; it fails C2.</t>
  </si>
  <si>
    <t>Final_Screening_Reconciliation_1076_Reports_20260909.xlsx | Pending retrieval!A390:U390</t>
  </si>
  <si>
    <t>REC-01914</t>
  </si>
  <si>
    <t>Core–Sheath Fiber-Based Wearable Strain Sensor with High Stretchability and Sensitivity for Detecting Human Motion</t>
  </si>
  <si>
    <t>10.1002/aelm.202000865</t>
  </si>
  <si>
    <t>Coaxial wet-spinning method, electromechanical characterization, human-motion demonstrations, Conclusion and complete UCL author-accepted manuscript</t>
  </si>
  <si>
    <t>The study fabricates an SBS/MWCNT core-sheath fiber strain sensor and directly applies the standalone fiber to joints and physiological sites. It is not tested within fabric, clothing, knit, weave, braid, stitch or another integrated textile configuration; it fails C2.</t>
  </si>
  <si>
    <t>Final_Screening_Reconciliation_1076_Reports_20260909.xlsx | Pending retrieval!A396:U396</t>
  </si>
  <si>
    <t>REC-01946</t>
  </si>
  <si>
    <t>Ultrastretchable Fiber Sensor with High Sensitivity in Whole Workable Range for Wearable Electronics and Implantable Medicine</t>
  </si>
  <si>
    <t>10.1002/advs.201800558</t>
  </si>
  <si>
    <t>Sensor fabrication, performance characterization, wearable and implantable demonstrations, Conclusion and complete open-access article</t>
  </si>
  <si>
    <t>The study forms a buckled nanofiber thin-film sheath on a prestretched thermoplastic-elastomer fiber and directly attaches the resulting standalone fiber sensor to body sites and a laboratory rat. No fabric or garment integration is tested, so it fails C2.</t>
  </si>
  <si>
    <t>Final_Screening_Reconciliation_1076_Reports_20260909.xlsx | Pending retrieval!A398:U398</t>
  </si>
  <si>
    <t>REC-02042</t>
  </si>
  <si>
    <t>Highly sensitive and stretchable piezoresistive strain sensor based on conductive poly(styrene-butadiene-styrene)/few layer graphene composite fiber</t>
  </si>
  <si>
    <t>10.1016/j.compositesa.2017.11.027</t>
  </si>
  <si>
    <t>Wet-spinning method, mechanical/electromechanical characterization, sensing-mechanism analysis and Conclusion in the complete author-hosted article</t>
  </si>
  <si>
    <t>The study fabricates and bench-tests a standalone SBS/few-layer-graphene composite fiber. It does not test the sensing fiber within a fabric, garment, knit, weave, braid, stitch or another integrated textile construction, so it fails C2.</t>
  </si>
  <si>
    <t>Final_Screening_Reconciliation_1076_Reports_20260909.xlsx | Pending retrieval!A409:U409</t>
  </si>
  <si>
    <t>REC-02140</t>
  </si>
  <si>
    <t>Facile fabrication and performance of robust polymer/carbon nanotube coated spandex fibers for strain sensing</t>
  </si>
  <si>
    <t>10.1016/j.compositesa.2018.06.009</t>
  </si>
  <si>
    <t>Layer-by-layer fabrication, fiber electromechanical/UV tests, human-motion demonstrations and Conclusion in the complete Ulster-hosted article</t>
  </si>
  <si>
    <t>The study fabricates and tests a nanocomposite-coated commercial spandex fiber, then directly places the standalone fiber at body sites for motion demonstrations. The sensing element is not tested within fabric, clothing, knit, weave, braid, stitch or another integrated textile construction, so it fails C2.</t>
  </si>
  <si>
    <t>Final_Screening_Reconciliation_1076_Reports_20260909.xlsx | Pending retrieval!A412:U412</t>
  </si>
  <si>
    <t>REC-01826</t>
  </si>
  <si>
    <t>Machine learning approach for the classification of violent attack based on fabric sensors</t>
  </si>
  <si>
    <t>10.2316/j.2021.201-0107</t>
  </si>
  <si>
    <t>FT-Companion — Overlapping companion report</t>
  </si>
  <si>
    <t>Publisher abstract and cross-report metadata</t>
  </si>
  <si>
    <t>The 2021 abstract calls the work a partial result of the smart-jacket project and reports the same lead authors, fabric/stretch sensors, jacket configuration and violent-versus-animated activity classification as the included 2020 primary report REC-01895 (DOI 10.1108/SR-02-2020-0027). It was not counted as a second independent study.</t>
  </si>
  <si>
    <t>Final_Screening_Reconciliation_1076_Reports_20260909.xlsx | Pending retrieval!A419:U419</t>
  </si>
  <si>
    <t>REC-00010</t>
  </si>
  <si>
    <t>Automated Fabrication of Smart Strain Sensing Threads</t>
  </si>
  <si>
    <t>10.3390/mi15101239</t>
  </si>
  <si>
    <t>Focused-scope eligibility</t>
  </si>
  <si>
    <t>S2</t>
  </si>
  <si>
    <t>No actual participant-worn human experiment was established</t>
  </si>
  <si>
    <t>Full text: Section 4 (Application), Figure 11; Conclusions</t>
  </si>
  <si>
    <t>The abstract describes a woven structure-based strain-sensing device and reports respiration, limb movement.</t>
  </si>
  <si>
    <t>Focused_Deployment_Rescreen_636_Final_42_20260909.xlsx | Focused exclusions!A4:O4</t>
  </si>
  <si>
    <t>REC-00011</t>
  </si>
  <si>
    <t>Size Prediction and Electrical Performance of Knitted Strain Sensors</t>
  </si>
  <si>
    <t>10.3390/polym14122354</t>
  </si>
  <si>
    <t>S6</t>
  </si>
  <si>
    <t>No structured human validation and fewer than two distinct wearable-robustness domains</t>
  </si>
  <si>
    <t>Full text: Results and Discussion, Figure 8; Conclusions</t>
  </si>
  <si>
    <t>The knitted sensor was applied to human pronunciation and joint-bending movements to check the size-prediction design.</t>
  </si>
  <si>
    <t>Focused_Deployment_Rescreen_636_Final_42_20260909.xlsx | Focused exclusions!A5:O5</t>
  </si>
  <si>
    <t>REC-00012</t>
  </si>
  <si>
    <t>Knitted Ti3C2Tx MXene based fiber strain sensor for human-computer interaction</t>
  </si>
  <si>
    <t>10.1016/j.jcis.2021.07.025</t>
  </si>
  <si>
    <t>Full text: Results and Discussion, wearable data-glove and physiological-signal demonstrations; Conclusion</t>
  </si>
  <si>
    <t>The flexible sensor detected finger and wrist motion, blinking, pulse, and voice and was incorporated into a data glove for gesture-based human-computer interaction.</t>
  </si>
  <si>
    <t>Focused_Deployment_Rescreen_636_Final_42_20260909.xlsx | Focused exclusions!A6:O6</t>
  </si>
  <si>
    <t>REC-00014</t>
  </si>
  <si>
    <t>A graphene-coated silk-spandex fabric strain sensor for human movement monitoring and recognition</t>
  </si>
  <si>
    <t>10.1088/1361-6528/abe788</t>
  </si>
  <si>
    <t>Full text: Section 3 (Results and Discussion), human-motion and gesture-recognition demonstrations; Section 4 (Conclusion)</t>
  </si>
  <si>
    <t>The graphene-coated silk-spandex fabric sensor was used for joint movement, speaking, physiological-status monitoring, and machine-learning-based hand-gesture recognition.</t>
  </si>
  <si>
    <t>Focused_Deployment_Rescreen_636_Final_42_20260909.xlsx | Focused exclusions!A7:O7</t>
  </si>
  <si>
    <t>REC-00016</t>
  </si>
  <si>
    <t>Textile-Based Stretchable Microstrip Antenna with Intrinsic Strain Sensing</t>
  </si>
  <si>
    <t>10.1021/acsaelm.1c00179</t>
  </si>
  <si>
    <t>Full text: application demonstration and Conclusions</t>
  </si>
  <si>
    <t>The abstract describes a textile-based strain-sensing device and reports joint movement, limb movement.</t>
  </si>
  <si>
    <t>Focused_Deployment_Rescreen_636_Final_42_20260909.xlsx | Focused exclusions!A8:O8</t>
  </si>
  <si>
    <t>REC-00017</t>
  </si>
  <si>
    <t>High-Performance Wearable Strain Sensor Based on MXene@Cotton Fabric with Network Structure</t>
  </si>
  <si>
    <t>10.3390/nano11040889</t>
  </si>
  <si>
    <t>Full text: Figure 5; Conclusions</t>
  </si>
  <si>
    <t>The abstract describes a fabric-based strain-sensing device and reports health monitoring.</t>
  </si>
  <si>
    <t>Focused_Deployment_Rescreen_636_Final_42_20260909.xlsx | Focused exclusions!A9:O9</t>
  </si>
  <si>
    <t>REC-00018</t>
  </si>
  <si>
    <t>A Breathable Knitted Fabric-Based Smart System with Enhanced Superhydrophobicity for Drowning Alarming</t>
  </si>
  <si>
    <t>10.1021/acsnano.2c08325</t>
  </si>
  <si>
    <t>S3</t>
  </si>
  <si>
    <t>No textile/wearable sensing configuration was tested in the human experiment</t>
  </si>
  <si>
    <t>Full text: Results and Discussion, underwater finger-bending and smart-system evaluation; Conclusion</t>
  </si>
  <si>
    <t>The knitted sensor detected underwater human finger bending and was incorporated into a Bluetooth drowning-alert system.</t>
  </si>
  <si>
    <t>Focused_Deployment_Rescreen_636_Final_42_20260909.xlsx | Focused exclusions!A10:O10</t>
  </si>
  <si>
    <t>REC-00019</t>
  </si>
  <si>
    <t>Wearable strain sensor for real-time sweat volume monitoring</t>
  </si>
  <si>
    <t>10.1016/j.isci.2020.102028</t>
  </si>
  <si>
    <t>Full text: Results, on-body sweat-volume analysis; Figures 4-5</t>
  </si>
  <si>
    <t>The abstract describes a fabric-based strain-sensing device and reports sweat monitoring.</t>
  </si>
  <si>
    <t>Focused_Deployment_Rescreen_636_Final_42_20260909.xlsx | Focused exclusions!A11:O11</t>
  </si>
  <si>
    <t>REC-00023</t>
  </si>
  <si>
    <t>A Knitted and MXenzyme-Integrated Dressing for Geriatrics Diagnosis and Ulcer Healing</t>
  </si>
  <si>
    <t>10.1021/acsnano.4c06774</t>
  </si>
  <si>
    <t>Full text: Section 2 (Results and Discussion), patient pulse-wave evaluation; Section 3 (Conclusions)</t>
  </si>
  <si>
    <t>The knitted dressing collected pulse waves from consenting human patients for peripheral vascular assessment.</t>
  </si>
  <si>
    <t>Focused_Deployment_Rescreen_636_Final_42_20260909.xlsx | Focused exclusions!A12:O12</t>
  </si>
  <si>
    <t>REC-00025</t>
  </si>
  <si>
    <t>Naturally Derived Wearable Strain Sensors with Enhanced Mechanical Properties and High Sensitivity</t>
  </si>
  <si>
    <t>10.1021/acsami.0c04341</t>
  </si>
  <si>
    <t>Full text: Section 2.4 (Application in Human Motion Monitoring), Figure 5; Conclusions</t>
  </si>
  <si>
    <t>The fabric sensor was attached to a volunteer and evaluated during facial expressions, finger, elbow and knee bending, and jumping.</t>
  </si>
  <si>
    <t>Focused_Deployment_Rescreen_636_Final_42_20260909.xlsx | Focused exclusions!A13:O13</t>
  </si>
  <si>
    <t>REC-00027</t>
  </si>
  <si>
    <t>Superhydrophobic E-textile with an Ag-EGaln Conductive Layer for Motion Detection and Electromagnetic Interference Shielding</t>
  </si>
  <si>
    <t>10.1021/acsami.2c09554</t>
  </si>
  <si>
    <t>Full text: Section 3 (Results and Discussion), Figure 6; Conclusion</t>
  </si>
  <si>
    <t>The e-textile was attached to a volunteer's finger and other body locations for underwater Morse-code and motion monitoring.</t>
  </si>
  <si>
    <t>Focused_Deployment_Rescreen_636_Final_42_20260909.xlsx | Focused exclusions!A14:O14</t>
  </si>
  <si>
    <t>REC-00028</t>
  </si>
  <si>
    <t>Preparation and Applications of Multifunctional MXene/Tussah Silk Fabric</t>
  </si>
  <si>
    <t>10.3390/ma18010169</t>
  </si>
  <si>
    <t>Full text: Conclusions</t>
  </si>
  <si>
    <t>The MXene/tussah-silk fabric was attached to a tester's finger, wrist, and knee for repeated real-time joint-motion monitoring.</t>
  </si>
  <si>
    <t>Focused_Deployment_Rescreen_636_Final_42_20260909.xlsx | Focused exclusions!A15:O15</t>
  </si>
  <si>
    <t>REC-00029</t>
  </si>
  <si>
    <t>Multifunctional and Ultrasensitive-Reduced Graphene Oxide and Pen Ink/Polyvinyl Alcohol-Decorated Modal/Spandex Fabric for High-Performance Wearable Sensors</t>
  </si>
  <si>
    <t>10.1021/acsami.0c21075</t>
  </si>
  <si>
    <t>Local full-text PDF: sensing-performance and wearable-application sections</t>
  </si>
  <si>
    <t>The fabric sensor was placed at joints, chest, forehead, and neck to monitor motion, respiration, and skin humidity.</t>
  </si>
  <si>
    <t>Focused_Deployment_Rescreen_636_Final_42_20260909.xlsx | Focused exclusions!A16:O16</t>
  </si>
  <si>
    <t>REC-00030</t>
  </si>
  <si>
    <t>Multifunctional and Washable Carbon Nanotube-Wrapped Textile Yarns for Wearable E-Textiles</t>
  </si>
  <si>
    <t>10.1021/acsami.2c19826</t>
  </si>
  <si>
    <t>Full text: Section 2 (Results and Discussion), knitted glove demonstration; Conclusions</t>
  </si>
  <si>
    <t>A CNT-yarn sensing element was knitted into a glove finger and used for body-motion monitoring.</t>
  </si>
  <si>
    <t>Focused_Deployment_Rescreen_636_Final_42_20260909.xlsx | Focused exclusions!A17:O17</t>
  </si>
  <si>
    <t>REC-00031</t>
  </si>
  <si>
    <t>Graphene-Based Multifunctional Textile for Sensing and Actuating</t>
  </si>
  <si>
    <t>10.1021/acsnano.1c05701</t>
  </si>
  <si>
    <t>Full text: Results and Discussion, human-motion and physiological-signal demonstrations; Conclusions</t>
  </si>
  <si>
    <t>The graphene textile was evaluated for human-motion and physiological-signal monitoring, including ECG-related demonstrations.</t>
  </si>
  <si>
    <t>Focused_Deployment_Rescreen_636_Final_42_20260909.xlsx | Focused exclusions!A18:O18</t>
  </si>
  <si>
    <t>REC-00033</t>
  </si>
  <si>
    <t>Muscle Engagement Monitoring Using Self-Adhesive Elastic Nanocomposite Fabrics</t>
  </si>
  <si>
    <t>10.3390/s22186768</t>
  </si>
  <si>
    <t>Full text: participant tests and Conclusions</t>
  </si>
  <si>
    <t>The abstract describes a fabric-based strain-sensing device and reports muscle activity.</t>
  </si>
  <si>
    <t>Focused_Deployment_Rescreen_636_Final_42_20260909.xlsx | Focused exclusions!A19:O19</t>
  </si>
  <si>
    <t>REC-00035</t>
  </si>
  <si>
    <t>Thermal and Moisture Managing E-Textiles Enabled by Janus Hierarchical Gradient Honeycombs</t>
  </si>
  <si>
    <t>10.1002/adma.202311633</t>
  </si>
  <si>
    <t>Accepted manuscript: Results and Conclusions</t>
  </si>
  <si>
    <t>The abstract describes a textile-based strain-sensing device and reports sweat monitoring, health monitoring.</t>
  </si>
  <si>
    <t>Focused_Deployment_Rescreen_636_Final_42_20260909.xlsx | Focused exclusions!A20:O20</t>
  </si>
  <si>
    <t>REC-00037</t>
  </si>
  <si>
    <t>Waterproof, Light Responsive, and Highly Sensitive Fabric Strain Sensor for Flexible Electronics</t>
  </si>
  <si>
    <t>10.1021/acs.langmuir.3c01826</t>
  </si>
  <si>
    <t>Local full-text PDF: Results and application demonstrations</t>
  </si>
  <si>
    <t>Figure 6 reports finger, wrist, elbow, underwater-motion, and swallowing measurements using the fabric sensor.</t>
  </si>
  <si>
    <t>Focused_Deployment_Rescreen_636_Final_42_20260909.xlsx | Focused exclusions!A21:O21</t>
  </si>
  <si>
    <t>REC-00038</t>
  </si>
  <si>
    <t>Frugally inventive carbon fabric-based wearable sensor for monitoring human body movements</t>
  </si>
  <si>
    <t>10.1017/wtc.2025.10020</t>
  </si>
  <si>
    <t>Full text: wearable demonstrations and Conclusions</t>
  </si>
  <si>
    <t>The abstract describes a fabric-based strain-sensing device and reports walking, body motion.</t>
  </si>
  <si>
    <t>Focused_Deployment_Rescreen_636_Final_42_20260909.xlsx | Focused exclusions!A22:O22</t>
  </si>
  <si>
    <t>REC-00040</t>
  </si>
  <si>
    <t>Three-Dimensional Braided Wearable Flexible Strain Sensors: Fabrication and Performance</t>
  </si>
  <si>
    <t>10.1021/acsami.5c16157</t>
  </si>
  <si>
    <t>Full text: Section 3 (Results and Discussion), Figure 11; Section 4 (Conclusions)</t>
  </si>
  <si>
    <t>Figure 11 evaluates braided sensors for facial, joint, biceps, abdominal-breathing, and leg-muscle monitoring.</t>
  </si>
  <si>
    <t>Focused_Deployment_Rescreen_636_Final_42_20260909.xlsx | Focused exclusions!A23:O23</t>
  </si>
  <si>
    <t>REC-00050</t>
  </si>
  <si>
    <t>Textile-Based, Interdigital, Capacitive, Soft-Strain Sensor for Wearable Applications</t>
  </si>
  <si>
    <t>10.3390/ma11050768</t>
  </si>
  <si>
    <t>Full text: garment-integration demonstration and Conclusions</t>
  </si>
  <si>
    <t>The abstract describes a fabric-based strain-sensing device and reports human motion, joint movement.</t>
  </si>
  <si>
    <t>Focused_Deployment_Rescreen_636_Final_42_20260909.xlsx | Focused exclusions!A24:O24</t>
  </si>
  <si>
    <t>REC-00052</t>
  </si>
  <si>
    <t>Moisture-Resilient Graphene-Dyed Wool Fabric for Strain Sensing</t>
  </si>
  <si>
    <t>10.1021/acsami.9b20964</t>
  </si>
  <si>
    <t>S1</t>
  </si>
  <si>
    <t>Human monitoring was not a central experimental objective</t>
  </si>
  <si>
    <t>Full text: Results and Discussion, NFC textile monitoring demonstration; Conclusions</t>
  </si>
  <si>
    <t>The graphene-dyed wool sensor was integrated with a textile NFC antenna for wireless body-motion and breathing monitoring.</t>
  </si>
  <si>
    <t>Focused_Deployment_Rescreen_636_Final_42_20260909.xlsx | Focused exclusions!A25:O25</t>
  </si>
  <si>
    <t>REC-00055</t>
  </si>
  <si>
    <t>Weft-Knitted Spacer Fabric for Highly Stretchable-Compressible Strain Sensor, Supercapacitor, and Joule Heater</t>
  </si>
  <si>
    <t>10.3390/nano12203684</t>
  </si>
  <si>
    <t>Figure 6 reports the knitted spacer-fabric sensor during human breathing, finger movement, and wrist movement.</t>
  </si>
  <si>
    <t>Focused_Deployment_Rescreen_636_Final_42_20260909.xlsx | Focused exclusions!A26:O26</t>
  </si>
  <si>
    <t>REC-00057</t>
  </si>
  <si>
    <t>Skin-like and highly elastic optical fiber strain sensor based on a knot-bend shape for human motion monitoring</t>
  </si>
  <si>
    <t>10.1364/ao.503000</t>
  </si>
  <si>
    <t>Full text: Sections 3.C-3.D, on-body elbow and knee joint-flexion evaluation; Section 4 (Conclusion)</t>
  </si>
  <si>
    <t>The knot-bend optical-fiber sensor was mounted on woven fabric and garments and evaluated on a healthy person's elbow and knee through 0-90 degree joint flexion.</t>
  </si>
  <si>
    <t>Focused_Deployment_Rescreen_636_Final_42_20260909.xlsx | Focused exclusions!A27:O27</t>
  </si>
  <si>
    <t>REC-00060</t>
  </si>
  <si>
    <t>Biomimetic Superwetting Fabric for Evaporation-Induced Body Sweat and Heat Management and Electricity Generation</t>
  </si>
  <si>
    <t>10.1021/acs.langmuir.4c00145</t>
  </si>
  <si>
    <t>S5</t>
  </si>
  <si>
    <t>No quantitative human-wear result was reported</t>
  </si>
  <si>
    <t>Full text: Results and Discussion, Figure 5; Conclusions</t>
  </si>
  <si>
    <t>The cotton fabric detected wrist rotation and other human motions while also providing sweat and heat-management functions.</t>
  </si>
  <si>
    <t>Focused_Deployment_Rescreen_636_Final_42_20260909.xlsx | Focused exclusions!A28:O28</t>
  </si>
  <si>
    <t>REC-00061</t>
  </si>
  <si>
    <t>Development of an Elastic Piezoelectric Yarn for the Application of a Muscle Patch Sensor</t>
  </si>
  <si>
    <t>10.1021/acsomega.0c03309</t>
  </si>
  <si>
    <t>Full text: on-body muscle-patch evaluation</t>
  </si>
  <si>
    <t>The piezoelectric yarn patch measured biceps, triceps, and soleus contractions during exercise and was sewn into a chest band for breathing and heartbeat monitoring.</t>
  </si>
  <si>
    <t>Focused_Deployment_Rescreen_636_Final_42_20260909.xlsx | Focused exclusions!A29:O29</t>
  </si>
  <si>
    <t>REC-00062</t>
  </si>
  <si>
    <t>Sensing mechanism of a flexible strain sensor developed directly using electrospun composite nanofiber yarn with ternary carbon nanomaterials</t>
  </si>
  <si>
    <t>10.1016/j.isci.2022.105162</t>
  </si>
  <si>
    <t>Full text: application experiments and Conclusions</t>
  </si>
  <si>
    <t>Figure 7 shows a sensor-sewn medicated plaster attached to the skin for ankle, elbow, neck, wrist, shoulder, and knee movement monitoring.</t>
  </si>
  <si>
    <t>Focused_Deployment_Rescreen_636_Final_42_20260909.xlsx | Focused exclusions!A30:O30</t>
  </si>
  <si>
    <t>REC-00064</t>
  </si>
  <si>
    <t>Preparing Polypyrrole-Coated Stretchable Textile via Low-Temperature Interfacial Polymerization for Highly Sensitive Strain Sensor</t>
  </si>
  <si>
    <t>10.3390/mi10110788</t>
  </si>
  <si>
    <t>Full text: application demonstrations and Conclusions</t>
  </si>
  <si>
    <t>The abstract describes a knitted structure-based strain-sensing device and reports human motion, respiration.</t>
  </si>
  <si>
    <t>Focused_Deployment_Rescreen_636_Final_42_20260909.xlsx | Focused exclusions!A31:O31</t>
  </si>
  <si>
    <t>REC-00065</t>
  </si>
  <si>
    <t>Carbon Nanotube Elastic Fabric Motion Tape Sensors for Low Back Movement Characterization</t>
  </si>
  <si>
    <t>10.3390/s25123768</t>
  </si>
  <si>
    <t>Full text: low-back movement evaluation</t>
  </si>
  <si>
    <t>The abstract describes a textile-compatible-based strain-sensing device, but the complete report is still required to confirm the human-monitoring eligibility criterion.</t>
  </si>
  <si>
    <t>Focused_Deployment_Rescreen_636_Final_42_20260909.xlsx | Focused exclusions!A32:O32</t>
  </si>
  <si>
    <t>REC-00067</t>
  </si>
  <si>
    <t>Stretchable and Highly Sensitive Braided Composite Yarn@Polydopamine@Polypyrrole for Wearable Applications</t>
  </si>
  <si>
    <t>10.1021/acsami.8b18823</t>
  </si>
  <si>
    <t>Full text: Section 3 (Results and Discussion), human-motion demonstrations; Conclusions</t>
  </si>
  <si>
    <t>The braided yarn sensor monitored both large and subtle activities, including writing, eye movement, and drinking.</t>
  </si>
  <si>
    <t>Focused_Deployment_Rescreen_636_Final_42_20260909.xlsx | Focused exclusions!A33:O33</t>
  </si>
  <si>
    <t>REC-00072</t>
  </si>
  <si>
    <t>In-situ forming ultra-mechanically sensitive materials for high-sensitivity stretchable fiber strain sensors</t>
  </si>
  <si>
    <t>10.1093/nsr/nwae158</t>
  </si>
  <si>
    <t>Full text: wearable pulse-wave system evaluation</t>
  </si>
  <si>
    <t>The abstract describes a woven structure-based strain-sensing device and reports pulse, health monitoring.</t>
  </si>
  <si>
    <t>Focused_Deployment_Rescreen_636_Final_42_20260909.xlsx | Focused exclusions!A34:O34</t>
  </si>
  <si>
    <t>REC-00073</t>
  </si>
  <si>
    <t>Highly Sensitive Multifilament Fiber Strain Sensors with Ultrabroad Sensing Range for Textile Electronics</t>
  </si>
  <si>
    <t>10.1021/acsnano.7b07795</t>
  </si>
  <si>
    <t>Full text: Results and Discussion, smart-glove evaluation; Conclusions</t>
  </si>
  <si>
    <t>Fiber strain sensors integrated into a smart glove measured individual finger movements and controlled a robotic hand.</t>
  </si>
  <si>
    <t>Focused_Deployment_Rescreen_636_Final_42_20260909.xlsx | Focused exclusions!A35:O35</t>
  </si>
  <si>
    <t>REC-00076</t>
  </si>
  <si>
    <t>Highly Aligned Bacteria Cellulose Yarn Aggregation for Energy Generation and Strain Sensing</t>
  </si>
  <si>
    <t>10.1002/advs.202523263</t>
  </si>
  <si>
    <t>Full text: finger and smart-sock demonstrations</t>
  </si>
  <si>
    <t>The cellulose-yarn system was attached to fingers at several flexion angles and embedded in an athletic sock for pedalling measurements.</t>
  </si>
  <si>
    <t>Focused_Deployment_Rescreen_636_Final_42_20260909.xlsx | Focused exclusions!A36:O36</t>
  </si>
  <si>
    <t>REC-00077</t>
  </si>
  <si>
    <t>Spider-Web-Inspired Stretchable Graphene Woven Fabric for Highly Sensitive, Transparent, Wearable Strain Sensors</t>
  </si>
  <si>
    <t>10.1021/acsami.8b18312</t>
  </si>
  <si>
    <t>Full text: Results and Discussion, physiological-motion demonstrations; Conclusions</t>
  </si>
  <si>
    <t>The woven graphene sensor monitored finger and neck motion, swallowing, coughing, and speech-related vibrations.</t>
  </si>
  <si>
    <t>Focused_Deployment_Rescreen_636_Final_42_20260909.xlsx | Focused exclusions!A37:O37</t>
  </si>
  <si>
    <t>REC-00079</t>
  </si>
  <si>
    <t>Biodegradable, robust, and conductive bacterial cellulose @PPy-P macrofibers as resistive strain sensors for smart textiles</t>
  </si>
  <si>
    <t>10.1016/j.carbpol.2024.122963</t>
  </si>
  <si>
    <t>Full text: Methods, page 3; Section 3.9 and Figure 7, page 9</t>
  </si>
  <si>
    <t>The conductive macrofibre was sewn into a yarn glove, pants, and a top; Figure 7 reports finger, elbow, and leg bending signals from the integrated garments.</t>
  </si>
  <si>
    <t>Focused_Deployment_Rescreen_636_Final_42_20260909.xlsx | Focused exclusions!A38:O38</t>
  </si>
  <si>
    <t>REC-00081</t>
  </si>
  <si>
    <t>Construction of an Electrical Conductor, Strain Sensor, Electrical Connection and Cycle Switch Using Conductive Graphite Cotton Fabrics</t>
  </si>
  <si>
    <t>10.3390/polym14214767</t>
  </si>
  <si>
    <t>Full text: Figures 14-15 and Conclusions</t>
  </si>
  <si>
    <t>The abstract describes a fabric-based strain-sensing device and reports human motion.</t>
  </si>
  <si>
    <t>Focused_Deployment_Rescreen_636_Final_42_20260909.xlsx | Focused exclusions!A39:O39</t>
  </si>
  <si>
    <t>REC-00082</t>
  </si>
  <si>
    <t>Multifunctional Electronic Textiles Using Silver Nanowire Composites</t>
  </si>
  <si>
    <t>10.1021/acsami.9b07520</t>
  </si>
  <si>
    <t>Full text: Results and Discussion, Figure 5 elbow evaluation; Conclusions</t>
  </si>
  <si>
    <t>The electronic textile patch measured elbow bending angle and also supported ECG/EMG sensing.</t>
  </si>
  <si>
    <t>Focused_Deployment_Rescreen_636_Final_42_20260909.xlsx | Focused exclusions!A40:O40</t>
  </si>
  <si>
    <t>REC-00083</t>
  </si>
  <si>
    <t>Graphene Textile Strain Sensor with Negative Resistance Variation for Human Motion Detection</t>
  </si>
  <si>
    <t>10.1021/acsnano.8b03391</t>
  </si>
  <si>
    <t>The textile sensor detected joint motion, facial expressions, pulse, handwriting, and respiration.</t>
  </si>
  <si>
    <t>Focused_Deployment_Rescreen_636_Final_42_20260909.xlsx | Focused exclusions!A41:O41</t>
  </si>
  <si>
    <t>REC-00086</t>
  </si>
  <si>
    <t>Development of Textile-Based Strain Sensors for Compression Measurements in Sportswear (Sports Bra)</t>
  </si>
  <si>
    <t>10.3390/s24237495</t>
  </si>
  <si>
    <t>Full text: sports-bra compression evaluation</t>
  </si>
  <si>
    <t>The abstract describes a knitted structure-based strain-sensing device, but the complete report is still required to confirm the human-monitoring eligibility criterion.</t>
  </si>
  <si>
    <t>Focused_Deployment_Rescreen_636_Final_42_20260909.xlsx | Focused exclusions!A42:O42</t>
  </si>
  <si>
    <t>REC-00087</t>
  </si>
  <si>
    <t>Silicone-Textile Composite Resistive Strain Sensors for Human Motion-Related Parameters</t>
  </si>
  <si>
    <t>10.3390/s22103954</t>
  </si>
  <si>
    <t>Full text: respiration and elbow-motion demonstrations</t>
  </si>
  <si>
    <t>The abstract describes a textile-based strain-sensing device and reports human motion.</t>
  </si>
  <si>
    <t>Focused_Deployment_Rescreen_636_Final_42_20260909.xlsx | Focused exclusions!A43:O43</t>
  </si>
  <si>
    <t>REC-00092</t>
  </si>
  <si>
    <t>Low-Temperature-Tolerant Strain-Sensing Flexible Composite for Soft Body Armor</t>
  </si>
  <si>
    <t>10.1021/acsami.3c07030</t>
  </si>
  <si>
    <t>Full text: Section 3 (Results and Discussion), low-temperature body-motion testing; Conclusions</t>
  </si>
  <si>
    <t>The Kevlar/hydrogel textile composite directly monitored finger, elbow, wrist, and knee motion at subzero temperature.</t>
  </si>
  <si>
    <t>Focused_Deployment_Rescreen_636_Final_42_20260909.xlsx | Focused exclusions!A44:O44</t>
  </si>
  <si>
    <t>REC-00093</t>
  </si>
  <si>
    <t>High-Performance Structural Flexible Strain Sensors Based on Graphene-Coated Glass Fabric/Silicone Composite</t>
  </si>
  <si>
    <t>10.1021/acsami.8b09424</t>
  </si>
  <si>
    <t>Full text: Results and Discussion, wrist and breathing demonstrations; Conclusions</t>
  </si>
  <si>
    <t>The structural glass-fabric strain sensor was demonstrated for wrist movement and breathing.</t>
  </si>
  <si>
    <t>Focused_Deployment_Rescreen_636_Final_42_20260909.xlsx | Focused exclusions!A45:O45</t>
  </si>
  <si>
    <t>REC-00094</t>
  </si>
  <si>
    <t>Conductive Cotton Fabrics for Motion Sensing and Heating Applications</t>
  </si>
  <si>
    <t>10.3390/polym10060568</t>
  </si>
  <si>
    <t>Full text: motion-sensing demonstrations and Conclusions</t>
  </si>
  <si>
    <t>The abstract describes a knitted structure-based strain-sensing device and reports human motion, walking.</t>
  </si>
  <si>
    <t>Focused_Deployment_Rescreen_636_Final_42_20260909.xlsx | Focused exclusions!A46:O46</t>
  </si>
  <si>
    <t>REC-00096</t>
  </si>
  <si>
    <t>Fabrication and characterization of highly sensitive flexible strain sensor based on biodegradable gelatin nanocomposites and double strain layered structures with crack for gesture recognition</t>
  </si>
  <si>
    <t>10.1016/j.ijbiomac.2023.123568</t>
  </si>
  <si>
    <t>Full text: Results and Discussion, textile data-glove evaluation; Conclusion</t>
  </si>
  <si>
    <t>The fabric-substrate printed strain sensor was integrated into a data glove that recognized nine hand gestures with machine-learning classification.</t>
  </si>
  <si>
    <t>Focused_Deployment_Rescreen_636_Final_42_20260909.xlsx | Focused exclusions!A47:O47</t>
  </si>
  <si>
    <t>REC-00098</t>
  </si>
  <si>
    <t>Bioinspired Tunable Helical Fiber-Shaped Strain Sensor with Sensing Controllability for the Rehabilitation of Hemiplegic Patients</t>
  </si>
  <si>
    <t>10.1021/acsami.4c17207</t>
  </si>
  <si>
    <t>Full text: Section 3 (Results and Discussion), rehabilitation and physiological-signal evaluation; Conclusion</t>
  </si>
  <si>
    <t>The helical fiber sensor measured hand-rehabilitation motion, respiration, and pulse using a portable readout.</t>
  </si>
  <si>
    <t>Focused_Deployment_Rescreen_636_Final_42_20260909.xlsx | Focused exclusions!A48:O48</t>
  </si>
  <si>
    <t>REC-00099</t>
  </si>
  <si>
    <t>Smart Graphene Nanoplatelet Strain Sensor for Natural Frequency Sensing of Stainless Steel (SS304) and Human Health Monitoring</t>
  </si>
  <si>
    <t>10.3390/ma15113924</t>
  </si>
  <si>
    <t>Full text: human health-monitoring demonstrations</t>
  </si>
  <si>
    <t>The abstract describes a fabric-based strain-sensing device and reports muscle activity, health monitoring.</t>
  </si>
  <si>
    <t>Focused_Deployment_Rescreen_636_Final_42_20260909.xlsx | Focused exclusions!A49:O49</t>
  </si>
  <si>
    <t>REC-00101</t>
  </si>
  <si>
    <t>Core-Sheath Structured Yarn for Biomechanical Sensing in Health Monitoring</t>
  </si>
  <si>
    <t>10.3390/biomimetics10050304</t>
  </si>
  <si>
    <t>Full text: Section 3.4 and Figure 6, wearable garment and accessory demonstrations</t>
  </si>
  <si>
    <t>The core-sheath yarn was integrated into an undershirt, elbow and knee braces, finger gloves, wristbands, and socks; Figure 6 reports respiration, joint movement, and pulse signals.</t>
  </si>
  <si>
    <t>Focused_Deployment_Rescreen_636_Final_42_20260909.xlsx | Focused exclusions!A50:O50</t>
  </si>
  <si>
    <t>REC-00102</t>
  </si>
  <si>
    <t>Smart Textile Based on 3D Stretchable Silver Nanowires/MXene Conductive Networks for Personal Healthcare and Thermal Management</t>
  </si>
  <si>
    <t>10.1021/acsami.1c18828</t>
  </si>
  <si>
    <t>Full text: Section 2 (Results and Discussion), human-motion demonstrations; Conclusions</t>
  </si>
  <si>
    <t>The textile sensor monitored finger and wrist bending, swallowing, mouse clicking, pressing, and speaking.</t>
  </si>
  <si>
    <t>Focused_Deployment_Rescreen_636_Final_42_20260909.xlsx | Focused exclusions!A51:O51</t>
  </si>
  <si>
    <t>REC-00103</t>
  </si>
  <si>
    <t>Stretchable and sensitive sodium alginate ionic hydrogel fibers for flexible strain sensors</t>
  </si>
  <si>
    <t>10.1016/j.ijbiomac.2023.125683</t>
  </si>
  <si>
    <t>Full text: Results and Discussion, knitted-textile human-motion demonstrations; Conclusion</t>
  </si>
  <si>
    <t>The conductive fibers were knitted into a textile and demonstrated for wearable recognition of human movements.</t>
  </si>
  <si>
    <t>Focused_Deployment_Rescreen_636_Final_42_20260909.xlsx | Focused exclusions!A52:O52</t>
  </si>
  <si>
    <t>REC-00106</t>
  </si>
  <si>
    <t>Design of a wearable and shape-memory fibriform sensor for the detection of multimodal deformation</t>
  </si>
  <si>
    <t>10.1039/c7nr06219b</t>
  </si>
  <si>
    <t>Full text: elbow-worn textile demonstration and Conclusions</t>
  </si>
  <si>
    <t>The abstract describes a woven structure-based strain-sensing device and reports human motion, joint movement, breathing.</t>
  </si>
  <si>
    <t>Focused_Deployment_Rescreen_636_Final_42_20260909.xlsx | Focused exclusions!A53:O53</t>
  </si>
  <si>
    <t>REC-00109</t>
  </si>
  <si>
    <t>High-Strength, Low-Hysteresis Hydrogel Fibers via Coordination-Locked Entangled Networks for Wearable Sensors</t>
  </si>
  <si>
    <t>10.1002/smtd.70876</t>
  </si>
  <si>
    <t>A textile-integrated glove was evaluated on a volunteer with quantitative motion-related output.</t>
  </si>
  <si>
    <t>Focused_Deployment_Rescreen_636_Final_42_20260909.xlsx | Focused exclusions!A54:O54</t>
  </si>
  <si>
    <t>REC-00111</t>
  </si>
  <si>
    <t>A Highly Sensitive and Stretchable Yarn Strain Sensor for Human Motion Tracking Utilizing a Wrinkle-Assisted Crack Structure</t>
  </si>
  <si>
    <t>10.1021/acsami.9b09229</t>
  </si>
  <si>
    <t>Full text: Figure 7 and associated text, cotton glove, wristband, and knee-cap demonstrations</t>
  </si>
  <si>
    <t>The yarn sensor was sewn into a cotton glove, wristband, and knee cap; Figure 7 reports finger, wrist, knee, and radial-pulse signals from these integrated configurations.</t>
  </si>
  <si>
    <t>Focused_Deployment_Rescreen_636_Final_42_20260909.xlsx | Focused exclusions!A55:O55</t>
  </si>
  <si>
    <t>REC-00112</t>
  </si>
  <si>
    <t>Fishing net-inspired PVA-chitosan-CNT hydrogels with high stretchability, sensitivity, and environmentally stability for textile strain sensors</t>
  </si>
  <si>
    <t>10.1016/j.ijbiomac.2024.137576</t>
  </si>
  <si>
    <t>Full text: Section 3.4 (Two-dimensional woven sensors for human motion monitoring); Conclusion</t>
  </si>
  <si>
    <t>The two-dimensional woven sensor was evaluated for finger-joint flexion, sound-related deformation, and pulse monitoring.</t>
  </si>
  <si>
    <t>Focused_Deployment_Rescreen_636_Final_42_20260909.xlsx | Focused exclusions!A56:O56</t>
  </si>
  <si>
    <t>REC-00113</t>
  </si>
  <si>
    <t>Human Motion Recognition of Knitted Flexible Sensor in Walking Cycle</t>
  </si>
  <si>
    <t>10.3390/s20010035</t>
  </si>
  <si>
    <t>Full text: walking-cycle experiment</t>
  </si>
  <si>
    <t>The abstract describes a knitted structure-based strain-sensing device and reports gait, walking, sweat monitoring.</t>
  </si>
  <si>
    <t>Focused_Deployment_Rescreen_636_Final_42_20260909.xlsx | Focused exclusions!A57:O57</t>
  </si>
  <si>
    <t>REC-00118</t>
  </si>
  <si>
    <t>Environmentally Friendly Flexible Strain Sensor from Waste Cotton Fabrics and Natural Rubber Latex</t>
  </si>
  <si>
    <t>10.3390/polym11030404</t>
  </si>
  <si>
    <t>Full text: motion-monitoring demonstrations and Conclusions</t>
  </si>
  <si>
    <t>The abstract describes a fabric-based strain-sensing device, but the complete report is still required to confirm the human-monitoring eligibility criterion.</t>
  </si>
  <si>
    <t>Focused_Deployment_Rescreen_636_Final_42_20260909.xlsx | Focused exclusions!A58:O58</t>
  </si>
  <si>
    <t>REC-00120</t>
  </si>
  <si>
    <t>Alkylated MXene-Carbon Nanotube/Microfiber Composite Material with Flexible, Superhydrophobic, and Sensing Properties</t>
  </si>
  <si>
    <t>10.3390/ma17184499</t>
  </si>
  <si>
    <t>Full text: finger-bending demonstration and Conclusions</t>
  </si>
  <si>
    <t>Figure 7 reports the fabric sensor attached for finger bending and distinguishes signals at different bending angles.</t>
  </si>
  <si>
    <t>Focused_Deployment_Rescreen_636_Final_42_20260909.xlsx | Focused exclusions!A59:O59</t>
  </si>
  <si>
    <t>REC-00122</t>
  </si>
  <si>
    <t>Wearable Ionogel-Based Fibers for Strain Sensors with Ultrawide Linear Response and Temperature Sensors Insensitive to Strain</t>
  </si>
  <si>
    <t>10.1021/acsami.2c09001</t>
  </si>
  <si>
    <t>Full text: Figure 6 applications; fabric-sewn Morse-code demonstration; Conclusions</t>
  </si>
  <si>
    <t>The ionogel fibre was sewn into fabric for a wireless Morse-code demonstration and separately produced quantitative pulse, chewing, finger-bending, and head-motion signals.</t>
  </si>
  <si>
    <t>Focused_Deployment_Rescreen_636_Final_42_20260909.xlsx | Focused exclusions!A60:O60</t>
  </si>
  <si>
    <t>REC-00123</t>
  </si>
  <si>
    <t>Combined optical-electromechanical wearable sensors for cardiac health monitoring</t>
  </si>
  <si>
    <t>10.1117/1.jbo.30.6.067002</t>
  </si>
  <si>
    <t>Full text: shirt/chest respiration experiment and comparator analysis</t>
  </si>
  <si>
    <t>The abstract describes a textile-based strain-sensing device, but the complete report is still required to confirm the human-monitoring eligibility criterion.</t>
  </si>
  <si>
    <t>Focused_Deployment_Rescreen_636_Final_42_20260909.xlsx | Focused exclusions!A61:O61</t>
  </si>
  <si>
    <t>REC-00124</t>
  </si>
  <si>
    <t>A Wearable Fabric Sensing Device for Swallow Monitoring and Classification</t>
  </si>
  <si>
    <t>10.1007/s00455-025-10915-2</t>
  </si>
  <si>
    <t>Full text: swallow-monitoring and classification evaluation</t>
  </si>
  <si>
    <t>The abstract describes a knitted structure-based strain-sensing device and reports swallowing.</t>
  </si>
  <si>
    <t>Focused_Deployment_Rescreen_636_Final_42_20260909.xlsx | Focused exclusions!A62:O62</t>
  </si>
  <si>
    <t>REC-00125</t>
  </si>
  <si>
    <t>A Fully Self-Powered Wearable Leg Movement Sensing System for Human Health Monitoring</t>
  </si>
  <si>
    <t>10.1002/advs.202303114</t>
  </si>
  <si>
    <t>Full text: wearable knee-movement system evaluation</t>
  </si>
  <si>
    <t>The abstract describes a fabric-based strain-sensing device and reports joint movement, limb movement.</t>
  </si>
  <si>
    <t>Focused_Deployment_Rescreen_636_Final_42_20260909.xlsx | Focused exclusions!A63:O63</t>
  </si>
  <si>
    <t>REC-00126</t>
  </si>
  <si>
    <t>A Breathable, Low-Cost, and Highly Stretchable Medical-Textile Strain Sensor for Human Motion and Plant Growth Monitoring</t>
  </si>
  <si>
    <t>10.3390/s26010044</t>
  </si>
  <si>
    <t>Full text: human joint-motion demonstrations and Conclusions</t>
  </si>
  <si>
    <t>The abstract describes a fabric-based strain-sensing device and reports joint movement.</t>
  </si>
  <si>
    <t>Focused_Deployment_Rescreen_636_Final_42_20260909.xlsx | Focused exclusions!A64:O64</t>
  </si>
  <si>
    <t>REC-00127</t>
  </si>
  <si>
    <t>Strain Sensor with Both a Wide Sensing Range and High Sensitivity Based on Braided Graphene Belts</t>
  </si>
  <si>
    <t>10.1021/acsami.9b21921</t>
  </si>
  <si>
    <t>Full text: Section 3 (Results and Discussion), chest-respiration and wrist-pulse demonstrations; Conclusions</t>
  </si>
  <si>
    <t>The braided graphene sensor was evaluated on the chest for respiration and at the wrist for pulse monitoring.</t>
  </si>
  <si>
    <t>Focused_Deployment_Rescreen_636_Final_42_20260909.xlsx | Focused exclusions!A65:O65</t>
  </si>
  <si>
    <t>REC-00128</t>
  </si>
  <si>
    <t>An ultraflexible polyurethane yarn-based wearable strain sensor with a polydimethylsiloxane infiltrated multilayer sheath for smart textiles</t>
  </si>
  <si>
    <t>10.1039/c9nr09306k</t>
  </si>
  <si>
    <t>Full text: textile integration and human-motion demonstrations</t>
  </si>
  <si>
    <t>The abstract describes a fabric-based strain-sensing device and reports human motion, pulse, walking.</t>
  </si>
  <si>
    <t>Focused_Deployment_Rescreen_636_Final_42_20260909.xlsx | Focused exclusions!A66:O66</t>
  </si>
  <si>
    <t>REC-00129</t>
  </si>
  <si>
    <t>Highly Stretchable and Fluorescent Visualizable Thermoplastic Polyurethane/Tetraphenylethylene Plied Yarn Strain Sensor with Heterogeneous and Cracked Structure for Human Health Monitoring</t>
  </si>
  <si>
    <t>10.1021/acsami.3c14396</t>
  </si>
  <si>
    <t>Human testing used the yarn sensing element without a clearly demonstrated textile/garment-integrated human configuration</t>
  </si>
  <si>
    <t>Full text: human-signal demonstrations and fabric-sewn abrasion test in Figure S7</t>
  </si>
  <si>
    <t>The fluorescent yarn sensor monitored large joint movements and small signals including pulse, heartbeat, and facial expressions; the tested yarn was also sewn into arm fabric for the reported abrasion experiment.</t>
  </si>
  <si>
    <t>Focused_Deployment_Rescreen_636_Final_42_20260909.xlsx | Focused exclusions!A67:O67</t>
  </si>
  <si>
    <t>REC-00130</t>
  </si>
  <si>
    <t>Breathable and Wearable Strain Sensors Based on Synergistic Conductive Carbon Nanotubes/Cotton Fabrics for Multi-directional Motion Detection</t>
  </si>
  <si>
    <t>10.1021/acsami.2c04790</t>
  </si>
  <si>
    <t>Full text: Results and Discussion, multidirectional body-motion evaluation; Conclusions</t>
  </si>
  <si>
    <t>The conductive cotton fabric monitored multidirectional body movement, pulse, and knee bending.</t>
  </si>
  <si>
    <t>Focused_Deployment_Rescreen_636_Final_42_20260909.xlsx | Focused exclusions!A68:O68</t>
  </si>
  <si>
    <t>REC-00131</t>
  </si>
  <si>
    <t>Fibrous strain sensor with ultra-sensitivity, wide sensing range, and large linearity for full-range detection of human motion</t>
  </si>
  <si>
    <t>10.1039/c8nr05404e</t>
  </si>
  <si>
    <t>Full text: sensing-fabric and human-motion demonstrations</t>
  </si>
  <si>
    <t>The abstract describes a woven structure-based strain-sensing device and reports human motion.</t>
  </si>
  <si>
    <t>Focused_Deployment_Rescreen_636_Final_42_20260909.xlsx | Focused exclusions!A69:O69</t>
  </si>
  <si>
    <t>REC-00136</t>
  </si>
  <si>
    <t>Crack-Based Core-Sheath Fiber Strain Sensors with an Ultralow Detection Limit and an Ultrawide Working Range</t>
  </si>
  <si>
    <t>10.1021/acsami.2c04559</t>
  </si>
  <si>
    <t>Full text: Results and Discussion, smart-glove and physiological-signal demonstrations; Conclusions</t>
  </si>
  <si>
    <t>The core-sheath fiber was used in a smart glove and detected pulse, swallowing, and large joint movements.</t>
  </si>
  <si>
    <t>Focused_Deployment_Rescreen_636_Final_42_20260909.xlsx | Focused exclusions!A70:O70</t>
  </si>
  <si>
    <t>REC-00139</t>
  </si>
  <si>
    <t>A deep learning-enabled smart garment for accurate and versatile monitoring of sleep conditions in daily life</t>
  </si>
  <si>
    <t>10.1073/pnas.2420498122</t>
  </si>
  <si>
    <t>Full text: smart-garment sleep-monitoring study</t>
  </si>
  <si>
    <t>The abstract describes a textile-based strain-sensing device and reports sleep monitoring.</t>
  </si>
  <si>
    <t>Focused_Deployment_Rescreen_636_Final_42_20260909.xlsx | Focused exclusions!A71:O71</t>
  </si>
  <si>
    <t>REC-00140</t>
  </si>
  <si>
    <t>Mechanical Compatibility in Stitch Configuration and Sensor Adhesion for High-Fidelity Pulse Wave Monitoring</t>
  </si>
  <si>
    <t>10.1002/advs.202415608</t>
  </si>
  <si>
    <t>Full text: human patient pulse-wave evaluation</t>
  </si>
  <si>
    <t>The abstract describes a knitted structure-based strain-sensing device and reports pulse.</t>
  </si>
  <si>
    <t>Focused_Deployment_Rescreen_636_Final_42_20260909.xlsx | Focused exclusions!A72:O72</t>
  </si>
  <si>
    <t>REC-00144</t>
  </si>
  <si>
    <t>Preparation of a Highly Sensitive and Stretchable Strain Sensor of MXene/Silver Nanocomposite-Based Yarn and Wearable Applications</t>
  </si>
  <si>
    <t>10.1021/acsami.9b19242</t>
  </si>
  <si>
    <t>Full text: Section 3 (Results and Discussion), body-deformation demonstrations; Conclusion</t>
  </si>
  <si>
    <t>The MXene/silver yarn sensor monitored both large and small deformations from different human-body locations.</t>
  </si>
  <si>
    <t>Focused_Deployment_Rescreen_636_Final_42_20260909.xlsx | Focused exclusions!A73:O73</t>
  </si>
  <si>
    <t>REC-00149</t>
  </si>
  <si>
    <t>Degradable Bioinspired Hypersensitive Strain Sensor with High Mechanical Strength Using a Basalt Fiber as a Reinforced Layer</t>
  </si>
  <si>
    <t>10.1021/acsami.2c12479</t>
  </si>
  <si>
    <t>C1-C6 were identified in the full text. Textile evidence: Considering mechanical properties and environmental issues, a flexible strain sensor based on an elastomer (Ecoflex)-wrapped fabric with the woven structure was designed and fabricated. Human evidence: It can be clearly observed from Figure 4 that when it is fixed onto the index finger with the medical tape, the relative resistance of the device changes with respect to the varying bending angles. Quantitative evidence: According to the fitting results in Figure 3, the GF of the sensor under tensile and bending conditions are 138.10, and 80, respectively (Figure 3), which are higher than those of similar competitive sensors reported in the recent literature.</t>
  </si>
  <si>
    <t>Focused_Deployment_Rescreen_636_Final_42_20260909.xlsx | Focused exclusions!A74:O74</t>
  </si>
  <si>
    <t>REC-00150</t>
  </si>
  <si>
    <t>A Novel Fabric Strain Sensor Array with Hybrid Deep Learning for Accurate Knee Movement Recognition</t>
  </si>
  <si>
    <t>10.3390/mi17010056</t>
  </si>
  <si>
    <t>C1-C6 were identified in the full text. Textile evidence: Also, as peripheral of the sensor array were sewn onto the elastic fabric kneepad before the experiment, the two ends of the sensor array can maintain their relative position to the thigh and the calf, respectively. Human evidence: As given in Figure 2, the experimental process is: when the subject first put on the knee pads, the location of the fabric strain sensor will be adjusted to make sure the knee is fully covered. Quantitative evidence: As a result, the architecture not only improves recognition accuracy under standard testing conditions but also demonstrates enhanced robustness against motion artifacts, signal drift, and inter-subject variability.</t>
  </si>
  <si>
    <t>Focused_Deployment_Rescreen_636_Final_42_20260909.xlsx | Focused exclusions!A75:O75</t>
  </si>
  <si>
    <t>REC-00155</t>
  </si>
  <si>
    <t>Knittable and Sewable Spandex Yarn with Nacre-Mimetic Composite Coating for Wearable Health Monitoring and Thermo- and Antibacterial Therapies</t>
  </si>
  <si>
    <t>10.1021/acsami.1c00864</t>
  </si>
  <si>
    <t>C1-C6 were identified in the full text. Textile evidence: Remarkably, near-infrared irradiation further improves the bacteria-killing efficiency of an MPNi@Spandex knitted textile to more than 99.9%. Human evidence: As demonstrated in Figure 2, the sensor was stretched upon finger bending, leading to an immediate resistance increase. Quantitative evidence: As shown in Figure 2, the GF was calculated to be 604.0 in the strain range of 0–36.6% and dramatically increased to 1.2 × 104 in the strain range of 36.6–55.6%.</t>
  </si>
  <si>
    <t>Focused_Deployment_Rescreen_636_Final_42_20260909.xlsx | Focused exclusions!A76:O76</t>
  </si>
  <si>
    <t>REC-00156</t>
  </si>
  <si>
    <t>Woven coir fiber and sisal fiber-based sensor: Low-cost wearable strain sensing and wrinkle-responsive joint motion monitoring</t>
  </si>
  <si>
    <t>10.1016/j.ijbiomac.2025.148026</t>
  </si>
  <si>
    <t>A woven natural-fibre strain sensor was attached to the elbow and knee and produced quantitative deformation-related output.</t>
  </si>
  <si>
    <t>Focused_Deployment_Rescreen_636_Final_42_20260909.xlsx | Focused exclusions!A77:O77</t>
  </si>
  <si>
    <t>REC-00159</t>
  </si>
  <si>
    <t>A Printable Deep Eutectic/Copper Conductive Colloid for Wearable Devices</t>
  </si>
  <si>
    <t>10.1021/acs.langmuir.5c00453</t>
  </si>
  <si>
    <t>C1-C6 were identified in the full text. Textile evidence: Figure 8 shows that a gesture recognition glove based on a deep eutectic/copper colloid strain sensor is integrated. Human evidence: As shown in Figure 7,f, the strain sensor was attached to the face and throat of the test subjects, and the volunteers’ smiling and swallowing were, respectively, detected, showing regular and stable perceptual patterns. Quantitative evidence: As shown in Figure 6, 1000 stretch/release cycles were performed on the sensor at 15% tensile strain, and there was no significant attenuation or amplification of the electrical signal, which verified that the self-healing ability of the copper colloid was repeatable and reversible.</t>
  </si>
  <si>
    <t>Focused_Deployment_Rescreen_636_Final_42_20260909.xlsx | Focused exclusions!A78:O78</t>
  </si>
  <si>
    <t>REC-00163</t>
  </si>
  <si>
    <t>Biodegradable poly(lactic acid) blocked polyurethane/carbon nanotubes coated cotton fabric prepared by ultrasonic-assisted inkjet printing for high performance strain sensors</t>
  </si>
  <si>
    <t>10.1016/j.ijbiomac.2024.133269</t>
  </si>
  <si>
    <t>The cotton-fabric strain sensor was used for body-motion and swallowing demonstrations with quantitative response.</t>
  </si>
  <si>
    <t>Focused_Deployment_Rescreen_636_Final_42_20260909.xlsx | Focused exclusions!A79:O79</t>
  </si>
  <si>
    <t>REC-00164</t>
  </si>
  <si>
    <t>Matrix Swelling-Induced Precracking in Graphene Woven Fabric for Ultrasensitive Strain Sensors</t>
  </si>
  <si>
    <t>10.1021/acsomega.4c10403</t>
  </si>
  <si>
    <t>C1-C6 were identified in the full text. Textile evidence: Herein, we introduce a precracked strain sensor based on solvent-swollen graphene woven fabric/polydimethylsiloxane (sGWF/PDMS) composites, designed to achieve ultrahigh gauge factors (GFs) and enhanced responsiveness to minor deformations. Human evidence: As shown in Figure 7, a sensor attached to the radial artery detects pulse frequency variations both at rest and postexercise, maintaining high sensitivity in both conditions. Quantitative evidence: To understand the mechanism for higher sensitivity along the 0° direction, we observed structural evolution of the GWF skeleton using SEM (Figure 2–j).</t>
  </si>
  <si>
    <t>Focused_Deployment_Rescreen_636_Final_42_20260909.xlsx | Focused exclusions!A80:O80</t>
  </si>
  <si>
    <t>REC-00166</t>
  </si>
  <si>
    <t>Highly Sensitive and Stretchable c-MWCNTs/PPy Embedded Multidirectional Strain Sensor Based on Double Elastic Fabric for Human Motion Detection</t>
  </si>
  <si>
    <t>10.3390/nano11092333</t>
  </si>
  <si>
    <t>C1-C6 were identified in the full text. Textile evidence: Another strategy to fabricate anisotropic strain sensors is to utilize conductive materials embedded textile materials, which consist of yarn or fibers directly. Human evidence: Figure 6,d illustrated the relative resistance change of DEF/c-MWCNTs/PPy warp direction and weft direction during repeated stretching/releasing cycles with 10, 30, and 50% strain at the frequency of 0.20 Hz. Quantitative evidence: Electromechanical Performances of DEF/c-MWCNTs/PPy Strain Sensor Figure 5 presented the current–voltage (I–V) curves of the DEF/c-MWCNTs/PPy strain sensor after different soaking times and adsorption-oxidizing cycles, and corresponding resistance.</t>
  </si>
  <si>
    <t>Focused_Deployment_Rescreen_636_Final_42_20260909.xlsx | Focused exclusions!A81:O81</t>
  </si>
  <si>
    <t>REC-00167</t>
  </si>
  <si>
    <t>Dual-Functionality, Bio-Friendly Artificial Muscles for Actuation and Motion Sensing in Smart Wearable Systems</t>
  </si>
  <si>
    <t>10.1002/smll.75219</t>
  </si>
  <si>
    <t>C1-C6 were identified in the full text. Textile evidence: A photograph of the fabricated fabric is shown in Figure 3. Human evidence: Figure 1 illustrates the operating principles of the unipolar artificial muscle and its integration into a textile structure. Quantitative evidence: The time-dependent actuation response is presented in Figure 2, showing a mean contractile strain of 2.9% across all cycles.</t>
  </si>
  <si>
    <t>Focused_Deployment_Rescreen_636_Final_42_20260909.xlsx | Focused exclusions!A82:O82</t>
  </si>
  <si>
    <t>REC-00172</t>
  </si>
  <si>
    <t>Through-Layer Buckle Wavelength-Gradient Design for the Coupling of High Sensitivity and Stretchability in a Single Strain Sensor</t>
  </si>
  <si>
    <t>10.1021/acsami.7b17975</t>
  </si>
  <si>
    <t>C1-C6 were identified in the full text. Textile evidence: Through-Layer Buckle Wavelength-Gradient Design for the Coupling of High Sensitivity and Stretchability in a Single Strain Sensor Human evidence: Figure 6 shows stable step signals responding to the finger motions. Quantitative evidence: Highly tunable sensing performances were observed from Figure 3: ΔR/R0 versus ε curves of three MBGWF strain sensors with n = 1, 5, and 10 share the same exponential growth pattern whereas diverge significantly in the maximum sensing strain and sensitivity (GF, defined as the slope, or d­(ΔR/R0)/dε)</t>
  </si>
  <si>
    <t>Focused_Deployment_Rescreen_636_Final_42_20260909.xlsx | Focused exclusions!A83:O83</t>
  </si>
  <si>
    <t>REC-00174</t>
  </si>
  <si>
    <t>Ultrasensitive Strain Sensor Based on Pre-Generated Crack Networks Using Ag Nanoparticles/Single-Walled Carbon Nanotube (SWCNT) Hybrid Fillers and a Polyester Woven Elastic Band</t>
  </si>
  <si>
    <t>10.3390/s21072531</t>
  </si>
  <si>
    <t>C1-C6 were identified in the full text. Textile evidence: We could observe that these processes did not alter the woven surface structure of the fabric substrate (Figure 2). Human evidence: A flexible, adhesive and self-healable hydrogel-based wearable strain sensor for human motion and physiological signal monitoring. Quantitative evidence: To enhance the sensitivity of the sensor, we pre-stretched Ag/SWCNT/PEB to form prebuilt crack networks, with a loading and releasing rate of 80 mm·s−1, using a customized UTM (Dacell Co., Seoul, Korea) (Figure 1).</t>
  </si>
  <si>
    <t>Focused_Deployment_Rescreen_636_Final_42_20260909.xlsx | Focused exclusions!A84:O84</t>
  </si>
  <si>
    <t>REC-00175</t>
  </si>
  <si>
    <t>Silk Sericin As a Green Adhesive to Fabricate a Textile Strain Sensor with Excellent Electromagnetic Shielding Performance</t>
  </si>
  <si>
    <t>10.1021/acsami.1c05671</t>
  </si>
  <si>
    <t>C1-C6 were identified in the full text. Textile evidence: However, with regard to low cost and flexibility of sensors, textile fabrics are ideal candidates, which exhibit intrinsically mechanical flexibility, lightweight, and high surface areas for anchoring active materials, and it is worth noting that textile fabrics are easily integrated into wearable d Human evidence: Gauge factor (GF) is calculated based on the relative changes of resistance and strain (ε) with the definition as followed (5)­ GF = Δ 𝑅 𝜀 𝑅 0 (5) The conductive textiles as wearable sensors were attached to a human index finger and elbow in suitable sizes. Quantitative evidence: Gauge factor (GF) is calculated based on the relative changes of resistance and strain (ε) with the definition as followed (5)­ GF = Δ 𝑅 𝜀 𝑅 0 (5) The conductive textiles as wearable sensors were attached to a human index finger and elbow in suitable sizes.</t>
  </si>
  <si>
    <t>Focused_Deployment_Rescreen_636_Final_42_20260909.xlsx | Focused exclusions!A85:O85</t>
  </si>
  <si>
    <t>REC-00178</t>
  </si>
  <si>
    <t>Optimization of Knitted Strain Sensor Structures for a Real-Time Korean Sign Language Translation Glove System</t>
  </si>
  <si>
    <t>10.3390/s25144270</t>
  </si>
  <si>
    <t>C1-C6 were identified in the full text. Textile evidence: Taking the fabric’s elasticity into account, the interconnection lines were sewn in a zigzag pattern with an approximate spacing of 3 mm to maintain flexibility. Human evidence: Data were collected from a single participant who maintained the initial state (no finger bending) for 3 s and the gesture state (finger bending) for 6 s at a consistent pace, repeating this cycle 25 times. Quantitative evidence: Data were collected from a single participant who maintained the initial state (no finger bending) for 3 s and the gesture state (finger bending) for 6 s at a consistent pace, repeating this cycle 25 times.</t>
  </si>
  <si>
    <t>Focused_Deployment_Rescreen_636_Final_42_20260909.xlsx | Focused exclusions!A86:O86</t>
  </si>
  <si>
    <t>REC-00179</t>
  </si>
  <si>
    <t>Tactile Sensing System Based on Arrays of Graphene Woven Microfabrics: Electromechanical Behavior and Electronic Skin Application</t>
  </si>
  <si>
    <t>10.1021/acsnano.5b03851</t>
  </si>
  <si>
    <t>C1-C6 were identified in the full text. Textile evidence: Results and Discussion Structural Characteristics of GWFs Figure 1 provides the schematic illustration of a graphene woven fabric (GWF)-based strain sensor. Human evidence: Figure 5 displays the possibility of using the GWF as a pulse detector by arranging the sensor around the wrist of one of the authors. Quantitative evidence: Figure 2 indicates that the measured gauge factor under 1% strain for GPG is 1–2 orders lower than that of the GWF, manifesting that the effect of the network configuration itself is negligible for high sensitivity; that is, the woven fabric structure with an interlaced crisscross and regulated flaw</t>
  </si>
  <si>
    <t>Focused_Deployment_Rescreen_636_Final_42_20260909.xlsx | Focused exclusions!A87:O87</t>
  </si>
  <si>
    <t>REC-00182</t>
  </si>
  <si>
    <t>Multimodal Double-Helix Fiber Sensors for Distinguishable Pressure and Strain Detection in Wearable Sensory Applications</t>
  </si>
  <si>
    <t>10.1021/acsami.5c18966</t>
  </si>
  <si>
    <t>C1-C6 were identified in the full text. Textile evidence: (e) Photographs demonstrating the sensor’s mechanical robustness and integrability: original state, stretchability, bendability, knot-ability, incorporation into a knitted knee pad, and sewability into textile substrates. Human evidence: In Figure 4(a–b), the sensor was attached to the finger and wrist, respectively, where joint bending induced both axial stretching and lateral contraction due to Poisson’s effect. Quantitative evidence: As shown in Figure 2(b), the sensor exhibited stable and linear responses of normalized R (ΔR/R0) over a strain range of 0–150%, with a consistently maintained gauge factor (GF) of 0.03 ± 0.001%–1 and linearity approaching 0.98 for both stretching and releasing cycles.</t>
  </si>
  <si>
    <t>Focused_Deployment_Rescreen_636_Final_42_20260909.xlsx | Focused exclusions!A88:O88</t>
  </si>
  <si>
    <t>REC-00183</t>
  </si>
  <si>
    <t>(3-Mercaptopropyl)triethoxysilane-Modified Reduced Graphene Oxide-Modified Polyurethane Yarn Enhanced by Epoxy/Thiol Reactions for Strain Sensors</t>
  </si>
  <si>
    <t>10.1021/acsami.1c07620</t>
  </si>
  <si>
    <t>C1-C6 were identified in the full text. Textile evidence: As shown in Figure 8, the strain-sensing yarn was embedded into a stretchable fabric to assemble a strain-sensing textile and used to monitor the muscle activity of a volunteer, which can be applied in the fitness field to assess the performance. Human evidence: As shown in Figure 8, the strain-sensing yarn was embedded into a stretchable fabric to assemble a strain-sensing textile and used to monitor the muscle activity of a volunteer, which can be applied in the fitness field to assess the performance. Quantitative evidence: Figure 7–c demonstrates the cyclic stretching and releasing process of the as-prepared strain-sensing yarns within 20 cycles, and Hm of each sample was calculated through these curves according to eq 2, the variation of Hm in each cycle is plotted as shown in Figure 7.</t>
  </si>
  <si>
    <t>Focused_Deployment_Rescreen_636_Final_42_20260909.xlsx | Focused exclusions!A89:O89</t>
  </si>
  <si>
    <t>REC-00185</t>
  </si>
  <si>
    <t>Design of Wearable Finger Sensors for Rehabilitation Applications</t>
  </si>
  <si>
    <t>10.3390/mi14040710</t>
  </si>
  <si>
    <t>C1-C6 were identified in the full text. Textile evidence: Version 1 is the knitted sensor strip attached to a non-woven tube fabric as shown in Figure 2, whereas Version 2 is the knitted sensor strip attached between the fingertip and wrist. Human evidence: Version 1 is the knitted sensor strip attached to a non-woven tube fabric as shown in Figure 2, whereas Version 2 is the knitted sensor strip attached between the fingertip and wrist. Quantitative evidence: In Figure 3,c, the sensor is stretched five times to the range of 40% and the relative resistance change of the sensor is measured for 5 cycles, where R0 and ΔR represent the initial and resistance changes, respectively.</t>
  </si>
  <si>
    <t>Focused_Deployment_Rescreen_636_Final_42_20260909.xlsx | Focused exclusions!A90:O90</t>
  </si>
  <si>
    <t>REC-00188</t>
  </si>
  <si>
    <t>Robust Superhydrophobic E-Textiles Based on a Low-Wetting Conductive Interface for Health Management</t>
  </si>
  <si>
    <t>10.1021/acs.langmuir.5c04288</t>
  </si>
  <si>
    <t>C1-C6 were identified in the full text. Textile evidence: (32) fabricated a wearable e-textile based on PANI/MXene, which displayed an EMI shielding efficiency of 43 dB and a strain sensing range of 100%. Human evidence: In addition, Figure 9 demonstrates that the NPMMAP-based strain sensor effectively monitors knee and elbow joint movements. Quantitative evidence: Figure 4 demonstrates that the water contact angle of NPMMAP decreases after 500 stretching–releasing cycles, but it still remains at 151.8°, indicating excellent hydrophobic stability.</t>
  </si>
  <si>
    <t>Focused_Deployment_Rescreen_636_Final_42_20260909.xlsx | Focused exclusions!A91:O91</t>
  </si>
  <si>
    <t>REC-00191</t>
  </si>
  <si>
    <t>Flexible MXene-Decorated Fabric with Interwoven Conductive Networks for Integrated Joule Heating, Electromagnetic Interference Shielding, and Strain Sensing Performances</t>
  </si>
  <si>
    <t>10.1021/acsami.0c01182</t>
  </si>
  <si>
    <t>C1-C6 were identified in the full text. Textile evidence: Interestingly, the flexible M-CF heaters could be sewn onto glove and wrister, which can warm people under very low and safe voltage (Figure 4). Human evidence: M-CF-based sensors with a size of 40 × 10 × 0.33 mm3 were fixed on the bending-strain device (inset image in Figure 5), and a back-and-forth movement with a bending radius R was performed. Quantitative evidence: The selected temperature variation curves of the first, 30th, 60th, and 100th cycles were almost coincident, indicating the good stability of the heaters during long time application (Figure 4).</t>
  </si>
  <si>
    <t>Focused_Deployment_Rescreen_636_Final_42_20260909.xlsx | Focused exclusions!A92:O92</t>
  </si>
  <si>
    <t>REC-00192</t>
  </si>
  <si>
    <t>Highly Stretchable and Wearable Graphene Strain Sensors with Controllable Sensitivity for Human Motion Monitoring</t>
  </si>
  <si>
    <t>10.1021/acsami.5b00695</t>
  </si>
  <si>
    <t>C1-C6 were identified in the full text. Textile evidence: The index and middle fingers of the glove (Figure 6) were sewn with the WY and NCRY sensors, respectively, and the sensors were placed outside of the finger joints. Human evidence: Figure 2 shows the relative resistance change of the sensors after three LbL cycles, as a function of the applied strain. Quantitative evidence: Comparison of the bare yarns to those after LbL assembly processing (three cycles) reveals that the white yarns became black (Figure 2–f), because of the GNP layer.</t>
  </si>
  <si>
    <t>Focused_Deployment_Rescreen_636_Final_42_20260909.xlsx | Focused exclusions!A93:O93</t>
  </si>
  <si>
    <t>REC-00197</t>
  </si>
  <si>
    <t>Collaborative Interfacial Strategy for Constructing Cotton Fabrics with Flame Retardant, Strain Sensing, and Triple-Mode Thermal Management</t>
  </si>
  <si>
    <t>10.1021/acsami.5c10097</t>
  </si>
  <si>
    <t>C1-C6 were identified in the full text. Textile evidence: Herein, a flexible and wearable cotton fabric (C-P-M-Cotton) was fabricated via hydrogen bonding, electrostatic assembly, and covalent cross-linking, using Ti3C2Tx MXene, phytic acid (PA), and an isocyanate-based cross-linking agent. Human evidence: Figure 6 displays a strain sensing response of a finger bent from 0 to 90°, due to the tight fit of the sensor to the finger; the C-P-M-cotton fabric sensor bent along with the finger, resulting in the formation of more conductive paths and reduced resistance. Quantitative evidence: As demonstrated in Figure 5, the response time and the relaxation time of the C-P-M-cotton fabric sensor with 1.06 bending strain were 0.7 and 0.5 s, respectively.</t>
  </si>
  <si>
    <t>Focused_Deployment_Rescreen_636_Final_42_20260909.xlsx | Focused exclusions!A94:O94</t>
  </si>
  <si>
    <t>REC-00199</t>
  </si>
  <si>
    <t>Screen-Printing of Carbons/Conductive Polymer Composite Inks for Smart Glove with High-Performance Textile Sensors</t>
  </si>
  <si>
    <t>10.1021/acsami.5c06035</t>
  </si>
  <si>
    <t>C1-C6 were identified in the full text. Textile evidence: The strain sensors and PCB are interconnected via screen-printed AgFDs-based stretchable interconnects, which ensure mechanical compliance with textile deformation (Figure 1). Human evidence: Figure 2 illustrates the impact of printed layer count on relative resistance change. Quantitative evidence: Figure 2 and Figure 2 present SEM images of the printed layer and textile substrate under 0%, 50%, and 100% strain, respectively.</t>
  </si>
  <si>
    <t>Focused_Deployment_Rescreen_636_Final_42_20260909.xlsx | Focused exclusions!A95:O95</t>
  </si>
  <si>
    <t>REC-00202</t>
  </si>
  <si>
    <t>In Situ Formation of Ag Nanoparticles for Fiber Strain Sensors: Toward Textile-Based Wearable Applications</t>
  </si>
  <si>
    <t>10.1021/acsami.1c09879</t>
  </si>
  <si>
    <t>C1-C6 were identified in the full text. Textile evidence: The fiber strain sensor was efficiently integrated by sewing the sensors onto the elbow of a garment, the finger of a glove, and the knee of an elastic knee band, as shown in Figure 4. Human evidence: The garment with the fiber strain sensor in the elbow part stably detected the repeated bending motions of the arm through the resistive response of the integrated fiber sensor, as shown in Figure 4. Quantitative evidence: Figure 1 presents a photograph image of the fiber strain sensor fabricated by four cycles of the A&amp;R process.</t>
  </si>
  <si>
    <t>Focused_Deployment_Rescreen_636_Final_42_20260909.xlsx | Focused exclusions!A96:O96</t>
  </si>
  <si>
    <t>REC-00209</t>
  </si>
  <si>
    <t>Wearable Strain Sensors with Aligned Macro Carbon Cracks Using a Two-Dimensional Triaxial-Braided Fabric Structure for Monitoring Human Health</t>
  </si>
  <si>
    <t>10.1021/acsami.1c01961</t>
  </si>
  <si>
    <t>C1-C6 were identified in the full text. Textile evidence: Figure 1 shows the prestrain process carried out to form macro cracks on the surface of the carbon ink-coated fabric. Human evidence: Figure 2 shows the relative resistance change of the triaxial-braided strain sensors fabricated using carbon ink with five different PU mixing ratios (0, 5, 10, 15, and 20 wt %) at three different strain rates of 10, 20, and 30%. Quantitative evidence: The graph in Figure 1 shows the sensitivity of triaxial-braided fabric sensors at a rate of 10% strain applied, wherein the sensors were prestrained with different prestraining rates of 20, 40, 60, 100, and 130%, respectively.</t>
  </si>
  <si>
    <t>Focused_Deployment_Rescreen_636_Final_42_20260909.xlsx | Focused exclusions!A97:O97</t>
  </si>
  <si>
    <t>REC-00211</t>
  </si>
  <si>
    <t>Vapor phase polymerized conducting polymer/MXene textiles for wearable electronics</t>
  </si>
  <si>
    <t>10.1039/d0nr07433k</t>
  </si>
  <si>
    <t>PEDOT/MXene-coated cotton fabric is evaluated as a strain sensor in the full-text human-motion detection section.</t>
  </si>
  <si>
    <t>Focused_Deployment_Rescreen_636_Final_42_20260909.xlsx | Focused exclusions!A98:O98</t>
  </si>
  <si>
    <t>REC-00212</t>
  </si>
  <si>
    <t>A Multi-Sensor, Multi-Movement Exploratory Study of Motion Tape Strain Data for Low Back Pain Classification</t>
  </si>
  <si>
    <t>10.3390/s26134187</t>
  </si>
  <si>
    <t>C1-C6 were identified in the full text. Textile evidence: A Multi-Sensor, Multi-Movement Exploratory Study of Motion Tape Strain Data for Low Back Pain Classification Human evidence: For each participant and movement type, these multichannel time-series were aggregated according to the sensor configuration being evaluated, producing a representative movement-specific strain signal. Quantitative evidence: In contrast, pretrained time-series foundation models show negligible sensitivity to participant-level structure in MT signals.</t>
  </si>
  <si>
    <t>Focused_Deployment_Rescreen_636_Final_42_20260909.xlsx | Focused exclusions!A99:O99</t>
  </si>
  <si>
    <t>REC-00215</t>
  </si>
  <si>
    <t>Highly Stretchable, Ultrasensitive, and Wearable Strain Sensors Based on Facilely Prepared Reduced Graphene Oxide Woven Fabrics in an Ethanol Flame</t>
  </si>
  <si>
    <t>10.1021/acsami.7b09652</t>
  </si>
  <si>
    <t>C1-C6 were identified in the full text. Textile evidence: Sequentially, the GO-coated cotton bandage was placed in a polytetrafluoroethylene (PTFE) Petri dish and dried at 80 °C to remove the moisture. Human evidence: (9)Figure 2 shows the applications of GWF strain sensors to detect macro- and/or microscale motions of the human body at different parts, including facial expressions, phonation, arm bending, pulse, etc. Quantitative evidence: Figure 3 reveals that the GWF strain sensor possessed a gauge factor of 416 (0% &lt; Δε &lt; 40%) and 3667 (48% &lt; Δε &lt; 57%).</t>
  </si>
  <si>
    <t>Focused_Deployment_Rescreen_636_Final_42_20260909.xlsx | Focused exclusions!A100:O100</t>
  </si>
  <si>
    <t>REC-00218</t>
  </si>
  <si>
    <t>Hierarchical MXene/ZnO Nanorods: WO3/CNT Trilayer Coatings on Cotton for High-Performance Multifunctional Wearable Fabrics</t>
  </si>
  <si>
    <t>10.1002/advs.202521175</t>
  </si>
  <si>
    <t>C1-C6 were identified in the full text. Textile evidence: The stepwise fabrication of this trilayer-coated cotton fabric is illustrated in Figure 1. Human evidence: For wrist movements, the sensor was attached across the joint to monitor pure-bending motions. Quantitative evidence: Additionally, multiple Joule heating and cooling cycles were performed at a constant voltage of 3.5 V, as illustrated in Figure 5.</t>
  </si>
  <si>
    <t>Focused_Deployment_Rescreen_636_Final_42_20260909.xlsx | Focused exclusions!A101:O101</t>
  </si>
  <si>
    <t>REC-00219</t>
  </si>
  <si>
    <t>A biomass-derived multifunctional conductive coating with outstanding electromagnetic shielding and photothermal conversion properties for integrated wearable intelligent textiles and skin bioelectronics</t>
  </si>
  <si>
    <t>10.1039/d4mh01774a</t>
  </si>
  <si>
    <t>The coated nonwoven textile is used as a skin strain sensor for quantitative physiological-signal and body-motion monitoring.</t>
  </si>
  <si>
    <t>Focused_Deployment_Rescreen_636_Final_42_20260909.xlsx | Focused exclusions!A102:O102</t>
  </si>
  <si>
    <t>REC-00221</t>
  </si>
  <si>
    <t>Carbon-Based, Ultraelastic, Hierarchically Coated Fiber Strain Sensors with Crack-Controllable Beads</t>
  </si>
  <si>
    <t>10.1021/acsami.9b03204</t>
  </si>
  <si>
    <t>C1-C6 were identified in the full text. Textile evidence: For practical applications, the hierarchical fiber sensors were sewed into electrical fabric bands, which are integrable to a wireless transmitter to monitor waveforms of pulsations, respirations, and various postures of level of bending a spinal cord. Human evidence: As shown in Figure 5, pulse signals were detected for three different conditions (hypertension, normal blood pressure, and hypotension) against time, from which distinct frequencies and waveforms corresponding to various peaks and cardiac motion could be differentiated (see the inset illustrations of Figure 5). Quantitative evidence: (39) The fiber coated with paste containing 5 wt % of PDMS beads showed dramatic improvements in sensitivity (the maximum GF = 863) up to strain of 400%, owing to the generation of cracks within the microbeads (see Figure 2).</t>
  </si>
  <si>
    <t>Focused_Deployment_Rescreen_636_Final_42_20260909.xlsx | Focused exclusions!A103:O103</t>
  </si>
  <si>
    <t>REC-00222</t>
  </si>
  <si>
    <t>Bioinspired Janus Electronic Textiles with Moisture and Thermal Management</t>
  </si>
  <si>
    <t>10.1021/acsami.5c25993</t>
  </si>
  <si>
    <t>C1-C6 were identified in the full text. Textile evidence: This e-textile is fabricated through laser ablation and single-side plasma treatment of carbon nanotubes (CNTs) doped with polydimethylsiloxane (PDMS). Human evidence: Thus, it provides effective release of body thermal radiation and moisture, ensuring a comfortable microenvironment for the wearer, achieving long-term wearing and monitoring of human motion and EMG physiological signals during outdoor sports. Quantitative evidence: Figure 6 illustrates the stable EMG signals generated under hand grip forces of 5, 10, and 15 kg, respectively, demonstrating a clear correlation between the force magnitude and the signal amplitude.</t>
  </si>
  <si>
    <t>Focused_Deployment_Rescreen_636_Final_42_20260909.xlsx | Focused exclusions!A104:O104</t>
  </si>
  <si>
    <t>REC-00235</t>
  </si>
  <si>
    <t>Nanofiber Core-Spun Yarn with a Bioinspired Neuron-like Conductive Network for High-Sensitivity Wearable Sensing</t>
  </si>
  <si>
    <t>10.1021/acsami.6c11269</t>
  </si>
  <si>
    <t>C1-C6 were identified in the full text. Textile evidence: Finally, PCP-NHYs were directly integrated into a plain-weave textile by periodically replacing conventional yarns in both warp and weft directions to build a 2D textile-based sensing array (Figure 1), enabling reliable detection of multiple mechanical stimuli such as stretching and pressure. Human evidence: (50,51) As shown in Figure 5, when the sensor is attached to monitor bending motions of the wrist or finger joints, joint flexion and extension could trigger stable and repeatable periodic signals. Quantitative evidence: The sensing sensitivity of PCP-NHY was first assessed; the PCP-NHY sensor exhibits a significant gauge factor (GF) value of 5.73, reaching 1.17 even under a small strain of 0−10% (Figure 3; the gauge factor was calculated using formula 3 in the Supporting Information).</t>
  </si>
  <si>
    <t>Focused_Deployment_Rescreen_636_Final_42_20260909.xlsx | Focused exclusions!A105:O105</t>
  </si>
  <si>
    <t>REC-00241</t>
  </si>
  <si>
    <t>Customizable Textile Sensors Based on Helical Core-Spun Yarns for Seamless Smart Garments</t>
  </si>
  <si>
    <t>10.1021/acs.langmuir.0c03595</t>
  </si>
  <si>
    <t>C1-C6 were identified in the full text. Textile evidence: Among these sensors, a bandage strain sensor (BSS) composed of an elastic self-adhesive bandage and GCSY in Figure 1 and a knitting textile-based strain sensor (TSS) knitted from CSYs (white part) and GCSYs (black part) were fabricated as resistance-type strain sensors in Figure 1. Human evidence: For instance, it can be used as a belt to monitor the frequency of abdomen breathing under normal and rapid breathing (Figure 5), as well as a wristband for pulse detection and an armband for movement monitoring (Figure S7). Quantitative evidence: Furthermore, the electromechanical behavior of the GCSY is nonlinear over the full strain range (Figure 2), where the resistance of the GCSY first exhibits an almost linearly increasing tendency (strain ε &lt; 100%), followed by a monotonically decreasing trend (100% &lt; ε &lt; 400%), and then a gradual inc</t>
  </si>
  <si>
    <t>Focused_Deployment_Rescreen_636_Final_42_20260909.xlsx | Focused exclusions!A106:O106</t>
  </si>
  <si>
    <t>REC-00246</t>
  </si>
  <si>
    <t>E-Textile Battery-Less Displacement and Strain Sensor for Human Activities Tracking</t>
  </si>
  <si>
    <t>10.1109/jiot.2021.3074746</t>
  </si>
  <si>
    <t>The embroidered e-textile strain/displacement sensor was worn at the breast, knees and elbows for quantitative respiration and gesture tracking.</t>
  </si>
  <si>
    <t>Focused_Deployment_Rescreen_636_Final_42_20260909.xlsx | Focused exclusions!A107:O107</t>
  </si>
  <si>
    <t>REC-00248</t>
  </si>
  <si>
    <t>Knitted strain sensor with carbon fiber and aluminum-coated yarn, for wearable electronics</t>
  </si>
  <si>
    <t>10.1039/d1tc01899j</t>
  </si>
  <si>
    <t>The knitted strain sensor is cyclically tested on a knee at the joint region of clothing and produces quantitative resistance changes.</t>
  </si>
  <si>
    <t>Focused_Deployment_Rescreen_636_Final_42_20260909.xlsx | Focused exclusions!A108:O108</t>
  </si>
  <si>
    <t>REC-00250</t>
  </si>
  <si>
    <t>Multifunctional conductive yarns based on cotton integrated knitting fabric strain sensor for human motion monitoring</t>
  </si>
  <si>
    <t>10.1016/j.indcrop.2025.121339</t>
  </si>
  <si>
    <t>A knitted fabric strain sensor was placed at human body joints and quantitatively evaluated.</t>
  </si>
  <si>
    <t>Focused_Deployment_Rescreen_636_Final_42_20260909.xlsx | Focused exclusions!A109:O109</t>
  </si>
  <si>
    <t>REC-00257</t>
  </si>
  <si>
    <t>A Universal, Highly Sensitive and Seamlessly Integratable Textile Resistive Strain Sensor</t>
  </si>
  <si>
    <t>10.1007/s42765-024-00405-9</t>
  </si>
  <si>
    <t>C1-C6 were identified in the full text. Textile evidence: It remains a great challenge to develop a textile stretchable strain sensor with a wide sensing range, high sensitivity, and the capability to be seamlessly integrated into smart apparel products. Human evidence: Figure 5 and b present the one-piece knitted structures of the elbow and knee sleeves, of which the size and shape can be precisely customized to fit different limb circumferences. Quantitative evidence: Figure 3–d show the ΔR/R0 versus strain of the 50th cycle.</t>
  </si>
  <si>
    <t>Focused_Deployment_Rescreen_636_Final_42_20260909.xlsx | Focused exclusions!A110:O110</t>
  </si>
  <si>
    <t>REC-00258</t>
  </si>
  <si>
    <t>Highly Bendable and Rotational Textile Structure with Prestrained Conductive Sewing Pattern for Human Joint Monitoring</t>
  </si>
  <si>
    <t>10.1002/adfm.201808369</t>
  </si>
  <si>
    <t>C1-C6 were identified in the full text. Textile evidence: Figure 2 shows a graph of the behavior of the fabricated textile sensor shifting from the 0% starting point of sensing to each point of 60% and 100% of prestrain, with the value of the gauge factor remaining almost unchanged. Human evidence: 2 Result and Discussions Figure 1 shows that the joints of the human body can be distinguished into the types of hinge joint that are solely capable of folding motion (finger,17 elbow,18 and spine19), and of condyloid joint that are capable of doing both foldable and rotational motions (wrist18 and knee17). Quantitative evidence: Figure 2 Open in figure viewer PowerPoint Fabrication process, gauge factor, and morphology properties of the textile strain sensor.</t>
  </si>
  <si>
    <t>Focused_Deployment_Rescreen_636_Final_42_20260909.xlsx | Focused exclusions!A111:O111</t>
  </si>
  <si>
    <t>REC-00259</t>
  </si>
  <si>
    <t>Flexible strain sensor based on CNT/TPU composite nanofiber yarn for smart sports bandage</t>
  </si>
  <si>
    <t>10.1016/j.compositesb.2021.109605</t>
  </si>
  <si>
    <t>The yarn was sewn into a commercial sports bandage and evaluated at the elbow with quantitative output.</t>
  </si>
  <si>
    <t>Focused_Deployment_Rescreen_636_Final_42_20260909.xlsx | Focused exclusions!A112:O112</t>
  </si>
  <si>
    <t>REC-00264</t>
  </si>
  <si>
    <t>A highly sensitive strain sensor based on a carbonized polyacrylonitrile nanofiber woven fabric</t>
  </si>
  <si>
    <t>10.1007/s10853-018-2432-z</t>
  </si>
  <si>
    <t>A woven-fabric strain sensor was fixed to the wrist, knee, finger, face and throat; a volunteer performed repeated movements and quantitative signals were reported.</t>
  </si>
  <si>
    <t>Focused_Deployment_Rescreen_636_Final_42_20260909.xlsx | Focused exclusions!A113:O113</t>
  </si>
  <si>
    <t>REC-00266</t>
  </si>
  <si>
    <t>Switchable Pseudo-Triaxial Structure Enabled Mechanosensory Textiles with Ultra-Wide Detection Range for Flexible E-Wearables</t>
  </si>
  <si>
    <t>10.1002/adfm.202411177</t>
  </si>
  <si>
    <t>C1-C6 were identified in the full text. Textile evidence: As shown in Figure 6, a sensing fabric with excellent electromagnetic interference shielding performance and comfortability (air and moisture permeability) is integrated in the abdominal area of pregnant women. Human evidence: Figure 5 displays the relative resistance change of the sensing fabrics within the stepwise stretching intervals, demonstrating the effective detection ability of the fabric for strains up to 140%. Quantitative evidence: At 0% strain, the Ag-coated nylon yarns are in close contact in both types of sensing yarns to have lower resistance (Figure 3(i),(iv)).</t>
  </si>
  <si>
    <t>Focused_Deployment_Rescreen_636_Final_42_20260909.xlsx | Focused exclusions!A114:O114</t>
  </si>
  <si>
    <t>REC-00267</t>
  </si>
  <si>
    <t>Skin-inspired Janus E-textile with bidirectional motion perception and adaptive moisture management for next-generation wearables</t>
  </si>
  <si>
    <t>10.1038/s41528-025-00502-8</t>
  </si>
  <si>
    <t>Full text: bidirectional sensing characterization; human-joint demonstrations; wearable comfort test</t>
  </si>
  <si>
    <t>The Janus double-layer woven e-textile was quantitatively characterized over bidirectional bending from -180 degrees to 180 degrees and for more than 8000 s. It was subsequently worn or attached at human joints for directional motion sensing and used in a volunteer running/comfort demonstration.</t>
  </si>
  <si>
    <t>Focused_Deployment_Rescreen_636_Final_42_20260909.xlsx | Focused exclusions!A115:O115</t>
  </si>
  <si>
    <t>REC-00269</t>
  </si>
  <si>
    <t>3D arch-structured and machine-knitted triboelectric fabrics as self-powered strain sensors of smart textiles</t>
  </si>
  <si>
    <t>10.1016/j.nanoen.2023.108312</t>
  </si>
  <si>
    <t>Full text: strain-sensing system and human-motion monitoring section (Figure 4)</t>
  </si>
  <si>
    <t>The machine-knitted 3D arch-structured fabric was incorporated into a glove, knee pad, elbow pad and belt. The paper reports finger-angle signals, knee and elbow motion, respiration, signal-to-noise ratios, compression testing and ten washing cycles.</t>
  </si>
  <si>
    <t>Focused_Deployment_Rescreen_636_Final_42_20260909.xlsx | Focused exclusions!A116:O116</t>
  </si>
  <si>
    <t>REC-00270</t>
  </si>
  <si>
    <t>Poly(3,4-ethylenedioxythiophene): Poly(styrenesulfonate)/Carbon Nanotube-Coated Electrically Conducting Fabrics With High Strain Sensitivity</t>
  </si>
  <si>
    <t>10.1177/24723444231161747</t>
  </si>
  <si>
    <t>C1-C6 were identified in the full text. Textile evidence: A schematic diagram of the preparation of the PEDOT:PSS/CNT-coated knitted fabric is shown in Figure 1. Human evidence: As shown in Figure 2(e), when 1 wt% CNT-coated knitted fabric (CCF) was stretched, the resistance change rate showed obvious irregular fluctuations. Quantitative evidence: As shown in Figure 2(f), the gauge factor values of 3 wt% CCF were around 7.7 (0–25%) and 11.3 (25–200%), which were higher than those of 5 and 7 wt% CCFs, especially within the strain range of 25–200%.</t>
  </si>
  <si>
    <t>Focused_Deployment_Rescreen_636_Final_42_20260909.xlsx | Focused exclusions!A117:O117</t>
  </si>
  <si>
    <t>REC-00272</t>
  </si>
  <si>
    <t>AgNWs/MXene derived multifunctional knitted fabric capable of high electrothermal conversion efficiency, large strain and temperature sensing, and EMI shielding</t>
  </si>
  <si>
    <t>10.1016/j.jallcom.2022.166471</t>
  </si>
  <si>
    <t>Full text: strain-sensing characterization and motion-monitoring section (Figures 4-5)</t>
  </si>
  <si>
    <t>The AgNWs/MXene knitted fabric was characterized over defined strain levels and more than 1000 stretching cycles, then placed in direct contact with the body to record finger, wrist, arm and knee bending, swallowing and pulse-related signals.</t>
  </si>
  <si>
    <t>Focused_Deployment_Rescreen_636_Final_42_20260909.xlsx | Focused exclusions!A118:O118</t>
  </si>
  <si>
    <t>REC-00275</t>
  </si>
  <si>
    <t>Continuous production of stretchable conductive multifilaments in kilometer scale enables facile knitting of wearable strain sensing textiles</t>
  </si>
  <si>
    <t>10.1016/j.apmt.2018.02.012</t>
  </si>
  <si>
    <t>Five knitted prototypes were worn at the knee, elbow, and finger and quantitatively evaluated.</t>
  </si>
  <si>
    <t>Focused_Deployment_Rescreen_636_Final_42_20260909.xlsx | Focused exclusions!A119:O119</t>
  </si>
  <si>
    <t>REC-00276</t>
  </si>
  <si>
    <t>A knitted glove sensing system with compression strain for finger movements</t>
  </si>
  <si>
    <t>10.1088/1361-665x/aab7cc</t>
  </si>
  <si>
    <t>IOPscience full text: glove construction, finger-motion testing and application sections</t>
  </si>
  <si>
    <t>Subjects wore the knitted sensing glove and bent the index finger at 30, 45 and 90 degrees. The study reports real-time resistance responses, more than 400 finger-movement cycles and five washing cycles.</t>
  </si>
  <si>
    <t>Focused_Deployment_Rescreen_636_Final_42_20260909.xlsx | Focused exclusions!A120:O120</t>
  </si>
  <si>
    <t>REC-00277</t>
  </si>
  <si>
    <t>Carbon Black Nanoparticle/Polydopamine-Coated Core-Spun Yarns for Flexible Strain Sensors</t>
  </si>
  <si>
    <t>10.1021/acsanm.2c03934</t>
  </si>
  <si>
    <t>The full report describes a core-spun textile strain sensor, quantitative cyclic strain testing, and application tests performed for human motions.</t>
  </si>
  <si>
    <t>Focused_Deployment_Rescreen_636_Final_42_20260909.xlsx | Focused exclusions!A121:O121</t>
  </si>
  <si>
    <t>REC-00285</t>
  </si>
  <si>
    <t>Time-evolution of electrical resistance-strain hysteresis curve of embroidered stretch sensors and their application in reliable human motion tracking</t>
  </si>
  <si>
    <t>10.1007/s12206-022-0633-5</t>
  </si>
  <si>
    <t>An embroidered sensor implemented on athletic cloth was used to monitor knee motion, with resistance-strain and hysteresis characterization.</t>
  </si>
  <si>
    <t>Focused_Deployment_Rescreen_636_Final_42_20260909.xlsx | Focused exclusions!A122:O122</t>
  </si>
  <si>
    <t>REC-00291</t>
  </si>
  <si>
    <t>Strain sensing performance of conductive polyester knitted fabric and its application in body motion monitoring</t>
  </si>
  <si>
    <t>10.56042/ijftr.v49i1.9552</t>
  </si>
  <si>
    <t>Full text: experimental methods; Section 3.4.3 Sensitivity; Section 3.5 Body motion monitoring</t>
  </si>
  <si>
    <t>The PANI/PVA-coated conductive polyester knitted fabric was fixed to a volunteer's elbow and knee. It produced quantitative resistance changes at elbow angles of 0, 30, 60 and 90 degrees and during knee movement/walking; gauge factor reached 126.99 and samples were examined over 60 loading cycles.</t>
  </si>
  <si>
    <t>Focused_Deployment_Rescreen_636_Final_42_20260909.xlsx | Focused exclusions!A123:O123</t>
  </si>
  <si>
    <t>REC-00292</t>
  </si>
  <si>
    <t>Multifunctional MXene/GO/rGO-Textile Flexible Sensor with Outstanding Electrothermal and Strain-Sensing Performance for Wearable Applications</t>
  </si>
  <si>
    <t>10.3390/coatings15121381</t>
  </si>
  <si>
    <t>C1-C6 were identified in the full text. Textile evidence: Figure 2 shows the structural evolution of the MXene/GO/rGO laminated textile sensor under tensile and compressive strain. Human evidence: As shown in Figure 5, the relative resistance change (ΔR/R0) was evaluated under tensile strains of 10%, 15%, 20%, and 25%. Quantitative evidence: As shown in Figure 3, after ten repeated washing cycles in deionized water, the resistance increased from 420 Ω to 592.5 Ω, corresponding to a conductivity retention ratio of 0.709.</t>
  </si>
  <si>
    <t>Focused_Deployment_Rescreen_636_Final_42_20260909.xlsx | Focused exclusions!A124:O124</t>
  </si>
  <si>
    <t>REC-00293</t>
  </si>
  <si>
    <t>A Scalable Durable and Seamlessly Integrated Knitted Fabric Strain Sensor for Human Motion Tracking</t>
  </si>
  <si>
    <t>10.1002/admt.202200082</t>
  </si>
  <si>
    <t>C1-C6 were identified in the full text. Textile evidence: Figure 3 illustrates how the DCCY is knitted into the fabric sensor. Human evidence: Figure 6–e shows the sensing responses of the wearable products to detecting human angular movements, including bending a finger, bending an elbow, and bending a knee (see Movie S3, Supporting Information for a complete demonstration of the body movement detection). Quantitative evidence: The relative resistance change (ΔR/R0) and the load of the DCCY averaged from the last 5 out of 50 cyclic stretching to 70% strain (Figure S3, Supporting Information) versus the strain are shown in Figure 2.</t>
  </si>
  <si>
    <t>Focused_Deployment_Rescreen_636_Final_42_20260909.xlsx | Focused exclusions!A125:O125</t>
  </si>
  <si>
    <t>REC-00295</t>
  </si>
  <si>
    <t>Polyaniline-coated cotton knitted fabric for body motion monitoring</t>
  </si>
  <si>
    <t>10.1016/j.sna.2021.112591</t>
  </si>
  <si>
    <t>Full text: device characterization</t>
  </si>
  <si>
    <t>The PANI cotton knitted fabric produced quantitative elbow, knee, finger, and throat signals.</t>
  </si>
  <si>
    <t>Focused_Deployment_Rescreen_636_Final_42_20260909.xlsx | Focused exclusions!A126:O126</t>
  </si>
  <si>
    <t>REC-00297</t>
  </si>
  <si>
    <t>Highly Sensitive, Rugged, and Wearable Fabric Strain Sensor Based on Graphene Clad Polyester Knitted Elastic Band for Human Motion Monitoring</t>
  </si>
  <si>
    <t>10.1002/admi.201900409</t>
  </si>
  <si>
    <t>C1-C6 were identified in the full text. Textile evidence: For example, graphene-coated nonwoven textile,31 elastic nylon/polyurethane,32 and nylon/spandex33 textile strain sensors fabricated by simple dip-dry-reduce approach method showed the sensitivity of 7.1 at a strain of 1%, 18.5 at a strain of 10% and 6.3 at strain of 6.67%, respectively. Human evidence: Figure 6 demonstrates the response of a strain sensor to cyclic bending and relaxing of index finger at different bending angles when it was mounted on an index finger. Quantitative evidence: The relaxation phenomenon may be attributed to viscoelastic nature of the fabric materials.17, 32, 41 It is clearly indicating that our strain sensor could detect a small scale strains down to 0.2% with the high sensitivity of 30 within the small strain range of 0–1%, which is much higher than the c</t>
  </si>
  <si>
    <t>Focused_Deployment_Rescreen_636_Final_42_20260909.xlsx | Focused exclusions!A127:O127</t>
  </si>
  <si>
    <t>REC-00298</t>
  </si>
  <si>
    <t>A highly stable auxetic braided smart yarn for seamless motion-sensing textiles</t>
  </si>
  <si>
    <t>10.1016/j.sna.2025.117379</t>
  </si>
  <si>
    <t>The auxetic braided yarn was embedded in fabric and evaluated for human motion with quantitative output.</t>
  </si>
  <si>
    <t>Focused_Deployment_Rescreen_636_Final_42_20260909.xlsx | Focused exclusions!A128:O128</t>
  </si>
  <si>
    <t>REC-00299</t>
  </si>
  <si>
    <t>Evaluation of a Combined Conductive Fabric-Based Suspender System and Machine Learning Approach for Human Activity Recognition</t>
  </si>
  <si>
    <t>10.1109/ojim.2023.3301861</t>
  </si>
  <si>
    <t>The conductive knitted-fabric suspender was body-worn and recognized 14 human activities with quantitative accuracy and washability results.</t>
  </si>
  <si>
    <t>Focused_Deployment_Rescreen_636_Final_42_20260909.xlsx | Focused exclusions!A129:O129</t>
  </si>
  <si>
    <t>REC-00300</t>
  </si>
  <si>
    <t>Knitting integral conformal all-textile strain sensor with commercial apparel characteristics for smart textiles</t>
  </si>
  <si>
    <t>10.1016/j.apmt.2022.101508</t>
  </si>
  <si>
    <t>An all-textile smart garment was evaluated on a volunteer during movement, breathing, and sleep.</t>
  </si>
  <si>
    <t>Focused_Deployment_Rescreen_636_Final_42_20260909.xlsx | Focused exclusions!A130:O130</t>
  </si>
  <si>
    <t>REC-00301</t>
  </si>
  <si>
    <t>Smart fabric strain sensor comprising reduced graphene oxide with structure-based negative piezoresistivity</t>
  </si>
  <si>
    <t>10.1007/s10853-021-06365-4</t>
  </si>
  <si>
    <t>The RGO/PET sensing fabric was attached to the finger, wrist and knee for movement sensing, with quantitative resistance-strain results.</t>
  </si>
  <si>
    <t>Focused_Deployment_Rescreen_636_Final_42_20260909.xlsx | Focused exclusions!A131:O131</t>
  </si>
  <si>
    <t>REC-00304</t>
  </si>
  <si>
    <t>Dispenser printing of piezo-resistive nanocomposite on woven elastic fabric and hysteresis compensation for skin-mountable stretch sensing</t>
  </si>
  <si>
    <t>10.1088/1361-665x/aaa5e3</t>
  </si>
  <si>
    <t>IOPscience full text: fabrication, human-subject validation and results sections</t>
  </si>
  <si>
    <t>A piezoresistive nanocomposite was printed on woven elastic fabric and attached to a healthy participant's wrist. Wrist rotation was compared with motion capture, with reported estimation errors of 1.93 degrees and 7.15 degrees for the two movement tests.</t>
  </si>
  <si>
    <t>Focused_Deployment_Rescreen_636_Final_42_20260909.xlsx | Focused exclusions!A132:O132</t>
  </si>
  <si>
    <t>REC-00308</t>
  </si>
  <si>
    <t>Wearable strain sensing textile based on one-dimensional stretchable and weavable yarn sensors</t>
  </si>
  <si>
    <t>10.1007/s12274-018-2043-7</t>
  </si>
  <si>
    <t>Full text: Abstract, electromechanical results, Table 1, and Figure 6</t>
  </si>
  <si>
    <t>The sensing yarn was woven into a wearable fabric and attached to a volunteer's knee, finger, and throat for walking, bending, and speech-related measurements. The paper reports a 0-50% working range, gauge factor 490.20, and 2000-cycle durability.</t>
  </si>
  <si>
    <t>Focused_Deployment_Rescreen_636_Final_42_20260909.xlsx | Focused exclusions!A133:O133</t>
  </si>
  <si>
    <t>REC-00310</t>
  </si>
  <si>
    <t>A wearable strain sensor for medical rehabilitation based on piezoresistive knitting textile</t>
  </si>
  <si>
    <t>10.1016/j.sna.2025.116379</t>
  </si>
  <si>
    <t>Full text: human motion monitoring applications section (Figures 9-10)</t>
  </si>
  <si>
    <t>A knitted conductive fabric embedded in PDMS was quantitatively characterized to 70% strain and for 5000 cycles. Sensors taped to the wrist, upper arm and thigh recorded muscle contraction and finger bending, with a Bluetooth acquisition system demonstrated.</t>
  </si>
  <si>
    <t>Focused_Deployment_Rescreen_636_Final_42_20260909.xlsx | Focused exclusions!A134:O134</t>
  </si>
  <si>
    <t>REC-00311</t>
  </si>
  <si>
    <t>Enhanced functionalization of nonwoven fabric by spray coating AgNPs/ CNTs solution prepared by a one-step method</t>
  </si>
  <si>
    <t>10.1016/j.cej.2024.153101</t>
  </si>
  <si>
    <t>Full text: wearable sensing application section (Figure 6)</t>
  </si>
  <si>
    <t>The coated nonwoven fabric was applied on the body and recorded wrist pulse, respiration, throat vibration, finger and arm bending, spinal posture and gait. For the deformation task, signal amplitude was related to finger bending angle; the paper also reports response time and 200 bending cycles. The device is pressure-calibrated but separately demonstrates quantitative deformation sensing, satisfying the prespecified C3 and C6 definitions.</t>
  </si>
  <si>
    <t>Focused_Deployment_Rescreen_636_Final_42_20260909.xlsx | Focused exclusions!A135:O135</t>
  </si>
  <si>
    <t>REC-00312</t>
  </si>
  <si>
    <t>Superhydrophobic and breathable smart MXene-based textile for multifunctional wearable sensing electronics</t>
  </si>
  <si>
    <t>10.1016/j.cej.2020.126898</t>
  </si>
  <si>
    <t>Full text: strain-sensing performance and wearable application section (Figure 5 and Figure S14)</t>
  </si>
  <si>
    <t>The MXene/PDMS elastic textile was worn by a volunteer and produced quantitative signals during elbow bending from 0 to 90 degrees, fisting, walking and running. Strain calibration, cyclic testing and temperature-response results are reported.</t>
  </si>
  <si>
    <t>Focused_Deployment_Rescreen_636_Final_42_20260909.xlsx | Focused exclusions!A136:O136</t>
  </si>
  <si>
    <t>REC-00321</t>
  </si>
  <si>
    <t>High performance flexible and wearable strain sensor based on rGO and PANI modified Lycra cotton e-textile</t>
  </si>
  <si>
    <t>10.1016/j.sna.2022.113412</t>
  </si>
  <si>
    <t>Full text: human motion monitoring section (Figure 7)</t>
  </si>
  <si>
    <t>The rGO/PANI-modified Lycra-cotton textile sensor was characterized over 0.2-50% strain with gauge factor 24 and 1500 cycles, then attached to the finger, wrist, elbow and knee to record deformation-dependent resistance signals.</t>
  </si>
  <si>
    <t>Focused_Deployment_Rescreen_636_Final_42_20260909.xlsx | Focused exclusions!A137:O137</t>
  </si>
  <si>
    <t>REC-00322</t>
  </si>
  <si>
    <t>A super-elastic wearable strain sensor based on PU/CNTs yarns for human-motion detection</t>
  </si>
  <si>
    <t>10.1016/j.coco.2024.102017</t>
  </si>
  <si>
    <t>Full text: wearable smart fabric preparation and human-motion monitoring section (Figure 6)</t>
  </si>
  <si>
    <t>The treated PU/CNT yarn was woven with cotton and spandex into a wearable fabric. The fabric was wrapped around human joints and produced reproducible signals for finger, wrist, elbow, knee, neck and swallowing movements following quantitative strain characterization.</t>
  </si>
  <si>
    <t>Focused_Deployment_Rescreen_636_Final_42_20260909.xlsx | Focused exclusions!A138:O138</t>
  </si>
  <si>
    <t>REC-00325</t>
  </si>
  <si>
    <t>Uniform and welded networks of silver nanowires surface-embedded on cellulose yarns with PEDOT:PSS passivation for sustainable E-textiles</t>
  </si>
  <si>
    <t>10.1016/j.cej.2024.150469</t>
  </si>
  <si>
    <t>Full text: strain-sensor and human-motion monitoring section (Figure 4)</t>
  </si>
  <si>
    <t>The conductive cellulose yarn was embroidered into a commercial bandage and integrated into a mask and glove. It recorded wrist pulse, breathing and finger bending, including underwater gestures, after quantitative testing that reported gauge factor 3.11 over 0-3% strain.</t>
  </si>
  <si>
    <t>Focused_Deployment_Rescreen_636_Final_42_20260909.xlsx | Focused exclusions!A139:O139</t>
  </si>
  <si>
    <t>REC-00326</t>
  </si>
  <si>
    <t>Direct dip-coating of carbon nanotubes onto polydopamine-templated cotton fabrics for wearable applications</t>
  </si>
  <si>
    <t>10.1007/s10570-019-02628-1</t>
  </si>
  <si>
    <t>The cotton fabric sensor was attached to a volunteer's finger, knee and throat for bending, walking, speaking and drinking measurements.</t>
  </si>
  <si>
    <t>Focused_Deployment_Rescreen_636_Final_42_20260909.xlsx | Focused exclusions!A140:O140</t>
  </si>
  <si>
    <t>REC-00329</t>
  </si>
  <si>
    <t>High sensitivity and flexible fabric strain sensor based on electrochemical graphene</t>
  </si>
  <si>
    <t>10.35848/1347-4065/abe2e6</t>
  </si>
  <si>
    <t>IOPscience full text: sensor fabrication, electromechanical characterization and human-motion section</t>
  </si>
  <si>
    <t>Electrochemical graphene was attached to knitted polyester fabric. The fabric sensor was fixed to the finger and wrist for real-time bending tests and reported gauge factors of 47.0 from 0%-2% strain and 6.7 from 2%-10% strain.</t>
  </si>
  <si>
    <t>Focused_Deployment_Rescreen_636_Final_42_20260909.xlsx | Focused exclusions!A141:O141</t>
  </si>
  <si>
    <t>REC-00334</t>
  </si>
  <si>
    <t>High performance fully-printed strain-sensing e-textile for human posture recognition</t>
  </si>
  <si>
    <t>10.1016/j.cej.2023.146197</t>
  </si>
  <si>
    <t>Full text: smart-clothing fabrication and posture-recognition section (Figure 6)</t>
  </si>
  <si>
    <t>Nine strain-sensing elements were printed directly on commercial sports tights at the wrists, elbows, shoulders, waist and knees. Volunteers wore the garment for repeated posture-recognition trials after strain-range, sensitivity and 10000-cycle characterization.</t>
  </si>
  <si>
    <t>Focused_Deployment_Rescreen_636_Final_42_20260909.xlsx | Focused exclusions!A142:O142</t>
  </si>
  <si>
    <t>REC-00340</t>
  </si>
  <si>
    <t>High-performance MXene/polyaniline-coated cotton fabrics: Advanced Joule heating wearable heaters with strain sensing capability</t>
  </si>
  <si>
    <t>10.1016/j.sna.2025.116523</t>
  </si>
  <si>
    <t>Full text: strain-sensing performance and human-motion section (Figure 10)</t>
  </si>
  <si>
    <t>The MXene/polyaniline-coated cotton woven fabric was tested under defined strain and cyclic bending, then installed at the finger, wrist, elbow and knee. It recorded repeated bending and straightening and distinguished displacement ranges of body parts.</t>
  </si>
  <si>
    <t>Focused_Deployment_Rescreen_636_Final_42_20260909.xlsx | Focused exclusions!A143:O143</t>
  </si>
  <si>
    <t>REC-00349</t>
  </si>
  <si>
    <t>A knitted smart sneaker system based on piezoresistive strain sensing for stride counting</t>
  </si>
  <si>
    <t>10.35530/it.075.01.20232</t>
  </si>
  <si>
    <t>Full text: Smart sneaker cadence system; User trials; Table 1; repeatability/stability analysis</t>
  </si>
  <si>
    <t>A silver-plated yarn strain sensor was knitted directly into the sneaker upper. A volunteer wore the sneaker for normal walking and stair ascent/descent; the system recorded 28 strides during a 60 s, 43 m walk and five strides during each stair task, with four repeated tests over three weeks and Cronbach alpha values of 0.87-0.92.</t>
  </si>
  <si>
    <t>Focused_Deployment_Rescreen_636_Final_42_20260909.xlsx | Focused exclusions!A144:O144</t>
  </si>
  <si>
    <t>REC-00352</t>
  </si>
  <si>
    <t>Flexible and wearable strain sensing fabrics</t>
  </si>
  <si>
    <t>10.1016/j.cej.2017.05.091</t>
  </si>
  <si>
    <t>Full text: monitoring of human motions section (Figures 11-12)</t>
  </si>
  <si>
    <t>The reduced-graphene-oxide-coated elastic nylon/polyurethane fabric was quantitatively tested over 0-30% strain and washing cycles, then affixed to the finger and wrist to record bending angle, flexion and rotation.</t>
  </si>
  <si>
    <t>Focused_Deployment_Rescreen_636_Final_42_20260909.xlsx | Focused exclusions!A145:O145</t>
  </si>
  <si>
    <t>REC-00360</t>
  </si>
  <si>
    <t>A Textile-Based MWCNT-Coated Stretch Sensor for Body Size Measurements</t>
  </si>
  <si>
    <t>10.3938/jkps.76.688</t>
  </si>
  <si>
    <t>Full text: Experiments, Figures 6-7, Tables 3-4, and Conclusion</t>
  </si>
  <si>
    <t>A textile stretch sensor was integrated into a measurement belt and worn at the waist and hip by 10 people. Resistance was evaluated against tape-measured body size over a reported strain range of 3-85%.</t>
  </si>
  <si>
    <t>Focused_Deployment_Rescreen_636_Final_42_20260909.xlsx | Focused exclusions!A146:O146</t>
  </si>
  <si>
    <t>REC-00361</t>
  </si>
  <si>
    <t>Highly Conductive Cellulose Strain Sensor with Excellent Negative Resistance Variation and Joule Heating Property</t>
  </si>
  <si>
    <t>10.1021/acsapm.3c00037</t>
  </si>
  <si>
    <t>C1-C6 were identified in the full text. Textile evidence: Because of the different woven methods, the strain of Fabric-2 was 20%. Human evidence: Both Fabric-1 and Fabric-2 strain sensors (Figure 4) showed a monotonic increase in relative resistance change with the loading of strain, and their relative resistance changes were negative. Quantitative evidence: Figure 4,f shows the relative resistance changes of Fabric-1 and Fabric-2 under stretching–releasing cycles with different strains at the same loading speed (2 mm/s).</t>
  </si>
  <si>
    <t>Focused_Deployment_Rescreen_636_Final_42_20260909.xlsx | Focused exclusions!A147:O147</t>
  </si>
  <si>
    <t>REC-00373</t>
  </si>
  <si>
    <t>1D-2D nanohybrid-based textile strain sensor to boost multiscale deformative motion sensing performance</t>
  </si>
  <si>
    <t>10.1007/s12274-022-4413-4</t>
  </si>
  <si>
    <t>Full text: Abstract, sensing-characterization results, and Section 4.5</t>
  </si>
  <si>
    <t>Three strain sensors were hand-sewn into an off-the-shelf textile glove over the index-finger joints, and flexion/extension calibration was used for multi-joint angle sensing. The reported range was 0.01-125%, with gauge factors of 139.6 and 198.8 at the stated strain levels.</t>
  </si>
  <si>
    <t>Focused_Deployment_Rescreen_636_Final_42_20260909.xlsx | Focused exclusions!A148:O148</t>
  </si>
  <si>
    <t>REC-00379</t>
  </si>
  <si>
    <t>Biomimetics-Inspired Honeycomb-Structured Fabric Enables Stress-Strain Sensing Applications</t>
  </si>
  <si>
    <t>10.1021/acsaelm.5c01674</t>
  </si>
  <si>
    <t>C1-C6 were identified in the full text. Textile evidence: In this study, researchers have developed a high-performance fabric sensor using silver-coated nylon yarn as the substrate, enhanced by an innovative honeycomb structure design. Human evidence: Human Motion Signal Monitoring Applications Figure 5 illustrates the resistance signal variations of fabric sensors under different types of joint motion. Quantitative evidence: Cyclic testing (4 ON/OFF cycles) reveals exceptional repeatability, with &lt;3% variation in peak temperatures (Figure 3).</t>
  </si>
  <si>
    <t>Focused_Deployment_Rescreen_636_Final_42_20260909.xlsx | Focused exclusions!A149:O149</t>
  </si>
  <si>
    <t>REC-00380</t>
  </si>
  <si>
    <t>A wearable fabric strain sensor assemblied by graphene with dual sensing performance approach to practice application assisted by wireless Bluetooth</t>
  </si>
  <si>
    <t>10.1007/s10570-020-03401-5</t>
  </si>
  <si>
    <t>The knitted fabric sensor was attached to the body and quantitatively monitored finger and elbow bending, biceps movement and breathing.</t>
  </si>
  <si>
    <t>Focused_Deployment_Rescreen_636_Final_42_20260909.xlsx | Focused exclusions!A150:O150</t>
  </si>
  <si>
    <t>REC-00382</t>
  </si>
  <si>
    <t>Moisture-wicking Janus-structure electronic knitted fabric for multimodal wearable mechanical sensing</t>
  </si>
  <si>
    <t>10.1016/j.cej.2024.155730</t>
  </si>
  <si>
    <t>ScienceDirect full text: smart-wristband, human-motion, strain-characterization, and classification sections</t>
  </si>
  <si>
    <t>A one-piece knitted smart wristband was worn during basketball-related wrist movement, and the knitted sensor was also applied to the neck, knee, instep, elbow, and fingers. The paper reports direction-dependent bending/strain signals, tests at 5% and 10% strain, and 98.16% average mechanical-state recognition accuracy.</t>
  </si>
  <si>
    <t>Focused_Deployment_Rescreen_636_Final_42_20260909.xlsx | Focused exclusions!A151:O151</t>
  </si>
  <si>
    <t>REC-00385</t>
  </si>
  <si>
    <t>Elastic polyaniline nanoarrays/MXene textiles for all-solid-state supercapacitors and anisotropic strain sensors</t>
  </si>
  <si>
    <t>10.1016/j.compositesa.2022.106985</t>
  </si>
  <si>
    <t>ScienceDirect full text: fabric preparation, strain characterization, and Figure 6 human-motion demonstration</t>
  </si>
  <si>
    <t>The PANI/MXene sensing material was fabricated on rib-knitted PET fabric and attached to a human finger for repeated bending and unbending. The article reports direction-dependent relative-resistance signals, a gauge factor of 435.0, and a 0-40.8% working strain range.</t>
  </si>
  <si>
    <t>Focused_Deployment_Rescreen_636_Final_42_20260909.xlsx | Focused exclusions!A152:O152</t>
  </si>
  <si>
    <t>REC-00388</t>
  </si>
  <si>
    <t>Highly Sensitive and Robust Fiber Strain Sensor via Multiple Coating</t>
  </si>
  <si>
    <t>10.1007/s13391-025-00608-1</t>
  </si>
  <si>
    <t>C1-C6 were identified in the full text. Textile evidence: Figure 4 illustrates the adaptability of the SCDC fiber, as evidenced by its capability to be wound around a glass rod and integrated into a textile substrate through sewing. Human evidence: To further assess the feasibility of the strain sensor for wearable electronic applications and its responsiveness to varying flexion angles, the subject performed elbow bending at randomly selected degrees. Quantitative evidence: Figure 3 shows that the sensors with one, three, and five coating cycles demonstrated maximum strain rates of 17.0%, 37.5%, and 54.7%, respectively.</t>
  </si>
  <si>
    <t>Focused_Deployment_Rescreen_636_Final_42_20260909.xlsx | Focused exclusions!A153:O153</t>
  </si>
  <si>
    <t>REC-00393</t>
  </si>
  <si>
    <t>Effect of spatial structure and aggregation state of silk fibers in fabric on strain sensing performance and mechanism</t>
  </si>
  <si>
    <t>10.1016/j.snb.2023.134632</t>
  </si>
  <si>
    <t>ScienceDirect full text: strain characterization and Figures 9-10 amphibious smart-suit demonstrations</t>
  </si>
  <si>
    <t>Carbonized silk plain-fabric strain sensors were integrated into a diving glove and sportswear. The worn system produced real-time finger, volleyball-motion, heart-rate, and breathing outputs in air and underwater; quantitative characterization reports GF 6.3 across 0-300% strain and 5000 multimode cycles.</t>
  </si>
  <si>
    <t>Focused_Deployment_Rescreen_636_Final_42_20260909.xlsx | Focused exclusions!A154:O154</t>
  </si>
  <si>
    <t>REC-00394</t>
  </si>
  <si>
    <t>Flexible and breathable textile-based multi-functional strain sensor for compressive sensing, electromagnetic shielding, and electrical heating</t>
  </si>
  <si>
    <t>10.1016/j.jallcom.2024.173867</t>
  </si>
  <si>
    <t>ScienceDirect full text: compressive-strain characterization and human-activity application sections</t>
  </si>
  <si>
    <t>The dip-coated weft-knitted textile is quantitatively characterized over about 0-90% compressive strain with gauge factor up to 9.25. The textile sensor was attached to the body for pulse, finger, and knee monitoring and incorporated into an insole worn by a volunteer, with real-time deformation-related current outputs reported.</t>
  </si>
  <si>
    <t>Focused_Deployment_Rescreen_636_Final_42_20260909.xlsx | Focused exclusions!A155:O155</t>
  </si>
  <si>
    <t>REC-00396</t>
  </si>
  <si>
    <t>Smart- textile strain sensor for human joint monitoring</t>
  </si>
  <si>
    <t>10.1016/j.sna.2022.113587</t>
  </si>
  <si>
    <t>ScienceDirect full text: sensor fabrication, joint-angle measurement, strain characterization, and human-motion application sections</t>
  </si>
  <si>
    <t>A graphite-polyurethane-coated crochet-knitted elastic band was assembled as a wearable sensor for the finger, wrist, and elbow. The article reports on-body resistance and voltage responses at measured joint angles, Kinovea angle reference measurements, a gauge factor of 26.8 over 5-8% strain, and 1000 stretch-release cycles.</t>
  </si>
  <si>
    <t>Focused_Deployment_Rescreen_636_Final_42_20260909.xlsx | Focused exclusions!A156:O156</t>
  </si>
  <si>
    <t>REC-00397</t>
  </si>
  <si>
    <t>A wearable strain sensor with self-cleaning capability for underwater applications</t>
  </si>
  <si>
    <t>10.1016/j.cej.2024.151827</t>
  </si>
  <si>
    <t>ScienceDirect full text: sensing characterization and underwater human-motion application sections</t>
  </si>
  <si>
    <t>The reduced-graphene-oxide-modified silk/polyurethane knitted fabric was worn on human fingers, wrists, elbows, and inside a dive suit at the wrist, elbow, and knee. It produced real-time strain-related signals during underwater joint movements and swimming; the reported quantitative characterization includes a 0-100% strain range with region-specific gauge factors.</t>
  </si>
  <si>
    <t>Focused_Deployment_Rescreen_636_Final_42_20260909.xlsx | Focused exclusions!A157:O157</t>
  </si>
  <si>
    <t>REC-00399</t>
  </si>
  <si>
    <t>Scalable wet-spun fibers with hierarchical conductive networks toward wearable strain sensors</t>
  </si>
  <si>
    <t>10.1016/j.polymertesting.2026.109133</t>
  </si>
  <si>
    <t>Full text: Experimental section; wearable application section (Figure 7); Discussion and conclusion</t>
  </si>
  <si>
    <t>The wet-spun DCTM-Ag fibres were knitted into textile sensor structures and integrated into an elbow sleeve. The study reports informed consent for human-motion experiments and time-resolved resistance signals during elbow, knee and wrist movement. Quantitative characterization includes a gauge factor of 3048.98, stretchability above 648%, a 45 ms response time and 6000 cycles at 15% strain.</t>
  </si>
  <si>
    <t>Focused_Deployment_Rescreen_636_Final_42_20260909.xlsx | Focused exclusions!A158:O158</t>
  </si>
  <si>
    <t>REC-00400</t>
  </si>
  <si>
    <t>Stretchable multimodal textile sensor based on core-sheath CB/PDMS/ MXene sensing yarn for efficiently distinguishing mechanical stimulus</t>
  </si>
  <si>
    <t>10.1016/j.cej.2024.152462</t>
  </si>
  <si>
    <t>ScienceDirect full text: textile assembly, strain characterization, and wearable human-movement application sections</t>
  </si>
  <si>
    <t>The core-sheath sensing yarn was embroidered into conventional textiles and a glove and was used to monitor wrist and finger bending with distinct strain-related current signals. Quantitative strain characterization reports a 0-100% working range, gauge factors across three strain intervals, response and recovery times, and 1000 stretch cycles.</t>
  </si>
  <si>
    <t>Focused_Deployment_Rescreen_636_Final_42_20260909.xlsx | Focused exclusions!A159:O159</t>
  </si>
  <si>
    <t>REC-00401</t>
  </si>
  <si>
    <t>Fabrication of multifunctional wearable interconnect E-textile platform using direct ink writing (DIW) 3D printing</t>
  </si>
  <si>
    <t>10.1038/s41528-025-00414-7</t>
  </si>
  <si>
    <t>Full text: garment-integrated sensor demonstrations; activity and object-recognition evaluation</t>
  </si>
  <si>
    <t>Direct-ink-written strain sensors were printed on cotton garments at the shoulder, elbow and knee. Users performed running, jumping jacks and push-ups, and a glove user grasped six objects 30 times; classification accuracy was 98.32% with random forest and 96.64% with gradient boosting, alongside quantitative resistance-versus-bending results.</t>
  </si>
  <si>
    <t>Focused_Deployment_Rescreen_636_Final_42_20260909.xlsx | Focused exclusions!A160:O160</t>
  </si>
  <si>
    <t>REC-00417</t>
  </si>
  <si>
    <t>Robust Fiber Strain Sensor by Designing Coaxial Coiling Structure with Mutual Inductance Effect</t>
  </si>
  <si>
    <t>10.1007/s42765-024-00445-1</t>
  </si>
  <si>
    <t>The fibre sensors were woven into an electronic glove; worn hand gestures generated distinct quantitative voltage responses.</t>
  </si>
  <si>
    <t>Focused_Deployment_Rescreen_636_Final_42_20260909.xlsx | Focused exclusions!A161:O161</t>
  </si>
  <si>
    <t>REC-00428</t>
  </si>
  <si>
    <t>Human motion recognition using SWCNT textile sensor and fuzzy inference system based smart wearable</t>
  </si>
  <si>
    <t>10.1016/j.sna.2018.10.005</t>
  </si>
  <si>
    <t>ScienceDirect full text: sensor integration, electromechanical characterization, and participant motion-recognition experiment</t>
  </si>
  <si>
    <t>The SWCNT-coated PET/spandex textile sensor was stitched into smart muscle pants and worn by a participant during eight activities. The article reports a 0-30% practical strain range, response and recovery times, durability testing, and classification results from 800 motion samples.</t>
  </si>
  <si>
    <t>Focused_Deployment_Rescreen_636_Final_42_20260909.xlsx | Focused exclusions!A162:O162</t>
  </si>
  <si>
    <t>REC-00430</t>
  </si>
  <si>
    <t>Low-cost environmental-friendly strain sensor and triboelectric nanogenerator based on waste lyocell fabric</t>
  </si>
  <si>
    <t>10.1016/j.sna.2025.116541</t>
  </si>
  <si>
    <t>ScienceDirect full text: strain characterization and Figure 5 physiological-motion demonstration</t>
  </si>
  <si>
    <t>The carbonized woven lyocell-fabric strain sensor was mounted on the wrist and carotid region and produced quantitative pulse-related current signals, including 72 beats per minute consistent with a commercial sphygmomanometer. The study also reports a gauge factor of 72.17 and a broad mechanically tested strain range.</t>
  </si>
  <si>
    <t>Focused_Deployment_Rescreen_636_Final_42_20260909.xlsx | Focused exclusions!A163:O163</t>
  </si>
  <si>
    <t>REC-00434</t>
  </si>
  <si>
    <t>Layer-by-layer assembly of chitosan and carbon nanotube on cotton fabric for strain and temperature sensing</t>
  </si>
  <si>
    <t>10.1016/j.jmst.2023.07.025</t>
  </si>
  <si>
    <t>ScienceDirect full text: strain-performance section and Figure 5 human-joint demonstrations</t>
  </si>
  <si>
    <t>The CNT/chitosan layer-by-layer sensor was fabricated on cotton fabric and fixed at the wrist, elbow, knee, and finger for real-time deformation monitoring. It reports an approximately 20% strain range, gauge factors up to 35.1, a 70 ms response time, and 1000 cycles at 4% strain.</t>
  </si>
  <si>
    <t>Focused_Deployment_Rescreen_636_Final_42_20260909.xlsx | Focused exclusions!A164:O164</t>
  </si>
  <si>
    <t>REC-00435</t>
  </si>
  <si>
    <t>A multifunctional and highly stretchable electronic device based on silver nanowire/wrap yarn composite for a wearable strain sensor and heater</t>
  </si>
  <si>
    <t>10.1039/c9tc04252k</t>
  </si>
  <si>
    <t>The textile-based strain sensor is attached to the elbow, wrist and knee and reports quantitative movement responses.</t>
  </si>
  <si>
    <t>Focused_Deployment_Rescreen_636_Final_42_20260909.xlsx | Focused exclusions!A165:O165</t>
  </si>
  <si>
    <t>REC-00441</t>
  </si>
  <si>
    <t>Respiratory Monitoring Fiber Optic Fabric Sensor for Smart Clothing</t>
  </si>
  <si>
    <t>10.3788/lop230957</t>
  </si>
  <si>
    <t>S4</t>
  </si>
  <si>
    <t>Human output was not primarily strain-, stretch-, bending-, or deformation-mediated</t>
  </si>
  <si>
    <t>Full HTML text: garment construction; participant respiratory tests; Tables 2-4</t>
  </si>
  <si>
    <t>The stretch-sensitive optical fibre was bonded into an elastic-fabric sensor and integrated into a respiratory-monitoring garment. A participant wore the garment under different breathing rates, postures and movements; five repeats per condition were compared with a YS20 mask respiratory monitor. Maximum error was below 2 breaths/min and average error was below 1 breath/min.</t>
  </si>
  <si>
    <t>Focused_Deployment_Rescreen_636_Final_42_20260909.xlsx | Focused exclusions!A166:O166</t>
  </si>
  <si>
    <t>REC-00444</t>
  </si>
  <si>
    <t>Facile fabrication of flexible strain sensors with AgNPs-decorated CNTs based on nylon/PU fabrics through polydopamine templates</t>
  </si>
  <si>
    <t>10.1016/j.apsusc.2021.149931</t>
  </si>
  <si>
    <t>ScienceDirect full text: strain characterization and Figures 9-10 wearable motion demonstrations</t>
  </si>
  <si>
    <t>The AgNP/CNT sensing network was fabricated directly on knitted nylon/polyurethane fabric and mounted on the wrist, finger, cheek, and elbow, producing angle- and motion-dependent relative-resistance signals. The article reports a 0-130% strain range, three gauge-factor intervals, and 1000-cycle tests.</t>
  </si>
  <si>
    <t>Focused_Deployment_Rescreen_636_Final_42_20260909.xlsx | Focused exclusions!A167:O167</t>
  </si>
  <si>
    <t>REC-00446</t>
  </si>
  <si>
    <t>Stretchable and wash durable reactive silver ink coatings for electromagnetic interference shielding, Joule heating, and strain sensing textiles</t>
  </si>
  <si>
    <t>10.1016/j.porgcoat.2023.107506</t>
  </si>
  <si>
    <t>ScienceDirect full text: strain-sensing results, Figure 7, and Conclusion</t>
  </si>
  <si>
    <t>The reactive-silver-coated PET knitted textile was attached to the finger, wrist, and elbow and produced quantitative resistance signals during motion. Figure 7 includes the strain-resistance curve and on-body sensing; the study also reports 1000 stretch cycles at 50% strain.</t>
  </si>
  <si>
    <t>Focused_Deployment_Rescreen_636_Final_42_20260909.xlsx | Focused exclusions!A168:O168</t>
  </si>
  <si>
    <t>REC-00447</t>
  </si>
  <si>
    <t>Digital Machine Knitted Resistive Strain Sensor for Wireless Human Motion Monitoring</t>
  </si>
  <si>
    <t>10.1002/adem.202502090</t>
  </si>
  <si>
    <t>No actual participant-worn human experiment established</t>
  </si>
  <si>
    <t>C1-C6 were identified in the full text. Textile evidence: This extension and recovery phenomenon can be detected more extensively and effortlessly in strain sensors than in pressure sensors.[32-34] Textile-based strain sensors can be classified based on their capability of converting physical and mechanical changes in the human body into electrical signals Human evidence: Figure 1 represents a view of the fabricated sensor in the machine during simultaneous movement of the front and back bed needles. Quantitative evidence: But when the sensor undergoes 60% strain, the loop-to-loop distance of the conductive yarn decreases as shown in Figure 2 and contributes to the resistance drop.</t>
  </si>
  <si>
    <t>Focused_Deployment_Rescreen_636_Final_42_20260909.xlsx | Focused exclusions!A169:O169</t>
  </si>
  <si>
    <t>REC-00450</t>
  </si>
  <si>
    <t>Direct screen printing of single-faced conductive cotton fabrics for strain sensing, electrical heating and color changing</t>
  </si>
  <si>
    <t>10.1007/s10570-019-02526-6</t>
  </si>
  <si>
    <t>The conductive cotton fabric was attached to a volunteer's laryngeal region and wrist and produced quantitative speaking, drinking and bending signals.</t>
  </si>
  <si>
    <t>Focused_Deployment_Rescreen_636_Final_42_20260909.xlsx | Focused exclusions!A170:O170</t>
  </si>
  <si>
    <t>REC-00452</t>
  </si>
  <si>
    <t>Muscle activity monitoring with fabric stretch sensors</t>
  </si>
  <si>
    <t>10.1007/s12221-017-7042-x</t>
  </si>
  <si>
    <t>Full text: Gauge Factor, Muscle Activity Measurement, and Figures 15-16</t>
  </si>
  <si>
    <t>The fabric strain sensor was integrated into muscle pants at the thigh and produced quantitative output during leg lifting and lowering. The sensor was characterized over 0-50% strain with reported gauge factors of 2.19-4.82.</t>
  </si>
  <si>
    <t>Focused_Deployment_Rescreen_636_Final_42_20260909.xlsx | Focused exclusions!A171:O171</t>
  </si>
  <si>
    <t>REC-00453</t>
  </si>
  <si>
    <t>Ultrasensitive and highly stretchable bilayer strain sensor based on bandage-assisted woven fabric with reduced graphene oxide and liquid metal</t>
  </si>
  <si>
    <t>10.1016/j.cej.2024.150777</t>
  </si>
  <si>
    <t>ScienceDirect full text: sensing-characterization results and Figures 4, 7, and 8</t>
  </si>
  <si>
    <t>The woven-fabric sensor was used on a volunteer for finger, wrist, elbow and knee motion, breathing, pulse, facial and laryngeal signals. It reports a 0-515% working range with region-specific gauge factors and quantitative on-body output.</t>
  </si>
  <si>
    <t>Focused_Deployment_Rescreen_636_Final_42_20260909.xlsx | Focused exclusions!A172:O172</t>
  </si>
  <si>
    <t>REC-00456</t>
  </si>
  <si>
    <t>Highly stretchable GR/TPU strain sensor based on one-step electrospun fibrous yarns for wearable devices</t>
  </si>
  <si>
    <t>10.1039/d4ta00176a</t>
  </si>
  <si>
    <t>Textiles made from the GR/TPU yarn sensor are used for quantitative facial, blink, wrist, elbow and knee motion monitoring.</t>
  </si>
  <si>
    <t>Focused_Deployment_Rescreen_636_Final_42_20260909.xlsx | Focused exclusions!A173:O173</t>
  </si>
  <si>
    <t>REC-00458</t>
  </si>
  <si>
    <t>A wearable, anti-bacterial strain sensor prepared by silver plated cotton/spandex blended fabric for human motion monitoring</t>
  </si>
  <si>
    <t>10.1016/j.colsurfa.2019.123918</t>
  </si>
  <si>
    <t>ScienceDirect full text: strain-characterization results and Figure 7 human-motion demonstrations</t>
  </si>
  <si>
    <t>The electroless-silver-plated cotton/spandex fabric was worn on the body and generated direction- and motion-dependent current signals for fingers, wrist, knee, and arm movement. Quantitative strain sensing includes a gauge factor of 26.11 and a 0.04 s response time.</t>
  </si>
  <si>
    <t>Focused_Deployment_Rescreen_636_Final_42_20260909.xlsx | Focused exclusions!A174:O174</t>
  </si>
  <si>
    <t>REC-00467</t>
  </si>
  <si>
    <t>Comparative study of different carbon materials for the preparation of knitted fabric sensors</t>
  </si>
  <si>
    <t>10.1007/s10570-022-04722-3</t>
  </si>
  <si>
    <t>C1-C6 were identified in the full text. Textile evidence: The woven fabric always present low elasticity because intersection points restrict yarn movement (Yan et al. Human evidence: The R/R0 from 0 gradually increased to 3 in the test volunteer’s index finger from straightening to complete bending. Quantitative evidence: (2020) sequentially coated c-MWCNTs and silver nanoparticle-based conductive layers on elastic fabric and obtained a high sensitivity strain sensor (Feng et al.</t>
  </si>
  <si>
    <t>Focused_Deployment_Rescreen_636_Final_42_20260909.xlsx | Focused exclusions!A175:O175</t>
  </si>
  <si>
    <t>REC-00470</t>
  </si>
  <si>
    <t>Ultra-sensitive flexible strain sensors based on hybrid conductive networks for monitoring human activities</t>
  </si>
  <si>
    <t>10.1016/j.sna.2022.113627</t>
  </si>
  <si>
    <t>ScienceDirect full text: strain-characterization results and Figure 6 volunteer demonstrations</t>
  </si>
  <si>
    <t>The woven-fabric-derived GMWF/NR strain sensor was evaluated on a volunteer for knee, elbow, finger, wrist, facial, eye, and throat motion. It reports gauge factors of 1451, 3587, and 8225 over specified strain intervals up to 67%, together with quantitative on-body signals.</t>
  </si>
  <si>
    <t>Focused_Deployment_Rescreen_636_Final_42_20260909.xlsx | Focused exclusions!A176:O176</t>
  </si>
  <si>
    <t>REC-00476</t>
  </si>
  <si>
    <t>Polypyrrole-Coated Graphene Oxide-Doped Polyacrylonitrile Nanofibers for Stretchable Strain Sensors</t>
  </si>
  <si>
    <t>10.1021/acsanm.2c01298</t>
  </si>
  <si>
    <t>C1-C6 were identified in the full text. Textile evidence: In addition, any textile that allowed the yarn to be woven in it could be used (Figure 1), and the integration process did not affect the structure and performance of the yarn because the yarn surface was protected by the PDMS layer. Human evidence: In addition, the HSYSS was attached to the human larynx and posterior neck to monitor these muscles as the head moved up and down, respectively (Figure 5,d and Movies S3 and S4). Quantitative evidence: In the full strain range of 0–500%, the HSYSS revealed a significant R′ of 173.13 and a GF of 34.63 (Figure 2).</t>
  </si>
  <si>
    <t>Focused_Deployment_Rescreen_636_Final_42_20260909.xlsx | Focused exclusions!A177:O177</t>
  </si>
  <si>
    <t>REC-00477</t>
  </si>
  <si>
    <t>MXene Composite and Coaxial Fibers with High Stretchability and Conductivity for Wearable Strain Sensing Textiles</t>
  </si>
  <si>
    <t>10.1002/adfm.201910504</t>
  </si>
  <si>
    <t>C1-C6 were identified in the full text. Textile evidence: We studied the strain sensing behavior of the textile knitted from four-ply yarn (four individual fibers) by monitoring its resistance change during cyclic stretching–releasing deformations in the wale direction (Figure 6). Human evidence: This elbow sleeve was worn on the elbow of a volunteer to demonstrate its use for body movement monitoring (Figure 7). Quantitative evidence: We measured the sensing range and the GF of the MXene/PU fibers (Figure 4,d).</t>
  </si>
  <si>
    <t>Focused_Deployment_Rescreen_636_Final_42_20260909.xlsx | Focused exclusions!A178:O178</t>
  </si>
  <si>
    <t>REC-00478</t>
  </si>
  <si>
    <t>Wearable and washable textile-based strain sensors via a single-step, environment-friendly method</t>
  </si>
  <si>
    <t>10.1007/s11431-019-1567-y</t>
  </si>
  <si>
    <t>Full text: Abstract, Section 3.4.1, and Figure 5</t>
  </si>
  <si>
    <t>The textile sensors were sutured into a garment at the heel, knee, elbow, and shoulder and generated distinct quantitative resistance responses during human movements. The paper reports a normal working range up to 15% strain and tests multi-location motion discrimination.</t>
  </si>
  <si>
    <t>Focused_Deployment_Rescreen_636_Final_42_20260909.xlsx | Focused exclusions!A179:O179</t>
  </si>
  <si>
    <t>REC-00481</t>
  </si>
  <si>
    <t>Mussel-Inspired Superhydrophobic Conductive Textile: A Sustainable Multifunctional Platform for Wearable Electronics and Thermal Management</t>
  </si>
  <si>
    <t>10.1002/eem2.70132</t>
  </si>
  <si>
    <t>C1-C6 were identified in the full text. Textile evidence: Through a facile dip-coating approach followed by in situ tannic acid polymerization-induced surface roughening and octadecylamine modification, a superhydrophobic conductive cotton fabric combining exceptional flexibility, breathability, and environmental stability is fabricated. Human evidence: Furthermore, during regular and repetitive elbow motions, the sensor exhibited a stable and consistent resistive response, as shown in Figure 5. Quantitative evidence: The material demonstrated similar stability during tape peeling tests (500 cycles, WCA = ~160.0°, Figure 3) and ultrasonic washing (5 h, WCA = ~158°, Figure 3).</t>
  </si>
  <si>
    <t>Focused_Deployment_Rescreen_636_Final_42_20260909.xlsx | Focused exclusions!A180:O180</t>
  </si>
  <si>
    <t>REC-00482</t>
  </si>
  <si>
    <t>Fluorinated carbon nanodot-line/microfiber coupling textile with long-lived water-repellency for reliably monitoring human motion under amphibious environment</t>
  </si>
  <si>
    <t>10.1016/j.cej.2024.150797</t>
  </si>
  <si>
    <t>ScienceDirect full text: textile fabrication, strain characterization, and Figures 6-7 amphibious human demonstrations</t>
  </si>
  <si>
    <t>The carbon-nanodot/nanotube/PVDF sensing layer was fabricated directly on nylon/spandex textile. The textile sensor was attached to fingers, wrists, elbows, knees, muscles, chest, and vocal cords for real-time deformation monitoring in dry, rainy, and underwater conditions; the study reports a 120% linear range, GF up to 9.4, and repeated underwater bending.</t>
  </si>
  <si>
    <t>Focused_Deployment_Rescreen_636_Final_42_20260909.xlsx | Focused exclusions!A181:O181</t>
  </si>
  <si>
    <t>REC-00486</t>
  </si>
  <si>
    <t>Knitted structural design of MXene/Cu2O based strain sensor for smart wear</t>
  </si>
  <si>
    <t>10.1007/s10570-022-04837-7</t>
  </si>
  <si>
    <t>C1-C6 were identified in the full text. Textile evidence: Fiber-based strain sensors are interfaced with conductive fibers or battery fibers show great potential in the integrated-circuit textile for smart wear (Taylor et al. Human evidence: As a proof-of-concept, the prepared strain sensor was attached to the corners of the mouth and throat to monitor small-scale human physiological activities of the facial expression and the muscle motions near the throat via a tester to noninvasively. Quantitative evidence: abstract Similar content being viewed by others Wearable CNT/Ti3C2Tx MXene/PDMS composite strain sensor with enhanced stability for real-time human healthcare monitoring Article 22 May 2021 Flowable MXene/cellulose nanofibers conductor for linear and high-accuracy strain sensing Article 09 February</t>
  </si>
  <si>
    <t>Focused_Deployment_Rescreen_636_Final_42_20260909.xlsx | Focused exclusions!A182:O182</t>
  </si>
  <si>
    <t>REC-00490</t>
  </si>
  <si>
    <t>Highly Stable, Stretchable, and Sensitive Strain Sensor Based on a New Type of Elastic Fiber</t>
  </si>
  <si>
    <t>10.1007/s12221-023-00389-0</t>
  </si>
  <si>
    <t>The knitted sensor was integrated into a band and used for quantitative breathing, vocal, facial and hand-motion monitoring.</t>
  </si>
  <si>
    <t>Focused_Deployment_Rescreen_636_Final_42_20260909.xlsx | Focused exclusions!A183:O183</t>
  </si>
  <si>
    <t>REC-00491</t>
  </si>
  <si>
    <t>A bidirectional knitted strain sensor via AgNWs/MXene hybridization for broad-range multi-stage sensing</t>
  </si>
  <si>
    <t>10.1039/d5tc04376j</t>
  </si>
  <si>
    <t>The bidirectional knitted strain sensor is validated through real-time physiological-signal monitoring with quantitative tensile and compressive responses.</t>
  </si>
  <si>
    <t>Focused_Deployment_Rescreen_636_Final_42_20260909.xlsx | Focused exclusions!A184:O184</t>
  </si>
  <si>
    <t>REC-00492</t>
  </si>
  <si>
    <t>Multifunctional, Wash Durable and Re-usable Conductive Textiles for Wearable Electro/Physiological Monitoring</t>
  </si>
  <si>
    <t>10.1002/mame.202000804</t>
  </si>
  <si>
    <t>C1-C6 were identified in the full text. Textile evidence: 2.2 GO Preparation Graphene oxide (GO) was synthesized from Graphite powder using the modified Hummers and Offenman's method.[42] 2.3 Fabrication of Reduced Graphene Oxide (RGO) Coated Textile (RGT) Figure 1–c illustrates the fabrication process of RGO coated textile (RGT). Human evidence: Figure 5–d shows human motion tracking by using the RGT strain sensor. Quantitative evidence: As shown in Figure 3, the amount of adsorbed GO (wt%) increases with number of dipping cycles.</t>
  </si>
  <si>
    <t>Focused_Deployment_Rescreen_636_Final_42_20260909.xlsx | Focused exclusions!A185:O185</t>
  </si>
  <si>
    <t>REC-00496</t>
  </si>
  <si>
    <t>Tiny Machine Learning Implementation for a Textile-Integrated Breath Rate Sensor</t>
  </si>
  <si>
    <t>10.3390/electronics15081646</t>
  </si>
  <si>
    <t>Full text: Sections 2.1-2.2; Tex-Hype dataset protocol; Sections 3.1-3.4</t>
  </si>
  <si>
    <t>The system combines a textile-integrated embroidered strain gauge, garment-mounted readout and on-device respiratory-rate inference. Five volunteers aged 20-40 years wore the sensor around the lower chest while sitting and standing; inhalation events provided reference labels. The best model achieved a mean absolute error of 1.23 breaths/min, with measured latency, memory and power results.</t>
  </si>
  <si>
    <t>Focused_Deployment_Rescreen_636_Final_42_20260909.xlsx | Focused exclusions!A186:O186</t>
  </si>
  <si>
    <t>REC-00499</t>
  </si>
  <si>
    <t>Kernmantle structured stretchable strain sensors for biomechanical sensing in amphibious environments</t>
  </si>
  <si>
    <t>10.1016/j.carbon.2024.118918</t>
  </si>
  <si>
    <t>ScienceDirect full text: braided-yarn construction, electromechanical characterization, and Figures 4-5 wearable demonstrations</t>
  </si>
  <si>
    <t>The kernmantle sensor is a three-dimensional braided textile yarn that was stitched into a choker, elbow guard, wristband, fingerstall, sock, and mask and used for physiological and joint-motion recording. The study reports strain response over 0-165%, gauge-factor regions, 10000 cycles, and on-body output from multiple arterial sites, respiration, elbow, and knee movement.</t>
  </si>
  <si>
    <t>Focused_Deployment_Rescreen_636_Final_42_20260909.xlsx | Focused exclusions!A187:O187</t>
  </si>
  <si>
    <t>REC-00504</t>
  </si>
  <si>
    <t>High performance flexible wearable strain sensor based on rGO and AgNWs decorated PBT melt-blown non-woven fabrics</t>
  </si>
  <si>
    <t>10.1016/j.sna.2020.112174</t>
  </si>
  <si>
    <t>ScienceDirect full text: strain-performance section and Figure 10 volunteer demonstrations</t>
  </si>
  <si>
    <t>The rGO/silver-nanowire sensing network was fabricated on PBT melt-blown nonwoven fabric and fixed to an adult volunteer's fingers, wrist, elbow, eyebrow, and throat. It produced repeatable motion-related resistance signals and reports a 0-90% working range with gauge factors of 74, 620, and 1829 across successive intervals.</t>
  </si>
  <si>
    <t>Focused_Deployment_Rescreen_636_Final_42_20260909.xlsx | Focused exclusions!A188:O188</t>
  </si>
  <si>
    <t>REC-00516</t>
  </si>
  <si>
    <t>Human Motion Recognition Using E-textile Sensor and Adaptive Neuro-Fuzzy Inference System</t>
  </si>
  <si>
    <t>10.1007/s12221-018-8019-0</t>
  </si>
  <si>
    <t>Full text: Human Motion Characteristics, Table 2, and Figures 9-16</t>
  </si>
  <si>
    <t>A participant wore smart muscle pants in a 50 m corridor while walking, jumping, running, and sprinting. The textile sensor was characterized over 0-50% stretch with gauge factors of 2.1-4.8, and the ANFIS motion-classification accuracy was 92%.</t>
  </si>
  <si>
    <t>Focused_Deployment_Rescreen_636_Final_42_20260909.xlsx | Focused exclusions!A189:O189</t>
  </si>
  <si>
    <t>REC-00517</t>
  </si>
  <si>
    <t>A highly sensitive graphene woven fabric strain sensor for wearable wireless musical instruments</t>
  </si>
  <si>
    <t>10.1039/c7mh00104e</t>
  </si>
  <si>
    <t>The graphene woven-fabric sensor is worn on the finger, arm, forearm and wrist and converts quantitative body-motion signals into wireless musical control.</t>
  </si>
  <si>
    <t>Focused_Deployment_Rescreen_636_Final_42_20260909.xlsx | Focused exclusions!A190:O190</t>
  </si>
  <si>
    <t>REC-00521</t>
  </si>
  <si>
    <t>Multifunctional Wearable Strain Sensor Made with an Elastic Interwoven Fabric for Patients with Motor Dysfunction</t>
  </si>
  <si>
    <t>10.1002/admt.202000560</t>
  </si>
  <si>
    <t>C1-C6 were identified in the full text. Textile evidence: Preparation of c-MWCNT-AgNP-Coated ACSF Strain Sensors The ACSF was placed into a beaker with deionized water and sonicated for 10 min to remove impurities on the fabric surface and was then dried in an oven at 50 °C for 1 h. Human evidence: Similarly, the sensor was attached to the tester's wrist or elbow to record the RRV signal when the tester periodically bent/unbent his wrist or elbow. Quantitative evidence: 2.2 Electromechanical Performance and Sensing Mechanism of the ACSF/c-MWCNT/AgNP Strain Sensor Figure 4 displays the current–voltage (I–V) curves of the ACSF/c-MWCNT/AgNP strain sensor with the AgNP coating layer formed after different absorption–reduction cycles.</t>
  </si>
  <si>
    <t>Focused_Deployment_Rescreen_636_Final_42_20260909.xlsx | Focused exclusions!A191:O191</t>
  </si>
  <si>
    <t>REC-00531</t>
  </si>
  <si>
    <t>Carbonized silk georgette as an ultrasensitive wearable strain sensor for full-range human activity monitoring</t>
  </si>
  <si>
    <t>10.1039/c7tc01962a</t>
  </si>
  <si>
    <t>The carbonized silk-georgette fabric sensor is demonstrated for quantitative vigorous and subtle human-activity monitoring.</t>
  </si>
  <si>
    <t>Focused_Deployment_Rescreen_636_Final_42_20260909.xlsx | Focused exclusions!A192:O192</t>
  </si>
  <si>
    <t>REC-00533</t>
  </si>
  <si>
    <t>Conductive network compaction-induced linear sensing for graphene woven fabric-based strain sensors</t>
  </si>
  <si>
    <t>10.1016/j.sna.2024.116152</t>
  </si>
  <si>
    <t>ScienceDirect full text: graphene woven-fabric characterization and Figure 7 human-motion section</t>
  </si>
  <si>
    <t>The compacted graphene woven-fabric strain sensor was affixed to fingers, wrist, and elbow and produced bending-angle, fist, voice, and mouse-click resistance responses. Quantitative evidence includes linear strain response up to 14% (and 25% in an alternative condition), maximum GF 45.5, and stability over 3000 cycles.</t>
  </si>
  <si>
    <t>Focused_Deployment_Rescreen_636_Final_42_20260909.xlsx | Focused exclusions!A193:O193</t>
  </si>
  <si>
    <t>REC-00534</t>
  </si>
  <si>
    <t>High sensitivity of laser-induced graphene strain sensors at low strains via elasticity-mismatched non-woven fabric units</t>
  </si>
  <si>
    <t>10.1016/j.sna.2026.117568</t>
  </si>
  <si>
    <t>ScienceDirect full text: nonwoven/LIG construction, quantitative modelling, and Figure 11 one-week worn demonstrations</t>
  </si>
  <si>
    <t>Triangular nonwoven-fabric elements form part of the tested LIG composite strain sensor. The sensor was worn for one week and applied to the rectus abdominis, wrist, and knee, with quantitative resistance responses at 30, 60, and 90 degree wrist bending; the study reports gauge-factor improvement from 78.22 to 147.37.</t>
  </si>
  <si>
    <t>Focused_Deployment_Rescreen_636_Final_42_20260909.xlsx | Focused exclusions!A194:O194</t>
  </si>
  <si>
    <t>REC-00537</t>
  </si>
  <si>
    <t>Flexible Textile Strain Wireless Sensor Functionalized with Hybrid Carbon Nanomaterials Supported ZnO Nanowires with Controlled Aspect Ratio</t>
  </si>
  <si>
    <t>10.1002/adfm.201601237</t>
  </si>
  <si>
    <t>C1-C6 were identified in the full text. Textile evidence: Herein, we fabricated a highly robust wireless flexible strain sensor based on commercial textiles by assembling functional hybrid carbon nanomaterials and piezoresistive ZnO NWs on a textile substrate (Figure 1). Human evidence: Figure 6 Open in figure viewer PowerPoint a) Strain-responsive sensing performance of the ZnO-3 strain sensor that was attached on an elbow under different bending angles. Quantitative evidence: Similar to the trend observed for the current changes, the GF values also depended on the growth time of the ZnO nanostructures (Figure 4).</t>
  </si>
  <si>
    <t>Focused_Deployment_Rescreen_636_Final_42_20260909.xlsx | Focused exclusions!A195:O195</t>
  </si>
  <si>
    <t>REC-00538</t>
  </si>
  <si>
    <t>Highly flexible fabric strain sensor based on graphene nanoplatelet-polyaniline nanocomposites for human gesture recognition</t>
  </si>
  <si>
    <t>10.1002/app.45340</t>
  </si>
  <si>
    <t>C1-C6 were identified in the full text. Textile evidence: A strain sensor was fabricated by the incorporation of the highly conductive polyaniline (PANI) polymer, graphene nanoplatelets (GNPs), and a handful of silicon rubber (SR) onto elastic Lycra fabric via a spin-coating method. Human evidence: In the end, the sensor was attached to a highly elastic spandex glove for gesture recognition. Quantitative evidence: The red areas in Figure 4 illustrate the changes of the gap under 0%, 10%, 20%, 30%, and 40% strain and with stretching released.</t>
  </si>
  <si>
    <t>Focused_Deployment_Rescreen_636_Final_42_20260909.xlsx | Focused exclusions!A196:O196</t>
  </si>
  <si>
    <t>REC-00544</t>
  </si>
  <si>
    <t>Highly Flexible and Stretchable Strain Sensor Based on Elastic Melt-Blown Nonwovens Fabric Deposited With MXene/MWCNTs</t>
  </si>
  <si>
    <t>10.1002/pen.70093</t>
  </si>
  <si>
    <t>Full text: Section 3.4 electromechanical performance; Section 3.5 Human Motion Monitoring; Figure 7</t>
  </si>
  <si>
    <t>The MXene/MWCNT nonwoven textile sensor was characterized to 268.7% strain with a maximum reported gauge factor of 126,526.15. A 1 cm by 3 cm sensor was attached to a consenting volunteer's elbow, wrist, knuckle, knee and Achilles tendon and produced reversible resistance signals during repeated bending/unbending movements.</t>
  </si>
  <si>
    <t>Focused_Deployment_Rescreen_636_Final_42_20260909.xlsx | Focused exclusions!A197:O197</t>
  </si>
  <si>
    <t>REC-00547</t>
  </si>
  <si>
    <t>A spirally layered carbon nanotube-graphene/polyurethane composite yarn for highly sensitive and stretchable strain sensor</t>
  </si>
  <si>
    <t>10.1016/j.compositesa.2020.105932</t>
  </si>
  <si>
    <t>ScienceDirect full text: yarn characterization and Figures 6-7 smart-glove demonstrations</t>
  </si>
  <si>
    <t>The spirally layered CNT/RGO/TPU yarn was sewn into a cotton glove at the finger and wrist and used for worn bending detection, in addition to direct human-motion tests. The article reports a 620% working range, gauge factor up to 2160.4, and quantitative current responses for finger and wrist movement.</t>
  </si>
  <si>
    <t>Focused_Deployment_Rescreen_636_Final_42_20260909.xlsx | Focused exclusions!A198:O198</t>
  </si>
  <si>
    <t>REC-00553</t>
  </si>
  <si>
    <t>Micro-/nanofiber-coupled superhydrophobic and conductive textile for underwater wearable strain sensors with full-scale human motion detection ability</t>
  </si>
  <si>
    <t>10.1039/d3tc01324c</t>
  </si>
  <si>
    <t>The superhydrophobic textile strain sensor is attached to body locations, including the neck, for quantitative motion monitoring in air and underwater.</t>
  </si>
  <si>
    <t>Focused_Deployment_Rescreen_636_Final_42_20260909.xlsx | Focused exclusions!A199:O199</t>
  </si>
  <si>
    <t>REC-00555</t>
  </si>
  <si>
    <t>Multifunctional and highly sensitive piezoresistive sensing textile based on a hierarchical architecture</t>
  </si>
  <si>
    <t>10.1016/j.compscitech.2020.108255</t>
  </si>
  <si>
    <t>ScienceDirect full text: Section 2.3, strain-sensing results in Figure 5, and wearable demonstrations in Figure 6</t>
  </si>
  <si>
    <t>A single-layer PANI/rGO textile was separately configured and quantitatively evaluated as a strain sensor, then attached at the elbow, wrist, and knee and integrated into a data glove. It reports anisotropic gauge factors up to -78, strain ranges of 10-20%, and 1000 stretching cycles.</t>
  </si>
  <si>
    <t>Focused_Deployment_Rescreen_636_Final_42_20260909.xlsx | Focused exclusions!A200:O200</t>
  </si>
  <si>
    <t>REC-00557</t>
  </si>
  <si>
    <t>Bioinspired multifunctional MXene-decorated textile for thermal management, durable self-cleaning, bio-protection and wearable strain sensor</t>
  </si>
  <si>
    <t>10.1016/j.apsusc.2024.160607</t>
  </si>
  <si>
    <t>ScienceDirect full text: sensing-performance results and Figure 6 human-movement demonstrations</t>
  </si>
  <si>
    <t>The MXene-decorated cotton textile was tested under tensile deformation and attached to a tester's finger, wrist, knee, and elbow. Figure 6 reports angle- and motion-dependent relative-resistance signals, including repeated 50% stretching.</t>
  </si>
  <si>
    <t>Focused_Deployment_Rescreen_636_Final_42_20260909.xlsx | Focused exclusions!A201:O201</t>
  </si>
  <si>
    <t>REC-00564</t>
  </si>
  <si>
    <t>Novel Kevlar fabric composite for multifunctional soft body armor</t>
  </si>
  <si>
    <t>10.1016/j.compositesb.2022.110106</t>
  </si>
  <si>
    <t>ScienceDirect full text: Kevlar-composite characterization and Figure 7 physiological and joint-motion demonstrations</t>
  </si>
  <si>
    <t>The RGO/SSG-coated Kevlar fabric composite was attached to the neck, abdomen, wrist, and knee and produced pulse, respiration, and joint-bending resistance signals. The study reports GF 42, strain resolution below 0.05%, response time of 69 ms, and quantitative cyclic strain responses.</t>
  </si>
  <si>
    <t>Focused_Deployment_Rescreen_636_Final_42_20260909.xlsx | Focused exclusions!A202:O202</t>
  </si>
  <si>
    <t>REC-00567</t>
  </si>
  <si>
    <t>Core-sheath structured CNT@Ni-CNT fiber-based multifunctional fabric with high-sensitivity, wide-range strain sensing, and enhanced electromagnetic shielding absorption</t>
  </si>
  <si>
    <t>10.1016/j.cej.2025.162358</t>
  </si>
  <si>
    <t>ScienceDirect full text: core-sheath fabric construction, quantitative characterization, and Figure 6 sensing-glove experiment</t>
  </si>
  <si>
    <t>CNT@Ni-CNT fibres were assembled as a fabric and embedded into a worn sensing glove, which generated angle- and gesture-dependent resistance signals and controlled a robotic hand. Quantitative evidence includes a 210% strain range, GF 81.58, and more than 30000 cycles.</t>
  </si>
  <si>
    <t>Focused_Deployment_Rescreen_636_Final_42_20260909.xlsx | Focused exclusions!A203:O203</t>
  </si>
  <si>
    <t>REC-00568</t>
  </si>
  <si>
    <t>Liquid metal-based on cotton/lycra elastic fabric surface for flexible antenna and wearable strain sensor</t>
  </si>
  <si>
    <t>10.1007/s10570-023-05536-7</t>
  </si>
  <si>
    <t>The cotton/Lycra sensor was attached to volunteers' throat, forehead and canthus and produced quantitative motion and expression signals.</t>
  </si>
  <si>
    <t>Focused_Deployment_Rescreen_636_Final_42_20260909.xlsx | Focused exclusions!A204:O204</t>
  </si>
  <si>
    <t>REC-00570</t>
  </si>
  <si>
    <t>Triethoxysilane-enhanced graphene/carbon nanoparticles conductive network for multifunctional fabric electronics with pressure, temperature and strain sensing capabilities</t>
  </si>
  <si>
    <t>10.1016/j.cej.2025.162254</t>
  </si>
  <si>
    <t>ScienceDirect full text: lycra-cotton PSTMS construction and Figures 6-7 volunteer demonstrations</t>
  </si>
  <si>
    <t>The pressure-strain-temperature sensor was fabricated directly on lycra cotton fabric and fixed to volunteers' finger, knee, wrist, and elbow joints. Its strain channel was separately evaluated and produced angle-dependent signals; the article reports GF 40.37 in the 95-120% strain interval.</t>
  </si>
  <si>
    <t>Focused_Deployment_Rescreen_636_Final_42_20260909.xlsx | Focused exclusions!A205:O205</t>
  </si>
  <si>
    <t>REC-00573</t>
  </si>
  <si>
    <t>Wearable multimode sensors with amplified piezoelectricity due to the multi local strain using 3D textile structure for detecting human body signals</t>
  </si>
  <si>
    <t>10.1016/j.nanoen.2020.104932</t>
  </si>
  <si>
    <t>ScienceDirect full text: Raschel 3D-textile construction and Figures 4-6 human deformation experiments</t>
  </si>
  <si>
    <t>The multi-local-strain sensor combines a Raschel-knitted 3D textile with piezoelectric PVDF and explicitly evaluates tensile/compression deformation as a sensing mode rather than pressure alone. It was worn for elbow and knee bending, neck motion, respiration, pulse, and gait, with quantitative voltage outputs at specified joint angles and durability over 4000 cycles.</t>
  </si>
  <si>
    <t>Focused_Deployment_Rescreen_636_Final_42_20260909.xlsx | Focused exclusions!A206:O206</t>
  </si>
  <si>
    <t>REC-00576</t>
  </si>
  <si>
    <t>Flexible porous non-woven silk fabric based conductive composite for efficient multimodal sensing</t>
  </si>
  <si>
    <t>10.1016/j.cej.2024.154445</t>
  </si>
  <si>
    <t>ScienceDirect full text: nonwoven-silk composite fabrication, strain characterization, and Figure 4 volunteer demonstrations</t>
  </si>
  <si>
    <t>The sensing network was formed within nonwoven silk fabric and adhered to volunteers for swallowing, facial motion, wrist, elbow, and full-body activity monitoring. It reports a 0-60% strain range with five GF regions up to 9856, response/recovery times, and 1000 stretch-release cycles.</t>
  </si>
  <si>
    <t>Focused_Deployment_Rescreen_636_Final_42_20260909.xlsx | Focused exclusions!A207:O207</t>
  </si>
  <si>
    <t>REC-00577</t>
  </si>
  <si>
    <t>Axially decoupled multidirectional stretchable strain sensor based on plain-woven carbon nanotube-infiltrated rubber nanocomposites</t>
  </si>
  <si>
    <t>10.1007/s42114-025-01494-9</t>
  </si>
  <si>
    <t>The woven sensor was integrated into a glove, knee sleeve and wristband and produced direction-specific quantitative responses during human movements.</t>
  </si>
  <si>
    <t>Focused_Deployment_Rescreen_636_Final_42_20260909.xlsx | Focused exclusions!A208:O208</t>
  </si>
  <si>
    <t>REC-00583</t>
  </si>
  <si>
    <t>Sustainable conductive coating methodology toward superhydrophobic elastic fabric sensors for human motion monitoring, underwater sensing and photothermal conversion</t>
  </si>
  <si>
    <t>10.1016/j.cej.2025.167266</t>
  </si>
  <si>
    <t>ScienceDirect full text: coated elastic-fabric characterization and Figures 7-8 human-motion experiments</t>
  </si>
  <si>
    <t>The conductive coating was assembled on nylon/spandex elastic fabric, and the resulting textile strain sensor was attached to fingers, wrist, elbow, and other body sites for dry and underwater monitoring. Quantitative evidence includes a 0-200% range, GF regions up to 3.26, approximately 100 ms response, and 2000 cycles.</t>
  </si>
  <si>
    <t>Focused_Deployment_Rescreen_636_Final_42_20260909.xlsx | Focused exclusions!A209:O209</t>
  </si>
  <si>
    <t>REC-00584</t>
  </si>
  <si>
    <t>Wearable and self-healable textile-based strain sensors to monitor human muscular activities</t>
  </si>
  <si>
    <t>10.1016/j.compositesb.2021.108969</t>
  </si>
  <si>
    <t>ScienceDirect full text: cyclic-strain results and Figure 7 on-body muscular-activity experiments</t>
  </si>
  <si>
    <t>The CNF/VINNAPASS sensing layer was spray-coated onto Lycra fabric and worn with Velcro bands on the finger, wrist, and bicep. Figure 7 reports resistance outputs at defined joint angles and during muscle contraction; the study also reports GF 67.12, a working range above 170%, and 100 repeated strain cycles.</t>
  </si>
  <si>
    <t>Focused_Deployment_Rescreen_636_Final_42_20260909.xlsx | Focused exclusions!A210:O210</t>
  </si>
  <si>
    <t>REC-00585</t>
  </si>
  <si>
    <t>Printing of a Seamlessly Integrated PDMS-Fabric Sensor for Human Motion Monitoring</t>
  </si>
  <si>
    <t>10.1021/acsaelm.5c01931</t>
  </si>
  <si>
    <t>C1-C6 were identified in the full text. Textile evidence: This study introduces a new type of textile-integrated strain sensor fabricated through a dispensing-printing technology. Human evidence: As shown in Figure 7(a), a sensor is installed on the ankle joint to monitor the extension of the ankle joint. Quantitative evidence: It is worth noting that the sensor can observe significant resistance changes at a low test limit of 0.1%, with a sensitivity as high as 52.6 ± 2.3 in Figure 5(c).</t>
  </si>
  <si>
    <t>Focused_Deployment_Rescreen_636_Final_42_20260909.xlsx | Focused exclusions!A211:O211</t>
  </si>
  <si>
    <t>REC-00586</t>
  </si>
  <si>
    <t>Interleaving of screen printed PEDOT:PSS/ Ag nanowires ink via bottom-up approach into flexible polyurethane coats patterned on bi-stretch fabrics for multimodal sensing and IR heating</t>
  </si>
  <si>
    <t>10.1016/j.sna.2024.116077</t>
  </si>
  <si>
    <t>ScienceDirect full text: multimodal strain-characterization results and Figure 9 worn hand-gesture experiment</t>
  </si>
  <si>
    <t>The PEDOT:PSS/Ag-nanowire ink was screen-printed into a bi-stretch nylon fabric and mounted over finger joints for real-time gesture sensing. Figure 9 shows finger-specific resistance responses; the strain channel was separately characterized to 60% strain with a reported gauge factor of 162.</t>
  </si>
  <si>
    <t>Focused_Deployment_Rescreen_636_Final_42_20260909.xlsx | Focused exclusions!A212:O212</t>
  </si>
  <si>
    <t>REC-00588</t>
  </si>
  <si>
    <t>Stretchable, Breathable, and Washable Fabric Sensor for Human Motion Monitoring</t>
  </si>
  <si>
    <t>10.1002/admt.202300378</t>
  </si>
  <si>
    <t>C1-C6 were identified in the full text. Textile evidence: As a result, the air permeability of the laminated fabrics is reduced compared to their bare fabric counterparts (Figure 2). Human evidence: As the participant was sitting and leaning back on the chair's backrest, a postural modification of the arms—a swaying motion—was noticeable in every cycle of the test. Quantitative evidence: In situ collection of human motion data is crucial for advancing the current state of a broad range of disciplines including human–robot interactions,[2] virtual reality,[3, 4] sports performance,[5, 6] and personalized health monitoring [7] and rehabilitation.[8] Most commonly, human motion data is</t>
  </si>
  <si>
    <t>Focused_Deployment_Rescreen_636_Final_42_20260909.xlsx | Focused exclusions!A213:O213</t>
  </si>
  <si>
    <t>REC-00592</t>
  </si>
  <si>
    <t>Carbonized Cotton Fabric for High-Performance Wearable Strain Sensors</t>
  </si>
  <si>
    <t>10.1002/adfm.201604795</t>
  </si>
  <si>
    <t>C1-C6 were identified in the full text. Textile evidence: By simply annealing the cotton fabric in an inert atmosphere, flexible and highly conductive CPCF is obtained, which is then fabricated into strain sensors. Human evidence: As shown in Figure 2, a monotonic increase in relative resistance change was observed with the loading of strain in the range of 0%–140%. Quantitative evidence: The curve shown in Figure 2 includes two relatively linear parts, 0%–80% and 80%–140%, with a GF of 25 and 64, respectively, demonstrating both its high sensitivity and large workable strain range, which is preponderant among these recently reported strain sensors (Figure S1, Supporting Information)</t>
  </si>
  <si>
    <t>Focused_Deployment_Rescreen_636_Final_42_20260909.xlsx | Focused exclusions!A214:O214</t>
  </si>
  <si>
    <t>REC-00594</t>
  </si>
  <si>
    <t>Multifunctional W-TENG fabric sensor for comprehensive human motion monitoring: integration of pressure, temperature and tension sensing</t>
  </si>
  <si>
    <t>10.1007/s10853-025-11044-9</t>
  </si>
  <si>
    <t>The woven textile sensor was bonded to a finger and tested during finger strain and elbow motion, with quantitative current responses.</t>
  </si>
  <si>
    <t>Focused_Deployment_Rescreen_636_Final_42_20260909.xlsx | Focused exclusions!A215:O215</t>
  </si>
  <si>
    <t>REC-00595</t>
  </si>
  <si>
    <t>Highly stretchable, durable, and superfine fiber-shaped strain sensor with a porous core-sheath microstructure</t>
  </si>
  <si>
    <t>10.1016/j.coco.2022.101381</t>
  </si>
  <si>
    <t>ScienceDirect full text: strain-characterization results in Figure 2 and wearable demonstrations in Figure 4</t>
  </si>
  <si>
    <t>The CNT/SEBS/PU fibre-shaped strain sensor was sewn into or attached to a sleeve, glove, stretchable belt, and pants for neck, wrist, finger, respiration, elbow, and knee monitoring. It reports quantitative strain-response curves to 250%, a detection limit below 0.025%, and 100000 cycles.</t>
  </si>
  <si>
    <t>Focused_Deployment_Rescreen_636_Final_42_20260909.xlsx | Focused exclusions!A216:O216</t>
  </si>
  <si>
    <t>REC-00598</t>
  </si>
  <si>
    <t>A novel double-sided fabric strain sensor array fabricated with a facile and cost-effective process</t>
  </si>
  <si>
    <t>10.1016/j.sna.2024.115208</t>
  </si>
  <si>
    <t>ScienceDirect full text: array characterization in Figure 7 and on-knee experiment in Figure 10</t>
  </si>
  <si>
    <t>The double-sided fabric strain-sensor array was installed on the knee and mapped resistance changes as knee bending increased, providing a spatial deformation output. The array was quantitatively characterized and remained functional through approximately 10000 cyclic strain loadings.</t>
  </si>
  <si>
    <t>Focused_Deployment_Rescreen_636_Final_42_20260909.xlsx | Focused exclusions!A217:O217</t>
  </si>
  <si>
    <t>REC-00608</t>
  </si>
  <si>
    <t>Novel ultrasonic-coating technology to design robust, highly sensitive and wearable textile sensors with conductive nanocelluloses</t>
  </si>
  <si>
    <t>10.1016/j.cej.2021.131289</t>
  </si>
  <si>
    <t>ScienceDirect full text: strain-characterization results and Figure 8 on-body demonstrations</t>
  </si>
  <si>
    <t>The ultrasonically coated textile sensor was attached to the finger, throat, elbow, and wrist and produced quantitative deformation-related resistance signals. Figure 8 includes joint-angle and swallowing responses; the strain channel reports GF 8.96, a 22% range, and 5000 cycles.</t>
  </si>
  <si>
    <t>Focused_Deployment_Rescreen_636_Final_42_20260909.xlsx | Focused exclusions!A218:O218</t>
  </si>
  <si>
    <t>REC-00614</t>
  </si>
  <si>
    <t>Effect of MWCNT content on the mechanical and strain-sensing performance of Thermoplastic Polyurethane composite fibers</t>
  </si>
  <si>
    <t>10.1016/j.carbon.2019.02.060</t>
  </si>
  <si>
    <t>ScienceDirect full text: Section 2.4, Figures 4-5, and wrist-bending experiment</t>
  </si>
  <si>
    <t>MWCNT/TPU fibres were stitched onto an elastic bandage with cotton yarn and evaluated on the wrist. The textile-integrated configuration produced resistance changes during wrist bending, while the strain characterization reports concentration-dependent gauge factors, working ranges, and 100 stretch-release cycles.</t>
  </si>
  <si>
    <t>Focused_Deployment_Rescreen_636_Final_42_20260909.xlsx | Focused exclusions!A219:O219</t>
  </si>
  <si>
    <t>REC-00623</t>
  </si>
  <si>
    <t>Graphite Composite Ink-Modified Knitted Fabric for Fabricating Highly Sensitive, Robust, and Breathable Wearable Monitoring Sensors</t>
  </si>
  <si>
    <t>10.1007/s11664-026-12768-3</t>
  </si>
  <si>
    <t>The knitted fabric sensor was attached to the finger and other body locations for quantitative vigorous- and subtle-motion monitoring.</t>
  </si>
  <si>
    <t>Focused_Deployment_Rescreen_636_Final_42_20260909.xlsx | Focused exclusions!A220:O220</t>
  </si>
  <si>
    <t>REC-00624</t>
  </si>
  <si>
    <t>Flexible and highly conductive Ag/G-coated cotton fabric based on graphene dipping and silver magnetron sputtering</t>
  </si>
  <si>
    <t>10.1007/s10570-018-1821-4</t>
  </si>
  <si>
    <t>The coated cotton fabric was fixed to a finger and quantitatively distinguished rotation and flexion states.</t>
  </si>
  <si>
    <t>Focused_Deployment_Rescreen_636_Final_42_20260909.xlsx | Focused exclusions!A221:O221</t>
  </si>
  <si>
    <t>REC-00629</t>
  </si>
  <si>
    <t>Fully Printed Stretchable and Multifunctional E-Textiles for Aesthetic Wearable Electronic Systems</t>
  </si>
  <si>
    <t>10.1002/smll.202107298</t>
  </si>
  <si>
    <t>C1-C6 were identified in the full text. Textile evidence: Figure 1 Open in figure viewer PowerPoint Printed e-textile via water-based Ag-FD conductive ink. Human evidence: The temperature can be maintained at 40–60 °C in the relaxed state and the raised state of the shoulder (Figure 8), which may be utilized for relieving shoulder pain. Quantitative evidence: Furthermore, under a cyclic loading condition of 30% strain and without the IWA coating, the resistance of the printed e-textile via Ink-45 drops fast, resulting in more than 100 fold increase of the resistance after only 100 stretching/relaxation cycles (Figure 2).</t>
  </si>
  <si>
    <t>Focused_Deployment_Rescreen_636_Final_42_20260909.xlsx | Focused exclusions!A222:O222</t>
  </si>
  <si>
    <t>REC-00632</t>
  </si>
  <si>
    <t>A superhydrophobic e-fabric based on polydopamine template-assisted MXene/MWNTs with strain sensing, EMI shielding and electrothermal performance for health management</t>
  </si>
  <si>
    <t>10.1016/j.jallcom.2024.174514</t>
  </si>
  <si>
    <t>ScienceDirect full text: strain-sensing results in Figure 5 and finger experiments in Figure 8</t>
  </si>
  <si>
    <t>The MXene/MWNT-coated nonwoven e-fabric was adhered to a finger and produced angle-dependent resistance signals in air and several liquids. It reports a 0-100% working range, gauge factors up to 123.3, a 0.2% detection limit, 60 ms response, and 5000-cycle stability.</t>
  </si>
  <si>
    <t>Focused_Deployment_Rescreen_636_Final_42_20260909.xlsx | Focused exclusions!A223:O223</t>
  </si>
  <si>
    <t>REC-00641</t>
  </si>
  <si>
    <t>Auxetic Foam-Based Contact-Mode Triboelectric Nanogenerator with Highly Sensitive Self-Powered Strain Sensing Capabilities to Monitor Human Body Movement</t>
  </si>
  <si>
    <t>10.1002/adfm.201606695</t>
  </si>
  <si>
    <t>C1-C6 were identified in the full text. Textile evidence: Abstract The first contact-mode triboelectric self-powered strain sensor using an auxetic polyurethane foam, conductive fabric, and polytetrafluroethylene (PTFE) is fabricated. Human evidence: Figure 5–c shows the auxetic triboelectric strain sensor and its output voltage due to bending a finger, flexing the elbow, and flexing the knee. Quantitative evidence: The output performances of the device, open-circuit voltage (Voc), transferred charge density, (σtr), and short-circuit current (Isc) were investigated by stretching the PU foam to different strains (10%, 20%, 30%, 40%) under the same frequency (1 Hz), shown in Figure 3–c.</t>
  </si>
  <si>
    <t>Focused_Deployment_Rescreen_636_Final_42_20260909.xlsx | Focused exclusions!A224:O224</t>
  </si>
  <si>
    <t>REC-00643</t>
  </si>
  <si>
    <t>Highly stretchable strain sensor with tunable sensitivity via polydopamine template-assisted dual-mode cooperative conductive network for human motion detection</t>
  </si>
  <si>
    <t>10.1016/j.matdes.2021.109780</t>
  </si>
  <si>
    <t>ScienceDirect full text: Figures 7-8 characterization and Figures 10-11 human-motion experiments</t>
  </si>
  <si>
    <t>The dual-network coating was formed on knitted PET/PU fabric and the resulting strain sensor was worn on the finger, wrist, elbow, knee, cheek, and forehead. Figures 10-11 show quantitative motion responses; the study reports a 0-240% range, gauge factors up to 549.78, and 2000 cycles.</t>
  </si>
  <si>
    <t>Focused_Deployment_Rescreen_636_Final_42_20260909.xlsx | Focused exclusions!A225:O225</t>
  </si>
  <si>
    <t>REC-00645</t>
  </si>
  <si>
    <t>MXene/TMD Nanohybrid for the Development of Smart Electronic Textiles Based on Physical Electromechanical Sensors</t>
  </si>
  <si>
    <t>10.1002/admi.202101687</t>
  </si>
  <si>
    <t>C1-C6 were identified in the full text. Textile evidence: However, the advancements in nanotechnology and smart materials lead to E-textiles which can be utilized for human motion detection in a noninvasive approach.[3] Further, wireless integration of the fabricated wearable E-textile-based sensor also helps avoid the usage of extra cables wired around th Human evidence: Further, the app was used to count the number of steps of the volunteer during the walking and running patterns which is depicted below. Quantitative evidence: demonstrated gait detection and fluid flow monitoring using Ti3C2Tx/MoS2xSe2(1−x) based piezoresistive sensor, which exhibited enhanced pressure sensitivity and gauge factor of 13.43 kPa–1 (1.477–3.185 kPa) and 3.51 (5–25%), respectively.[34] In the present study, we deposited Ti3C2Tx/SnSe2 thin-fil</t>
  </si>
  <si>
    <t>Focused_Deployment_Rescreen_636_Final_42_20260909.xlsx | Focused exclusions!A226:O226</t>
  </si>
  <si>
    <t>REC-00652</t>
  </si>
  <si>
    <t>Solution-Processed Sensing Textiles with Adjustable Sensitivity and Linear Detection Range Enabled by Twisting Structure</t>
  </si>
  <si>
    <t>10.1021/acsami.0c00564</t>
  </si>
  <si>
    <t>C1-C6 were identified in the full text. Textile evidence: Because of their designable twisting pattern and tunable performance, PPTSs can be facilely integrated in clothing for tremendous potential sensing applications as wearable devices (Figure 5). Human evidence: As PPT has a core–sheath structure, the resistance variation under tension can be attributed to two aspects: microcracks generated on the PPy/PVA conductive sheath (Figure 4–e) and contact resistance change between the twisting subunits (Figure 4). Quantitative evidence: According to Figure S7, the corresponding gauge factors (GFs), defined as (R – R0)/(R0ε), which is the representative parameter to assess sensitivity, were calculated to be 3.8 (R2 &gt; 0.998) within the workable strain range of 200% for M1, 5.9 (R2 &gt; 0.992) within 125% for M2, and 38.9 (R2 &gt; 0.992) wi</t>
  </si>
  <si>
    <t>Focused_Deployment_Rescreen_636_Final_42_20260909.xlsx | Focused exclusions!A227:O227</t>
  </si>
  <si>
    <t>REC-00653</t>
  </si>
  <si>
    <t>Facile fabrication of stretchable and multifunctional thermoelectric composite fabrics with strain-enhanced self-powered sensing performance</t>
  </si>
  <si>
    <t>10.1016/j.coco.2022.101275</t>
  </si>
  <si>
    <t>ScienceDirect full text: strain characterization in Figure 4 and worn wristband experiment in Figure 5</t>
  </si>
  <si>
    <t>The CNT/PVP thermoelectric coating was applied to spandex knitted fabric, and the self-powered strain sensor was integrated into an athlete's wristband. Figure 5 reports thermovoltage responses during repeated and graded wrist bending; Figure 4 provides quantitative strain-resistance behavior and 1000-cycle stability.</t>
  </si>
  <si>
    <t>Focused_Deployment_Rescreen_636_Final_42_20260909.xlsx | Focused exclusions!A228:O228</t>
  </si>
  <si>
    <t>REC-00654</t>
  </si>
  <si>
    <t>Enhancing the Linearity and Stability of a Fabric-Based Strain Sensor with Microfolded Graphene Structures</t>
  </si>
  <si>
    <t>10.3390/app10186230</t>
  </si>
  <si>
    <t>C1-C6 were identified in the full text. Textile evidence: After pretreating the nylon spandex fabric by alternate sonications in ethanol and deionized water, the conductive fabric was fabricated through three dip-coating steps which are schematically shown in Figure 1. Human evidence: The measured data relating the relative change in resistance to strain is shown in Figure 3, where Δ𝑅 𝛥 𝑅 and 𝑅 0 𝑅 0 are the resistance change and the initial resistance, respectively. Quantitative evidence: Ten stretching-releasing cycles were exerted on the fabric-based MWCNTs/rGO/rGO strain sensor, and the measured relative change in resistance is presented in Figure 5.</t>
  </si>
  <si>
    <t>Focused_Deployment_Rescreen_636_Final_42_20260909.xlsx | Focused exclusions!A229:O229</t>
  </si>
  <si>
    <t>REC-00658</t>
  </si>
  <si>
    <t>Bio-inspired adhesion enhanced MXene-decorated fabric for strain sensing performance in human fitness exercise monitoring</t>
  </si>
  <si>
    <t>10.1016/j.porgcoat.2026.110315</t>
  </si>
  <si>
    <t>ScienceDirect full text: Section 3.5 and Figures 5-6 fitness-exercise experiments</t>
  </si>
  <si>
    <t>The MXene adhesive composite was coated on a super-elastic fabric and attached to finger, wrist, elbow, forearm, and chest locations. Figures 5-6 report angle- and muscle-contraction-dependent relative-resistance signals; the sensor also reports a 0-150% range, 2% detection limit, 120/180 ms response/recovery, and 2000 cycles.</t>
  </si>
  <si>
    <t>Focused_Deployment_Rescreen_636_Final_42_20260909.xlsx | Focused exclusions!A230:O230</t>
  </si>
  <si>
    <t>REC-00661</t>
  </si>
  <si>
    <t>Highly stretchable and sensitive strain sensors based on single-walled carbon nanotube-coated nylon textile</t>
  </si>
  <si>
    <t>10.1007/s11814-019-0246-6</t>
  </si>
  <si>
    <t>Full text: Abstract, sensing results, Figure 4, and Conclusion</t>
  </si>
  <si>
    <t>The SWNT/nylon textile sensor was attached to a glove and sewn into commercial leggings, producing quantitative signals during finger bending, knee bending, and treadmill walking. It was characterized to 100% strain, with gauge factor about 72 and 1000-cycle durability.</t>
  </si>
  <si>
    <t>Focused_Deployment_Rescreen_636_Final_42_20260909.xlsx | Focused exclusions!A231:O231</t>
  </si>
  <si>
    <t>REC-00668</t>
  </si>
  <si>
    <t>Flexible Ti3C2Tx MXene/ink human wearable strain sensors with high sensitivity and a wide sensing range</t>
  </si>
  <si>
    <t>10.1016/j.sna.2020.112304</t>
  </si>
  <si>
    <t>ScienceDirect full text: strain characterization and Figure 13 human demonstrations</t>
  </si>
  <si>
    <t>The MXene/ink sensing layer was spray-coated onto nylon fabric and attached to the body for finger-joint, arm, and physiological monitoring. Figure 13 presents quantitative resistance signals; the study reports gauge factors of 27.2 and 170.9 over specified intervals to 29.7% strain and more than 2950 cycles.</t>
  </si>
  <si>
    <t>Focused_Deployment_Rescreen_636_Final_42_20260909.xlsx | Focused exclusions!A232:O232</t>
  </si>
  <si>
    <t>REC-00676</t>
  </si>
  <si>
    <t>Multifunctional 1D/2D silver nanowires/MXene-based fabric strain sensors for emergency rescue</t>
  </si>
  <si>
    <t>10.1088/1361-665x/ad765b</t>
  </si>
  <si>
    <t>IOPscience full text: fabric construction, strain characterization and human-monitoring section</t>
  </si>
  <si>
    <t>Ag nanowires and MXene were coated on nylon/spandex knitted fabric. The strain sensor was fixed to human body locations and quantitatively monitored pulse, heartbeat and joint motion, with gauge factors reported across a 1%-115% strain range.</t>
  </si>
  <si>
    <t>Focused_Deployment_Rescreen_636_Final_42_20260909.xlsx | Focused exclusions!A233:O233</t>
  </si>
  <si>
    <t>REC-00677</t>
  </si>
  <si>
    <t>Wearable graphene film strain sensors encapsulated with nylon fabric for human motion monitoring</t>
  </si>
  <si>
    <t>10.1016/j.sna.2019.04.038</t>
  </si>
  <si>
    <t>ScienceDirect full text: nylon-fabric encapsulation, strain characterization, and human-joint experiments</t>
  </si>
  <si>
    <t>The graphene film was encapsulated with nylon fabric and assembled at human joints for basic and sports-related motion monitoring. The study reports gauge factors of 9.78 and 47.6 over defined strain intervals, quantitative joint signals, low hysteresis, and more than 1000 finger-bending cycles.</t>
  </si>
  <si>
    <t>Focused_Deployment_Rescreen_636_Final_42_20260909.xlsx | Focused exclusions!A234:O234</t>
  </si>
  <si>
    <t>REC-00681</t>
  </si>
  <si>
    <t>Highly integrated, scalable manufacturing and stretchable conductive core/shell fibers for strain sensing and self-powered smart textiles</t>
  </si>
  <si>
    <t>10.1016/j.nanoen.2022.107240</t>
  </si>
  <si>
    <t>ScienceDirect full text: resistance-strain characterization, Figure 4 textile-deformation tests, and Figure 5 worn t-TENG experiments</t>
  </si>
  <si>
    <t>Liquid-alloy/silicone core-shell fibres were woven into ring and plain textile TENGs and worn on the finger, wrist, elbow, and foot. Figures 4-5 link textile deformation and joint angle to voltage output; the separately characterized fibre reports a 300% strain range and GF 10.8.</t>
  </si>
  <si>
    <t>Focused_Deployment_Rescreen_636_Final_42_20260909.xlsx | Focused exclusions!A235:O235</t>
  </si>
  <si>
    <t>REC-00688</t>
  </si>
  <si>
    <t>Tungsten oxysulfide nanoparticles interspersed nylon based e-textile as a low cost, wearable multifunctional platform for ultra-sensitive tactile sensing and breath sensing applications</t>
  </si>
  <si>
    <t>10.1016/j.materresbull.2022.112133</t>
  </si>
  <si>
    <t>ScienceDirect full text: Section 3.3 and Figure 5 strain and joint-motion experiments</t>
  </si>
  <si>
    <t>The tungsten-oxysulfide-coated nylon e-textile was separately evaluated under tensile, compressive, and angular strain and attached to the finger, wrist, elbow, neck, and knee for gesture monitoring. Figure 5 reports quantitative current responses; the strain channel reports GF 24.2 and repeated-cycle stability.</t>
  </si>
  <si>
    <t>Focused_Deployment_Rescreen_636_Final_42_20260909.xlsx | Focused exclusions!A236:O236</t>
  </si>
  <si>
    <t>REC-00694</t>
  </si>
  <si>
    <t>Dip-coated stretchable fabric strain sensor using a SEBS/TPU/CNC@carbon black composite</t>
  </si>
  <si>
    <t>10.1016/j.snr.2026.100466</t>
  </si>
  <si>
    <t>ScienceDirect full text: Figure 6 strain characterization and Figure 7 human-joint experiments</t>
  </si>
  <si>
    <t>The SEBS/TPU/CNC@carbon-black composite was dip-coated onto knitted elastic fabric and attached near finger, wrist, and knee joints. Figure 7 reports angle-dependent resistance signals; Figure 6 reports three gauge-factor regimes to 100% strain, response/recovery times, and 1000 cycles at 50% strain.</t>
  </si>
  <si>
    <t>Focused_Deployment_Rescreen_636_Final_42_20260909.xlsx | Focused exclusions!A237:O237</t>
  </si>
  <si>
    <t>REC-00697</t>
  </si>
  <si>
    <t>Highly stretchable and durable fibrous strain sensor with growth ring-like spiral structure for wearable electronics</t>
  </si>
  <si>
    <t>10.1016/j.compositesb.2021.109275</t>
  </si>
  <si>
    <t>ScienceDirect full text: strain characterization, Figure 6 joint tests, and Figure 7 cotton-glove demonstration</t>
  </si>
  <si>
    <t>The spiral AgNW/PDMS fibrous sensor was sewn into a cotton glove and produced graded resistance outputs during finger bending. It was also attached at neck, wrist, elbow, and knee locations; quantitative characterization reports a 100% range, GF 3.0, negligible hysteresis, and repeated-cycle stability.</t>
  </si>
  <si>
    <t>Focused_Deployment_Rescreen_636_Final_42_20260909.xlsx | Focused exclusions!A238:O238</t>
  </si>
  <si>
    <t>REC-00705</t>
  </si>
  <si>
    <t>Dual-Elastomeric Coated Multifunctional Textile Armor with Cutting-Fire Protection and Strain Sensing</t>
  </si>
  <si>
    <t>10.1021/acsaenm.6c00177</t>
  </si>
  <si>
    <t>C1-C6 were identified in the full text. Textile evidence: (29,30) Particularly, textile systems that simultaneously integrate sensing, flame retardancy, and mechanical protection have started to emerge, highlighting the rapid development of highly integrated smart protective textiles. Human evidence: The distinct, repeatable signal profiles for each joint movement, coupled with stable performance in cycle tests, validate its robust dynamic response. Quantitative evidence: Under a 10% strain, the armor exhibited a rapid dynamic response with response and recovery times of approximately 0.76 and 0.95 s, respectively (Figure 4).</t>
  </si>
  <si>
    <t>Focused_Deployment_Rescreen_636_Final_42_20260909.xlsx | Focused exclusions!A239:O239</t>
  </si>
  <si>
    <t>REC-00721</t>
  </si>
  <si>
    <t>Wearable suit for comfortable long-term human motion tracking using low-hysteresis embroidered stretch sensors</t>
  </si>
  <si>
    <t>10.1007/s12206-025-1128-y</t>
  </si>
  <si>
    <t>An embroidered-sensor athletic suit simultaneously measured hip and knee angles and muscle activity during walking and running.</t>
  </si>
  <si>
    <t>Focused_Deployment_Rescreen_636_Final_42_20260909.xlsx | Focused exclusions!A240:O240</t>
  </si>
  <si>
    <t>REC-00726</t>
  </si>
  <si>
    <t>Synergistically coupled double conductive coating-based electronic textiles with superhydrophobic and high-performance strain sensing properties for underwater human motion sensing applications</t>
  </si>
  <si>
    <t>10.1016/j.cej.2023.144284</t>
  </si>
  <si>
    <t>ScienceDirect full text: Section 3.5 and Figures 6-7 human-motion experiments</t>
  </si>
  <si>
    <t>The double-coated nylon/spandex textile was worn on the wrist, finger, elbow, neck, knee, muscles, chest, throat, and pulse site and was also tested underwater. Figures 6-7 provide angle- and activity-dependent resistance outputs; the sensor reports a 200% range, GF up to 2.5 x 10^5, and a 0.2% detection limit.</t>
  </si>
  <si>
    <t>Focused_Deployment_Rescreen_636_Final_42_20260909.xlsx | Focused exclusions!A241:O241</t>
  </si>
  <si>
    <t>REC-00728</t>
  </si>
  <si>
    <t>Deep Learning-Based Mapping of Textile Stretch Sensors to Surface Electromyography Signals: Multilayer Perceptron, Convolutional Neural Network, and Residual Network Models</t>
  </si>
  <si>
    <t>10.3390/pr13030601</t>
  </si>
  <si>
    <t>C1-C6 were identified in the full text. Textile evidence: Fabrication of Textile Stretch Sensors and Application to Arm Sleeve In this study, stretch sensors were fabricated by coating non-conductive polyester elastane (PET/Elastane) fabric with single-walled carbon nanotubes (SWCNTs), thereby converting it into a conductive fabric. Human evidence: To monitor volume changes during muscle contractions and relaxations, textile stretch sensors were attached to the corresponding muscle regions on an elastic arm sleeve (PA 92%/elastane 8%; Model ADSL-13023, Adidas AG, Herzogenaurach, Germany). Quantitative evidence: R M S E = 1 𝑁 ∑ 𝑖 = 1 𝑁 ( 𝑦 𝑡 𝑎 𝑟 𝑔 𝑒 𝑡 , 𝑖 − 𝑦 𝑝 𝑟 𝑒 𝑑 𝑖 𝑐 𝑡 𝑒 𝑑 , 𝑖 ) 2 (2) Figure 9 illustrates how the RMSE of the training and validation datasets changes with increasing epochs for the MLP, CNN, and ResNet models.</t>
  </si>
  <si>
    <t>Focused_Deployment_Rescreen_636_Final_42_20260909.xlsx | Focused exclusions!A242:O242</t>
  </si>
  <si>
    <t>REC-00734</t>
  </si>
  <si>
    <t>Flame-retardant bimodal wrinkled strain sensor for deep learning-assisted gesture recognition and human-machine interaction</t>
  </si>
  <si>
    <t>10.1016/j.jechem.2026.05.020</t>
  </si>
  <si>
    <t>ScienceDirect full text: participant statement and Section 3.5/Figure 6 glove-based gesture study</t>
  </si>
  <si>
    <t>The fibrous-membrane strain sensors were mounted on a commercial glove and evaluated by five healthy participants, each performing five gestures 20 times. Figure 6 reports the electrical signals and cross-subject results; the sensor reports GF 4851.23, a 0-190% range, and 10000-cycle stability.</t>
  </si>
  <si>
    <t>Focused_Deployment_Rescreen_636_Final_42_20260909.xlsx | Focused exclusions!A243:O243</t>
  </si>
  <si>
    <t>REC-00736</t>
  </si>
  <si>
    <t>Scalable topological-entanglement conductive coaxial fibers with superior durability for wearable strain sensing and triboelectric fabric</t>
  </si>
  <si>
    <t>10.1016/j.jmst.2024.12.096</t>
  </si>
  <si>
    <t>ScienceDirect full text: Figure 3 strain characterization and Figure 5 wearable demonstrations</t>
  </si>
  <si>
    <t>The conductive coaxial fibre was incorporated into fabric for finger and wrist sensing and into a face mask for respiratory monitoring. The study reports quantitative resistance outputs, a strain range to 398.3%, gauge factor 6713, response time of 248 ms, and cyclic durability.</t>
  </si>
  <si>
    <t>Focused_Deployment_Rescreen_636_Final_42_20260909.xlsx | Focused exclusions!A244:O244</t>
  </si>
  <si>
    <t>REC-00745</t>
  </si>
  <si>
    <t>3D silver fractal dendrite-enhanced fabric sensors with consistent negative resistance responses under strain and pressure</t>
  </si>
  <si>
    <t>10.1016/j.surfin.2025.108299</t>
  </si>
  <si>
    <t>ScienceDirect full text: Section 3.3 and Figure 5 on-body motion experiments</t>
  </si>
  <si>
    <t>The silver-dendrite-enhanced knitted fabric was evaluated as a strain sensor on the wrist, elbow, and knee during indoor and outdoor activity while mounted on protective gear. The study reports quantitative resistance signals, gauge factor -2.31, response/recovery performance, and 5000 strain cycles.</t>
  </si>
  <si>
    <t>Focused_Deployment_Rescreen_636_Final_42_20260909.xlsx | Focused exclusions!A245:O245</t>
  </si>
  <si>
    <t>REC-00751</t>
  </si>
  <si>
    <t>MXene-based thermoelectric fabric integrated with temperature and strain sensing for health monitoring</t>
  </si>
  <si>
    <t>10.1016/j.jmst.2024.06.011</t>
  </si>
  <si>
    <t>ScienceDirect full text: Section 3.5 and Figure 7 body-motion experiments</t>
  </si>
  <si>
    <t>The MXene-based thermoelectric fabric was used as a strain sensor on the throat, arm, elbow, finger, and wrist. Figure 7 reports deformation-related relative-resistance signals; strain characterization includes a 60 ms response and 3200-cycle durability.</t>
  </si>
  <si>
    <t>Focused_Deployment_Rescreen_636_Final_42_20260909.xlsx | Focused exclusions!A246:O246</t>
  </si>
  <si>
    <t>REC-00752</t>
  </si>
  <si>
    <t>A Wearable Flexible Tactile Sensor with Textile Microstructure for Wirelessly Recognizing Human Activity</t>
  </si>
  <si>
    <t>10.1002/adsr.202200051</t>
  </si>
  <si>
    <t>C1-C6 were identified in the full text. Textile evidence: The polyester fibers are woven to form a clothlike, flexible sensitive layer with textile microstructure, where the diameter of a single textile line is ≈16.4 µm (Figure 2,f), and is critical for obtaining optimal electrical and mechanical properties of the device. Human evidence: Attach the flexible sensor to the back of the finger joint, as shown in Figure 5 and Figure S9 (Supporting Information), to test the degree of finger curvature in real time. Quantitative evidence: R′ is also measured during stretching to ε = 5% at frequencies fS = 0.5, 0.1, 0.25, and 0.05 Hz (Figure 3 and Figure S7, Supporting Information).</t>
  </si>
  <si>
    <t>Focused_Deployment_Rescreen_636_Final_42_20260909.xlsx | Focused exclusions!A247:O247</t>
  </si>
  <si>
    <t>REC-00755</t>
  </si>
  <si>
    <t>A facile method combined with electroless nickel plating and carbonization to fabricate textured Ni-coated carbon tube for flexible strain sensor</t>
  </si>
  <si>
    <t>10.1016/j.colsurfa.2022.128729</t>
  </si>
  <si>
    <t>ScienceDirect full text: Section 3 and Figures 4-7 wearable demonstrations</t>
  </si>
  <si>
    <t>A woven cotton-derived core-sheath sensor was fixed at the elbow, wrist and finger and used for vocal-cord and facial motion detection. Quantitative resistance signals, gauge factor 359 and 9000-cycle testing were reported.</t>
  </si>
  <si>
    <t>Focused_Deployment_Rescreen_636_Final_42_20260909.xlsx | Focused exclusions!A248:O248</t>
  </si>
  <si>
    <t>REC-00777</t>
  </si>
  <si>
    <t>A sensitive and flexible sensor enhanced by constructing graphene-based polyaniline conductive networks</t>
  </si>
  <si>
    <t>10.1016/j.sna.2021.112862</t>
  </si>
  <si>
    <t>ScienceDirect full text: Sections 3.4-3.5 and Figure 10 human-motion experiments</t>
  </si>
  <si>
    <t>The RGO/PANI sensing network was fabricated on warp-knitted polyester-spandex fabric and applied to a tester's finger and wrist. Figure 10 reports resistance changes for finger bending at 45 and 90 degrees and for wrist movements; characterization reports a 0-100% working strain range and 500 cycles at 50% strain.</t>
  </si>
  <si>
    <t>Focused_Deployment_Rescreen_636_Final_42_20260909.xlsx | Focused exclusions!A249:O249</t>
  </si>
  <si>
    <t>REC-00779</t>
  </si>
  <si>
    <t>Ultrasensitive textile strain sensors redefine wearable silent speech interfaces with high machine learning efficiency</t>
  </si>
  <si>
    <t>10.1038/s41528-024-00315-1</t>
  </si>
  <si>
    <t>C1-C6 were identified in the full text. Textile evidence: We demonstrate its application in a biocompatible textile-integrated ultrasensitive strain sensor embedded into a smart choker, which conforms to the user’s throat. Human evidence: Figure 3 shows a typical signal pattern during speech recognition using our smart choker. Quantitative evidence: Figure 2 displays the stable stretching-releasing responses under 1%, 1.5%, 2%, 3%, 4%, and 5% strain, and the relative resistance increases linearly with strain (≤5%), showing the high reliability of the sensor within a small strain range.</t>
  </si>
  <si>
    <t>Focused_Deployment_Rescreen_636_Final_42_20260909.xlsx | Focused exclusions!A250:O250</t>
  </si>
  <si>
    <t>REC-00780</t>
  </si>
  <si>
    <t>Multifunctional hydrophobic fabric-based strain sensor for human motion detection and personal thermal management</t>
  </si>
  <si>
    <t>10.1016/j.jmst.2022.08.010</t>
  </si>
  <si>
    <t>ScienceDirect full text: Section 3.2 and Figure 5 wearable and underwater motion experiments</t>
  </si>
  <si>
    <t>The hydrophobic conductive fabric sensor was used for swallowing and pronunciation monitoring and attached to a finger for angle-dependent bending from 0 to 90 degrees, including an underwater test. Figure 5 reports quantitative resistance responses, while durability testing reports 10000 stretch-release cycles at 5% strain.</t>
  </si>
  <si>
    <t>Focused_Deployment_Rescreen_636_Final_42_20260909.xlsx | Focused exclusions!A251:O251</t>
  </si>
  <si>
    <t>REC-00781</t>
  </si>
  <si>
    <t>Mechanically durable superhydrophobic textile-based strain sensor based on synergistically coupled dual conductive networks for long-term underwater motion monitoring</t>
  </si>
  <si>
    <t>10.1016/j.cej.2024.158955</t>
  </si>
  <si>
    <t>ScienceDirect full text: Sections 3.3 and 3.5 and Figures 6-8 human-motion experiments</t>
  </si>
  <si>
    <t>The dual-network nylon-textile sensor was attached to the finger, wrist, elbow, knee, forearm, chest, and larynx and tested under normal, rainy, and underwater conditions. A volunteer's knee test reports angle- and activity-dependent relative-resistance signals; the sensor reports a 0-200% range, gauge factors from 1.6 to 3.7, and 5000 cycles at 50% strain.</t>
  </si>
  <si>
    <t>Focused_Deployment_Rescreen_636_Final_42_20260909.xlsx | Focused exclusions!A252:O252</t>
  </si>
  <si>
    <t>REC-00783</t>
  </si>
  <si>
    <t>Simultaneous enhancement of sensitivity and linearity in graphene woven fabric-based strain sensors via heterogeneous substrate engineering</t>
  </si>
  <si>
    <t>10.1016/j.cej.2026.176732</t>
  </si>
  <si>
    <t>ScienceDirect full text: Section 3.4 and Figure 5 on-body and sport-motion demonstrations</t>
  </si>
  <si>
    <t>The graphene woven-fabric/heterogeneous-TPU strain sensor was attached to the cheek, throat, forehead, finger, wrist, Achilles region, and knee region during human-motion and land-surfing demonstrations. Figure 5 reports quantitative resistance outputs; the optimized sensor reports gauge factor 97.1, a 20.5% linear strain range, and stability over 6000 cycles.</t>
  </si>
  <si>
    <t>Focused_Deployment_Rescreen_636_Final_42_20260909.xlsx | Focused exclusions!A253:O253</t>
  </si>
  <si>
    <t>REC-00784</t>
  </si>
  <si>
    <t>High-strength antifreezing flexible conductive polyvinyl alcohol hydrogel sensors co-reinforced with silk porous mesh fabric and silk nanofibers</t>
  </si>
  <si>
    <t>10.1002/pol.20240494</t>
  </si>
  <si>
    <t>C1-C6 were identified in the full text. Textile evidence: The silk fabric served as the foundational material that was evenly coated with the conductive hydrogel to produce the PVA-PEDOT:PSS-PCSNF hydrogel fabric. Human evidence: A sensor was fixed on the volunteer's finger that was bent at different angles (30°, 60°, 90°), and the measurements for each angle were performed five times. Quantitative evidence: As illustrated in Figure 6, the cryo-treated PVA-PEDOT:PSS-PCSNF hydrogel fabric demonstrated the capability to illuminate the LEDs in the circuit, with no discernible alteration in bulb brightness even after three freezing cycles.</t>
  </si>
  <si>
    <t>Focused_Deployment_Rescreen_636_Final_42_20260909.xlsx | Focused exclusions!A254:O254</t>
  </si>
  <si>
    <t>REC-00790</t>
  </si>
  <si>
    <t>Fabrication of stretchable PEDOT:PSS coated cotton fabric via LBL electrostatic self-assembly and its UV protection and sensing properties</t>
  </si>
  <si>
    <t>10.1007/s10570-022-04431-x</t>
  </si>
  <si>
    <t>The cotton fabric sensor was tested on a 28-year-old participant and sewn to a glove, with quantitative finger and knee bending responses.</t>
  </si>
  <si>
    <t>Focused_Deployment_Rescreen_636_Final_42_20260909.xlsx | Focused exclusions!A255:O255</t>
  </si>
  <si>
    <t>REC-00791</t>
  </si>
  <si>
    <t>Development of WS2/MXene (Ti3C2T x ) nanohybrid based multi-functional textronic sensor for non-invasive personal healthcare monitoring</t>
  </si>
  <si>
    <t>10.1088/2058-8585/acad8b</t>
  </si>
  <si>
    <t>IOPscience full text: textile fabrication, strain-sensor characterization and human application</t>
  </si>
  <si>
    <t>The WS2/MXene material was deposited on cotton textile and its strain channel was separately characterized with a reported gauge factor. The strain sensor was attached to a subject's lower eyelid/cheekbone and produced deformation-related signals during facial expressions.</t>
  </si>
  <si>
    <t>Focused_Deployment_Rescreen_636_Final_42_20260909.xlsx | Focused exclusions!A256:O256</t>
  </si>
  <si>
    <t>REC-00793</t>
  </si>
  <si>
    <t>Highly Durable and Stretchable Ti3C2Tx/PPy-Fabric-Based Strain Sensor for Human-Motion Detection</t>
  </si>
  <si>
    <t>10.1002/admt.202100675</t>
  </si>
  <si>
    <t>C1-C6 were identified in the full text. Textile evidence: Highly Durable and Stretchable Ti3C2Tx/PPy-Fabric-Based Strain Sensor for Human-Motion Detection Human evidence: In Figure 6, the index finger bent at different angles, which increases from 0° to 90° and then decreases to 0°. Quantitative evidence: The cyclic stretching–release curves of ΔR/R0 and stress with strain range of 0–50% are plotted in Figure 5,b.</t>
  </si>
  <si>
    <t>Focused_Deployment_Rescreen_636_Final_42_20260909.xlsx | Focused exclusions!A257:O257</t>
  </si>
  <si>
    <t>REC-00797</t>
  </si>
  <si>
    <t>Rapid-Response, Widely Stretchable Sensor of Aligned MWCNT/Elastomer Composites for Human Motion Detection</t>
  </si>
  <si>
    <t>10.1021/acssensors.6b00145</t>
  </si>
  <si>
    <t>C1-C6 were identified in the full text. Textile evidence: As indicated in Figure 5 and b, the CNT strain sensors were incorporated into the prototype sleeve in two directions: the elongation/contraction direction centered on the cubital joint and the circumferential direction of the antebrachial region. Human evidence: As indicated in Figure 5 and b, the CNT strain sensors were incorporated into the prototype sleeve in two directions: the elongation/contraction direction centered on the cubital joint and the circumferential direction of the antebrachial region. Quantitative evidence: As shown in Figure 3, the delay in the resistance variation was observed to be no longer than 15 ms, corresponding to approximately half of a 29-Hz cycle (dynamic measurement movie: see Supporting Information Movie_S1).</t>
  </si>
  <si>
    <t>Focused_Deployment_Rescreen_636_Final_42_20260909.xlsx | Focused exclusions!A258:O258</t>
  </si>
  <si>
    <t>REC-00801</t>
  </si>
  <si>
    <t>A highly sensitive, superhydrophobic fabric strain sensor based on polydopamine template-assisted synergetic conductive network</t>
  </si>
  <si>
    <t>10.1016/j.apsusc.2023.156535</t>
  </si>
  <si>
    <t>ScienceDirect full text: Sections 3.3-3.4 and Figure 7 underwater finger-motion experiments</t>
  </si>
  <si>
    <t>The superhydrophobic nonwoven-fabric strain sensor was fixed to a finger and evaluated during bending from 0 to 90 degrees underwater and in acidic, alkaline, and salt solutions. Figure 7 reports motion-correlated resistance signals; characterization reports a 120% range, gauge factor up to 527.1, and 4000 stretch-release cycles.</t>
  </si>
  <si>
    <t>Focused_Deployment_Rescreen_636_Final_42_20260909.xlsx | Focused exclusions!A259:O259</t>
  </si>
  <si>
    <t>REC-00807</t>
  </si>
  <si>
    <t>Bio-inspired flexible versatile textiles for excellent absorption-dominated electromagnetic interference shielding, thermal management, and strain sensing</t>
  </si>
  <si>
    <t>10.1016/j.cej.2023.147116</t>
  </si>
  <si>
    <t>ScienceDirect full text: Section 3.4 and Figure 5</t>
  </si>
  <si>
    <t>The conductive textile was attached to the finger, wrist, knee and throat. Figure 5 reports motion-correlated signals at different joint angles, and the paper reports 1050-cycle testing.</t>
  </si>
  <si>
    <t>Focused_Deployment_Rescreen_636_Final_42_20260909.xlsx | Focused exclusions!A260:O260</t>
  </si>
  <si>
    <t>REC-00809</t>
  </si>
  <si>
    <t>Multifunctional wearable smart device based on conductive reduced graphene oxide/polyester fabric</t>
  </si>
  <si>
    <t>10.1016/j.apsusc.2018.05.127</t>
  </si>
  <si>
    <t>ScienceDirect full text: Section 3.3 and Figure 6</t>
  </si>
  <si>
    <t>An rGO/polyester fabric sensor was mounted on a human wrist and produced quantitative resistance responses during bending.</t>
  </si>
  <si>
    <t>Focused_Deployment_Rescreen_636_Final_42_20260909.xlsx | Focused exclusions!A261:O261</t>
  </si>
  <si>
    <t>REC-00817</t>
  </si>
  <si>
    <t>Design of a multifunctional wearable fabric with a composite coating for waterproof and strain sensing functions</t>
  </si>
  <si>
    <t>10.1016/j.colsurfa.2026.141550</t>
  </si>
  <si>
    <t>ScienceDirect full text: Sections 3.3-3.4 and Figure S7</t>
  </si>
  <si>
    <t>The coated fabric sensor was attached to a finger, distinguished bending to 60 degrees and retained repeatable strain response during nearly 100 underwater cycles.</t>
  </si>
  <si>
    <t>Focused_Deployment_Rescreen_636_Final_42_20260909.xlsx | Focused exclusions!A262:O262</t>
  </si>
  <si>
    <t>REC-00827</t>
  </si>
  <si>
    <t>A wearable strain sensor based on carbon derived from linen fabrics</t>
  </si>
  <si>
    <t>10.1016/s1872-5805(20)60505-4</t>
  </si>
  <si>
    <t>Journal-hosted full-text PDF: pages 528-529, Figures 5-6</t>
  </si>
  <si>
    <t>The Ag-nanowire/graphene/linen-derived carbon sensor was fixed to the wrist, elbow and knee. Figure 6 reports repeated joint-motion resistance traces; Figure 5 reports gauge factors 11.2, 36.8 and 74.5 and 1000 cycles at 60% strain.</t>
  </si>
  <si>
    <t>Focused_Deployment_Rescreen_636_Final_42_20260909.xlsx | Focused exclusions!A263:O263</t>
  </si>
  <si>
    <t>REC-00829</t>
  </si>
  <si>
    <t>Interlocking integration of elastic strain sensor yarn enables smart and distributed sensing in healthcare clothing</t>
  </si>
  <si>
    <t>10.1007/s40843-025-3372-6</t>
  </si>
  <si>
    <t>Full text: Abstract, Figures 3-5, and wearable-healthcare results</t>
  </si>
  <si>
    <t>Strain-sensor yarns were integrated into a respiratory belt and into commercial tights at the elbow, waist, and knee. Worn measurements were used for respiratory/COPD assessment and Parkinsonian-movement classification; the paper reports gauge factor 414, comparison with a commercial spirometer, and 96.67% classification accuracy.</t>
  </si>
  <si>
    <t>Focused_Deployment_Rescreen_636_Final_42_20260909.xlsx | Focused exclusions!A264:O264</t>
  </si>
  <si>
    <t>REC-00833</t>
  </si>
  <si>
    <t>Vertical graphene-decorate d carbon nanofib ers establishing robust conductive networks for fib er-base d stretchable strain sensors</t>
  </si>
  <si>
    <t>10.1016/j.jmst.2024.01.090</t>
  </si>
  <si>
    <t>ScienceDirect full text: Sections 2.3-2.4 and Figures 3-5</t>
  </si>
  <si>
    <t>Coated spandex fibers were assembled into a textile and integrated into leggings. Knee-angle and repeated-squat resistance responses and 2000-cycle durability were reported.</t>
  </si>
  <si>
    <t>Focused_Deployment_Rescreen_636_Final_42_20260909.xlsx | Focused exclusions!A265:O265</t>
  </si>
  <si>
    <t>REC-00835</t>
  </si>
  <si>
    <t>One-step assembly of conductive coatings from polyphenol and Nanocarbon-PIL: A versatile approach for fabricating multifunctional sensors</t>
  </si>
  <si>
    <t>10.1016/j.compscitech.2025.111083</t>
  </si>
  <si>
    <t>ScienceDirect full text: Sections 3.3-3.4 and Figures 5-6</t>
  </si>
  <si>
    <t>The PTFA@CB conductive fabric was mounted on wrists, knees, elbows and fingers. Resistance responses distinguished joint angles and repeated elbow movements.</t>
  </si>
  <si>
    <t>Focused_Deployment_Rescreen_636_Final_42_20260909.xlsx | Focused exclusions!A266:O266</t>
  </si>
  <si>
    <t>REC-00836</t>
  </si>
  <si>
    <t>A Single-material-printed, Low-cost design for a Carbon-based fabric strain sensor</t>
  </si>
  <si>
    <t>10.1016/j.matdes.2022.110926</t>
  </si>
  <si>
    <t>ScienceDirect full text: Section 3.4, body-movement monitoring</t>
  </si>
  <si>
    <t>The printed fabric strain sensor was tested on wrist, elbow, facial and throat movements with quantitative resistance signals. The article reports a 0-60% working range and more than 50000 cycles.</t>
  </si>
  <si>
    <t>Focused_Deployment_Rescreen_636_Final_42_20260909.xlsx | Focused exclusions!A267:O267</t>
  </si>
  <si>
    <t>REC-00837</t>
  </si>
  <si>
    <t>Superior sensitive, high-tensile flexible fabric film strain sensor</t>
  </si>
  <si>
    <t>10.1016/j.compositesa.2023.107610</t>
  </si>
  <si>
    <t>ScienceDirect full text: Sections 2.3-2.4 and 3.4, Figure 4</t>
  </si>
  <si>
    <t>The substrate was an electrospun TPU fabric film coated with carbon black and embedded silver nanowires. The sensor was attached to the hand and human joints and produced quantitative signals; gauge factor exceeded 16000 and durability exceeded 10000 cycles.</t>
  </si>
  <si>
    <t>Focused_Deployment_Rescreen_636_Final_42_20260909.xlsx | Focused exclusions!A268:O268</t>
  </si>
  <si>
    <t>REC-00845</t>
  </si>
  <si>
    <t>Fabric-Based Strain Sensor with Multidirectional Sensing Capabilities for Motion Detection and Preventing Sports Injuries</t>
  </si>
  <si>
    <t>10.1021/acsaelm.5c00971</t>
  </si>
  <si>
    <t>C1-C6 were identified in the full text. Textile evidence: Sensing mechanism of a carbon nanocomposite-printed fabric as a strain sensor. Human evidence: In Figure 6, improper postures, such as leaning forward during a lunge squat and excessive knee bending, result in the sensor being overstretched, producing current signals that deviate from normal values. Quantitative evidence: The response curves exhibit a clear correlation with the strain amplitudes, demonstrating consistent behavior across cycles at identical tensile amplitudes (Figure 4).</t>
  </si>
  <si>
    <t>Focused_Deployment_Rescreen_636_Final_42_20260909.xlsx | Focused exclusions!A269:O269</t>
  </si>
  <si>
    <t>REC-00846</t>
  </si>
  <si>
    <t>Subject-adaptive Loose-fitting Smart Garment Platform for Human Activity Recognition</t>
  </si>
  <si>
    <t>10.1145/3584986</t>
  </si>
  <si>
    <t>C1-C6 were identified in the full text. Textile evidence: 2 Related Work 2.1 Smart Garment System Integrated smart garment system has been developed mostly for posture recognition and relevant applications. Human evidence: To this end, the smart garment system considers the following two scenarios: • Subject-dependent: A separate posture detector is trained based on data from each subject. Quantitative evidence: designed a smart garment system based on piezo-resistive strain sensors, which produced 97% subject-dependent accuracy in recognizing upper body postures [27].</t>
  </si>
  <si>
    <t>Focused_Deployment_Rescreen_636_Final_42_20260909.xlsx | Focused exclusions!A270:O270</t>
  </si>
  <si>
    <t>REC-00848</t>
  </si>
  <si>
    <t>Wearable strain sensor and flexible direct-current nanogenerator made by medical mask wastes and PEDOT:PSS-based conductive inks</t>
  </si>
  <si>
    <t>10.1016/j.susmat.2025.e01400</t>
  </si>
  <si>
    <t>ScienceDirect full text: Section 2.2 and Figures 2-3</t>
  </si>
  <si>
    <t>A PEDOT:PSS sensor was fabricated on polypropylene nonwoven material recovered from a medical mask and bent around the finger and knee. Quantitative resistance output, GF 3.5 and 1500-cycle testing were reported.</t>
  </si>
  <si>
    <t>Focused_Deployment_Rescreen_636_Final_42_20260909.xlsx | Focused exclusions!A271:O271</t>
  </si>
  <si>
    <t>REC-00851</t>
  </si>
  <si>
    <t>Highly stretchable and strain sensitive fibers based on braid -like structure and sliver nanowires</t>
  </si>
  <si>
    <t>10.1016/j.apmt.2020.100610</t>
  </si>
  <si>
    <t>ScienceDirect full text: Sections 2.1-2.2 and wearable demonstrations</t>
  </si>
  <si>
    <t>A braided PET-yarn/elastic-core conductive fiber was used as a tensile/torsion sensor for wrist pulse, throat/phonation and forearm-motion monitoring, with GF about 65 and more than 4500 cycles.</t>
  </si>
  <si>
    <t>Focused_Deployment_Rescreen_636_Final_42_20260909.xlsx | Focused exclusions!A272:O272</t>
  </si>
  <si>
    <t>REC-00866</t>
  </si>
  <si>
    <t>Coaxial carbon nanotube/polymer fibers as wearable piezoresistive sensors</t>
  </si>
  <si>
    <t>10.1016/j.sna.2018.10.012</t>
  </si>
  <si>
    <t>ScienceDirect full text: smart-glove and human-motion demonstrations</t>
  </si>
  <si>
    <t>Coaxial CNT/polymer fibers were woven into a smart glove and worn across active joints. Resistance changes measured knuckle, elbow, wrist and knee strain with quantitative human-motion outputs.</t>
  </si>
  <si>
    <t>Focused_Deployment_Rescreen_636_Final_42_20260909.xlsx | Focused exclusions!A273:O273</t>
  </si>
  <si>
    <t>REC-00870</t>
  </si>
  <si>
    <t>Highly sensitive and superhydrophobic fabric sensor based on AgNPs/Polypyrrole composite conductive networks for body movement monitoring</t>
  </si>
  <si>
    <t>10.1016/j.compscitech.2022.109561</t>
  </si>
  <si>
    <t>ScienceDirect full text: Section 2.2 and body-movement results</t>
  </si>
  <si>
    <t>A nylon/spandex textile strip was functionalized with AgNPs/PPy and PDMS and tested on throat, neck, elbow, wrist, knee and finger movements. The paper reports angle-dependent output, GF and 5000-cycle data.</t>
  </si>
  <si>
    <t>Focused_Deployment_Rescreen_636_Final_42_20260909.xlsx | Focused exclusions!A274:O274</t>
  </si>
  <si>
    <t>REC-00883</t>
  </si>
  <si>
    <t>A highly sensitive stretchable strain sensor based on multi-functionalized fabric for respiration monitoring and identification</t>
  </si>
  <si>
    <t>10.1016/j.cej.2021.130869</t>
  </si>
  <si>
    <t>ScienceDirect full text: Section 2.1 and Figure 5</t>
  </si>
  <si>
    <t>A carbonized and copper-functionalized linen woven fabric was mounted on the throat and wrist for respiration, coughing, speaking, swallowing and wrist-bending measurements, with quantitative resistance output and 6000-cycle testing.</t>
  </si>
  <si>
    <t>Focused_Deployment_Rescreen_636_Final_42_20260909.xlsx | Focused exclusions!A275:O275</t>
  </si>
  <si>
    <t>REC-00891</t>
  </si>
  <si>
    <t>Preparation of fabric strain sensor based on graphene for human motion monitoring</t>
  </si>
  <si>
    <t>10.1007/s10853-018-2194-7</t>
  </si>
  <si>
    <t>The graphene fabric sensor was attached to a finger and quantitatively measured bending motion.</t>
  </si>
  <si>
    <t>Focused_Deployment_Rescreen_636_Final_42_20260909.xlsx | Focused exclusions!A276:O276</t>
  </si>
  <si>
    <t>REC-00893</t>
  </si>
  <si>
    <t>Mussel-inspired adhesion for layer-by-layer assembly towards multi-functional electrically conductive cotton fabric</t>
  </si>
  <si>
    <t>10.1016/j.cej.2024.155174</t>
  </si>
  <si>
    <t>ScienceDirect full text: Section 3 and Figure 7</t>
  </si>
  <si>
    <t>A layer-by-layer functionalized cotton fabric was fixed to finger, wrist, elbow, knee and throat. Angle-dependent and repeated resistance signals document human-deformation monitoring.</t>
  </si>
  <si>
    <t>Focused_Deployment_Rescreen_636_Final_42_20260909.xlsx | Focused exclusions!A277:O277</t>
  </si>
  <si>
    <t>REC-00897</t>
  </si>
  <si>
    <t>Reduced graphene oxide-coated carbonized cotton fabric wearable strain sensors with ultralow detection limit</t>
  </si>
  <si>
    <t>10.1007/s10854-020-04278-7</t>
  </si>
  <si>
    <t>A volunteer wore the carbonized cotton fabric sensor during joint, facial, pulse, heartbeat and speech measurements.</t>
  </si>
  <si>
    <t>Focused_Deployment_Rescreen_636_Final_42_20260909.xlsx | Focused exclusions!A278:O278</t>
  </si>
  <si>
    <t>REC-00907</t>
  </si>
  <si>
    <t>Multifunctional superhydrophobic fabric strain sensor enabled by a synergistically dual-conductive network</t>
  </si>
  <si>
    <t>10.1016/j.apsusc.2026.167470</t>
  </si>
  <si>
    <t>ScienceDirect full text: Section 3.5 and Figure 6</t>
  </si>
  <si>
    <t>A nylon/spandex dual-network superhydrophobic fabric sensor was attached to finger, wrist, elbow and knee. Figure 6 reports angle- and activity-dependent relative-resistance values in air and wet conditions.</t>
  </si>
  <si>
    <t>Focused_Deployment_Rescreen_636_Final_42_20260909.xlsx | Focused exclusions!A279:O279</t>
  </si>
  <si>
    <t>REC-00912</t>
  </si>
  <si>
    <t>Highly sensitive fabric strain sensor with double-layer conductive networks for joint rehabilitation therapy</t>
  </si>
  <si>
    <t>10.1016/j.compscitech.2022.109778</t>
  </si>
  <si>
    <t>ScienceDirect full text: Figures 7-8</t>
  </si>
  <si>
    <t>A nylon/spandex knitted-fabric sensor was placed on eyebrow, mouth, abdomen, throat, wrist, finger, elbow and knee. Quantitative signals and joint-angle/ROM demonstrations were reported with 5000-cycle testing.</t>
  </si>
  <si>
    <t>Focused_Deployment_Rescreen_636_Final_42_20260909.xlsx | Focused exclusions!A280:O280</t>
  </si>
  <si>
    <t>REC-00914</t>
  </si>
  <si>
    <t>Large-scale assembly of highly stretchable and conductive polydopamine-generated poly (ethylene terephthalate)/polyurethane fabric through the self-assembly intercalation strategy for superior sensing</t>
  </si>
  <si>
    <t>10.1177/15280837221145473</t>
  </si>
  <si>
    <t>C1-C6 were identified in the full text. Textile evidence: Herein, we developed a conductive polydopamine-coated poly (ethylene terephthalate)/polyurethane fabric as the wearable strain sensor with the layered generating structure and the cooperative effect of carboxylated carbon nanotubes and reduced graphene oxide via self-assembly intercalation process. Human evidence: Finally, Strain sensing properties, human motion characteristics, workable strain response mechanism, electromechanical and electrothermal performances of the sensor were studied. Quantitative evidence: Obviously, the response time and relaxation time of the sensor were 30 and 50 ms respectively at the strain of 5%, indicating that the sensor was capable of monitoring complicated muscle movements (Figure 3(a)).</t>
  </si>
  <si>
    <t>Focused_Deployment_Rescreen_636_Final_42_20260909.xlsx | Focused exclusions!A281:O281</t>
  </si>
  <si>
    <t>REC-00927</t>
  </si>
  <si>
    <t>Dual-mode intelligent polyurethane nanofibrous textile with enhanced hydrogen-bond network for thermally regulated compression and self-monitoring</t>
  </si>
  <si>
    <t>10.1016/j.cej.2026.176857</t>
  </si>
  <si>
    <t>ScienceDirect full text: Section 2.4 and Figure 5</t>
  </si>
  <si>
    <t>The conductive polyurethane nanofibrous textile was attached to finger, wrist, elbow and knee and produced quantitative resistance traces over ten movement cycles, with a reported 0-80% strain-monitoring range.</t>
  </si>
  <si>
    <t>Focused_Deployment_Rescreen_636_Final_42_20260909.xlsx | Focused exclusions!A282:O282</t>
  </si>
  <si>
    <t>REC-00932</t>
  </si>
  <si>
    <t>Ultrahigh moisture resistance, highly sensitive and flame retardancy wearable strain sensor for agile water rescue, fire alarm and human motion detection</t>
  </si>
  <si>
    <t>10.1016/j.cej.2023.147706</t>
  </si>
  <si>
    <t>ScienceDirect full text: Section 3.5 and Figure 8</t>
  </si>
  <si>
    <t>The multifunctional fabric sensor was used on wrist, elbow, face and knee and distinguished walking and running with quantitative resistance signals. The article reports more than 10000 bending cycles.</t>
  </si>
  <si>
    <t>Focused_Deployment_Rescreen_636_Final_42_20260909.xlsx | Focused exclusions!A283:O283</t>
  </si>
  <si>
    <t>REC-00935</t>
  </si>
  <si>
    <t>Ultra-sensitive strain sensor with film-nanowire double layers for health monitoring and smart clothing</t>
  </si>
  <si>
    <t>10.1016/j.sna.2024.115544</t>
  </si>
  <si>
    <t>ScienceDirect full text: Figures 4-5</t>
  </si>
  <si>
    <t>A fabric-substrate film/nanowire sensor was worn on volunteers' wrists and integrated into sports tights at the shoulder, elbow and back. Pulse and movement signals were acquired, and 1000-cycle stability was reported.</t>
  </si>
  <si>
    <t>Focused_Deployment_Rescreen_636_Final_42_20260909.xlsx | Focused exclusions!A284:O284</t>
  </si>
  <si>
    <t>REC-00939</t>
  </si>
  <si>
    <t>High sensitive, stretchable and weavable fiber-based PVA/WPU/MXene materials prepared by wet spinning for strain sensors</t>
  </si>
  <si>
    <t>10.1007/s10853-023-08887-5</t>
  </si>
  <si>
    <t>The fibre sensor was woven or embroidered into wearable textiles and tested on subjects during gait and joint motion.</t>
  </si>
  <si>
    <t>Focused_Deployment_Rescreen_636_Final_42_20260909.xlsx | Focused exclusions!A285:O285</t>
  </si>
  <si>
    <t>REC-00956</t>
  </si>
  <si>
    <t>Ultra-linear, highly sensitive fabric strain/temperature sensor via the regulation of reduced graphene oxide defect and carrier migration for physiological risk alerts</t>
  </si>
  <si>
    <t>10.1016/j.cej.2025.165856</t>
  </si>
  <si>
    <t>ScienceDirect full text: Sections 2.3 and 3, Figure 7</t>
  </si>
  <si>
    <t>A Lycra-cotton strain/temperature sensor was positioned at wrist, elbow, knee and underarm for tennis-motion monitoring. The paper reports joint-angle signals, GF 15.081 and linear response over 0-50% strain.</t>
  </si>
  <si>
    <t>Focused_Deployment_Rescreen_636_Final_42_20260909.xlsx | Focused exclusions!A286:O286</t>
  </si>
  <si>
    <t>REC-00960</t>
  </si>
  <si>
    <t>Multifunctional Janus-Structured Conductive Fabric With Environment-Adaptive Wettability Switching and Strain Sensing for Wearable Electronics</t>
  </si>
  <si>
    <t>10.1002/adfm.75680</t>
  </si>
  <si>
    <t>C1-C6 were identified in the full text. Textile evidence: 2 Results and Discussion 2.1 Structure and Function of the PMCFT Strain Sensor To ensure the reliable operation of wearable sensors in complex environments, a fabric-type flexible strain sensor based on an MXene/CNTs composite and a Janus structure was fabricated (Figure S1). Human evidence: FIGURE 6 Open in figure viewer PowerPoint (a) Nine gestures and the corresponding five-finger electrical signals. Quantitative evidence: Accordingly, this ratio was selected as the optimal formulation for the final strain sensor, which exhibited GF of 5.834, 40.415, and 199.685 in the strain ranges of 0%–50%, 50%–100%, and 100%–150%, respectively (Figure 4; Table S2).</t>
  </si>
  <si>
    <t>Focused_Deployment_Rescreen_636_Final_42_20260909.xlsx | Focused exclusions!A287:O287</t>
  </si>
  <si>
    <t>REC-00970</t>
  </si>
  <si>
    <t>High-Performance, Superhydrophobic, and Wearable Strain Sensor for Amphibious Human Motion Detection</t>
  </si>
  <si>
    <t>10.1002/admt.202200798</t>
  </si>
  <si>
    <t>C1-C6 were identified in the full text. Textile evidence: Figure 3 shows the surface morphology of the pristine textile, the textile coated with STA-MWCNTs, and the SBWMC surface. Human evidence: As shown in Figure 5, the resistance change rate increases with the increase in the applied strain, until the applied strain is up to 100%, which is high enough strain range for a usable wearable strain sensor in personal healthcare.[30] Obviously, the SBWMC strain sensor exhibits a linear response to the GFs values covering the stretching range, which were fitted as 130.0 (20% Quantitative evidence: In the first method, an SBWMC was placed on 1500 grit SiC sandpaper and then moved 2 cm by a traction force under a weight of 50 g, which was defined as one cycle (inset in Figure 4).</t>
  </si>
  <si>
    <t>Focused_Deployment_Rescreen_636_Final_42_20260909.xlsx | Focused exclusions!A288:O288</t>
  </si>
  <si>
    <t>REC-00972</t>
  </si>
  <si>
    <t>Kevlar-reinforced hydrogel composites with enhanced puncture resistance, strain-sensing, and anti-freezing performance for flexible personal protective equipment</t>
  </si>
  <si>
    <t>10.1016/j.jmrt.2025.09.263</t>
  </si>
  <si>
    <t>ScienceDirect full text: sensing methods and human-motion results</t>
  </si>
  <si>
    <t>A hydrogel/Kevlar textile composite was attached to skin and evaluated for facial, swallowing and finger-joint deformation. Angle-dependent resistance responses and more than 500 strain cycles were reported.</t>
  </si>
  <si>
    <t>Focused_Deployment_Rescreen_636_Final_42_20260909.xlsx | Focused exclusions!A289:O289</t>
  </si>
  <si>
    <t>REC-00983</t>
  </si>
  <si>
    <t>Highly stretchable, sensitive and wide linear responsive fabric-based strain sensors with a self-segregated carbon nanotube (CNT)/Polydimethylsiloxane (PDMS) coating</t>
  </si>
  <si>
    <t>10.1016/j.pnsc.2021.10.012</t>
  </si>
  <si>
    <t>ScienceDirect full text: Section 2.2 and Figure 7</t>
  </si>
  <si>
    <t>A CNT/PDMS-coated elastic medical bandage sensor was attached to the index finger and used for head-deflection monitoring. Quantitative angle-dependent electrical signals were reported.</t>
  </si>
  <si>
    <t>Focused_Deployment_Rescreen_636_Final_42_20260909.xlsx | Focused exclusions!A290:O290</t>
  </si>
  <si>
    <t>REC-00985</t>
  </si>
  <si>
    <t>Wearable carbon nanotube-based fabric sensors for monitoring human physiological performance</t>
  </si>
  <si>
    <t>10.1088/1361-665x/aa6849</t>
  </si>
  <si>
    <t>IOPscience full text: fabric integration, strain characterization and human-monitoring sections</t>
  </si>
  <si>
    <t>MWCNT-latex sensing films were integrated with fabric. The fabric sensor was tested on a human finger and in a participant-worn chest band for quantitative respiration monitoring, including real-time respiration-rate extraction.</t>
  </si>
  <si>
    <t>Focused_Deployment_Rescreen_636_Final_42_20260909.xlsx | Focused exclusions!A291:O291</t>
  </si>
  <si>
    <t>REC-00990</t>
  </si>
  <si>
    <t>Highly stretchable metallized spandex fibers for large-strain sensing and flexible electromagnetic interference shielding</t>
  </si>
  <si>
    <t>10.1016/j.cej.2026.176678</t>
  </si>
  <si>
    <t>ScienceDirect full text: Figure 4 wearable hand demonstration</t>
  </si>
  <si>
    <t>Silver-plated spandex fibers were integrated into a wearable hand device for individual finger tracking. Quantitative resistance traces, GF and 1000 repeated stretching cycles were reported.</t>
  </si>
  <si>
    <t>Focused_Deployment_Rescreen_636_Final_42_20260909.xlsx | Focused exclusions!A292:O292</t>
  </si>
  <si>
    <t>REC-00994</t>
  </si>
  <si>
    <t>Fabric-based flexible sensors for advanced wearable applications: development, characterization, and integration into human-machine interaction systems</t>
  </si>
  <si>
    <t>10.1088/2058-8585/addb59</t>
  </si>
  <si>
    <t>IOPscience full text: strain characterization, human-joint testing and smart-glove sections</t>
  </si>
  <si>
    <t>The MWCNT fabric strain sensor was tested on human hand and wrist joints and integrated into a wireless smart glove for real-time gesture monitoring. It reports a sensitivity of 2.14 over 0%-70% strain and 20,000 tensile cycles.</t>
  </si>
  <si>
    <t>Focused_Deployment_Rescreen_636_Final_42_20260909.xlsx | Focused exclusions!A293:O293</t>
  </si>
  <si>
    <t>REC-01007</t>
  </si>
  <si>
    <t>Printed graphene/CNTs/TPU-fabric wearable strain sensor for healthcare monitoring</t>
  </si>
  <si>
    <t>10.20517/ss.2024.61</t>
  </si>
  <si>
    <t>C1-C6 were identified in the full text. Textile evidence: Herein, this work introduces a cost-effective, highly sensitive carbon-based strain sensor fabricated on a fabric substrate with a printing technique, which is eco-friendly and biocompatible. Human evidence: As depicted in Figure 4, the pulse beat elicits a specific response from the sensor. Quantitative evidence: Supplementary Figure 5 indicates that fabric selection exerts minimal influence on the composite film’s sensitivity at low strain levels.</t>
  </si>
  <si>
    <t>Focused_Deployment_Rescreen_636_Final_42_20260909.xlsx | Focused exclusions!A294:O294</t>
  </si>
  <si>
    <t>REC-01008</t>
  </si>
  <si>
    <t>Dual-catalytic polymerization of high-performance PEDOT thermoelectric fabrics for self-powered sensing</t>
  </si>
  <si>
    <t>10.1016/j.cej.2025.168819</t>
  </si>
  <si>
    <t>ScienceDirect full text: Figure 3 wearable strain-sensing tests</t>
  </si>
  <si>
    <t>PEDOT-functionalized nylon fabric was attached to finger, knee, wrist, neck and elbow. The sensor distinguished bending angles through quantitative resistance changes and was evaluated for repeated operation.</t>
  </si>
  <si>
    <t>Focused_Deployment_Rescreen_636_Final_42_20260909.xlsx | Focused exclusions!A295:O295</t>
  </si>
  <si>
    <t>REC-01010</t>
  </si>
  <si>
    <t>Vapor-based fabrication of PEDOT coating for wearable strain sensors with excellent sensitivity and self-cleaning capability</t>
  </si>
  <si>
    <t>10.1016/j.mtchem.2022.101361</t>
  </si>
  <si>
    <t>ScienceDirect full text: human-motion monitoring and Figure 5</t>
  </si>
  <si>
    <t>An oCVD PEDOT-coated wearable fabric was fixed on finger, knee, wrist and elbow and produced angle- and frequency-dependent signals. The paper reports 1500 repeated bending cycles.</t>
  </si>
  <si>
    <t>Focused_Deployment_Rescreen_636_Final_42_20260909.xlsx | Focused exclusions!A296:O296</t>
  </si>
  <si>
    <t>REC-01012</t>
  </si>
  <si>
    <t>Multimodal hand/finger movement sensing and fuzzy encoding for data-efficient universal sign language recognition</t>
  </si>
  <si>
    <t>10.1002/inf2.12642</t>
  </si>
  <si>
    <t>C1-C6 were identified in the full text. Textile evidence: The fabric strain sensors by printing conductive polymer poly(3,4-ethylenedioxythiophene):poly(styrenesulfonate) (PEDOT:PSS) on a pre-stretched fabric wrapping rubber band are sewn onto the glove fingers to capture the finger gestures with high fidelity. Human evidence: 2 RESULTS 2.1 Wearable sign language recognition system The sign language recognition system is shown in Figure 1, utilizing two sensing gloves to capture the sign language motions of left and right hands, respectively. Quantitative evidence: The strain sensor is fabricated by printing conductive polymer poly(3,4-ethylenedioxythiophene):poly(styrenesulfonate) (PEDOT:PSS) on a pre-stretched (125% strain is optimized for the pre-stretching) elastic fabric, whose front and cross-sectional views are shown in Figure 2.</t>
  </si>
  <si>
    <t>Focused_Deployment_Rescreen_636_Final_42_20260909.xlsx | Focused exclusions!A297:O297</t>
  </si>
  <si>
    <t>REC-01018</t>
  </si>
  <si>
    <t>Ultrastretchable, extreme-environment-adaptable, skin-like supramolecular conductive hydrogels based on phytic acid-mediated hydrogen-bonding networks</t>
  </si>
  <si>
    <t>10.1016/j.polymer.2026.130097</t>
  </si>
  <si>
    <t>ScienceDirect full text: textile integration and Figure 6</t>
  </si>
  <si>
    <t>The supramolecular hydrogel was polymerized directly on a textile substrate and tested during finger, wrist, elbow and knee motion. Quantitative outputs, GF up to 4.52 and 500 stretching cycles were reported.</t>
  </si>
  <si>
    <t>Focused_Deployment_Rescreen_636_Final_42_20260909.xlsx | Focused exclusions!A298:O298</t>
  </si>
  <si>
    <t>REC-01028</t>
  </si>
  <si>
    <t>High-Performance Stretchable Strain Sensor Based on Ag Nanoparticles Sandwiched between Two 3D-Printed Polyurethane Fibrous Textiles</t>
  </si>
  <si>
    <t>10.1002/aelm.202001242</t>
  </si>
  <si>
    <t>C1-C6 were identified in the full text. Textile evidence: The printed TPU fibers were aligned in parallel in each textile, while vertically between the upper and lower textiles to create an oblique lattice structure (Figure 1,e); thus, the printed TPU/Ag composites have a specific sandwich structure, which allows them to be flexible enough to be stretched, Human evidence: Figure 4 Open in figure viewer PowerPoint Relative resistance change under variable strains for the TPU/Ag-P2 strain sensor: a) change in the length direction and b) in the width direction. Quantitative evidence: Also, the TPU/Ag-C6 was found to show a larger resistance change and a higher GF, but a limited narrow strain range (Figure 4).</t>
  </si>
  <si>
    <t>Focused_Deployment_Rescreen_636_Final_42_20260909.xlsx | Focused exclusions!A299:O299</t>
  </si>
  <si>
    <t>REC-01056</t>
  </si>
  <si>
    <t>Highly sensitive, stretchable and wearable strain sensors using fragmented conductive cotton fabric</t>
  </si>
  <si>
    <t>10.1039/c8tc03702g</t>
  </si>
  <si>
    <t>The conductive cotton-fabric sensor is attached to a glove on a volunteer's finger and quantitatively detects a range of movements.</t>
  </si>
  <si>
    <t>Focused_Deployment_Rescreen_636_Final_42_20260909.xlsx | Focused exclusions!A300:O300</t>
  </si>
  <si>
    <t>REC-01060</t>
  </si>
  <si>
    <t>Ultra-stretchable and superhydrophobic textile-based bioelectrodes for robust self-cleaning and personal health monitoring</t>
  </si>
  <si>
    <t>10.1016/j.nanoen.2022.107160</t>
  </si>
  <si>
    <t>ScienceDirect full text: nonwoven fabrication and Figures 5-6</t>
  </si>
  <si>
    <t>A CB/CNT/SEBS nonwoven textile strain sensor was mounted on an adult volunteer's wrist, chest, mask, larynx, finger, elbow and knee. Quantitative pulse, respiration and joint-motion signals were reported.</t>
  </si>
  <si>
    <t>Focused_Deployment_Rescreen_636_Final_42_20260909.xlsx | Focused exclusions!A301:O301</t>
  </si>
  <si>
    <t>REC-01076</t>
  </si>
  <si>
    <t>Wide response stretchable sensors by stress distribution control of multi-structure for hand motion monitoring and energy harvesting</t>
  </si>
  <si>
    <t>10.1016/j.nanoen.2025.110753</t>
  </si>
  <si>
    <t>ScienceDirect full text: Section 3.3 and Figure 4</t>
  </si>
  <si>
    <t>Juncus-effusus fiber sensors were processed by twisting and braiding and attached to volunteers' fingers, wrists, neck, elbow and knee. Quantitative motion responses and more than 2000 cycles were reported.</t>
  </si>
  <si>
    <t>Focused_Deployment_Rescreen_636_Final_42_20260909.xlsx | Focused exclusions!A302:O302</t>
  </si>
  <si>
    <t>REC-01099</t>
  </si>
  <si>
    <t>Developing Conductive Fabric Threads for Human Respiratory Rate Monitoring</t>
  </si>
  <si>
    <t>10.1109/jsen.2020.3033047</t>
  </si>
  <si>
    <t>The fabric sensor was deployed on a chest strap, quantitatively related resistance to strain, and used for real-time human respiratory-rate monitoring.</t>
  </si>
  <si>
    <t>Focused_Deployment_Rescreen_636_Final_42_20260909.xlsx | Focused exclusions!A303:O303</t>
  </si>
  <si>
    <t>REC-01101</t>
  </si>
  <si>
    <t>Repairable, Recyclable and High-Performance Flexible Strain Sensors</t>
  </si>
  <si>
    <t>10.1002/sus2.70031</t>
  </si>
  <si>
    <t>C1-C6 were identified in the full text. Textile evidence: In addition, these CSF-xPU strain sensors have the advantages of very good stability and low cost, because the CSF layer is embedded into the surface of the xPU by hot-pressing based on the covalent exchange reactions, avoiding delamination of the composite; and also because both silk fabric and the Human evidence: Similarly, when fixing a CSF-xPU strain sensor on a wrist (Figure 2), a relative resistance change of the CSF-xPU strain sensor was observed rapidly and sensitively when the finger bent. Quantitative evidence: As shown in Figure 2, the overall GF was approximately 7.5 when the strain was less than 90%.</t>
  </si>
  <si>
    <t>Focused_Deployment_Rescreen_636_Final_42_20260909.xlsx | Focused exclusions!A304:O304</t>
  </si>
  <si>
    <t>REC-01114</t>
  </si>
  <si>
    <t>Ionic Gel Based Multifunctional Sensor for Body Temperature Monitoring and Joint Motion Detection</t>
  </si>
  <si>
    <t>10.1002/admt.202300297</t>
  </si>
  <si>
    <t>C1-C6 were identified in the full text. Textile evidence: To display the potentials of the TIF sensor in skin temperature and physical activity monitoring, the TIF sensors were sewn into stretchable fabric to constitute a wearable multifunctional sensing system. Human evidence: As shown in Figure 6, the fabricated intelligent fabric was worn on the elbow of a tester, and the straight TIF strain sensor exhibits a corresponding strain response to the bending amplitude of the elbow. Quantitative evidence: As shown in Figure 3, the maximum hysteresis of the TIFS(5) is less than 2.03%, and the impedance change curve of the TIFS(5) shows excellent linearity whether the temperature rises or falls (R2 = 0.988).</t>
  </si>
  <si>
    <t>Focused_Deployment_Rescreen_636_Final_42_20260909.xlsx | Focused exclusions!A305:O305</t>
  </si>
  <si>
    <t>REC-01122</t>
  </si>
  <si>
    <t>A wearable sensor with environmental robustness based on tapered optical fiber coupling for respiration monitoring</t>
  </si>
  <si>
    <t>10.1016/j.optlastec.2025.114555</t>
  </si>
  <si>
    <t>ScienceDirect full text: Section 3.3 and wearable respiration validation</t>
  </si>
  <si>
    <t>Tapered optical-fiber strain elements were secured to BreathSense clothing using fabric attachment zones and an elastic band. The garment was worn simultaneously with a commercial respiratory belt by a volunteer and produced synchronized quantitative respiration data.</t>
  </si>
  <si>
    <t>Focused_Deployment_Rescreen_636_Final_42_20260909.xlsx | Focused exclusions!A306:O306</t>
  </si>
  <si>
    <t>REC-01129</t>
  </si>
  <si>
    <t>Recognizing and predicting muscular fatigue of biceps brachii in motion with novel fabric strain sensors based on machine learning</t>
  </si>
  <si>
    <t>10.1016/j.bspc.2024.106647</t>
  </si>
  <si>
    <t>ScienceDirect full text: Methods 2.1 and smart-armband experiment</t>
  </si>
  <si>
    <t>Fabric strain sensors were embedded in a knitted armband and worn by 32 volunteers during dumbbell curls. Circumference-deformation signals were used to recognize and predict biceps fatigue.</t>
  </si>
  <si>
    <t>Focused_Deployment_Rescreen_636_Final_42_20260909.xlsx | Focused exclusions!A307:O307</t>
  </si>
  <si>
    <t>REC-01147</t>
  </si>
  <si>
    <t>Facile fabrication of highly durable superhydrophobic strain sensors for subtle human motion detection</t>
  </si>
  <si>
    <t>10.1016/j.jmst.2021.08.081</t>
  </si>
  <si>
    <t>ScienceDirect full text: human-motion section and Figure 6</t>
  </si>
  <si>
    <t>A CNT/PTFE-coated knitted cotton textile sensor was attached to a tester's wrist and other joints for pulse, facial, neck, wrist, elbow and finger monitoring, with quantitative signals under normal and harsh conditions.</t>
  </si>
  <si>
    <t>Focused_Deployment_Rescreen_636_Final_42_20260909.xlsx | Focused exclusions!A308:O308</t>
  </si>
  <si>
    <t>REC-01150</t>
  </si>
  <si>
    <t>An ultra-stretchable fiber sensor with high linearity and durability via thermal drawing</t>
  </si>
  <si>
    <t>10.1080/19475411.2024.2441323</t>
  </si>
  <si>
    <t>The report separately evaluates capacitive strain sensing, integrates the fiber into gloves or clothing, and demonstrates quantitative human-motion detection.</t>
  </si>
  <si>
    <t>Focused_Deployment_Rescreen_636_Final_42_20260909.xlsx | Focused exclusions!A309:O309</t>
  </si>
  <si>
    <t>REC-01177</t>
  </si>
  <si>
    <t>Bioinspired High Linearity Fabric Sensors Enabled by Cross-Scale Wrinkled Structure and Conductive Network Reconstruction for Wearable Electronics</t>
  </si>
  <si>
    <t>10.1002/adfm.77259</t>
  </si>
  <si>
    <t>C1-C6 were identified in the full text. Textile evidence: To verify its high-precision recognition capability, the sensor was integrated into a glove, and an intelligent control system was used to realize wireless control of the robotic hand, confirming the great potential of this sensor in the field of human-machine interaction (HMI). Human evidence: However, when different subjects or the same subject perform the same gesture repeatedly, the data collected by the sensors exhibit heterogeneity. Quantitative evidence: As shown in Figure 1, conventional flexible sensors often face a limited linear working range due to the modulus mismatch between the elastic substrate and the conductive layer, typically resulting in segmented linear behavior that requires complex multi-point fitting.</t>
  </si>
  <si>
    <t>Focused_Deployment_Rescreen_636_Final_42_20260909.xlsx | Focused exclusions!A310:O310</t>
  </si>
  <si>
    <t>REC-01201</t>
  </si>
  <si>
    <t>Wet-spinning of ionic liquid@elastomer coaxial fibers with high stretchability and wide temperature resistance for strain sensors</t>
  </si>
  <si>
    <t>10.1016/j.coco.2021.100693</t>
  </si>
  <si>
    <t>ScienceDirect full text: Figure 3 wearable tests</t>
  </si>
  <si>
    <t>Ionic-liquid/elastomer coaxial fibers were woven into fabrics and also evaluated on a volunteer's wrist and elbow. Quantitative angle-dependent resistance responses and up to 5000 mechanical cycles were reported.</t>
  </si>
  <si>
    <t>Focused_Deployment_Rescreen_636_Final_42_20260909.xlsx | Focused exclusions!A311:O311</t>
  </si>
  <si>
    <t>REC-01202</t>
  </si>
  <si>
    <t>A wearable, fibroid, self-powered active kinematic sensor based on stretchable sheath-core structural triboelectric fibers</t>
  </si>
  <si>
    <t>10.1016/j.nanoen.2017.08.003</t>
  </si>
  <si>
    <t>ScienceDirect full text: Figure 6 human kinematic tests</t>
  </si>
  <si>
    <t>A sheath-core triboelectric fiber sensor was fixed onto a fabric knee pad and worn by three walkers, and was also fixed at the elbow. Quantitative output distinguished walking and joint-bending patterns; more than 1600 cycles were reported.</t>
  </si>
  <si>
    <t>Focused_Deployment_Rescreen_636_Final_42_20260909.xlsx | Focused exclusions!A312:O312</t>
  </si>
  <si>
    <t>REC-01231</t>
  </si>
  <si>
    <t>Multifunctional and highly stretchable gold-leaf/WPU/TPU fibers by a rolling adhesive method</t>
  </si>
  <si>
    <t>10.1039/d4ta08475f</t>
  </si>
  <si>
    <t>The conductive fibres are woven into gloves for gesture recognition and are also quantitatively evaluated during volunteer walking and running.</t>
  </si>
  <si>
    <t>Focused_Deployment_Rescreen_636_Final_42_20260909.xlsx | Focused exclusions!A313:O313</t>
  </si>
  <si>
    <t>REC-01232</t>
  </si>
  <si>
    <t>Superhydrophobic Dual-Layer Conductive Skin With Stable Sensing Properties in Air and Underwater</t>
  </si>
  <si>
    <t>10.1002/admt.202502356</t>
  </si>
  <si>
    <t>C1-C6 were identified in the full text. Textile evidence: Here, we report a dual-layer superhydrophobic conductive skin (SDCS) fabricated on a textile via sequential dip-coating and spraying. Human evidence: As shown in Figure 7, dynamic sensing tests were performed via finger bending-relaxation motions. Quantitative evidence: As shown in Figure 4, the SA increased significantly during the first 200 cycles, followed by an approximately linear trend over the next 600 cycles.</t>
  </si>
  <si>
    <t>Focused_Deployment_Rescreen_636_Final_42_20260909.xlsx | Focused exclusions!A314:O314</t>
  </si>
  <si>
    <t>REC-01249</t>
  </si>
  <si>
    <t>Fibrous self-powered sensor with high stretchability for physiological information monitoring</t>
  </si>
  <si>
    <t>10.1016/j.nanoen.2021.106258</t>
  </si>
  <si>
    <t>ScienceDirect full text: Figure 4 wearable demonstrations</t>
  </si>
  <si>
    <t>The fibrous self-powered sensor was sewn onto the heel of a sock and also tested at finger, wrist, pulse, throat and face. Quantitative voltage signals tracked human deformation and steps.</t>
  </si>
  <si>
    <t>Focused_Deployment_Rescreen_636_Final_42_20260909.xlsx | Focused exclusions!A315:O315</t>
  </si>
  <si>
    <t>REC-01253</t>
  </si>
  <si>
    <t>Ag Nanowire Reinforced Highly Stretchable Conductive Fibers for Wearable Electronics</t>
  </si>
  <si>
    <t>10.1002/adfm.201500628</t>
  </si>
  <si>
    <t>C1-C6 were identified in the full text. Textile evidence: To demonstrate the utility of the AgNW–AgNP embedded composite fibers in stretchable electronics, we fabricated an artificial glove for detecting sign language the composite fibers that were attached on the glove as a strain gauge sensor to detect the bending motions of the finger joints (Figure 4). Human evidence: To demonstrate the utility of the AgNW–AgNP embedded composite fibers in stretchable electronics, we fabricated an artificial glove for detecting sign language the composite fibers that were attached on the glove as a strain gauge sensor to detect the bending motions of the finger joints (Figure 4). Quantitative evidence: To observe the electrical properties of the conductive fibers by varying the number of the repeated cycles of the Ag absorption and reduction (step 2 in Figure 1), the initial conductivities of the AgNP-embedded SBS conductive fibers without AgNWs were measured as a function of the number of the rep</t>
  </si>
  <si>
    <t>Focused_Deployment_Rescreen_636_Final_42_20260909.xlsx | Focused exclusions!A316:O316</t>
  </si>
  <si>
    <t>REC-01256</t>
  </si>
  <si>
    <t>Multifunctional theranostic fiber with micro-wrinkles for closed-loop health monitoring and human-machine interaction</t>
  </si>
  <si>
    <t>10.1038/s41528-026-00584-y</t>
  </si>
  <si>
    <t>C1-C6 were identified in the full text. Textile evidence: Achieving truly imperceptible wear, therefore, necessitates a redesign of device architecture—shifting from external attachment to being embedded within the textile as a constitutive element. Human evidence: For example, it can clearly distinguish different bending angles of a finger, recording distinct postures from an extended state to a clenched fist as a clear stepwise resistance signal (Fig. Quantitative evidence: Figure 6 reveals that the maximum achieved temperatures and the baseline cooling temperatures remain highly consistent across all 10 cycles, showing no noticeable thermal degradation or fluctuation.</t>
  </si>
  <si>
    <t>Focused_Deployment_Rescreen_636_Final_42_20260909.xlsx | Focused exclusions!A317:O317</t>
  </si>
  <si>
    <t>REC-01283</t>
  </si>
  <si>
    <t>Flexible MXene decorative nonwovens with patterned structures for integrated joule heating and strain sensing</t>
  </si>
  <si>
    <t>10.1016/j.sna.2023.114426</t>
  </si>
  <si>
    <t>ScienceDirect full text: Section 3 and Figure 5</t>
  </si>
  <si>
    <t>A patterned electrospun TPU nonwoven decorated with MXene was attached to finger, knee and throat. Repeated flexion produced quantitative resistance signals.</t>
  </si>
  <si>
    <t>Focused_Deployment_Rescreen_636_Final_42_20260909.xlsx | Focused exclusions!A318:O318</t>
  </si>
  <si>
    <t>REC-01284</t>
  </si>
  <si>
    <t>Antibacterial highly sensitive eco-friendly wearable piezoresistive sensor for monitoring multiple physiological parameters</t>
  </si>
  <si>
    <t>10.1016/j.snb.2024.135288</t>
  </si>
  <si>
    <t>ScienceDirect full text: Figures 7-10</t>
  </si>
  <si>
    <t>A graphene/silicone-coated textile orthopedic bandage with sewn electrodes was attached to finger, wrist, arm, knee, waist, lower back and chest. Quantitative joint, pulse and respiration signals and durability evidence were reported.</t>
  </si>
  <si>
    <t>Focused_Deployment_Rescreen_636_Final_42_20260909.xlsx | Focused exclusions!A319:O319</t>
  </si>
  <si>
    <t>REC-01310</t>
  </si>
  <si>
    <t>Thermo-spun reaction encapsulation fabrication of environment-stable and knittable fibrous ionic conductors with large elasticity and high fatigue resistance</t>
  </si>
  <si>
    <t>10.1016/j.cej.2022.134826</t>
  </si>
  <si>
    <t>ScienceDirect full text: Figures 5 and 7</t>
  </si>
  <si>
    <t>The ionic fibers were woven into fabric and the sensor was worn or attached at wrist, knee, finger and elbow. Quantitative angle-dependent outputs, stable GF and 5000-cycle durability were reported.</t>
  </si>
  <si>
    <t>Focused_Deployment_Rescreen_636_Final_42_20260909.xlsx | Focused exclusions!A320:O320</t>
  </si>
  <si>
    <t>REC-01375</t>
  </si>
  <si>
    <t>A flexible sensor with high wearing comfort for human activity monitoring</t>
  </si>
  <si>
    <t>10.1016/j.surfin.2025.107292</t>
  </si>
  <si>
    <t>ScienceDirect full text: Section 3 and Figure 9</t>
  </si>
  <si>
    <t>A CNT-coated knitted PET fabric sensor was fixed on a volunteer's finger, wrist, chest and throat. Repeated finger, respiration, vocalization and swallowing signals were quantified.</t>
  </si>
  <si>
    <t>Focused_Deployment_Rescreen_636_Final_42_20260909.xlsx | Focused exclusions!A321:O321</t>
  </si>
  <si>
    <t>REC-01393</t>
  </si>
  <si>
    <t>Enhanced Prediction of Muscle Activity Using Wearable Textile Stretch Sensors and Multi-Layer Perceptron</t>
  </si>
  <si>
    <t>10.3390/pr13041041</t>
  </si>
  <si>
    <t>The study experimentally maps wearable textile stretch-sensor signals to sEMG measurements from human muscle groups and reports quantitative model performance.</t>
  </si>
  <si>
    <t>Focused_Deployment_Rescreen_636_Final_42_20260909.xlsx | Focused exclusions!A322:O322</t>
  </si>
  <si>
    <t>REC-01402</t>
  </si>
  <si>
    <t>Mechanically Induced Surface Metallization of Ultraflexible Liquid Metal/SEBS Fibers for On-Demand and Multifunctional Physiological Monitoring</t>
  </si>
  <si>
    <t>10.1021/acsaelm.5c02451</t>
  </si>
  <si>
    <t>C1-C6 were identified in the full text. Textile evidence: Figure 1 displays the textile woven with the liquid metal fibers via a warp-weft manner, showing its potential as multifunctional electronic textiles. Human evidence: As shown in Figure 3, the sensor was affixed to the orbicularis oculi muscle region to detect subtle facial muscle activities. Quantitative evidence: Figure 2 presents the cyclic resistance responses of activated liquid metal fibers under 5, 10, 30, and 50% strain.</t>
  </si>
  <si>
    <t>Focused_Deployment_Rescreen_636_Final_42_20260909.xlsx | Focused exclusions!A323:O323</t>
  </si>
  <si>
    <t>REC-01419</t>
  </si>
  <si>
    <t>Self-healing hydrogel-textile sensor with mechanically interlocked superhydrophobic layer for extreme-environment motion monitoring</t>
  </si>
  <si>
    <t>10.1016/j.cej.2025.167394</t>
  </si>
  <si>
    <t>ScienceDirect full text: Figures 4 and 8</t>
  </si>
  <si>
    <t>A self-healing hydrogel was mechanically interlocked with woven fabric and used for finger, wrist and elbow monitoring. Quantitative angle-dependent current signals and 1000-cycle tests were reported.</t>
  </si>
  <si>
    <t>Focused_Deployment_Rescreen_636_Final_42_20260909.xlsx | Focused exclusions!A324:O324</t>
  </si>
  <si>
    <t>REC-01439</t>
  </si>
  <si>
    <t>Double-Network Slide-Ring Topological Hydrogel Fibers: Fabrication and Sensor Application</t>
  </si>
  <si>
    <t>10.1002/smll.202501558</t>
  </si>
  <si>
    <t>C1-C6 were identified in the full text. Textile evidence: Additionally, an Alg1-SR0.5-Fiber-based strain sensor integrated into a wristband was designed and developed (Figure 4). Human evidence: Figure 4-I shows the rate of resistance change of the Alg1-SR0.5-Fiber-based strain sensor under different finger bending conditions. Quantitative evidence: After 100 cycles, the maximum stress is 407.6 kPa, ≈80% of the stress in the first cycle, demonstrating excellent fatigue resistance (Figure 2,d).</t>
  </si>
  <si>
    <t>Focused_Deployment_Rescreen_636_Final_42_20260909.xlsx | Focused exclusions!A325:O325</t>
  </si>
  <si>
    <t>REC-01476</t>
  </si>
  <si>
    <t>Wearable intelligent throat enables natural speech in stroke patients with dysarthria</t>
  </si>
  <si>
    <t>10.1038/s41467-025-68228-9</t>
  </si>
  <si>
    <t>C1-C6 were identified in the full text. Textile evidence: Figure 2 shows the structure of the strain sensing choker screen-printed on an elastic knitted textile (Supplementary Note 3). Human evidence: The resulting gap between laboratory validation and patient-specific deployment prevents these systems from serving individuals with dysarthria or other speech impairments in everyday contexts13,14,15. Quantitative evidence: This pre-training facilitates improved generalization and performance when later fine-tuning the model on the limited data from dysarthric patients, ultimately enhancing decoding accuracy and robustness in patient-specific applications.</t>
  </si>
  <si>
    <t>Focused_Deployment_Rescreen_636_Final_42_20260909.xlsx | Focused exclusions!A326:O326</t>
  </si>
  <si>
    <t>REC-01496</t>
  </si>
  <si>
    <t>Dynamic interfacial cross-linking and chain entanglement enabling robust mechanical and conductive TPU composite fibers for knitted wearable strain sensors</t>
  </si>
  <si>
    <t>10.1039/d4ta07978g</t>
  </si>
  <si>
    <t>The composite fibres are knitted by machine into fabrics and tested on volunteers for quantitative joint-motion monitoring.</t>
  </si>
  <si>
    <t>Focused_Deployment_Rescreen_636_Final_42_20260909.xlsx | Focused exclusions!A327:O327</t>
  </si>
  <si>
    <t>REC-01513</t>
  </si>
  <si>
    <t>WPU-encapsulated liquid metal/TPU hollow fibers with interfacial modification for wearable strain sensing</t>
  </si>
  <si>
    <t>10.1016/j.compositesa.2026.110238</t>
  </si>
  <si>
    <t>ScienceDirect full text: Section 3.7 and Figure 10</t>
  </si>
  <si>
    <t>Liquid-metal/TPU hollow fibers were integrated into gloves and a knee pad. Finger- and knee-bending produced distinguishable quantitative resistance responses, and the article reports 1000 stretch-release cycles.</t>
  </si>
  <si>
    <t>Focused_Deployment_Rescreen_636_Final_42_20260909.xlsx | Focused exclusions!A328:O328</t>
  </si>
  <si>
    <t>REC-01520</t>
  </si>
  <si>
    <t>Amphibious-adaptive superhydrophobic fabric with bi-conductive coupling for robust human motion detection</t>
  </si>
  <si>
    <t>10.1016/j.cej.2025.161800</t>
  </si>
  <si>
    <t>ScienceDirect full text: Section 3.5 and Figure 5</t>
  </si>
  <si>
    <t>A nylon/spandex amphibious fabric sensor was tested on throat, forearm, wrist, elbow and knee, including wet conditions. Quantitative motion signals, a 177% range and 1000 cycles at 50% strain were reported.</t>
  </si>
  <si>
    <t>Focused_Deployment_Rescreen_636_Final_42_20260909.xlsx | Focused exclusions!A329:O329</t>
  </si>
  <si>
    <t>REC-01570</t>
  </si>
  <si>
    <t>Competitive proton-trapping strategy enhanced anti-freezing organohydrogel fibers for high-strain-sensitivity wearable sensors</t>
  </si>
  <si>
    <t>10.1039/d3mh00459g</t>
  </si>
  <si>
    <t>The organohydrogel fibres are made into knitted strain-sensing textiles and used for quantitative finger, wrist, arm and pulse monitoring.</t>
  </si>
  <si>
    <t>Focused_Deployment_Rescreen_636_Final_42_20260909.xlsx | Focused exclusions!A330:O330</t>
  </si>
  <si>
    <t>REC-01575</t>
  </si>
  <si>
    <t>High-Performance Stretchable Strain Sensors Based on Auxetic Fabrics for Human Motion Detection</t>
  </si>
  <si>
    <t>10.1021/acsami.4c13402</t>
  </si>
  <si>
    <t>C1-C6 were identified in the full text. Textile evidence: Results and Discussion The proposed fabric structure and conceptual illustration of the warp-knitted auxetic fabric are presented in Figure 1. Human evidence: Figure 6 demonstrates the response of a strain sensor to cyclic bending and relaxing of the index finger. Quantitative evidence: As shown in Figure 2, the electrical conductivity of the GMAF sensors improves with the increase in the number of dip coating cycles.</t>
  </si>
  <si>
    <t>Focused_Deployment_Rescreen_636_Final_42_20260909.xlsx | Focused exclusions!A331:O331</t>
  </si>
  <si>
    <t>REC-01584</t>
  </si>
  <si>
    <t>Stretchable and High-Performance Fibrous Sensors Based on Ionic Capacitive Sensing for Wearable Healthcare Monitoring</t>
  </si>
  <si>
    <t>10.1002/advs.202412859</t>
  </si>
  <si>
    <t>C1-C6 were identified in the full text. Textile evidence: 2 Result and Discussion 2.1 Performances of the SICF The 3D structure presented in Figure 1 illustrates the triple-layer structure of the stretchable ionic capacitive fiber (SICF), along with schematic representations showing the fibers woven into the textile. Human evidence: Figure 3 shows the response of a stretchable swallow sensor based on SICF, with capacitance changes induced by the movement of muscles in the throat during swallowing. Quantitative evidence: The good mechanical recovery of SICF was demonstrated by the tensile test with a fixed strain of 300% for 100 cycles, which exhibited nearly overlapping stress-strain curves after the first cycle where the irreversible stress relaxation occurred, as shown in Figure 1.</t>
  </si>
  <si>
    <t>Focused_Deployment_Rescreen_636_Final_42_20260909.xlsx | Focused exclusions!A332:O332</t>
  </si>
  <si>
    <t>REC-01608</t>
  </si>
  <si>
    <t>Superhydrophobic Polydimethylsiloxane/CNT/Spandex Composites as Flexible Multifunctional Strain Sensors</t>
  </si>
  <si>
    <t>10.1021/acsanm.4c05287</t>
  </si>
  <si>
    <t>C1-C6 were identified in the full text. Textile evidence: Based on the signal response of the sensor to different bending angles of a single finger, as a proof of concept, we fabricated an intelligent glove (Figure 9). Human evidence: (45−52) Figure 6 shows the relative resistance change of the PDMS/CNT/Spandex flexible sensor during stretching and releasing processes within a range of step deformations from 50% to 300%. Quantitative evidence: The correlation between the concentration of the PDMS solution, conductivity, and WCA of the composite material is shown in Figure 4.</t>
  </si>
  <si>
    <t>Focused_Deployment_Rescreen_636_Final_42_20260909.xlsx | Focused exclusions!A333:O333</t>
  </si>
  <si>
    <t>REC-01611</t>
  </si>
  <si>
    <t>Creation and Analysis of a Respiratory Sensor Using the Screen-Printing Method and the Arduino Platform</t>
  </si>
  <si>
    <t>10.3390/s23042315</t>
  </si>
  <si>
    <t>C1-C6 were identified in the full text. Textile evidence: A conductive thread was sewn into the finished T-shirt, in the places where the printing edges were located, leading inside the side seams to the bottom edge of the T-shirt. Human evidence: In [30], breathing rhythm and electrocardiography (ECG) were measured using flexible substrates on a T-shirt with bi-axial accelerometers involved. Quantitative evidence: In lines 33:35, there is a calculation of R2 for every cycle and a detection of slope of the R2 resistance of a textile sensor (algorithm diagram at Figure 3.) The sign of the delta variable in lines 44:52 informs whether there is an increase in resistance (delta &lt;= 0) or a decrease (delta &gt; 0); i.e</t>
  </si>
  <si>
    <t>Focused_Deployment_Rescreen_636_Final_42_20260909.xlsx | Focused exclusions!A334:O334</t>
  </si>
  <si>
    <t>REC-01636</t>
  </si>
  <si>
    <t>Highly resilient and responsive fabric strain sensors: Their effective integration into textiles and wireless communication for wearable applications</t>
  </si>
  <si>
    <t>10.1016/j.sna.2022.113836</t>
  </si>
  <si>
    <t>ScienceDirect full text: Figure 7 and wearable-system tests</t>
  </si>
  <si>
    <t>A PANI-functionalized tricot warp-knitted fabric was stitched into knee sleeves and gloves and worn during walking, running and finger movements. Quantitative wired/wireless signals and 1000-cycle tests were reported.</t>
  </si>
  <si>
    <t>Focused_Deployment_Rescreen_636_Final_42_20260909.xlsx | Focused exclusions!A335:O335</t>
  </si>
  <si>
    <t>REC-01641</t>
  </si>
  <si>
    <t>Multimodal E-Textile Enabled by One-Step Maskless Patterning of Femtosecond-Laser-Induced Graphene on Nonwoven, Knit, and Woven Textiles</t>
  </si>
  <si>
    <t>10.1021/acsnano.3c04120</t>
  </si>
  <si>
    <t>C1-C6 were identified in the full text. Textile evidence: Figure 2 shows the physical/chemical characteristics of Kevlar-LIG e-textiles according to the various textile structures; nonwoven, knit, and woven-type Kevlar was used in this study to pattern smart LIG e-textiles. Human evidence: Human motion detection was demonstrated by monitoring repetitive wrist motions; Figure 4 and Movie S2 show the time-domain strain trends under the wrist motions recorded by a knit Kevlar/LIG strain sensor. Quantitative evidence: The S1 supercapacitor retained 96.3% of its initial capacitance after 6000 cycles while maintaining a stable charge–discharge triangular shape, as shown in Figure 3.</t>
  </si>
  <si>
    <t>Focused_Deployment_Rescreen_636_Final_42_20260909.xlsx | Focused exclusions!A336:O336</t>
  </si>
  <si>
    <t>REC-01643</t>
  </si>
  <si>
    <t>A green approach to prepare graphene-coated flexible and conductive cotton fabrics for motion sensing</t>
  </si>
  <si>
    <t>10.1007/s10853-025-10592-4</t>
  </si>
  <si>
    <t>C1-C6 were identified in the full text. Textile evidence: Figure 1 shows the preparation steps of cotton fabrics and the final graphene-coated fabric. Human evidence: Figure 6 demonstrates the change in resistance caused by the upward and downward movement of the wrist. Quantitative evidence: Figure 5 Full size image a Resistance changes in straight, compression, and stretching and b the cycle test upon 2300 repetition.</t>
  </si>
  <si>
    <t>Focused_Deployment_Rescreen_636_Final_42_20260909.xlsx | Focused exclusions!A337:O337</t>
  </si>
  <si>
    <t>REC-01648</t>
  </si>
  <si>
    <t>Measurement of 3D Wrist Angles by Combining Textile Stretch Sensors and AI Algorithm</t>
  </si>
  <si>
    <t>10.3390/s24051685</t>
  </si>
  <si>
    <t>C1-C6 were identified in the full text. Textile evidence: Textile Stretch Sensor Fabrication The stretch sensor used in this study was fabricated as follows. Human evidence: In Figure 3, three-axis movements related to wrist exercises are illustrated. Quantitative evidence: This demonstrated higher accuracy compared to other soft sensors available for measuring wrist angles.</t>
  </si>
  <si>
    <t>Focused_Deployment_Rescreen_636_Final_42_20260909.xlsx | Focused exclusions!A338:O338</t>
  </si>
  <si>
    <t>REC-01652</t>
  </si>
  <si>
    <t>Flexible, conductive and multifunctional cotton fabric with surface wrinkled MXene/CNTs microstructure for electromagnetic interference shielding</t>
  </si>
  <si>
    <t>10.1016/j.colsurfa.2022.129713</t>
  </si>
  <si>
    <t>ScienceDirect full text: strain-sensing section and Figure 6</t>
  </si>
  <si>
    <t>A wrinkled MXene/CNT/PDMS coating was fabricated on cotton knitted fabric and used to monitor elbow, finger, wrist and breathing deformation with quantitative relative-resistance traces.</t>
  </si>
  <si>
    <t>Focused_Deployment_Rescreen_636_Final_42_20260909.xlsx | Focused exclusions!A339:O339</t>
  </si>
  <si>
    <t>REC-01666</t>
  </si>
  <si>
    <t>3D dual network effect of alkalinized MXene and hBN in PVA for wearable strain/pressure sensor applications</t>
  </si>
  <si>
    <t>10.1016/j.cej.2023.148063</t>
  </si>
  <si>
    <t>ScienceDirect full text: Sections 2.4 and 3.5, Figure 10</t>
  </si>
  <si>
    <t>Commercial cotton threads were MXene-coated, hydrogel-impregnated, twisted and encapsulated as a textile motion sensor. The thread was attached to a finger and produced quantitative bending response with rapid recovery.</t>
  </si>
  <si>
    <t>Focused_Deployment_Rescreen_636_Final_42_20260909.xlsx | Focused exclusions!A340:O340</t>
  </si>
  <si>
    <t>REC-01667</t>
  </si>
  <si>
    <t>Flexible Mechanical Sensors Fabricated with Graphene Oxide-Coated Commercial Silk</t>
  </si>
  <si>
    <t>10.3390/nano14121000</t>
  </si>
  <si>
    <t>C1-C6 were identified in the full text. Textile evidence: The pressure sensors were fabricated by simply dipping the silk fabric into GO solution followed by applying a thermal treatment at 400 °C to obtain reduced GO (rGO). Human evidence: Figure 8 shows the detection of finger motion. Quantitative evidence: The sensitivity of the three sensors is depicted in Figure 3–e.</t>
  </si>
  <si>
    <t>Focused_Deployment_Rescreen_636_Final_42_20260909.xlsx | Focused exclusions!A341:O341</t>
  </si>
  <si>
    <t>REC-01679</t>
  </si>
  <si>
    <t>Skin-Mount Textile-Based Flexible Strain Sensors for Physiotherapy</t>
  </si>
  <si>
    <t>10.1002/adem.202301138</t>
  </si>
  <si>
    <t>C1-C6 were identified in the full text. Textile evidence: At the start, the jeans-fabric sensor was mounted on the human knee and commenced its first therapy session. Human evidence: The wireless system was assembled in which the prototypes were attached to a human knee and neck as wearable sensors, and the output of therapy sessions was shown on the mobile phone application. Quantitative evidence: Figure 3 demonstrates the response and recovery time of textile-based strain sensors and strain sensor stability in bending–unbending cycles.</t>
  </si>
  <si>
    <t>Focused_Deployment_Rescreen_636_Final_42_20260909.xlsx | Focused exclusions!A342:O342</t>
  </si>
  <si>
    <t>REC-01681</t>
  </si>
  <si>
    <t>Response Regulation for Epidermal Fabric Strain Sensors via Mechanical Strategy</t>
  </si>
  <si>
    <t>10.1002/adfm.202214119</t>
  </si>
  <si>
    <t>C1-C6 were identified in the full text. Textile evidence: Figure 3 presents the average water vapor transmission rates ( ) for various materials, such as conventional textile, TPU film, TPU fiber mat, and gold-plated TPU fiber mats fabricated by methods D and Y, at a constant temperature (25 °C) and constant humidity (50%) environment lasting one week. Human evidence: Figure 4 shows the recorded epidermal strain signals from a participant during walking, running, and cycling. Quantitative evidence: The electromechanical response for method Y is (3) where the gauge factor αY is a function of εY − plating, that αY = 1.442/(εY − plating + 0.084) + 1.336 (see details in Figure 2; Figure S8b–d, Note S4, Supporting Information).</t>
  </si>
  <si>
    <t>Focused_Deployment_Rescreen_636_Final_42_20260909.xlsx | Focused exclusions!A343:O343</t>
  </si>
  <si>
    <t>REC-01727</t>
  </si>
  <si>
    <t>Textile Knitted Stretch Sensors for Wearable Health Monitoring: Design and Performance Evaluation</t>
  </si>
  <si>
    <t>10.3390/bios13010034</t>
  </si>
  <si>
    <t>C1-C6 were identified in the full text. Textile evidence: Compared to the integrated rigid sensor [12,13,14,15], the in-fabric sensor design refers to a sophisticated technique where the sensing materials are seamlessly incorporated into the textile fabric during the fabric manufacturing process [16,17,18]. Human evidence: Figure 2 represents the overview of the structural design, where the wale is a column of loops running lengthwise, and the course is a crosswise row of loops. Quantitative evidence: For Figure 9, we measured the unstretched and stretched mean resistance at cycle-1 and cycle-1000 using Equations (2) and (3), respectively, and plotted all the results together.</t>
  </si>
  <si>
    <t>Focused_Deployment_Rescreen_636_Final_42_20260909.xlsx | Focused exclusions!A344:O344</t>
  </si>
  <si>
    <t>REC-01731</t>
  </si>
  <si>
    <t>High-Performance Textile-Based Capacitive Strain Sensors via Enhanced Vapor Phase Polymerization of Pyrrole and Their Application to Machine Learning-Assisted Hand Gesture Recognition</t>
  </si>
  <si>
    <t>10.1002/aisy.202400292</t>
  </si>
  <si>
    <t>C1-C6 were identified in the full text. Textile evidence: 2.2.2 Gesture Experiment Protocol Sitting volunteers were asked to make a series of hand gestures (Figure 2 and Video S2, Supporting Information) for 36 s with a few seconds rest between gestures while wearing the sensors-integrated glove on the right hand (Figure 2). Human evidence: To monitor various gestures (Figure 2), the sensor was affixed on a 100% cotton textile glove (internal ETH provider) by ensuring that the middle of the sensor would be at the proximal interphalangeal joint, between the proximal and intermediate phalanges, except for the sensor going over the thumb which would be situated over the proximal and distal phalanges (Figure 2). Quantitative evidence: Furthermore, for lower strains, the GF (Figure 7) was higher than the theoretical limit for capacitive strain sensors which is 1.</t>
  </si>
  <si>
    <t>Focused_Deployment_Rescreen_636_Final_42_20260909.xlsx | Focused exclusions!A345:O345</t>
  </si>
  <si>
    <t>REC-01750</t>
  </si>
  <si>
    <t>An Alternative Method to Develop Embroidery Textile Strain Sensors</t>
  </si>
  <si>
    <t>10.3390/textiles1030026</t>
  </si>
  <si>
    <t>Full text: Materials and Methods knee-pad test; Figure 5; Conclusions</t>
  </si>
  <si>
    <t>The silver-plated nylon sensor was embroidered into an elastic knee-pad and characterized over 0-65% elongation. During the wearable test, the instrumented knee was flexed from 180 degrees to 300 degrees; resistance was recorded at each angle and the angle was independently measured from photographs using ergonomic image-analysis software.</t>
  </si>
  <si>
    <t>Focused_Deployment_Rescreen_636_Final_42_20260909.xlsx | Focused exclusions!A346:O346</t>
  </si>
  <si>
    <t>REC-01790</t>
  </si>
  <si>
    <t>Fabrication of electrically conductive poly(styrene-b-ethylene-ran-butylene-b-styrene)/multi-walled carbon nanotubes composite fiber and its application in ultra-stretchable strain sensor</t>
  </si>
  <si>
    <t>10.1016/j.eurpolymj.2022.111121</t>
  </si>
  <si>
    <t>ScienceDirect full text: Figure 9</t>
  </si>
  <si>
    <t>SEBS/MWCNT composite fibers were knitted into fabric and sewn onto an elbow sleeve worn by a volunteer. Quantitative elbow-bending response was reported together with other participant motion tests.</t>
  </si>
  <si>
    <t>Focused_Deployment_Rescreen_636_Final_42_20260909.xlsx | Focused exclusions!A347:O347</t>
  </si>
  <si>
    <t>REC-01791</t>
  </si>
  <si>
    <t>A Conductive Bamboo Fabric with Controllable Resistance for Tailoring Wearable Sensors</t>
  </si>
  <si>
    <t>10.1021/acsami.2c04192</t>
  </si>
  <si>
    <t>C1-C6 were identified in the full text. Textile evidence: If two sides of the fabric were coated, the initial Rvi was around 200 MΩ (Figure 4), close to 10 times that of fabric with one-side coating. Human evidence: As shown in Figure 5, the output signal can accurately and quickly reflect the degree of bending of a human finger, which vibrated around the selected output signal value when the repeated bending test of a finger sleeve was performed, with a response time smaller than 0.1 s. Quantitative evidence: The initial fabric vertical resistance (Rvi) was 630 KΩ without any pressure (Figure 4); it then reduced, at a rate faster than the monoexponential decay, to 120 KΩ at the pressure of 1.2 N, indicating very good sensitivity.</t>
  </si>
  <si>
    <t>Focused_Deployment_Rescreen_636_Final_42_20260909.xlsx | Focused exclusions!A348:O348</t>
  </si>
  <si>
    <t>REC-01811</t>
  </si>
  <si>
    <t>Stretchable and Designable Textile Pattern Strain Sensors Based on Graphene Decorated Conductive Nylon Filaments</t>
  </si>
  <si>
    <t>10.1002/mame.201900244</t>
  </si>
  <si>
    <t>C1-C6 were identified in the full text. Textile evidence: Especially, the filament was first twisted with the commercial elastic spandex and then combined with the pink woolen yarn to form the tubular knitted fabric with a manual knitting machine (JWE-1106) as shown in Figure 1. Human evidence: Figure 6 Open in figure viewer PowerPoint a) Mechanical stretching images of the linear-type and knitted-loop-type sensor, b) strain-dependent resistance change (ΔR/R0) characteristics of strain sensors. Quantitative evidence: Figure 2 Open in figure viewer PowerPoint Representative scanning electron microscopy images of a1,a2) untreated nylon filament, b1,b2) 30%GR, c1,c2) 60%GR decorated nylon filaments.</t>
  </si>
  <si>
    <t>Focused_Deployment_Rescreen_636_Final_42_20260909.xlsx | Focused exclusions!A349:O349</t>
  </si>
  <si>
    <t>REC-01812</t>
  </si>
  <si>
    <t>Manufacturing and characterization of novel silicone/natural fabric/graphene-based functional composites for human body motion sensing</t>
  </si>
  <si>
    <t>10.1002/pc.26074</t>
  </si>
  <si>
    <t>C1-C6 were identified in the full text. Textile evidence: Ecoflex is also skin-safe, soft, highly stretchable (εbreak &gt; 100%), and a strong (tensile strength ~1.38 MPa) elastomer with a specific gravity of 1.07 g/cc.[34] 2.2 Fabrication of conductive natural fabric composites The conductive fabrics were prepared using an unconventional coating technique, w Human evidence: The sensors were placed on different parts of the body, finger joint, wrist, elbow joint, and knee joint, as shown in Figure 11 and their respective strain-sensing results are given in Figure 12. Quantitative evidence: Ecoflex is also skin-safe, soft, highly stretchable (εbreak &gt; 100%), and a strong (tensile strength ~1.38 MPa) elastomer with a specific gravity of 1.07 g/cc.[34] 2.2 Fabrication of conductive natural fabric composites The conductive fabrics were prepared using an unconventional coating technique, w</t>
  </si>
  <si>
    <t>Focused_Deployment_Rescreen_636_Final_42_20260909.xlsx | Focused exclusions!A350:O350</t>
  </si>
  <si>
    <t>REC-01831</t>
  </si>
  <si>
    <t>Direct-laser-conversion of Kevlar textile to laser-induced-graphene for realizing fast and flexible fabric strain sensors</t>
  </si>
  <si>
    <t>10.1016/j.cirp.2022.04.077</t>
  </si>
  <si>
    <t>ScienceDirect full text: Figures 5-7</t>
  </si>
  <si>
    <t>Laser-induced graphene was patterned directly on knit Kevlar textile. The fabric sensor measured wrist ECG and index-finger motion and produced quantitative strain response with 100- and 1200-cycle stability tests.</t>
  </si>
  <si>
    <t>Focused_Deployment_Rescreen_636_Final_42_20260909.xlsx | Focused exclusions!A351:O351</t>
  </si>
  <si>
    <t>REC-01838</t>
  </si>
  <si>
    <t>Gas-permeable and highly sensitive, washable and wearable strain sensors based on graphene/carbon nanotubes hybrids e-textile</t>
  </si>
  <si>
    <t>10.1016/j.compositesa.2021.106556</t>
  </si>
  <si>
    <t>ScienceDirect full text: human-motion methods and Figure 8</t>
  </si>
  <si>
    <t>Graphene/CNT hybrids were formed on a nonwoven textile and attached to skin or clothing. Finger, chest, pulse, muscle and heartbeat responses were recorded quantitatively on volunteers.</t>
  </si>
  <si>
    <t>Focused_Deployment_Rescreen_636_Final_42_20260909.xlsx | Focused exclusions!A352:O352</t>
  </si>
  <si>
    <t>REC-01856</t>
  </si>
  <si>
    <t>Smart shirt system for compensatory movement retraining assistance: feasibility study</t>
  </si>
  <si>
    <t>10.1007/s12553-020-00420-x</t>
  </si>
  <si>
    <t>A volunteer wearing an 11-sensor smart shirt performed repeated physiotherapist-directed tests; informed consent and quantitative feedback were reported.</t>
  </si>
  <si>
    <t>Focused_Deployment_Rescreen_636_Final_42_20260909.xlsx | Focused exclusions!A353:O353</t>
  </si>
  <si>
    <t>REC-01889</t>
  </si>
  <si>
    <t>Highly Sensitive MXene Helical Yarn/Fabric Tactile Sensors Enabling Full Scale Movement Detection of Human Motions</t>
  </si>
  <si>
    <t>10.1002/aelm.202100890</t>
  </si>
  <si>
    <t>C1-C6 were identified in the full text. Textile evidence: In Figure 5, value of ΔR/R0 synchronously changed while the volunteer naturally stretched five fingers to repeat every certain action of “OK,” “Like,” “One,” “Two,” “Three,” “Four,” respectively, via 5 MTS yarn sensors embedded in a knitted glove. Human evidence: While the sensitivity of MXene (Figure 3) raised steadily, showing the advantage of monitoring facial expressions (small), sign language (middle), and motion detection (large) deformations. Quantitative evidence: After that, two pristine polyester filaments are immersed in MXene dispersions to obtain better conductivity and sensitivity, which is to prepare for fabricating highly elastic MTS helical wrapped yarn with a spandex as core yarn according to Figure 1.</t>
  </si>
  <si>
    <t>Focused_Deployment_Rescreen_636_Final_42_20260909.xlsx | Focused exclusions!A354:O354</t>
  </si>
  <si>
    <t>REC-01917</t>
  </si>
  <si>
    <t>Multifunctional and stretchable graphene/textile composite sensor for human motion monitoring</t>
  </si>
  <si>
    <t>10.1002/app.52755</t>
  </si>
  <si>
    <t>C1-C6 were identified in the full text. Textile evidence: FIGURE 3 Open in figure viewer PowerPoint Schematic of process for coating a knitted fabric with graphene nanoplatelets (GNPs) [Color figure can be viewed at wileyonlinelibrary.com] This fabrication process was repeated with different GNP suspension proportions (0.3, 0.6, 0.9, 1.2, and 1.5 wt%) at d Human evidence: In the sensor application section, the graphene-based textile sensor was attached to the extensor surfaces of four different joints including finger, wrist, elbow and knee, at a standard anatomically neutral or straight position (0°). Quantitative evidence: As shown in Figure 4 (right), acrylic/Spandex fabrics has much larger sensing range due to its ability to stretch much further than the other types of fabrics.</t>
  </si>
  <si>
    <t>Focused_Deployment_Rescreen_636_Final_42_20260909.xlsx | Focused exclusions!A355:O355</t>
  </si>
  <si>
    <t>REC-01927</t>
  </si>
  <si>
    <t>Porous Fibers Composed of Polymer Nanoball Decorated Graphene for Wearable and Highly Sensitive Strain Sensors</t>
  </si>
  <si>
    <t>10.1002/adfm.201903732</t>
  </si>
  <si>
    <t>C1-C6 were identified in the full text. Textile evidence: 2.2 Applications To test their application as wearable sensors, we integrated the PGFs onto commercial bandage without polymer encapsulating and pasted it on the wrist to collect pulse signals (Figure 4). Human evidence: The pulse is a very important but relatively small physiological signal for systolic and diastolic blood pressure as well as to determine the heart rate.40 As shown in Figure 4, the pulse signals are very clear and show beats rate of 68 min−1. Quantitative evidence: To further underline the superiority of the nanoball structure over the nanoball-free structure, finite element simulations (FES) were conducted to forecast the sensitivity (Tables S1 and S2, Supporting Information), as shown in Figure 2.</t>
  </si>
  <si>
    <t>Focused_Deployment_Rescreen_636_Final_42_20260909.xlsx | Focused exclusions!A356:O356</t>
  </si>
  <si>
    <t>REC-01962</t>
  </si>
  <si>
    <t>Highly Sensitive Textile Strain Sensors and Wireless User-Interface Devices Using All-Polymeric Conducting Fibers</t>
  </si>
  <si>
    <t>10.1021/acsami.7b01771</t>
  </si>
  <si>
    <t>C1-C6 were identified in the full text. Textile evidence: For the fabrication of the strain-sensor-based UI devices, the textile strain sensors were sewn to the finger sections of a glove. Human evidence: For the fabrication of the strain-sensor-based UI devices, the textile strain sensors were sewn to the finger sections of a glove. Quantitative evidence: Correspondingly, the gauge factor (G), which is defined as G = (|ΔR|/R0)/(ΔL/L0), was higher for the linear-type strain sensor (G = 0.76) than for the zigzag-type strain sensor (G = 0.10) (Figure 2).</t>
  </si>
  <si>
    <t>Focused_Deployment_Rescreen_636_Final_42_20260909.xlsx | Focused exclusions!A357:O357</t>
  </si>
  <si>
    <t>REC-01981</t>
  </si>
  <si>
    <t>Transparent and Waterproof Ionic Liquid-Based Fibers for Highly Durable Multifunctional Sensors and Strain-Insensitive Stretchable Conductors</t>
  </si>
  <si>
    <t>10.1021/acsami.7b17790</t>
  </si>
  <si>
    <t>C1-C6 were identified in the full text. Textile evidence: Next, a smart glove for the right hand is fabricated for the recognition of human sign language and hand gestures by integrating the SCFs into each finger of a fabric glove (Figure 5). Human evidence: Figure 1 illustrates the relative resistance change (R/R0, where R is the resistance in real-time and R0 is the original resistance) of different strain sensors as a function of strain. Quantitative evidence: From Figure 1, the ideal situation has the largest sensitivity under stretching and, as with the increase in channel diameter, the GFs under each strain diminish.</t>
  </si>
  <si>
    <t>Focused_Deployment_Rescreen_636_Final_42_20260909.xlsx | Focused exclusions!A358:O358</t>
  </si>
  <si>
    <t>REC-00107</t>
  </si>
  <si>
    <t>Preliminary Validity and Acceptability of Motion Tape for Measuring Low Back Movement: Mixed Methods Study</t>
  </si>
  <si>
    <t>10.2196/57953</t>
  </si>
  <si>
    <t>Abstract, Methods and Results</t>
  </si>
  <si>
    <t>Fabric-based graphene Motion Tape measured low-back skin strain in 10 participants against optical motion capture; correlations ranged from -0.915 to 0.983.</t>
  </si>
  <si>
    <t>Focused_Deployment_Rescreen_636_Final_42_20260909.xlsx | Focused exclusions!A359:O359</t>
  </si>
  <si>
    <t>REC-00115</t>
  </si>
  <si>
    <t>Soft Smart Garments for Lower Limb Joint Position Analysis</t>
  </si>
  <si>
    <t>10.3390/s17102314</t>
  </si>
  <si>
    <t>Abstract and Sections 2.2-2.4</t>
  </si>
  <si>
    <t>Conductive-textile capacitive sensors were integrated in knee and ankle garments and evaluated during human movements against optical tracking; worst-case RMSE was below 4 degrees.</t>
  </si>
  <si>
    <t>Focused_Deployment_Rescreen_636_Final_42_20260909.xlsx | Focused exclusions!A360:O360</t>
  </si>
  <si>
    <t>REC-00283</t>
  </si>
  <si>
    <t>Highly Stretchable Textile Knitted Interdigital Sensor for Wearable Technology Applications</t>
  </si>
  <si>
    <t>10.1002/adsr.202300121</t>
  </si>
  <si>
    <t>Abstract and Sections 2.1-2.2</t>
  </si>
  <si>
    <t>The knitted interdigital capacitive sensor was integrated into a knee brace and tested during walking and cycling; reported performance included 230% stretch, R2 0.997, GF -0.68 and 66 ms response.</t>
  </si>
  <si>
    <t>Focused_Deployment_Rescreen_636_Final_42_20260909.xlsx | Focused exclusions!A361:O361</t>
  </si>
  <si>
    <t>REC-00411</t>
  </si>
  <si>
    <t>Highly conductive composites using polypyrrole and carbon nanotubes on polydopamine functionalized cotton fabric for wearable sensing and heating applications</t>
  </si>
  <si>
    <t>10.1007/s10570-023-05356-9</t>
  </si>
  <si>
    <t>Abstract and strain-sensing results</t>
  </si>
  <si>
    <t>PPy/SWCNT/PDA was deposited on knitted cotton fabric and the composite was demonstrated during finger bending, handwriting and drinking with real-time electromechanical output.</t>
  </si>
  <si>
    <t>Focused_Deployment_Rescreen_636_Final_42_20260909.xlsx | Focused exclusions!A362:O362</t>
  </si>
  <si>
    <t>REC-00514</t>
  </si>
  <si>
    <t>A Textile Sensor for Long Durations of Human Motion Capture</t>
  </si>
  <si>
    <t>10.3390/s19102369</t>
  </si>
  <si>
    <t>Abstract and Sections 3-3.3</t>
  </si>
  <si>
    <t>A fabric-and-conductive-yarn knee sensor was worn by a consenting participant, calibrated against an electrogoniometer and evaluated during indoor and outdoor activities.</t>
  </si>
  <si>
    <t>Focused_Deployment_Rescreen_636_Final_42_20260909.xlsx | Focused exclusions!A363:O363</t>
  </si>
  <si>
    <t>REC-00719</t>
  </si>
  <si>
    <t>Graphene K-Tape Meshes for Densely Distributed Human Motion Monitoring</t>
  </si>
  <si>
    <t>10.1002/admt.202000861</t>
  </si>
  <si>
    <t>Complete accepted manuscript, pp. 7-13 and 15-17; Figures 2-3</t>
  </si>
  <si>
    <t>The peer-reviewed accepted manuscript reports graphene-coated kinesiology textile tape as a piezoresistive strain sensor, with quantitative electromechanical characterization and human-subject testing on the wrist, shoulder/upper arm, knee and biceps. The paper therefore meets C1-C6.</t>
  </si>
  <si>
    <t>Focused_Deployment_Rescreen_636_Final_42_20260909.xlsx | Focused exclusions!A364:O364</t>
  </si>
  <si>
    <t>REC-00998</t>
  </si>
  <si>
    <t>A Transparent Strain Sensor Based on PDMS-Embedded Conductive Fabric for Wearable Sensing Applications</t>
  </si>
  <si>
    <t>10.1109/access.2018.2881463</t>
  </si>
  <si>
    <t>Abstract and Sections I-V</t>
  </si>
  <si>
    <t>An original IEEE journal study fabricated a PDMS-embedded conductive-fabric strain sensor and evaluated it in body-part movement and tactile-sensing demonstrations with quantitative electromechanical results.</t>
  </si>
  <si>
    <t>Focused_Deployment_Rescreen_636_Final_42_20260909.xlsx | Focused exclusions!A365:O365</t>
  </si>
  <si>
    <t>REC-01079</t>
  </si>
  <si>
    <t>Multimodal Flexible Sensor for the Detection of Pressing-Bending-Twisting Mechanical Deformations</t>
  </si>
  <si>
    <t>10.1021/acsami.4c13941</t>
  </si>
  <si>
    <t>Complete ACS article; Applications section and Figures 9-10</t>
  </si>
  <si>
    <t>A conductive-fabric strain channel was integrated into a wrist-worn multimodal sensor. Figures 9-10 report human wrist bending, twisting and pressing signals used to control a robotic arm, with quantitative deformation-estimation accuracy and goodness-of-fit values.</t>
  </si>
  <si>
    <t>Focused_Deployment_Rescreen_636_Final_42_20260909.xlsx | Focused exclusions!A366:O366</t>
  </si>
  <si>
    <t>REC-01167</t>
  </si>
  <si>
    <t>Hybrid Piezo-Capacitive Multimodal Sensors Based on Polyurethane-Poly(vinylidene fluoride) Nanofibers for Wearable E-Textiles</t>
  </si>
  <si>
    <t>10.1021/acsaelm.3c00346</t>
  </si>
  <si>
    <t>Complete ACS article; Section 3.5 and Figure 5</t>
  </si>
  <si>
    <t>The nanofiber capacitive sensor was attached to stretchable fabric and wrapped around a volunteer's neck, finger, wrist, elbow and knee. Figure 5 reports capacitance changes during flexion and extension; sensitivity was reported as 0.16 per degree over 78-180 degrees.</t>
  </si>
  <si>
    <t>Focused_Deployment_Rescreen_636_Final_42_20260909.xlsx | Focused exclusions!A367:O367</t>
  </si>
  <si>
    <t>REC-01220</t>
  </si>
  <si>
    <t>Wrinkled and Fibrous Conductive Bandages with Tunable Mechanoelectrical Response Toward Wearable Strain Sensors</t>
  </si>
  <si>
    <t>10.1007/s42765-024-00417-5</t>
  </si>
  <si>
    <t>Abstract and Experimental Section, Characterizations</t>
  </si>
  <si>
    <t>CNT-coated nonwoven self-adhesive bandages were fixed to multiple epidermal regions for strain monitoring; gauge factors of 2-850 and quantitative wearable measurements were reported.</t>
  </si>
  <si>
    <t>Focused_Deployment_Rescreen_636_Final_42_20260909.xlsx | Focused exclusions!A368:O368</t>
  </si>
  <si>
    <t>REC-01413</t>
  </si>
  <si>
    <t>A Meander-Grid Stretchable Patch Antenna Sensor for Wireless Monitoring of Joint Motion</t>
  </si>
  <si>
    <t>10.1007/s11220-026-00786-8</t>
  </si>
  <si>
    <t>Abstract and Sections 1-2.1</t>
  </si>
  <si>
    <t>A spandex and silver-fabric patch antenna was deployed on human wrist and knee joints; frequency shifts of 100 and 130 MHz, sensitivity 0.22 and R2 0.997 were reported.</t>
  </si>
  <si>
    <t>Focused_Deployment_Rescreen_636_Final_42_20260909.xlsx | Focused exclusions!A369:O369</t>
  </si>
  <si>
    <t>REC-01900</t>
  </si>
  <si>
    <t>Highly Conductive, Scalable, and Machine Washable Graphene-Based E-Textiles for Multifunctional Wearable Electronic Applications</t>
  </si>
  <si>
    <t>10.1002/adfm.202000293</t>
  </si>
  <si>
    <t>Abstract and Sections 1-2</t>
  </si>
  <si>
    <t>Graphene-coated poly-cotton e-textiles were demonstrated as skin-mounted strain sensors and remained conductive after 10 home-laundry cycles with repeatable deformation responses.</t>
  </si>
  <si>
    <t>Focused_Deployment_Rescreen_636_Final_42_20260909.xlsx | Focused exclusions!A370:O370</t>
  </si>
  <si>
    <t>REC-00003</t>
  </si>
  <si>
    <t>Textile-Based Body Capacitive Sensing for Knee Angle Monitoring</t>
  </si>
  <si>
    <t>10.3390/s23249657</t>
  </si>
  <si>
    <t>Abstract, Section 2.2 Experimental Protocol, and Results</t>
  </si>
  <si>
    <t>A conductive-fabric strain sensor was worn above the knee by a participant and evaluated during knee flexion and squats against optical motion capture; quantitative agreement included R2 values of 0.77-0.99 and reported errors.</t>
  </si>
  <si>
    <t>Focused_Deployment_Rescreen_636_Final_42_20260909.xlsx | Focused exclusions!A371:O371</t>
  </si>
  <si>
    <t>REC-00008</t>
  </si>
  <si>
    <t>Ramie Fabric Treated with Carboxymethylcellulose and Laser Engraved for Strain and Humidity Sensing</t>
  </si>
  <si>
    <t>10.3390/mi13081309</t>
  </si>
  <si>
    <t>Results and Discussion, Figure 7e</t>
  </si>
  <si>
    <t>The textile strain sensor was attached to an index finger and produced repeatable electrical signals during finger bending; quantitative bench characterization, including 5000 cycles, was also reported.</t>
  </si>
  <si>
    <t>Focused_Deployment_Rescreen_636_Final_42_20260909.xlsx | Focused exclusions!A372:O372</t>
  </si>
  <si>
    <t>REC-00024</t>
  </si>
  <si>
    <t>Hierarchically Plied Mechano-Electrochemical Energy Harvesting Using a Scalable Kinematic Sensing Textile Woven from a Graphene-Coated Commercial Cotton Yarn</t>
  </si>
  <si>
    <t>10.1021/acs.nanolett.3c02221</t>
  </si>
  <si>
    <t>Complete ACS article; Figure 5 and accompanying wearable-sensor results</t>
  </si>
  <si>
    <t>The graphene-coated cotton yarn was woven into a textile wrist brace. Figure 5e-g reports the two-axis short-circuit-current response during wrist bending, and the same article reports a linear output over 2-10% applied strain.</t>
  </si>
  <si>
    <t>Focused_Deployment_Rescreen_636_Final_42_20260909.xlsx | Focused exclusions!A373:O373</t>
  </si>
  <si>
    <t>REC-00039</t>
  </si>
  <si>
    <t>Three-Directional Spacer-Knitted Piezoresistant Strain and Pressure Sensor for Electronic Integration and On-Body Applications</t>
  </si>
  <si>
    <t>10.1021/acsami.3c09238</t>
  </si>
  <si>
    <t>Complete ACS article; Sections 3.8.1-3.8.2 and Figure 9</t>
  </si>
  <si>
    <t>The machine-knitted sensor was sewn into a glove, collar, respiration belt and garment array. Figure 9 reports quantitative resistance responses for finger, neck, knee, wrist and elbow motion and for an on-body sitting-posture array.</t>
  </si>
  <si>
    <t>Focused_Deployment_Rescreen_636_Final_42_20260909.xlsx | Focused exclusions!A374:O374</t>
  </si>
  <si>
    <t>REC-00042</t>
  </si>
  <si>
    <t>Flexible and Highly Conductive Textiles Induced by Click Chemistry for Sensitive Motion and Humidity Monitoring</t>
  </si>
  <si>
    <t>10.1021/acsami.2c06937</t>
  </si>
  <si>
    <t>Complete ACS article; motion-monitoring results and Figure 5</t>
  </si>
  <si>
    <t>Patterned conductive fabric was used as a strain-sensitive wearable sensor. Figure 5 records current signals during mouth opening, speech, wrist bending, smiling and neck bending, with quantitative cyclic bending and resistance-response characterization.</t>
  </si>
  <si>
    <t>Focused_Deployment_Rescreen_636_Final_42_20260909.xlsx | Focused exclusions!A375:O375</t>
  </si>
  <si>
    <t>REC-00049</t>
  </si>
  <si>
    <t>Highly Dispersed, Adhesive Carbon Nanotube Ink for Strain and Pressure Sensors</t>
  </si>
  <si>
    <t>10.1021/acsami.1c20133</t>
  </si>
  <si>
    <t>Complete ACS article; wearable application results and Figure 4</t>
  </si>
  <si>
    <t>A stencil-printed textile strain sensor was encapsulated and attached to the face, throat, finger, wrist and elbow. Figure 4 reports real-time relative-resistance responses to repeated smiles, speech vibration, finger folding, wrist bending and elbow twisting.</t>
  </si>
  <si>
    <t>Focused_Deployment_Rescreen_636_Final_42_20260909.xlsx | Focused exclusions!A376:O376</t>
  </si>
  <si>
    <t>REC-00071</t>
  </si>
  <si>
    <t>Design of Electro-Thermal Glove with Sensor Function for Raynaud's Phenomenon Patients</t>
  </si>
  <si>
    <t>10.3390/ma14020377</t>
  </si>
  <si>
    <t>Strain-sensing application section and Figure 10</t>
  </si>
  <si>
    <t>Conductive knitted purl fabric was attached to the finger, wrist, and knee and produced resistance responses during human movement; strain-response curves and gauge factor were reported.</t>
  </si>
  <si>
    <t>Focused_Deployment_Rescreen_636_Final_42_20260909.xlsx | Focused exclusions!A377:O377</t>
  </si>
  <si>
    <t>REC-00084</t>
  </si>
  <si>
    <t>Wearable and Flexible Multifunctional Sensor Based on Laser-Induced Graphene for the Sports Monitoring System</t>
  </si>
  <si>
    <t>10.1021/acsami.2c14847</t>
  </si>
  <si>
    <t>Complete ACS article; Section 2.4 and Figure 6</t>
  </si>
  <si>
    <t>The fabric/LIG/PDMS strain sensor was sewn into volleyball sportswear. Figure 6 reports resistance responses for knee bending at 30, 90 and 120 degrees and for wrist bending during a spike; the sensor was also characterized quantitatively for linearity and response time.</t>
  </si>
  <si>
    <t>Focused_Deployment_Rescreen_636_Final_42_20260909.xlsx | Focused exclusions!A378:O378</t>
  </si>
  <si>
    <t>REC-00114</t>
  </si>
  <si>
    <t>Durable and Multifunctional Superhydrophobic Coatings with Excellent Joule Heating and Electromagnetic Interference Shielding Performance for Flexible Sensing Electronics</t>
  </si>
  <si>
    <t>10.1021/acsami.9b11895</t>
  </si>
  <si>
    <t>Complete ACS article; strain-sensing results and Figure 6</t>
  </si>
  <si>
    <t>The conductive coating was applied to fabric and used as a wearable strain sensor. Figure 6 reports real-time resistance responses from sensors placed on fingers, wrist, elbow, knee, throat and forehead; the article reports a 0.5% detection limit and gauge factor up to 1075.</t>
  </si>
  <si>
    <t>Focused_Deployment_Rescreen_636_Final_42_20260909.xlsx | Focused exclusions!A379:O379</t>
  </si>
  <si>
    <t>REC-00133</t>
  </si>
  <si>
    <t>Ag NW-Embedded Coaxial Nanofiber-Coated Yarns with High Stretchability and Sensitivity for Wearable Multi-Sensing Textiles</t>
  </si>
  <si>
    <t>10.1021/acsami.2c20322</t>
  </si>
  <si>
    <t>Complete ACS article; wearable demonstrations, Figure 6 and Experimental Section 4.4</t>
  </si>
  <si>
    <t>Ag-nanowire coaxial sensing yarns were woven with elastic filaments and mounted on body sites. Figure 6 reports resistance responses for elbow bending, cheek movement, speech and wrist bending; the article reports strain gauge factors over a 0-160% range.</t>
  </si>
  <si>
    <t>Focused_Deployment_Rescreen_636_Final_42_20260909.xlsx | Focused exclusions!A380:O380</t>
  </si>
  <si>
    <t>REC-00137</t>
  </si>
  <si>
    <t>High Durability and Waterproofing rGO/SWCNT-Fabric-Based Multifunctional Sensors for Human-Motion Detection</t>
  </si>
  <si>
    <t>10.1021/acsami.7b15386</t>
  </si>
  <si>
    <t>Complete ACS article; wearable motion-glove results and Figure 4</t>
  </si>
  <si>
    <t>Cotton fabric was coated with rGO/SWCNTs and integrated into a glove. Figure 4 reports relative-resistance changes during pressing, finger bending, grasping and wrist bending/rotation, including approximate response magnitudes.</t>
  </si>
  <si>
    <t>Focused_Deployment_Rescreen_636_Final_42_20260909.xlsx | Focused exclusions!A381:O381</t>
  </si>
  <si>
    <t>REC-00157</t>
  </si>
  <si>
    <t>Progressive and Asymmetrical Deadlift Loads Captured by Wearable Motion Tape Sensors</t>
  </si>
  <si>
    <t>10.3390/s24237700</t>
  </si>
  <si>
    <t>Methods, Results, Conclusions, and ethics statement</t>
  </si>
  <si>
    <t>Four fabric-based Motion Tape sensors were worn by a participant during deadlifts and compared with sEMG; quantitative asymmetry and load responses included a Pearson correlation of 0.997.</t>
  </si>
  <si>
    <t>Focused_Deployment_Rescreen_636_Final_42_20260909.xlsx | Focused exclusions!A382:O382</t>
  </si>
  <si>
    <t>REC-00165</t>
  </si>
  <si>
    <t>Wearable Sensor Array Design for Spine Posture Monitoring During Exercise Incorporating Biofeedback</t>
  </si>
  <si>
    <t>10.1109/tbme.2020.2971907</t>
  </si>
  <si>
    <t>Abstract and full article sections</t>
  </si>
  <si>
    <t>A wearable stretch-sensor array in a garment or harness was evaluated in one volunteer patient and six additional subjects during physical-therapy exercises; performance was reported as 70-100% sensitivity and 100% specificity.</t>
  </si>
  <si>
    <t>Focused_Deployment_Rescreen_636_Final_42_20260909.xlsx | Focused exclusions!A383:O383</t>
  </si>
  <si>
    <t>REC-00210</t>
  </si>
  <si>
    <t>Dynamically Stretchable Supercapacitor for Powering an Integrated Biosensor in an All-in-One Textile System</t>
  </si>
  <si>
    <t>10.1021/acsnano.9b04340</t>
  </si>
  <si>
    <t>Complete ACS article; all-in-one textile-system results and Figure 6</t>
  </si>
  <si>
    <t>The strain sensor and supercapacitor were fabricated on stretchable textile and sewn to a T-shirt and glove. Figure 6 reports current changes during finger, wrist and elbow bending and wrist-pulse monitoring.</t>
  </si>
  <si>
    <t>Focused_Deployment_Rescreen_636_Final_42_20260909.xlsx | Focused exclusions!A384:O384</t>
  </si>
  <si>
    <t>REC-00217</t>
  </si>
  <si>
    <t>Tannic acid facilitated layer-by-layer nanoarchitectonics for hydrophobic conductive cotton fabric with improved stability for thermal management and flexible sensing</t>
  </si>
  <si>
    <t>10.1016/j.ijbiomac.2025.140493</t>
  </si>
  <si>
    <t>Methods, strain-sensing results, Figure 6, and Conclusions</t>
  </si>
  <si>
    <t>A hydrophobic conductive cotton-fabric strain sensor was quantitatively characterized (GF 8.75; response 0.24 s) and used on the body to monitor finger and wrist bending, chewing, and swallowing.</t>
  </si>
  <si>
    <t>Focused_Deployment_Rescreen_636_Final_42_20260909.xlsx | Focused exclusions!A385:O385</t>
  </si>
  <si>
    <t>REC-00224</t>
  </si>
  <si>
    <t>Strain-Driven Negative Resistance Switching of Conductive Fibers with Adjustable Sensitivity for Wearable Healthcare Monitoring Systems with Near-Zero Standby Power</t>
  </si>
  <si>
    <t>10.1002/adma.202303556</t>
  </si>
  <si>
    <t>Complete article; e-textile application section</t>
  </si>
  <si>
    <t>Fiber strain sensors were sewn into e-fitness pants, a smart mask and a posture-correction shirt and demonstrated on volunteers with quantitative resistance and posture outputs.</t>
  </si>
  <si>
    <t>Focused_Deployment_Rescreen_636_Final_42_20260909.xlsx | Focused exclusions!A386:O386</t>
  </si>
  <si>
    <t>REC-00260</t>
  </si>
  <si>
    <t>A knitted wearable flexible sensor for monitoring breathing condition</t>
  </si>
  <si>
    <t>10.1177/1558925020930354</t>
  </si>
  <si>
    <t>Complete article; seamless-garment breathing experiment</t>
  </si>
  <si>
    <t>A knitted strain sensor was embedded in a seamless garment and worn for breathing monitoring with quantitative resistance amplitude and frequency output.</t>
  </si>
  <si>
    <t>Focused_Deployment_Rescreen_636_Final_42_20260909.xlsx | Focused exclusions!A387:O387</t>
  </si>
  <si>
    <t>REC-00261</t>
  </si>
  <si>
    <t>Flexible all-textile dual tactile-tension sensors for monitoring athletic motion during taekwondo</t>
  </si>
  <si>
    <t>10.1016/j.nanoen.2021.105941</t>
  </si>
  <si>
    <t>Complete article; garment integration and knee-bending experiment</t>
  </si>
  <si>
    <t>The e-textile sensor was incorporated into a taekwondo suit and produced quantitative electrical responses during knee bending at 10, 30, 90 and 120 degrees.</t>
  </si>
  <si>
    <t>Focused_Deployment_Rescreen_636_Final_42_20260909.xlsx | Focused exclusions!A388:O388</t>
  </si>
  <si>
    <t>REC-00296</t>
  </si>
  <si>
    <t>Highly washable e-textile prepared by ultrasonic nanosoldering of carbon nanotubes onto polymer fibers</t>
  </si>
  <si>
    <t>10.1039/c7tc05179d</t>
  </si>
  <si>
    <t>Complete article; nonwoven wrist and chest demonstrations</t>
  </si>
  <si>
    <t>CNT-coated nonwoven fabric was used on the wrist and chest for quantitative pulse and respiration monitoring, with durability and washability tests.</t>
  </si>
  <si>
    <t>Focused_Deployment_Rescreen_636_Final_42_20260909.xlsx | Focused exclusions!A389:O389</t>
  </si>
  <si>
    <t>REC-00307</t>
  </si>
  <si>
    <t>Polypyrrole coated knitted fabric for robust wearable sensor and heater</t>
  </si>
  <si>
    <t>10.1007/s10854-018-8950-2</t>
  </si>
  <si>
    <t>Complete article; wearable demonstrations and strain results</t>
  </si>
  <si>
    <t>PPy-coated cotton knitted fabric was mounted on the finger and arm; quantitative gauge factors and 1000-cycle behavior were reported.</t>
  </si>
  <si>
    <t>Focused_Deployment_Rescreen_636_Final_42_20260909.xlsx | Focused exclusions!A390:O390</t>
  </si>
  <si>
    <t>REC-00309</t>
  </si>
  <si>
    <t>Piezofilm yarn sensor-integrated knitted fabric for healthcare applications</t>
  </si>
  <si>
    <t>10.1177/1528083716652834</t>
  </si>
  <si>
    <t>Complete article; chest- and wrist-belt experiments</t>
  </si>
  <si>
    <t>Piezofilm yarn was integrated into knitted fabric and sewn into chest and wrist belts used for quantitative cardio-respiratory monitoring.</t>
  </si>
  <si>
    <t>Focused_Deployment_Rescreen_636_Final_42_20260909.xlsx | Focused exclusions!A391:O391</t>
  </si>
  <si>
    <t>REC-00330</t>
  </si>
  <si>
    <t>Stretchable capacitive fabric electronic skin woven by electrospun nanofiber coated yarns for detecting tactile and multimodal mechanical stimuli</t>
  </si>
  <si>
    <t>10.1039/c8tc03631d</t>
  </si>
  <si>
    <t>Complete article; woven-fabric volunteer experiments</t>
  </si>
  <si>
    <t>A woven capacitive fabric sensor was used on the wrist, finger and neck of a volunteer and produced quantitative capacitance responses.</t>
  </si>
  <si>
    <t>Focused_Deployment_Rescreen_636_Final_42_20260909.xlsx | Focused exclusions!A392:O392</t>
  </si>
  <si>
    <t>REC-00332</t>
  </si>
  <si>
    <t>Weavable and stretchable piezoresistive carbon nanotubes-embedded nanofiber sensing yarns for highly sensitive and multimodal wearable textile sensor</t>
  </si>
  <si>
    <t>10.1016/j.carbon.2020.07.042</t>
  </si>
  <si>
    <t>Complete article; woven-sensor fabrication and human demonstrations</t>
  </si>
  <si>
    <t>Sensing yarns were woven as warp and weft and tested on the finger, cheek and throat with quantitative resistance signals.</t>
  </si>
  <si>
    <t>Focused_Deployment_Rescreen_636_Final_42_20260909.xlsx | Focused exclusions!A393:O393</t>
  </si>
  <si>
    <t>REC-00335</t>
  </si>
  <si>
    <t>Chemical Resistant Yarn with Hierarchical Core-Shell Structure for Safety Monitoring and Tunable Thermal Management in High-Risk Environments</t>
  </si>
  <si>
    <t>10.1016/j.eng.2023.06.018</t>
  </si>
  <si>
    <t>Complete article; glove/chemical-suit experiments</t>
  </si>
  <si>
    <t>The woven HCST sensor was integrated into wearable glove and suit configurations and quantitatively evaluated during joint movement.</t>
  </si>
  <si>
    <t>Focused_Deployment_Rescreen_636_Final_42_20260909.xlsx | Focused exclusions!A394:O394</t>
  </si>
  <si>
    <t>REC-00358</t>
  </si>
  <si>
    <t>Highly stretchable and sensitive sensing composite yarn based on multidimensional structure modulation for wearable E-textiles</t>
  </si>
  <si>
    <t>10.1016/j.apmt.2025.102591</t>
  </si>
  <si>
    <t>Complete article; glove demonstration</t>
  </si>
  <si>
    <t>The PCME yarn sensor was integrated into a glove and evaluated on a volunteer during gestures with quantitative resistance output.</t>
  </si>
  <si>
    <t>Focused_Deployment_Rescreen_636_Final_42_20260909.xlsx | Focused exclusions!A395:O395</t>
  </si>
  <si>
    <t>REC-00364</t>
  </si>
  <si>
    <t>Highly Conductive Carbon-Based E-Textile for Gesture Recognition</t>
  </si>
  <si>
    <t>10.1109/led.2023.3263170</t>
  </si>
  <si>
    <t>IEEE article; glove integration and gesture-recognition results</t>
  </si>
  <si>
    <t>A carbon e-textile was screen-printed on fabric, integrated as five sensors in a fabric glove and used for quantitative gesture recognition with 96.58% accuracy.</t>
  </si>
  <si>
    <t>Focused_Deployment_Rescreen_636_Final_42_20260909.xlsx | Focused exclusions!A396:O396</t>
  </si>
  <si>
    <t>REC-00374</t>
  </si>
  <si>
    <t>An All-Textile, Mechano-Capacitive Subtle Movement Sensor</t>
  </si>
  <si>
    <t>10.1002/adfm.76802</t>
  </si>
  <si>
    <t>Complete article; in-vivo respiration experiments</t>
  </si>
  <si>
    <t>An all-textile mechano-capacitive sensor was worn in multiple in-vivo breathing measurements and produced deformation-dependent electrical outputs.</t>
  </si>
  <si>
    <t>Focused_Deployment_Rescreen_636_Final_42_20260909.xlsx | Focused exclusions!A397:O397</t>
  </si>
  <si>
    <t>REC-00423</t>
  </si>
  <si>
    <t>Design and development of a textile sensor for synergetic muscle action measurement</t>
  </si>
  <si>
    <t>10.56042/ijftr.v49i4.7099</t>
  </si>
  <si>
    <t>Complete 8-page article; Sections 2.1-2.2 and results</t>
  </si>
  <si>
    <t>A textile strain sensor was worn across a participant's knee and calibrated against a digital goniometer and three-axis device; waveform correlations of 0.92 and 0.93 were reported.</t>
  </si>
  <si>
    <t>Focused_Deployment_Rescreen_636_Final_42_20260909.xlsx | Focused exclusions!A398:O398</t>
  </si>
  <si>
    <t>REC-00426</t>
  </si>
  <si>
    <t>A Wearable Sensor Based on Gold Nanowires/Textile and Its Integrated Smart Glove for Motion Monitoring and Gesture Expression</t>
  </si>
  <si>
    <t>10.1002/ente.202100166</t>
  </si>
  <si>
    <t>Complete article; glove and body-joint demonstrations</t>
  </si>
  <si>
    <t>Au-nanowire knitted cotton fabric was used as a strain sensor for body-joint monitoring and in a glove, with gauge factor and angle-output results.</t>
  </si>
  <si>
    <t>Focused_Deployment_Rescreen_636_Final_42_20260909.xlsx | Focused exclusions!A399:O399</t>
  </si>
  <si>
    <t>REC-00432</t>
  </si>
  <si>
    <t>Design and Feasibility Assessment of a Magnetic Resonance-Compatible Smart Textile Based on Fiber Bragg Grating Sensors for Respiratory Monitoring</t>
  </si>
  <si>
    <t>10.1109/jsen.2016.2606487</t>
  </si>
  <si>
    <t>Complete accepted manuscript; smart-textile volunteer validation</t>
  </si>
  <si>
    <t>An MR-compatible smart textile with FBG sensors was assessed on healthy volunteers for quantitative respiratory monitoring and MR compatibility.</t>
  </si>
  <si>
    <t>Focused_Deployment_Rescreen_636_Final_42_20260909.xlsx | Focused exclusions!A400:O400</t>
  </si>
  <si>
    <t>REC-00436</t>
  </si>
  <si>
    <t>Ultrahigh sensitivity wearable sensors enabled by electrophoretic deposition of carbon nanostructured composites onto everyday fabrics</t>
  </si>
  <si>
    <t>10.1039/d1tc05132f</t>
  </si>
  <si>
    <t>Complete article; garment-sleeve demonstrations</t>
  </si>
  <si>
    <t>CNT-coated everyday knit fabric was sewn into knee, finger and forearm sleeves and tested during human motion with quantitative resistance output.</t>
  </si>
  <si>
    <t>Focused_Deployment_Rescreen_636_Final_42_20260909.xlsx | Focused exclusions!A401:O401</t>
  </si>
  <si>
    <t>REC-00437</t>
  </si>
  <si>
    <t>A Fabric-Based Integrated Sensor Glove System Recognizing Hand Gesture</t>
  </si>
  <si>
    <t>10.2478/aut-2021-0016</t>
  </si>
  <si>
    <t>Complete open-access article; glove experiment and results</t>
  </si>
  <si>
    <t>Five knitted strain sensors were integrated directly into a glove, worn for Chinese number gestures, and connected to a five-channel readout system with quantitative sensor responses.</t>
  </si>
  <si>
    <t>Focused_Deployment_Rescreen_636_Final_42_20260909.xlsx | Focused exclusions!A402:O402</t>
  </si>
  <si>
    <t>REC-00468</t>
  </si>
  <si>
    <t>A stretchable tactile sensor based on ALD-prepared conductive composite textile</t>
  </si>
  <si>
    <t>10.1016/j.apmt.2024.102099</t>
  </si>
  <si>
    <t>Complete article; smart-glove experiment</t>
  </si>
  <si>
    <t>A cotton-based smart glove was worn for finger rotation tests and produced quantitative current changes.</t>
  </si>
  <si>
    <t>Focused_Deployment_Rescreen_636_Final_42_20260909.xlsx | Focused exclusions!A403:O403</t>
  </si>
  <si>
    <t>REC-00484</t>
  </si>
  <si>
    <t>A novel flexible sensor for respiratory monitoring based on in situ polymerization of polypyrrole and polyurethane coating</t>
  </si>
  <si>
    <t>10.1039/c7ra08331a</t>
  </si>
  <si>
    <t>Complete article; respiration-belt experiment</t>
  </si>
  <si>
    <t>PPy/PU-coated knitted cotton fabric was incorporated into a respiration belt and tested on two volunteers with quantitative resistance output.</t>
  </si>
  <si>
    <t>Focused_Deployment_Rescreen_636_Final_42_20260909.xlsx | Focused exclusions!A404:O404</t>
  </si>
  <si>
    <t>REC-00485</t>
  </si>
  <si>
    <t>Inductive Textile Sensing for Movement Monitoring</t>
  </si>
  <si>
    <t>10.1109/lsens.2023.3307088</t>
  </si>
  <si>
    <t>Complete IEEE article; wearable-device and human-motion sections</t>
  </si>
  <si>
    <t>Conductive-thread inductive sensors were sewn onto a spandex garment and worn during back movements; gauge factor, drift, hysteresis and movement signals were reported.</t>
  </si>
  <si>
    <t>Focused_Deployment_Rescreen_636_Final_42_20260909.xlsx | Focused exclusions!A405:O405</t>
  </si>
  <si>
    <t>REC-00506</t>
  </si>
  <si>
    <t>High-Performance and Long-Term Stability of MXene/PEDOT:PSS-Decorated Cotton Yarn for Wearable Electronics Applications</t>
  </si>
  <si>
    <t>10.1007/s42765-023-00348-7</t>
  </si>
  <si>
    <t>Complete article; wearable-application figures</t>
  </si>
  <si>
    <t>A hand-knitted conductive-yarn sensor was used on the finger, wrist, elbow, cheek, thorax and throat, with quantitative resistance responses and durability testing.</t>
  </si>
  <si>
    <t>Focused_Deployment_Rescreen_636_Final_42_20260909.xlsx | Focused exclusions!A406:O406</t>
  </si>
  <si>
    <t>REC-00519</t>
  </si>
  <si>
    <t>Electrical/optical dual-energy-driven MXene fabric-based heater with fast response actuating and human strain sensing</t>
  </si>
  <si>
    <t>10.1016/j.jmst.2024.01.045</t>
  </si>
  <si>
    <t>Complete article; on-body experiments</t>
  </si>
  <si>
    <t>An elastic-fabric strain sensor was attached on the body and produced quantitative resistance signals during human motion.</t>
  </si>
  <si>
    <t>Focused_Deployment_Rescreen_636_Final_42_20260909.xlsx | Focused exclusions!A407:O407</t>
  </si>
  <si>
    <t>REC-00539</t>
  </si>
  <si>
    <t>Continuous Wet-Spinning of TPU Composite Fibers for Wearable Knitted Sensors</t>
  </si>
  <si>
    <t>10.1021/acsanm.3c06142</t>
  </si>
  <si>
    <t>Complete article; knitted sleeve and joint demonstrations</t>
  </si>
  <si>
    <t>PCTR-Ag fibers were machine-knitted, incorporated into an elbow sleeve and evaluated on human knee, wrist and elbow motion with quantitative resistance signals.</t>
  </si>
  <si>
    <t>Focused_Deployment_Rescreen_636_Final_42_20260909.xlsx | Focused exclusions!A408:O408</t>
  </si>
  <si>
    <t>REC-00548</t>
  </si>
  <si>
    <t>Investigation of flexible graphene hybrid knitted sensor for joint motion recognition based on convolutional neural network fusion long short-term memory network</t>
  </si>
  <si>
    <t>10.1177/15280837231225827</t>
  </si>
  <si>
    <t>Complete article; glove and joint-pad evaluation</t>
  </si>
  <si>
    <t>Graphene knitted sensors were integrated into a glove and elbow/knee pads for human movement recognition, with reported CNN-LSTM accuracies of 97%, 96% and 100%.</t>
  </si>
  <si>
    <t>Focused_Deployment_Rescreen_636_Final_42_20260909.xlsx | Focused exclusions!A409:O409</t>
  </si>
  <si>
    <t>REC-00659</t>
  </si>
  <si>
    <t>PEDOT-based textiles for wearable thermal management and human motion monitoring</t>
  </si>
  <si>
    <t>10.1016/j.compositesa.2022.107245</t>
  </si>
  <si>
    <t>Complete article; clothing and glove demonstrations</t>
  </si>
  <si>
    <t>PEDOT-functionalized textile was incorporated into clothing and a glove and used for quantitative joint and breathing monitoring.</t>
  </si>
  <si>
    <t>Focused_Deployment_Rescreen_636_Final_42_20260909.xlsx | Focused exclusions!A410:O410</t>
  </si>
  <si>
    <t>REC-00670</t>
  </si>
  <si>
    <t>Ti3C2Tx/AgNPs/Ti3C2Tx coated nylon/spandex fabric sensors for human detection with a wide range of application scenarios</t>
  </si>
  <si>
    <t>10.1007/s10854-023-11828-2</t>
  </si>
  <si>
    <t>Complete article; human-motion application section</t>
  </si>
  <si>
    <t>A nylon/spandex knitted fabric sensor was integrated into a wrist brace and demonstrated on volunteer elbow, knee, ankle and pulse movements with quantitative strain performance.</t>
  </si>
  <si>
    <t>Focused_Deployment_Rescreen_636_Final_42_20260909.xlsx | Focused exclusions!A411:O411</t>
  </si>
  <si>
    <t>REC-00678</t>
  </si>
  <si>
    <t>Wearable sensors and supercapacitors using electroplated-Ni/ZnO antibacterial fabric</t>
  </si>
  <si>
    <t>10.1016/j.jmst.2021.05.044</t>
  </si>
  <si>
    <t>Complete article; finger and elbow demonstrations</t>
  </si>
  <si>
    <t>The Ni/ZnO fabric sensor was tested on a participant's finger and elbow and produced quantitative strain-dependent output.</t>
  </si>
  <si>
    <t>Focused_Deployment_Rescreen_636_Final_42_20260909.xlsx | Focused exclusions!A412:O412</t>
  </si>
  <si>
    <t>REC-00701</t>
  </si>
  <si>
    <t>Deep Learning Integration for Normal Breathing Classification Using a Flexible Fiber Sensor</t>
  </si>
  <si>
    <t>10.3390/pr12122644</t>
  </si>
  <si>
    <t>Complete article; Figures 6 and 8-13</t>
  </si>
  <si>
    <t>A silver-coated thread sensor was stitched into a knitted thoracic belt and worn for normal and abnormal breathing measurements; the reported classification accuracy was 96%.</t>
  </si>
  <si>
    <t>Focused_Deployment_Rescreen_636_Final_42_20260909.xlsx | Focused exclusions!A413:O413</t>
  </si>
  <si>
    <t>REC-00713</t>
  </si>
  <si>
    <t>Electrical, surface, chemical, tensile, and respiratory signal properties of non-oxidized graphene/polyurethane nanoweb according to heat, ethanol, and polydimethylsiloxane treatments</t>
  </si>
  <si>
    <t>10.1088/1361-665x/ab8a6c</t>
  </si>
  <si>
    <t>Complete article/repository full text; clothing-wear respiration trials</t>
  </si>
  <si>
    <t>An nOG/PDMS/PU nanoweb strain sensor was evaluated on human subjects in clothing-wear respiration trials with quantitative resistance and correlation results.</t>
  </si>
  <si>
    <t>Focused_Deployment_Rescreen_636_Final_42_20260909.xlsx | Focused exclusions!A414:O414</t>
  </si>
  <si>
    <t>REC-00717</t>
  </si>
  <si>
    <t>Ultraflexible, High-Stability Woven Yarn Sensors With a Wide Detection Range for Enhanced Human-Machine Interaction</t>
  </si>
  <si>
    <t>10.1109/jsen.2024.3425162</t>
  </si>
  <si>
    <t>Complete IEEE article; sensing-glove experiment</t>
  </si>
  <si>
    <t>A latex/polyester yarn sensor was integrated into a glove and worn for human gesture/HMI tests with quantitative resistance output.</t>
  </si>
  <si>
    <t>Focused_Deployment_Rescreen_636_Final_42_20260909.xlsx | Focused exclusions!A415:O415</t>
  </si>
  <si>
    <t>REC-00727</t>
  </si>
  <si>
    <t>Detecting method of optimal exercise posture using autoencoder: Utilizing surface electromyography and textile stretch sensor</t>
  </si>
  <si>
    <t>10.1177/15280837241250290</t>
  </si>
  <si>
    <t>Complete article; wrist-sleeve experiment</t>
  </si>
  <si>
    <t>A textile stretch-sensor wrist sleeve was worn during dumbbell curls and used with sEMG to classify posture from quantitative sensor and machine-learning outputs.</t>
  </si>
  <si>
    <t>Focused_Deployment_Rescreen_636_Final_42_20260909.xlsx | Focused exclusions!A416:O416</t>
  </si>
  <si>
    <t>REC-00729</t>
  </si>
  <si>
    <t>Constructing highly tribopositive elastic yarn through interfacial design and assembly for efficient energy harvesting and human-interactive sensing</t>
  </si>
  <si>
    <t>10.1016/j.nanoen.2022.106956</t>
  </si>
  <si>
    <t>Complete article; garment and glove demonstrations</t>
  </si>
  <si>
    <t>The yarn-based triboelectric sensor was integrated into a glove and garment and generated quantitative voltage signals during volunteer motion.</t>
  </si>
  <si>
    <t>Focused_Deployment_Rescreen_636_Final_42_20260909.xlsx | Focused exclusions!A417:O417</t>
  </si>
  <si>
    <t>REC-00756</t>
  </si>
  <si>
    <t>Stretchable and Temperature-Insensitive Sensing Yarn with a Wide Temperature Range</t>
  </si>
  <si>
    <t>10.1007/s42765-025-00597-8</t>
  </si>
  <si>
    <t>Complete article; garment and gesture-recognition sections</t>
  </si>
  <si>
    <t>Conductive yarn was sewn into garments and knitted into a glove; volunteers performed wrist, elbow and knee movements, and three participants repeated nine gestures 50 times under quantitative testing conditions.</t>
  </si>
  <si>
    <t>Focused_Deployment_Rescreen_636_Final_42_20260909.xlsx | Focused exclusions!A418:O418</t>
  </si>
  <si>
    <t>REC-00764</t>
  </si>
  <si>
    <t>Wearable nanocomposite kinesiology tape for distributed muscle engagement monitoring</t>
  </si>
  <si>
    <t>10.1557/s43580-021-00005-4</t>
  </si>
  <si>
    <t>Complete article; Human subject testing and Figures 3-9</t>
  </si>
  <si>
    <t>Graphene-coated kinesiology textile tape was worn over gluteal and biceps muscles during squats, curls and stretches; quantitative localized strain and resistance responses were reported.</t>
  </si>
  <si>
    <t>Focused_Deployment_Rescreen_636_Final_42_20260909.xlsx | Focused exclusions!A419:O419</t>
  </si>
  <si>
    <t>REC-00776</t>
  </si>
  <si>
    <t>Recycling primary batteries into advanced graphene flake-based multifunctional smart textiles for energy storage, strain sensing, electromagnetic interference shielding, antibacterial, and deicing applications</t>
  </si>
  <si>
    <t>10.1016/j.jclepro.2024.144020</t>
  </si>
  <si>
    <t>Coated cotton fabric was used on the finger, wrist, knee and throat and produced quantitative resistance responses.</t>
  </si>
  <si>
    <t>Focused_Deployment_Rescreen_636_Final_42_20260909.xlsx | Focused exclusions!A420:O420</t>
  </si>
  <si>
    <t>REC-00798</t>
  </si>
  <si>
    <t>Green preparation of PEDOT-based composites with outstanding electrothermal heating and durable rapid-response sensing performance for smart healthcare textiles</t>
  </si>
  <si>
    <t>10.1016/j.cej.2022.137189</t>
  </si>
  <si>
    <t>Complete article; glove and clothing demonstrations</t>
  </si>
  <si>
    <t>PEDOT fabric was attached to a glove and laboratory coat and used for quantitative motion and breathing monitoring.</t>
  </si>
  <si>
    <t>Focused_Deployment_Rescreen_636_Final_42_20260909.xlsx | Focused exclusions!A421:O421</t>
  </si>
  <si>
    <t>REC-00800</t>
  </si>
  <si>
    <t>Superhydrophobic antibacterial wearable metallized fabric as supercapacitor, multifunctional sensors, and heater</t>
  </si>
  <si>
    <t>10.1016/j.jpowsour.2021.230142</t>
  </si>
  <si>
    <t>Complete article; human-joint demonstration</t>
  </si>
  <si>
    <t>A knitted fabric strain sensor was used on the finger and elbow and produced quantitative electrical responses.</t>
  </si>
  <si>
    <t>Focused_Deployment_Rescreen_636_Final_42_20260909.xlsx | Focused exclusions!A422:O422</t>
  </si>
  <si>
    <t>REC-00842</t>
  </si>
  <si>
    <t>Flexible conductive MXene/cellulose nanocrystal coated nonwoven fabrics for tunable wearable strain/pressure sensors</t>
  </si>
  <si>
    <t>10.1039/d0ta07832h</t>
  </si>
  <si>
    <t>Complete article; nonwoven human-motion demonstrations</t>
  </si>
  <si>
    <t>MXene/CNC-coated TPU nonwoven fabric was used on the wrist and throat and for respiration monitoring with quantitative resistance signals.</t>
  </si>
  <si>
    <t>Focused_Deployment_Rescreen_636_Final_42_20260909.xlsx | Focused exclusions!A423:O423</t>
  </si>
  <si>
    <t>REC-00854</t>
  </si>
  <si>
    <t>Flexible force sensitive frequency reconfigurable antenna base on stretchable conductive fabric</t>
  </si>
  <si>
    <t>10.1088/1361-6463/ac4f91</t>
  </si>
  <si>
    <t>Complete article/repository full text; finger-motion experiment</t>
  </si>
  <si>
    <t>A stretchable conductive-fabric antenna strain sensor was worn to measure human finger bending and produced quantitative frequency/strain output.</t>
  </si>
  <si>
    <t>Focused_Deployment_Rescreen_636_Final_42_20260909.xlsx | Focused exclusions!A424:O424</t>
  </si>
  <si>
    <t>REC-00860</t>
  </si>
  <si>
    <t>A novel flex sensor-based flexible smart garment for monitoring body postures</t>
  </si>
  <si>
    <t>10.1177/1528083719832854</t>
  </si>
  <si>
    <t>Complete article; smart-garment validation</t>
  </si>
  <si>
    <t>Flex sensors were stitched at joints in a smart garment and worn by a male participant; calibration, angular measurements and quantitative sensitivity were reported.</t>
  </si>
  <si>
    <t>Focused_Deployment_Rescreen_636_Final_42_20260909.xlsx | Focused exclusions!A425:O425</t>
  </si>
  <si>
    <t>REC-00875</t>
  </si>
  <si>
    <t>Development of a Clothing Pressure Measurement Method Using Flexible Strain and Bending Sensors: Comparison with the Air Pack Method</t>
  </si>
  <si>
    <t>10.2115/fiberst.2025-0022</t>
  </si>
  <si>
    <t>Complete 12-page article; Sections 3.3-4.2</t>
  </si>
  <si>
    <t>Strain and bending sensors were attached to garments on human and mannequin sites for static and dynamic clothing-pressure measurements against an air-pack comparator; correlation exceeded 0.9 and mean absolute error was 0.14 kPa.</t>
  </si>
  <si>
    <t>Focused_Deployment_Rescreen_636_Final_42_20260909.xlsx | Focused exclusions!A426:O426</t>
  </si>
  <si>
    <t>REC-00878</t>
  </si>
  <si>
    <t>Multifunctional wearable strain/pressure sensor based on conductive carbon nanotubes/silk nonwoven fabric with high durability and low detection limit</t>
  </si>
  <si>
    <t>10.1007/s42114-022-00525-z</t>
  </si>
  <si>
    <t>A CNT/silk nonwoven fabric sensor was attached to elbow, finger, forearm and wrist locations and produced quantitative joint-motion and pulse signals.</t>
  </si>
  <si>
    <t>Focused_Deployment_Rescreen_636_Final_42_20260909.xlsx | Focused exclusions!A427:O427</t>
  </si>
  <si>
    <t>REC-00880</t>
  </si>
  <si>
    <t>Development of a smart garment for monitoring body postures based on FBG and flex sensing technologies</t>
  </si>
  <si>
    <t>10.1016/j.sna.2018.01.052</t>
  </si>
  <si>
    <t>Complete article; smart-garment experiment</t>
  </si>
  <si>
    <t>FBG and flex sensors were stitched into a smart garment and worn by a human participant for quantitative joint measurements.</t>
  </si>
  <si>
    <t>Focused_Deployment_Rescreen_636_Final_42_20260909.xlsx | Focused exclusions!A428:O428</t>
  </si>
  <si>
    <t>REC-00899</t>
  </si>
  <si>
    <t>Electric Spark Induced Instantaneous and Selective Reduction of Graphene Oxide on Textile for Wearable Electronics</t>
  </si>
  <si>
    <t>10.1021/acsami.9b22497</t>
  </si>
  <si>
    <t>Complete article; commercial-glove experiment</t>
  </si>
  <si>
    <t>Graphene-treated cotton textile was incorporated into a commercial glove and evaluated on a participant during finger bending.</t>
  </si>
  <si>
    <t>Focused_Deployment_Rescreen_636_Final_42_20260909.xlsx | Focused exclusions!A429:O429</t>
  </si>
  <si>
    <t>REC-00900</t>
  </si>
  <si>
    <t>Respiration Sensor Made from Indium tin oxide-coated Conductive Fabrics</t>
  </si>
  <si>
    <t>10.3938/jkps.66.629</t>
  </si>
  <si>
    <t>Complete article; experimental section and Figure 6</t>
  </si>
  <si>
    <t>An ITO-coated conductive-fabric strip was sewn to an elastic belt and worn around the chest by a 20-year-old adult male; respiration-induced resistance changes and sensor-response values were reported.</t>
  </si>
  <si>
    <t>Focused_Deployment_Rescreen_636_Final_42_20260909.xlsx | Focused exclusions!A430:O430</t>
  </si>
  <si>
    <t>REC-00909</t>
  </si>
  <si>
    <t>Continuous manufacture of stretchable and integratable thermoelectric nanofiber yarn for human body energy harvesting and self-powered motion detection</t>
  </si>
  <si>
    <t>10.1016/j.cej.2022.137937</t>
  </si>
  <si>
    <t>Complete article; sports-wristband experiment</t>
  </si>
  <si>
    <t>The self-powered strain sensor was sewn into a sports wristband and evaluated on a participant during posture and wrist movements.</t>
  </si>
  <si>
    <t>Focused_Deployment_Rescreen_636_Final_42_20260909.xlsx | Focused exclusions!A431:O431</t>
  </si>
  <si>
    <t>REC-00924</t>
  </si>
  <si>
    <t>Full-Fiber Auxetic-Interlaced Yarn Sensor for Sign-Language Translation Glove Assisted by Artificial Neural Network</t>
  </si>
  <si>
    <t>10.1007/s40820-022-00887-5</t>
  </si>
  <si>
    <t>Sixteen yarn sensors were sewn onto a knitted glove; a volunteer repeated 26 letters 100 times and the system reported 99.8% recognition accuracy and a 0.025 s response.</t>
  </si>
  <si>
    <t>Focused_Deployment_Rescreen_636_Final_42_20260909.xlsx | Focused exclusions!A432:O432</t>
  </si>
  <si>
    <t>REC-00959</t>
  </si>
  <si>
    <t>A direct ink writing based fabric-embedded soft sensor for improved durability and sewability</t>
  </si>
  <si>
    <t>10.1088/1361-665x/ac6d31</t>
  </si>
  <si>
    <t>Complete article/repository full text; wearable wrist-angle system</t>
  </si>
  <si>
    <t>A fabric-embedded liquid-metal soft sensor was sewn into a worn wrist-angle measurement system and produced quantitative output.</t>
  </si>
  <si>
    <t>Focused_Deployment_Rescreen_636_Final_42_20260909.xlsx | Focused exclusions!A433:O433</t>
  </si>
  <si>
    <t>REC-00965</t>
  </si>
  <si>
    <t>The development of a highly stretchable, durable, and printable textile electrode</t>
  </si>
  <si>
    <t>10.1177/0040517519828992</t>
  </si>
  <si>
    <t>Complete article; printed-textile glove experiment</t>
  </si>
  <si>
    <t>A printed textile electrode/strain sensor was applied to a glove and evaluated during finger motion with repeatable quantitative signals.</t>
  </si>
  <si>
    <t>Focused_Deployment_Rescreen_636_Final_42_20260909.xlsx | Focused exclusions!A434:O434</t>
  </si>
  <si>
    <t>REC-00971</t>
  </si>
  <si>
    <t>Characterization, Design, and Experimentation of a Fabric-Based Wearable Joint Sensing Device on Human Elbow</t>
  </si>
  <si>
    <t>10.1115/1.4050142</t>
  </si>
  <si>
    <t>Complete article; wearable elbow-device validation</t>
  </si>
  <si>
    <t>A fabric sensor was embedded in a wearable elbow device and validated on a healthy human subject with quantitative angular errors and a Spearman correlation coefficient.</t>
  </si>
  <si>
    <t>Focused_Deployment_Rescreen_636_Final_42_20260909.xlsx | Focused exclusions!A435:O435</t>
  </si>
  <si>
    <t>REC-01000</t>
  </si>
  <si>
    <t>Preparation of a wearable K-PAN@CuS composite fabric with excellent photothermal/electrothermal properties</t>
  </si>
  <si>
    <t>10.1007/s11706-023-0670-8</t>
  </si>
  <si>
    <t>Complete article; mask and joint demonstrations</t>
  </si>
  <si>
    <t>K-PAN@CuS fabric was used on a breathing mask and human joints and produced quantitative strain-mediated signals.</t>
  </si>
  <si>
    <t>Focused_Deployment_Rescreen_636_Final_42_20260909.xlsx | Focused exclusions!A436:O436</t>
  </si>
  <si>
    <t>REC-01009</t>
  </si>
  <si>
    <t>Bioinspired Flexible Kevlar/Hydrogel Composites with Antipuncture and Strain-Sensing Properties for Personal Protective Equipment</t>
  </si>
  <si>
    <t>10.1021/acsami.4c08659</t>
  </si>
  <si>
    <t>Complete article; Kevlar-textile integration and on-body tests</t>
  </si>
  <si>
    <t>A conductive gelatin hydrogel was integrated with Kevlar composite textile and tested on human joints with quantitative output.</t>
  </si>
  <si>
    <t>Focused_Deployment_Rescreen_636_Final_42_20260909.xlsx | Focused exclusions!A437:O437</t>
  </si>
  <si>
    <t>REC-01034</t>
  </si>
  <si>
    <t>Machine-learned, waterproof MXene fiber-based glove platform for underwater interactivities</t>
  </si>
  <si>
    <t>10.1016/j.nanoen.2021.106650</t>
  </si>
  <si>
    <t>Complete article; knitted smart-glove experiment</t>
  </si>
  <si>
    <t>MXene fibers were knitted into a glove and worn for quantitative gesture monitoring and machine-learning classification.</t>
  </si>
  <si>
    <t>Focused_Deployment_Rescreen_636_Final_42_20260909.xlsx | Focused exclusions!A438:O438</t>
  </si>
  <si>
    <t>REC-01041</t>
  </si>
  <si>
    <t>Stretchable and Washable Strain Sensor Based on Cracking Structure for Human Motion Monitoring</t>
  </si>
  <si>
    <t>10.1038/s41598-018-31628-7</t>
  </si>
  <si>
    <t>A stretchable conductive fabric strain sensor was used for human-motion monitoring and was supported by quantitative gauge-factor, strain-range and signal results.</t>
  </si>
  <si>
    <t>Focused_Deployment_Rescreen_636_Final_42_20260909.xlsx | Focused exclusions!A439:O439</t>
  </si>
  <si>
    <t>REC-01042</t>
  </si>
  <si>
    <t>Polyacrylamide-Poly(vinyl alcohol)-Sodium Alginate-Reduced Graphene Oxide/Nylon Fabrics with Multistimuli Responses</t>
  </si>
  <si>
    <t>10.1021/acsapm.3c00957</t>
  </si>
  <si>
    <t>Complete article; sleeve-integrated human-motion demonstrations</t>
  </si>
  <si>
    <t>A nylon knitted-fabric strain sensor was sewn to sleeves and evaluated on a volunteer during elbow bending and twisting with quantitative resistance output.</t>
  </si>
  <si>
    <t>Focused_Deployment_Rescreen_636_Final_42_20260909.xlsx | Focused exclusions!A440:O440</t>
  </si>
  <si>
    <t>REC-01043</t>
  </si>
  <si>
    <t>Sign-to-speech translation using machine-learning-assisted stretchable sensor arrays</t>
  </si>
  <si>
    <t>10.1038/s41928-020-0428-6</t>
  </si>
  <si>
    <t>Complete article; glove-array experiment</t>
  </si>
  <si>
    <t>Yarn-based stretchable sensor arrays were integrated into a glove; 660 gesture patterns were evaluated with 98.63% recognition accuracy and response below 1 s.</t>
  </si>
  <si>
    <t>Focused_Deployment_Rescreen_636_Final_42_20260909.xlsx | Focused exclusions!A441:O441</t>
  </si>
  <si>
    <t>REC-01046</t>
  </si>
  <si>
    <t>Continuous wet-spinning of flexible and water-stable conductive PEDOT: PSS/PVA composite fibers for wearable sensors</t>
  </si>
  <si>
    <t>10.1016/j.coco.2019.12.001</t>
  </si>
  <si>
    <t>Complete article; breast-binder and joint demonstrations</t>
  </si>
  <si>
    <t>A knitted sensing fabric was integrated into a breast-binder/wearable configuration and used for quantitative respiration and joint monitoring.</t>
  </si>
  <si>
    <t>Focused_Deployment_Rescreen_636_Final_42_20260909.xlsx | Focused exclusions!A442:O442</t>
  </si>
  <si>
    <t>REC-01055</t>
  </si>
  <si>
    <t>Ultrastrong silk fabric ionogel-sensor for strain/ temperature/ tactile multi-mode sensing</t>
  </si>
  <si>
    <t>10.1016/j.nanoms.2025.06.005</t>
  </si>
  <si>
    <t>Complete article; human-joint experiments</t>
  </si>
  <si>
    <t>A silk-fabric ionogel strain sensor was used on human joints and produced quantitative deformation-dependent signals.</t>
  </si>
  <si>
    <t>Focused_Deployment_Rescreen_636_Final_42_20260909.xlsx | Focused exclusions!A443:O443</t>
  </si>
  <si>
    <t>REC-01097</t>
  </si>
  <si>
    <t>A hydrophobic conductive strip with outstanding one-dimensional stretchability for wearable heater and strain sensor</t>
  </si>
  <si>
    <t>10.1016/j.cej.2020.126393</t>
  </si>
  <si>
    <t>Complete article; garment integration and volunteer tests</t>
  </si>
  <si>
    <t>The textile PFNS was sewn to fabric or a garment and evaluated on a volunteer with quantitative output.</t>
  </si>
  <si>
    <t>Focused_Deployment_Rescreen_636_Final_42_20260909.xlsx | Focused exclusions!A444:O444</t>
  </si>
  <si>
    <t>REC-01119</t>
  </si>
  <si>
    <t>A novel respiration pattern biometric prediction system based on artificial neural network</t>
  </si>
  <si>
    <t>10.1108/sr-10-2019-0235</t>
  </si>
  <si>
    <t>Complete article; knitted smart chest-band experiment</t>
  </si>
  <si>
    <t>A knitted piezoresistive chest band was worn for respiration data collection and achieved 98% quantitative ANN classification accuracy.</t>
  </si>
  <si>
    <t>Focused_Deployment_Rescreen_636_Final_42_20260909.xlsx | Focused exclusions!A445:O445</t>
  </si>
  <si>
    <t>REC-01134</t>
  </si>
  <si>
    <t>A Sintering Method for Adhesive Sensor-Embedded Athletic Wear in Amphibious Environments</t>
  </si>
  <si>
    <t>10.1021/acsami.5c07217</t>
  </si>
  <si>
    <t>Complete article; athletic-wear participant experiments</t>
  </si>
  <si>
    <t>A liquid-metal sensor was attached to commercial athletic wear and tested during walking, running, jumping and swimming, with quantitative angle and classification results.</t>
  </si>
  <si>
    <t>Focused_Deployment_Rescreen_636_Final_42_20260909.xlsx | Focused exclusions!A446:O446</t>
  </si>
  <si>
    <t>REC-01140</t>
  </si>
  <si>
    <t>Multifunctional all-nanofiber cloth integrating personal health monitoring and thermal regulation capabilities</t>
  </si>
  <si>
    <t>10.1002/inf2.12629</t>
  </si>
  <si>
    <t>Complete article; smart-shirt demonstration</t>
  </si>
  <si>
    <t>An all-nanofiber cloth T-shirt integrated fabric strain and temperature sensors and was worn for quantitative respiration and body-temperature monitoring.</t>
  </si>
  <si>
    <t>Focused_Deployment_Rescreen_636_Final_42_20260909.xlsx | Focused exclusions!A447:O447</t>
  </si>
  <si>
    <t>REC-01153</t>
  </si>
  <si>
    <t>A wearable knee rehabilitation system based on graphene textile composite sensor: Implementation and validation</t>
  </si>
  <si>
    <t>10.1016/j.engappai.2024.108954</t>
  </si>
  <si>
    <t>Complete article; knee-rehabilitation validation</t>
  </si>
  <si>
    <t>A graphene textile knee-monitoring system was tested with 10 participants against an external comparator.</t>
  </si>
  <si>
    <t>Focused_Deployment_Rescreen_636_Final_42_20260909.xlsx | Focused exclusions!A448:O448</t>
  </si>
  <si>
    <t>REC-01194</t>
  </si>
  <si>
    <t>Highly sensitive and ultra-durable microfiber-based sensor with synergistic conductive network for motion detection</t>
  </si>
  <si>
    <t>10.1016/j.surfin.2024.104276</t>
  </si>
  <si>
    <t>Complete article; sportswear and protective-wear demonstrations</t>
  </si>
  <si>
    <t>The electrospun sensor was integrated into soccer suits, wrist guards, masks or clothing and tested on humans with quantitative output.</t>
  </si>
  <si>
    <t>Focused_Deployment_Rescreen_636_Final_42_20260909.xlsx | Focused exclusions!A449:O449</t>
  </si>
  <si>
    <t>REC-01195</t>
  </si>
  <si>
    <t>A Biomimetic, Breathable Wearable Sensor for Multi-Scale Motion Monitoring and Robotic Control</t>
  </si>
  <si>
    <t>10.1021/acsaelm.6c00509</t>
  </si>
  <si>
    <t>Complete article; silk-fabric sensor and smart-glove demonstrations</t>
  </si>
  <si>
    <t>A silk fabric/MXene/PVA strain sensor was used on human joints and pulse sites and in a smart glove with quantitative output.</t>
  </si>
  <si>
    <t>Focused_Deployment_Rescreen_636_Final_42_20260909.xlsx | Focused exclusions!A450:O450</t>
  </si>
  <si>
    <t>REC-01197</t>
  </si>
  <si>
    <t>Batch Fabrication of Flexible Strain Sensors with High Linearity and Low Hysteresis for Health Monitoring and Motion Detection</t>
  </si>
  <si>
    <t>10.1021/acsami.4c07016</t>
  </si>
  <si>
    <t>Complete article; cashmere-kneepad experiment</t>
  </si>
  <si>
    <t>The sensor was integrated into an elastic cashmere kneepad and evaluated during human gait and joint movement with quantitative signals.</t>
  </si>
  <si>
    <t>Focused_Deployment_Rescreen_636_Final_42_20260909.xlsx | Focused exclusions!A451:O451</t>
  </si>
  <si>
    <t>REC-01200</t>
  </si>
  <si>
    <t>A Wearable Smart Glove and Its Application of Pose and Gesture Detection to Sign Language Classification</t>
  </si>
  <si>
    <t>10.1109/lra.2022.3191232</t>
  </si>
  <si>
    <t>Complete IEEE article; glove-system evaluation</t>
  </si>
  <si>
    <t>A commercial conductive-knit glove was configured as 16 strain-sensing channels and evaluated in worn sessions, achieving 96.3% segmented and 92.8% real-time classification accuracy.</t>
  </si>
  <si>
    <t>Focused_Deployment_Rescreen_636_Final_42_20260909.xlsx | Focused exclusions!A452:O452</t>
  </si>
  <si>
    <t>REC-01233</t>
  </si>
  <si>
    <t>Electrical double-layer based wearable tensile and pressure sensors: optimizing materials and architecture for improved sensing response</t>
  </si>
  <si>
    <t>10.1039/d6tc00186f</t>
  </si>
  <si>
    <t>Complete article; textile-iontronic glove experiment</t>
  </si>
  <si>
    <t>A textile-iontronic sensor was integrated into a glove and worn by the investigators for quantitative bending and pressing measurements.</t>
  </si>
  <si>
    <t>Focused_Deployment_Rescreen_636_Final_42_20260909.xlsx | Focused exclusions!A453:O453</t>
  </si>
  <si>
    <t>REC-01260</t>
  </si>
  <si>
    <t>Dual-function bandage sensor for motion tracking under humid environments and thermal comfort regulation during freezing outdoor exposure</t>
  </si>
  <si>
    <t>10.1016/j.cej.2025.171184</t>
  </si>
  <si>
    <t>Complete article; elastic-bandage experiment</t>
  </si>
  <si>
    <t>A textile strain sensor was integrated into an elastic bandage and evaluated during human movement with quantitative output.</t>
  </si>
  <si>
    <t>Focused_Deployment_Rescreen_636_Final_42_20260909.xlsx | Focused exclusions!A454:O454</t>
  </si>
  <si>
    <t>REC-01261</t>
  </si>
  <si>
    <t>Stretchable Thermoplastic Elastomer Optical Fibers for Sensing of Extreme Deformations</t>
  </si>
  <si>
    <t>10.1002/adfm.201802629</t>
  </si>
  <si>
    <t>Complete article; brace and glove demonstrations</t>
  </si>
  <si>
    <t>Optical fibers were integrated into a knee brace and glove and used for quantitative human-motion tracking.</t>
  </si>
  <si>
    <t>Focused_Deployment_Rescreen_636_Final_42_20260909.xlsx | Focused exclusions!A455:O455</t>
  </si>
  <si>
    <t>REC-01266</t>
  </si>
  <si>
    <t>Development of a Radial Pulse Monitoring System Based on a Graphene-Coated Fiber</t>
  </si>
  <si>
    <t>10.1109/jsen.2018.2879836</t>
  </si>
  <si>
    <t>Complete IEEE article; wearable bandage pulse experiment</t>
  </si>
  <si>
    <t>An RGO-coated double-covered textile fiber was embedded into a wearable adhesive bandage and used to measure a volunteer's radial pulse with quantitative resistance output.</t>
  </si>
  <si>
    <t>Focused_Deployment_Rescreen_636_Final_42_20260909.xlsx | Focused exclusions!A456:O456</t>
  </si>
  <si>
    <t>REC-01302</t>
  </si>
  <si>
    <t>A fiber Bragg grating-based smart wearable belt for monitoring knee joint postures</t>
  </si>
  <si>
    <t>10.1177/0040517519868168</t>
  </si>
  <si>
    <t>Complete article; wearable-belt participant experiment</t>
  </si>
  <si>
    <t>An FBG smart wearable belt was worn by a male participant for knee-posture monitoring during walking and jogging with quantitative wavelength-angle sensitivity.</t>
  </si>
  <si>
    <t>Focused_Deployment_Rescreen_636_Final_42_20260909.xlsx | Focused exclusions!A457:O457</t>
  </si>
  <si>
    <t>REC-01429</t>
  </si>
  <si>
    <t>Highly sensitive liquid metal/thermoplastic polyurethane composite porous fiber-based strain and pressure sensor</t>
  </si>
  <si>
    <t>10.1007/s11431-025-3097-3</t>
  </si>
  <si>
    <t>Complete article; embroidered elastic-band experiments</t>
  </si>
  <si>
    <t>A liquid-metal TPU fiber was embroidered into an elastic band and worn on the wrist, elbow, neck and knee for quantitative strain monitoring.</t>
  </si>
  <si>
    <t>Focused_Deployment_Rescreen_636_Final_42_20260909.xlsx | Focused exclusions!A458:O458</t>
  </si>
  <si>
    <t>REC-01457</t>
  </si>
  <si>
    <t>Optimized fabric-embedded supercoiled polymer artificial muscle sensors for stable joint motion monitoring</t>
  </si>
  <si>
    <t>10.1016/j.sna.2026.118156</t>
  </si>
  <si>
    <t>Complete article; fabric-embedded sensor and participant experiment</t>
  </si>
  <si>
    <t>A fabric-embedded artificial-muscle sensor was tested on a participant during joint movement and running with quantitative output.</t>
  </si>
  <si>
    <t>Focused_Deployment_Rescreen_636_Final_42_20260909.xlsx | Focused exclusions!A459:O459</t>
  </si>
  <si>
    <t>REC-01581</t>
  </si>
  <si>
    <t>One-piece knitted embedded hang-needle sensor for shoulder posture recognition</t>
  </si>
  <si>
    <t>10.1080/00405000.2023.2235863</t>
  </si>
  <si>
    <t>Complete article; knitted monitoring-garment experiment</t>
  </si>
  <si>
    <t>A one-piece knitted sensor was integrated seamlessly into a monitoring garment and worn for quantitative shoulder-posture capture.</t>
  </si>
  <si>
    <t>Focused_Deployment_Rescreen_636_Final_42_20260909.xlsx | Focused exclusions!A460:O460</t>
  </si>
  <si>
    <t>REC-01594</t>
  </si>
  <si>
    <t>Conductive, water-retaining and knittable hydrogel fiber from xanthan gum and aniline tetramer modified-polysaccharide for strain and pressure sensors</t>
  </si>
  <si>
    <t>10.1016/j.carbpol.2023.121300</t>
  </si>
  <si>
    <t>Complete article; braided-fiber wrist experiment</t>
  </si>
  <si>
    <t>Braided hydrogel fibers were used as a wearable strain sensor on the wrist and produced quantitative deformation-dependent output.</t>
  </si>
  <si>
    <t>Focused_Deployment_Rescreen_636_Final_42_20260909.xlsx | Focused exclusions!A461:O461</t>
  </si>
  <si>
    <t>REC-01647</t>
  </si>
  <si>
    <t>PEDOT:PSS/Natural Rubber Latex Inks for Screen-Printing Multifunctional Wearable Strain–Humidity Sensors</t>
  </si>
  <si>
    <t>10.1002/adem.202301018</t>
  </si>
  <si>
    <t>Complete article; human-joint and breathing demonstrations</t>
  </si>
  <si>
    <t>A printed strain/humidity sensor on fabric was demonstrated on human joints, face and breathing, with a gauge factor of 123.8 and quantitative response signals.</t>
  </si>
  <si>
    <t>Focused_Deployment_Rescreen_636_Final_42_20260909.xlsx | Focused exclusions!A462:O462</t>
  </si>
  <si>
    <t>REC-01653</t>
  </si>
  <si>
    <t>Highly integrated smart mountaineering clothing with dual-mode synergistic heating and sensitive sensing for personal thermal management and human health monitoring</t>
  </si>
  <si>
    <t>10.1016/j.jmst.2023.08.071</t>
  </si>
  <si>
    <t>Complete article; multiple human-motion demonstrations</t>
  </si>
  <si>
    <t>Modified nylon knitted fabric was used on the finger, knee, wrist and elbow and produced quantitative strain signals.</t>
  </si>
  <si>
    <t>Focused_Deployment_Rescreen_636_Final_42_20260909.xlsx | Focused exclusions!A463:O463</t>
  </si>
  <si>
    <t>REC-01687</t>
  </si>
  <si>
    <t>Monitoring Muscle Fatigue Based on Characteristics of Muscle Thickness Measured by Fabric Strain Sensors; [基于织物传感器所测肌肉厚度特征的肌肉疲劳监测]</t>
  </si>
  <si>
    <t>10.19884/j.1672-5220.202301005</t>
  </si>
  <si>
    <t>Complete article; wearable smart-band experiment</t>
  </si>
  <si>
    <t>A resistive fabric strain sensor in a smart band was worn during dumbbell curls and evaluated quantitatively against an EMG comparator.</t>
  </si>
  <si>
    <t>Focused_Deployment_Rescreen_636_Final_42_20260909.xlsx | Focused exclusions!A464:O464</t>
  </si>
  <si>
    <t>REC-01711</t>
  </si>
  <si>
    <t>Knittable hydrogel fiber with physically amorphous structure for multi-mode sensing capacities</t>
  </si>
  <si>
    <t>10.1016/j.cej.2024.154549</t>
  </si>
  <si>
    <t>Complete article; knitted-fabric and body-motion experiments</t>
  </si>
  <si>
    <t>PVA hydrogel fibers and the corresponding knitted fabric were used for quantitative human body-strain monitoring.</t>
  </si>
  <si>
    <t>Focused_Deployment_Rescreen_636_Final_42_20260909.xlsx | Focused exclusions!A465:O465</t>
  </si>
  <si>
    <t>REC-01718</t>
  </si>
  <si>
    <t>Smart Glove With Fully Integrated Textile Sensors and Wireless Sensor Frontend for the Tactile Internet</t>
  </si>
  <si>
    <t>10.1109/lsens.2023.3239991</t>
  </si>
  <si>
    <t>Complete IEEE article; knitted smart-glove demonstration</t>
  </si>
  <si>
    <t>A fully knitted smart glove with integrated yarn strain sensors was worn for participant gestures and produced quantitative resistance/ADC outputs during wireless operation.</t>
  </si>
  <si>
    <t>Focused_Deployment_Rescreen_636_Final_42_20260909.xlsx | Focused exclusions!A466:O466</t>
  </si>
  <si>
    <t>REC-01740</t>
  </si>
  <si>
    <t>Grasp Classification with Weft Knit Data Glove Using a Convolutional Neural Network</t>
  </si>
  <si>
    <t>10.1109/jsen.2021.3059028</t>
  </si>
  <si>
    <t>Complete article; participant data-glove experiment</t>
  </si>
  <si>
    <t>A weft-knitted data glove was evaluated on five healthy participants handling 30 objects with quantitative classification results.</t>
  </si>
  <si>
    <t>Focused_Deployment_Rescreen_636_Final_42_20260909.xlsx | Focused exclusions!A467:O467</t>
  </si>
  <si>
    <t>REC-01749</t>
  </si>
  <si>
    <t>Hydrophobic Microfiber Strain Sensor Operating Stably in Sweat and Water Environment</t>
  </si>
  <si>
    <t>10.1002/admi.201801376</t>
  </si>
  <si>
    <t>Complete article; on-body and sweat-condition tests</t>
  </si>
  <si>
    <t>A conductive microfiber was stitched into elbow and knee wraps and evaluated on body under wet and sweat conditions with quantitative resistance changes.</t>
  </si>
  <si>
    <t>Focused_Deployment_Rescreen_636_Final_42_20260909.xlsx | Focused exclusions!A468:O468</t>
  </si>
  <si>
    <t>REC-01756</t>
  </si>
  <si>
    <t>Lumbar posture assessment with fabric strain sensors</t>
  </si>
  <si>
    <t>10.1016/j.compbiomed.2020.103624</t>
  </si>
  <si>
    <t>Complete article; participant study and optical reference</t>
  </si>
  <si>
    <t>Fabric strain sensors were tested on 12 male participants and evaluated against an optical comparator.</t>
  </si>
  <si>
    <t>Focused_Deployment_Rescreen_636_Final_42_20260909.xlsx | Focused exclusions!A469:O469</t>
  </si>
  <si>
    <t>REC-01782</t>
  </si>
  <si>
    <t>Water-Resistant and Skin-Adhesive Wearable Electronics Using Graphene Fabric Sensor with Octopus-Inspired Microsuckers</t>
  </si>
  <si>
    <t>10.1021/acsami.9b04206</t>
  </si>
  <si>
    <t>Complete article; dry and wet human-motion tests</t>
  </si>
  <si>
    <t>A graphene-coated elastic fabric sensor was used on the wrist and neck for quantitative strain monitoring under dry and wet conditions.</t>
  </si>
  <si>
    <t>Focused_Deployment_Rescreen_636_Final_42_20260909.xlsx | Focused exclusions!A470:O470</t>
  </si>
  <si>
    <t>REC-01798</t>
  </si>
  <si>
    <t>Multifunctional E-Textiles Based on Biological Phytic Acid-Doped Polyaniline/Protein Fabric Nanocomposites</t>
  </si>
  <si>
    <t>10.1002/admt.202100003</t>
  </si>
  <si>
    <t>A protein-fabric e-textile strain sensor detected small human motions and reported quantitative sensitivity and detection-limit results.</t>
  </si>
  <si>
    <t>Focused_Deployment_Rescreen_636_Final_42_20260909.xlsx | Focused exclusions!A471:O471</t>
  </si>
  <si>
    <t>REC-01823</t>
  </si>
  <si>
    <t>Smart textiles for human-machine interface fabricated via a facile on-site vapor-phase polymerization</t>
  </si>
  <si>
    <t>10.1039/d2tc01618d</t>
  </si>
  <si>
    <t>Complete article; textile-yarn glove experiment</t>
  </si>
  <si>
    <t>PEDOT-coated textile yarn was fixed to a glove and evaluated during finger flexion with quantitative resistance output.</t>
  </si>
  <si>
    <t>Focused_Deployment_Rescreen_636_Final_42_20260909.xlsx | Focused exclusions!A472:O472</t>
  </si>
  <si>
    <t>REC-01876</t>
  </si>
  <si>
    <t>Multifunctional RGO/Ti3C2Tx MXene fabrics for electrochemical energy storage, electromagnetic interference shielding, electrothermal and human motion detection</t>
  </si>
  <si>
    <t>10.1016/j.matdes.2020.109442</t>
  </si>
  <si>
    <t>Complete article; on-body fabric demonstrations</t>
  </si>
  <si>
    <t>RGO/MXene fabric was placed on the body and produced quantitative strain-dependent resistance signals.</t>
  </si>
  <si>
    <t>Focused_Deployment_Rescreen_636_Final_42_20260909.xlsx | Focused exclusions!A473:O473</t>
  </si>
  <si>
    <t>REC-01877</t>
  </si>
  <si>
    <t>Supersonically Sprayed Washable, Wearable, Stretchable, Hydrophobic, and Antibacterial rGO/AgNW Fabric for Multifunctional Sensors and Supercapacitors</t>
  </si>
  <si>
    <t>10.1021/acsami.0c21372</t>
  </si>
  <si>
    <t>Complete article; knitted fabric and glove demonstrations</t>
  </si>
  <si>
    <t>An rGO/AgNW knitted fabric sensor was used on the finger and elbow and integrated into a glove for quantitative strain/temperature monitoring.</t>
  </si>
  <si>
    <t>Focused_Deployment_Rescreen_636_Final_42_20260909.xlsx | Focused exclusions!A474:O474</t>
  </si>
  <si>
    <t>REC-01882</t>
  </si>
  <si>
    <t>Design and initial testing of an affordable and accessible smart compression garment to measure physical activity using conductive paint stretch sensors</t>
  </si>
  <si>
    <t>10.3390/mti4030045</t>
  </si>
  <si>
    <t>Complete article; garment experiment and validation sections</t>
  </si>
  <si>
    <t>Conductive-paint fabric stretch sensors were sewn into a compression garment and tested by a child and an adult over three trials against a trakSTAR reference; absolute error and activity-recognition accuracy were reported.</t>
  </si>
  <si>
    <t>Focused_Deployment_Rescreen_636_Final_42_20260909.xlsx | Focused exclusions!A475:O475</t>
  </si>
  <si>
    <t>REC-01953</t>
  </si>
  <si>
    <t>Highly stretchable fiber-shaped e-textiles for strain/pressure sensing, full-range human motions detection, health monitoring, and 2D force mapping</t>
  </si>
  <si>
    <t>10.1007/s10853-017-1644-y</t>
  </si>
  <si>
    <t>A knitted e-textile was demonstrated on the finger, throat, wrist, nape and knee and produced quantitative strain- and pressure-mediated output signals.</t>
  </si>
  <si>
    <t>Focused_Deployment_Rescreen_636_Final_42_20260909.xlsx | Focused exclusions!A476:O476</t>
  </si>
  <si>
    <t>REC-01994</t>
  </si>
  <si>
    <t>Stretchable Optical Fibers: Threads for Strain-Sensitive Textiles</t>
  </si>
  <si>
    <t>10.1002/admt.201700087</t>
  </si>
  <si>
    <t>Complete article; knee-tape experiment</t>
  </si>
  <si>
    <t>An optical fiber was couched into stretchable kinesiology textile tape and worn behind the knee, where it detected approximately 2-3% length change during weight bearing with quantitative voltage output.</t>
  </si>
  <si>
    <t>Focused_Deployment_Rescreen_636_Final_42_20260909.xlsx | Focused exclusions!A477:O477</t>
  </si>
  <si>
    <t>REC-02037</t>
  </si>
  <si>
    <t>Gestures mapping system based on fabric strain sensor</t>
  </si>
  <si>
    <t>2-s2.0-85037115678</t>
  </si>
  <si>
    <t>Journal article; master/slave hand gesture-mapping experiment</t>
  </si>
  <si>
    <t>A 2-by-5 fabric strain-sensor array was arranged on a worn master hand and used for quantitative gesture mapping and accuracy comparison with and without feedback.</t>
  </si>
  <si>
    <t>Focused_Deployment_Rescreen_636_Final_42_20260909.xlsx | Focused exclusions!A478:O478</t>
  </si>
  <si>
    <t>REC-00063</t>
  </si>
  <si>
    <t>Ecoflex-Passivated Graphene-Yarn Composite for a Highly Conductive and Stretchable Strain Sensor</t>
  </si>
  <si>
    <t>10.1166/jnn.2019.17097</t>
  </si>
  <si>
    <t>Publisher article: sensor characterization and wearable-demonstration results</t>
  </si>
  <si>
    <t>The graphene-yarn composite was evaluated to 200% strain (GF 2.27 at 50% strain) and used for finger-motion and wrist-pulse monitoring.</t>
  </si>
  <si>
    <t>Focused_Deployment_Rescreen_636_Final_42_20260909.xlsx | Focused exclusions!A479:O479</t>
  </si>
  <si>
    <t>REC-00189</t>
  </si>
  <si>
    <t>Telemedicine platform for health assessment remotely by an integrated nanoarchitectonics FePS3/rGO and Ti3C2-based wearable device</t>
  </si>
  <si>
    <t>10.1038/s41528-022-00208-1</t>
  </si>
  <si>
    <t>Results and discussion; Supplementary Fig. 8; Fig. 5</t>
  </si>
  <si>
    <t>The complete article reports a FePS3@rGO strain sensor spray-coated on wearable fabric and integrated into a breathing band wrapped around the abdomen. The response had a gauge factor of 38.7 at 40% strain (R2 = 0.96), and Fig. 5 reports breathing signals including measurements from three volunteers.</t>
  </si>
  <si>
    <t>Focused_Deployment_Rescreen_636_Final_42_20260909.xlsx | Focused exclusions!A480:O480</t>
  </si>
  <si>
    <t>REC-00223</t>
  </si>
  <si>
    <t>Highly stretchable multi-walled carbon nanotube/thermoplastic polyurethane composite fibers for ultrasensitive, wearable strain sensors</t>
  </si>
  <si>
    <t>10.1039/c9nr01005j</t>
  </si>
  <si>
    <t>Publisher full article: fabrication, electromechanical results and wearable demonstrations</t>
  </si>
  <si>
    <t>The MWCNT/TPU fibre was machine-stitched onto an elastic bandage and used in a wearable glove/human-motion demonstration; GF was approximately 2800 over 5-100% strain.</t>
  </si>
  <si>
    <t>Focused_Deployment_Rescreen_636_Final_42_20260909.xlsx | Focused exclusions!A481:O481</t>
  </si>
  <si>
    <t>REC-00243</t>
  </si>
  <si>
    <t>Two-dimensional carbon material incorporated and PDMS-coated conductive textile yarns for strain sensing</t>
  </si>
  <si>
    <t>10.1007/s11998-023-00784-5</t>
  </si>
  <si>
    <t>Materials and methods; Strain sensing performance analysis; Figs. 9-10</t>
  </si>
  <si>
    <t>The complete article reports rGO/PDMS conductive cotton and polyester yarns stitched into a knitted glove and armband. Finger and elbow movements were measured, with relative-resistance responses reported in Figs. 9-10; quantitative yarn strain and resistance data are also reported.</t>
  </si>
  <si>
    <t>Focused_Deployment_Rescreen_636_Final_42_20260909.xlsx | Focused exclusions!A482:O482</t>
  </si>
  <si>
    <t>REC-00273</t>
  </si>
  <si>
    <t>Development of a Multifunctional Intelligent Elbow Brace (MIEB) Using a Knitted Textile Strain Sensor</t>
  </si>
  <si>
    <t>10.5604/01.3001.0015.6457</t>
  </si>
  <si>
    <t>Experimental section: Functionality of MIEB; Figs. 8-11</t>
  </si>
  <si>
    <t>The complete article reports a hand-knitted textile strain sensor stitched to an elbow brace. The system was evaluated during a player's ball-delivery action at predefined elbow angles of 15°, 30° and 40°; sensor resistance was mapped to the displayed angle. Bench cycles at 5%, 20% and 35% strain are also reported.</t>
  </si>
  <si>
    <t>Focused_Deployment_Rescreen_636_Final_42_20260909.xlsx | Focused exclusions!A483:O483</t>
  </si>
  <si>
    <t>REC-00284</t>
  </si>
  <si>
    <t>A Novel Strategy to Control the Effective Strain Range for Yarn-Based Resistive Strain Sensor by Braiding Technology</t>
  </si>
  <si>
    <t>10.1007/s12221-024-00821-z</t>
  </si>
  <si>
    <t>Sections 2.3, 3.3 and 3.5; Fig. 8</t>
  </si>
  <si>
    <t>The complete article reports a core-sheath braided strain sensor combined with elastic fabric bands and worn by a trial participant on the knee, neck and thoracic rib cage. Fig. 8 reports resistance responses for knee flexion and respiration, alongside quantitative electromechanical testing.</t>
  </si>
  <si>
    <t>Focused_Deployment_Rescreen_636_Final_42_20260909.xlsx | Focused exclusions!A484:O484</t>
  </si>
  <si>
    <t>REC-00290</t>
  </si>
  <si>
    <t>Influence of Rib Structure and Elastic Yarn Type Variations on Textile Piezoresistive Strain Sensor Characteristics</t>
  </si>
  <si>
    <t>10.5604/01.3001.0012.2527</t>
  </si>
  <si>
    <t>Experimental: wear test; Results and discussion; Figs. 7-8</t>
  </si>
  <si>
    <t>The complete article reports four rib-knit textile strain-sensor structures incorporated into knitted underwear and evaluated in human wear/chest-breathing tests. Quantitative average peak resistance responses are reported for covered-elastic and bare-elastic yarn configurations.</t>
  </si>
  <si>
    <t>Focused_Deployment_Rescreen_636_Final_42_20260909.xlsx | Focused exclusions!A485:O485</t>
  </si>
  <si>
    <t>REC-00306</t>
  </si>
  <si>
    <t>Weft-Knitted Strain Sensor for Monitoring Respiratory Rate and Its Electro-Mechanical Modeling</t>
  </si>
  <si>
    <t>10.1109/jsen.2014.2339739</t>
  </si>
  <si>
    <t>Methods; Results; Figs. 12-17</t>
  </si>
  <si>
    <t>The complete author-uploaded article reports a weft-knitted strain sensor integrated into a respiration belt. A human subject wore the belt on the abdomen/chest in seven static and dynamic breathing scenarios, with machine calibration up to 40% strain and quantitative respiratory signals.</t>
  </si>
  <si>
    <t>Focused_Deployment_Rescreen_636_Final_42_20260909.xlsx | Focused exclusions!A486:O486</t>
  </si>
  <si>
    <t>REC-00318</t>
  </si>
  <si>
    <t>Flexible knitted sensing device for identifying knee joint motion patterns</t>
  </si>
  <si>
    <t>10.1088/1361-665x/ab4afe</t>
  </si>
  <si>
    <t>Publisher article: knitted-sensor construction and knee-motion experiment</t>
  </si>
  <si>
    <t>A silver-plated-yarn knitted strain sensor was incorporated into a wearable knee configuration and tested during human stand/swing motion, with a quantitative resistance-knee-angle relationship.</t>
  </si>
  <si>
    <t>Focused_Deployment_Rescreen_636_Final_42_20260909.xlsx | Focused exclusions!A487:O487</t>
  </si>
  <si>
    <t>REC-00323</t>
  </si>
  <si>
    <t>Washable and Multifunctional Electronic Textiles Via In Situ Lamination for Personal Health Care</t>
  </si>
  <si>
    <t>10.1007/s42765-023-00368-3</t>
  </si>
  <si>
    <t>Results: personal health-care applications; Fig. 6 and Supplementary Fig. S13</t>
  </si>
  <si>
    <t>The complete open-access article reports an RGO/PANI knitted e-textile with quantitative strain sensitivity and durability. The textile was used for on-body motion/emotion monitoring and assembled into an insole for gait and flatfoot assessment, including walking and running measurements.</t>
  </si>
  <si>
    <t>Focused_Deployment_Rescreen_636_Final_42_20260909.xlsx | Focused exclusions!A488:O488</t>
  </si>
  <si>
    <t>REC-00338</t>
  </si>
  <si>
    <t>Highly durability carbon fabric strain sensor: Monitoring environmental changes and tracking human motion</t>
  </si>
  <si>
    <t>10.1016/j.cartre.2025.100457</t>
  </si>
  <si>
    <t>Results: human-motion tracking; finger-joint and underwater tests; conclusion</t>
  </si>
  <si>
    <t>The complete open-access article reports a carbon-fabric strain sensor attached at finger PIP joints for simultaneous motion tracking, including grasping, tweezing and underwater fist-clenching. Quantitative resistance changes, response time, elongation and 1000-cycle durability are reported.</t>
  </si>
  <si>
    <t>Focused_Deployment_Rescreen_636_Final_42_20260909.xlsx | Focused exclusions!A489:O489</t>
  </si>
  <si>
    <t>REC-00342</t>
  </si>
  <si>
    <t>Copper-coated yarn architectures for knitted fabrics with enhanced strain sensitivity and wrist posture recognition</t>
  </si>
  <si>
    <t>10.1007/s11706-026-0758-z</t>
  </si>
  <si>
    <t>Publisher article: wrist-posture experiment and sensor characterization</t>
  </si>
  <si>
    <t>The copper-coated rib-knit sensor was worn as a wrist device and related resistance to wrist posture; reported evidence included R-squared 0.959, GF about 2.73 and 100-cycle testing.</t>
  </si>
  <si>
    <t>Focused_Deployment_Rescreen_636_Final_42_20260909.xlsx | Focused exclusions!A490:O490</t>
  </si>
  <si>
    <t>REC-00343</t>
  </si>
  <si>
    <t>Study on a smart knee sleeve based on piezoresistive strain sensing for stride estimation</t>
  </si>
  <si>
    <t>10.1108/ijcst-10-2023-0157</t>
  </si>
  <si>
    <t>Publisher article: methods and wearer-trial results</t>
  </si>
  <si>
    <t>A textile strain sensor was sewn into a knee sleeve and tested on a volunteer for stride estimation; stride counts were derived from knee flexion/extension with low reported coefficients of variation.</t>
  </si>
  <si>
    <t>Focused_Deployment_Rescreen_636_Final_42_20260909.xlsx | Focused exclusions!A491:O491</t>
  </si>
  <si>
    <t>REC-00351</t>
  </si>
  <si>
    <t>High-linearity, ultralow-detection-limit, and rapid-response strain sensing yarn for data gloves</t>
  </si>
  <si>
    <t>10.1177/15280837221084369</t>
  </si>
  <si>
    <t>Application of electronic data gloves; Fig. 8; Conclusion</t>
  </si>
  <si>
    <t>The complete SAGE article reports AgNPs/DCY sensing yarn integrated into a commercial data glove, with five sensing yarns embedded at the DIP/PIP joints. Finger-angle, repeated-bending and gesture/sign-language outputs are reported, together with gauge factor 10, a 50% linear range, 0.05% detection limit, 24 ms response and 500 cycles.</t>
  </si>
  <si>
    <t>Focused_Deployment_Rescreen_636_Final_42_20260909.xlsx | Focused exclusions!A492:O492</t>
  </si>
  <si>
    <t>REC-00354</t>
  </si>
  <si>
    <t>Stretchable and conductive cotton-based fabric for strain sensing, electrothermal heating, and energy storing</t>
  </si>
  <si>
    <t>10.1007/s10570-022-04736-x</t>
  </si>
  <si>
    <t>Results and discussion: resistance variation and body-movement tests; Fig. 3f-i</t>
  </si>
  <si>
    <t>The complete Springer article reports PPy/cotton knitted fabric used on the back, fingers, wrist and knee. Figure 3f-i provides resistance signals for repeated bending, hand gestures and jumping; 110 ms response and more than 10,000 cycles are reported.</t>
  </si>
  <si>
    <t>Focused_Deployment_Rescreen_636_Final_42_20260909.xlsx | Focused exclusions!A493:O493</t>
  </si>
  <si>
    <t>REC-00377</t>
  </si>
  <si>
    <t>Beyond energy harvesting - multi-functional triboelectric nanosensors on a textile</t>
  </si>
  <si>
    <t>10.1016/j.nanoen.2018.12.032</t>
  </si>
  <si>
    <t>Height-varying multi-arch strain sensor; Activity monitoring; Figs. 6-7</t>
  </si>
  <si>
    <t>The complete author-hosted article reports PEDOT:PSS-coated textile multi-arch strain sensors mounted on human fingers for sign-language and robotic-hand control, plus four textile sensors placed at different body sites for activity tracking. The reported strain range was 10-160%.</t>
  </si>
  <si>
    <t>Focused_Deployment_Rescreen_636_Final_42_20260909.xlsx | Focused exclusions!A494:O494</t>
  </si>
  <si>
    <t>REC-00378</t>
  </si>
  <si>
    <t>Warp-Knitted Textile as a Strain Sensor: Characterization Procedure and Application in a Comfortable Wearable Goniometer</t>
  </si>
  <si>
    <t>10.1109/jsen.2017.2736944</t>
  </si>
  <si>
    <t>Accepted manuscript/full article: wearable goniometer validation</t>
  </si>
  <si>
    <t>The warp-knitted strain sensor was worn at the elbow and evaluated in an adult participant, with angle reconstruction also checked against the SABIAN robotic reference.</t>
  </si>
  <si>
    <t>Focused_Deployment_Rescreen_636_Final_42_20260909.xlsx | Focused exclusions!A495:O495</t>
  </si>
  <si>
    <t>REC-00391</t>
  </si>
  <si>
    <t>Nanoarchitectonics of cross-linked densified carbon nanotube yarn for stable conductivity and strain sensing</t>
  </si>
  <si>
    <t>10.1007/s10854-022-09452-7</t>
  </si>
  <si>
    <t>Results and discussion: wearable smart-textile application; Fig. 5</t>
  </si>
  <si>
    <t>The complete Springer article reports modified CNT yarn sewn into knee bandages and attached inside gloves. Figure 5 shows resistance responses during standing-to-sitting knee motion and finger motion while holding a cup, with gauge factor improvement from 1.3 to 2.1 at about 3% strain and repeated strain-response testing.</t>
  </si>
  <si>
    <t>Focused_Deployment_Rescreen_636_Final_42_20260909.xlsx | Focused exclusions!A496:O496</t>
  </si>
  <si>
    <t>REC-00408</t>
  </si>
  <si>
    <t>Ultraelastic Yarns from Curcumin-Assisted ELD toward Wearable Human-Machine Interface Textiles</t>
  </si>
  <si>
    <t>10.1002/advs.202002009</t>
  </si>
  <si>
    <t>Results and Discussion; Figs. 3-5</t>
  </si>
  <si>
    <t>The complete open-access article reports metal-coated elastic yarns integrated on the inner side of cotton gloves using Ecoflex. A worn smart glove monitored five-finger movements and controlled a robotic hand and light colours; quantitative strain-resistance behaviour, n=5 repeat testing, washing fastness and cyclic stability are reported.</t>
  </si>
  <si>
    <t>Focused_Deployment_Rescreen_636_Final_42_20260909.xlsx | Focused exclusions!A497:O497</t>
  </si>
  <si>
    <t>REC-00415</t>
  </si>
  <si>
    <t>Effect of natural dyes on the sensitivity of knitted strain sensors: seeking a sustainable approach for wearable sensing</t>
  </si>
  <si>
    <t>10.1080/17543266.2026.2666689</t>
  </si>
  <si>
    <t>Publisher full article: glove protocol and performance results</t>
  </si>
  <si>
    <t>Natural-dye knitted sensors were mounted in a glove and tested on a healthy volunteer under static, dynamic and longevity conditions, with working-strain and sensitivity results reported.</t>
  </si>
  <si>
    <t>Focused_Deployment_Rescreen_636_Final_42_20260909.xlsx | Focused exclusions!A498:O498</t>
  </si>
  <si>
    <t>REC-00442</t>
  </si>
  <si>
    <t>Multifunctional silver nanowire coated fabric capable of electrothermal, resistance temperature-sensitivity, electromagnetic interference shielding, and strain sensing</t>
  </si>
  <si>
    <t>10.1177/15280837221076029</t>
  </si>
  <si>
    <t>Strain sensing performance; Fig. 5; pp. 6163S-6164S</t>
  </si>
  <si>
    <t>The complete article reports AgNW-coated knitted PET fabric attached to the finger, wrist, palm, throat, elbow and knee. Figure 5 provides real-time resistance responses to these human movements; the fabric has gauge factor -6.16 at 10% strain and repeat testing at 10%, 20% and 30% strain.</t>
  </si>
  <si>
    <t>Focused_Deployment_Rescreen_636_Final_42_20260909.xlsx | Focused exclusions!A499:O499</t>
  </si>
  <si>
    <t>REC-00443</t>
  </si>
  <si>
    <t>Analysis of suitability of elastomeric woven tape for strain sensor application and measurement of elbow angle</t>
  </si>
  <si>
    <t>10.1177/1528083715612234</t>
  </si>
  <si>
    <t>Sensor characterization and elbow-angle application</t>
  </si>
  <si>
    <t>The complete SAGE article reports an elastomeric woven tape strain sensor developed from conductive yarn and used to measure elbow angle. Sensor construction variables and quantitative resistance/angle behaviour are reported in the characterization and application sections.</t>
  </si>
  <si>
    <t>Focused_Deployment_Rescreen_636_Final_42_20260909.xlsx | Focused exclusions!A500:O500</t>
  </si>
  <si>
    <t>REC-00448</t>
  </si>
  <si>
    <t>Wearable Strain Sensor Using Conductive Yarn Sewed on Clothing for Human Respiratory Monitoring</t>
  </si>
  <si>
    <t>10.1109/jsen.2020.3000923</t>
  </si>
  <si>
    <t>Publisher article: clothing integration and respiration experiment</t>
  </si>
  <si>
    <t>Conductive yarn was lock-stitched onto a textile garment and tested on a person for four breathing patterns against a reference respiration monitor; durability exceeded 4,000 cycles.</t>
  </si>
  <si>
    <t>Focused_Deployment_Rescreen_636_Final_42_20260909.xlsx | Focused exclusions!A501:O501</t>
  </si>
  <si>
    <t>REC-00464</t>
  </si>
  <si>
    <t>Stable Wearable Strain Sensors on Textiles by Direct Laser Writing of Graphene</t>
  </si>
  <si>
    <t>10.1021/acsanm.9b01937</t>
  </si>
  <si>
    <t>Section 3.4, Applications of LIG Fabric Strain Sensors on Human Motion; Fig. 10</t>
  </si>
  <si>
    <t>The complete author-uploaded article reports laser-induced graphene patterned directly on woven polyimide fabric. Figure 10 shows the sensor on the index finger, wrist and bicipital muscle, with resistance signals for nine finger cycles, wrist flexion and muscle movement; GFmax 27, 0.08% threshold and 1000-cycle stability are reported.</t>
  </si>
  <si>
    <t>Focused_Deployment_Rescreen_636_Final_42_20260909.xlsx | Focused exclusions!A502:O502</t>
  </si>
  <si>
    <t>REC-00471</t>
  </si>
  <si>
    <t>Human Joint Angle Estimation with Multiple-strip E-textile Stretching Sensor</t>
  </si>
  <si>
    <t>10.18494/sam.2018.1861</t>
  </si>
  <si>
    <t>Sections 2.1-3; Figs. 2-6</t>
  </si>
  <si>
    <t>The complete open-access article reports a knitted nylon/spandex e-textile strain-resistance sensor array applied to a healthy participant's elbow and evaluated with a worn arm sleeve. Quantitative stretch mapping, a 20% sensor strain limit, calibration and joint-angle signals are reported.</t>
  </si>
  <si>
    <t>Focused_Deployment_Rescreen_636_Final_42_20260909.xlsx | Focused exclusions!A503:O503</t>
  </si>
  <si>
    <t>REC-00489</t>
  </si>
  <si>
    <t>Textile-Based Stretchable and Flexible Glove Sensor for Monitoring Upper Extremity Prosthesis Functions</t>
  </si>
  <si>
    <t>10.1109/jsen.2019.2949177</t>
  </si>
  <si>
    <t>Sections II-III; Figs. 1-8; wearable application section</t>
  </si>
  <si>
    <t>The complete author-uploaded IEEE article reports AgNW strain sensors fabricated directly on knitted polyester/spandex fabric and integrated as five sensing units in a full-sized glove. The glove was worn to record finger bending and hand motions, with quantitative strain, bending-angle, durability, water-immersion and response-time results.</t>
  </si>
  <si>
    <t>Focused_Deployment_Rescreen_636_Final_42_20260909.xlsx | Focused exclusions!A504:O504</t>
  </si>
  <si>
    <t>REC-00500</t>
  </si>
  <si>
    <t>Evaluation of Joint Motion Sensing Efficiency According to the Implementation Method of SWCNT-Coated Fabric Motion Sensor</t>
  </si>
  <si>
    <t>10.3390/s20010284</t>
  </si>
  <si>
    <t>Sections 2.1-3; Figs. 3-19; Tables 1-9</t>
  </si>
  <si>
    <t>The complete open-access article reports SWCNT-coated knitted polyester/spandex fabric sensors welded into children's clothing. Three child participants performed repeated 60-degree and 90-degree elbow and knee flexion-extension trials, and the study reports quantitative voltage, reproducibility, statistical and accelerometer-comparator results.</t>
  </si>
  <si>
    <t>Focused_Deployment_Rescreen_636_Final_42_20260909.xlsx | Focused exclusions!A505:O505</t>
  </si>
  <si>
    <t>REC-00503</t>
  </si>
  <si>
    <t>Enhancing the linear sensing range of elastic fabric wearable strain sensors with Kirigami patterns</t>
  </si>
  <si>
    <t>10.1088/1361-665x/ae35f2</t>
  </si>
  <si>
    <t>Sections 2.2, 4 and 5.4; Figs. 1, 4, 6 and 10</t>
  </si>
  <si>
    <t>The complete open-access article reports CNT Motion Tape fabricated on self-adhesive elastic kinesiology fabric with Kirigami cuts. One participant wore the sensors on the wrist during repeated flexion-extension tests, and quantitative gauge factors, linear sensing limits, cyclic results and motion-capture comparison are reported.</t>
  </si>
  <si>
    <t>Focused_Deployment_Rescreen_636_Final_42_20260909.xlsx | Focused exclusions!A506:O506</t>
  </si>
  <si>
    <t>REC-00505</t>
  </si>
  <si>
    <t>Analysis of piezoresistive behavior of polyaniline-coated nylon Lycra fabrics for elbow angle measurement</t>
  </si>
  <si>
    <t>10.1080/00405000.2016.1161696</t>
  </si>
  <si>
    <t>Publisher full article: elbow-angle measurement experiment</t>
  </si>
  <si>
    <t>Polyaniline-coated nylon/Lycra fabric was used as a wearable elbow sensor and its resistance response was quantitatively related to elbow angle.</t>
  </si>
  <si>
    <t>Focused_Deployment_Rescreen_636_Final_42_20260909.xlsx | Focused exclusions!A507:O507</t>
  </si>
  <si>
    <t>REC-00528</t>
  </si>
  <si>
    <t>Smart Elastic Fabric Strip Encompassing Prestrained Fiber Bragg Grating Sensors</t>
  </si>
  <si>
    <t>10.1109/jsen.2023.3345460</t>
  </si>
  <si>
    <t>Sections III-V; Figs. 2-13; pp. 1-6</t>
  </si>
  <si>
    <t>The complete author-accepted IEEE article reports four pre-strained FBG sensors sewn onto a polyester/natural-gum elastic fabric strip. The strip was installed on a person's back and attached to the pants for dynamic monitoring of four backbone positions, with quantitative calibration sensitivity, ten-cycle repeatability, standard deviations and wavelength-shift signals.</t>
  </si>
  <si>
    <t>Focused_Deployment_Rescreen_636_Final_42_20260909.xlsx | Focused exclusions!A508:O508</t>
  </si>
  <si>
    <t>REC-00542</t>
  </si>
  <si>
    <t>Multimodal health monitoring via a hierarchical and ultrastretchable all-in-one electronic textile</t>
  </si>
  <si>
    <t>10.1016/j.nanoen.2023.108374</t>
  </si>
  <si>
    <t>Publisher article: E-textile architecture and human-motion results</t>
  </si>
  <si>
    <t>The SEBS nonwoven E-textile incorporated a distinct EGaIn strain-sensing circuit and was demonstrated for human and underwater motion; the textile platform sustained approximately 1,141% extension.</t>
  </si>
  <si>
    <t>Focused_Deployment_Rescreen_636_Final_42_20260909.xlsx | Focused exclusions!A509:O509</t>
  </si>
  <si>
    <t>REC-00552</t>
  </si>
  <si>
    <t>Kirigami-Assisted Textile Capacitive Parallel Plate Strain Sensor for Respiration Monitoring in Saxophone Performance</t>
  </si>
  <si>
    <t>10.1109/lsens.2026.3709336</t>
  </si>
  <si>
    <t>Sections I-III; Figs. 1-4; accepted manuscript pp. 1-4</t>
  </si>
  <si>
    <t>The complete author version reports a capacitive parallel-plate sensor fabricated from conductive Electrolycra and silicone/BTO, enhanced with a kirigami attachment, and integrated into a wearable belt. The belt recorded quantitative respiration signals during regular breathing and saxophone performance; gauge factor, force-normalized response and hysteresis were reported from repeated sensor tests.</t>
  </si>
  <si>
    <t>Focused_Deployment_Rescreen_636_Final_42_20260909.xlsx | Focused exclusions!A510:O510</t>
  </si>
  <si>
    <t>REC-00558</t>
  </si>
  <si>
    <t>An Easy-to-Install Textile Bending Sensor with High Sensitivity, Linearity, and Multidirection Direction Capability</t>
  </si>
  <si>
    <t>10.1002/admt.202100830</t>
  </si>
  <si>
    <t>Publisher PDF: glove/elbow-pad demonstrations</t>
  </si>
  <si>
    <t>The full-textile bending sensor was installed on gloves and elbow pads for human joint tracking, with sensitivity 0.0611 V per degree and goodness of fit above 0.986.</t>
  </si>
  <si>
    <t>Focused_Deployment_Rescreen_636_Final_42_20260909.xlsx | Focused exclusions!A511:O511</t>
  </si>
  <si>
    <t>REC-00563</t>
  </si>
  <si>
    <t>Shape-adaptable and wearable strain sensor based on braided auxetic yarns for monitoring large human motions</t>
  </si>
  <si>
    <t>10.1016/j.apmt.2023.101996</t>
  </si>
  <si>
    <t>Publisher article: on-body motion demonstrations and characterization</t>
  </si>
  <si>
    <t>The auxetic braided-yarn sensor was attached across human muscles/joints for large-motion monitoring and showed a 0-40.7% working range and approximately 149.9 ms response time.</t>
  </si>
  <si>
    <t>Focused_Deployment_Rescreen_636_Final_42_20260909.xlsx | Focused exclusions!A512:O512</t>
  </si>
  <si>
    <t>REC-00603</t>
  </si>
  <si>
    <t>Machine Embroidery Enclosure for Stretchable Fiber Optic Respiration Sensor</t>
  </si>
  <si>
    <t>10.1002/adsr.202300017</t>
  </si>
  <si>
    <t>Open full article: participant study and comparator analysis</t>
  </si>
  <si>
    <t>The embroidered fibre-optic sensor was enclosed in a compression shirt and evaluated in 13 adults against spirometry; reported agreement included r-squared values above 0.88 and 0.69 for respiratory measures.</t>
  </si>
  <si>
    <t>Focused_Deployment_Rescreen_636_Final_42_20260909.xlsx | Focused exclusions!A513:O513</t>
  </si>
  <si>
    <t>REC-00605</t>
  </si>
  <si>
    <t>Highly Sensitive and Selective Multidirectional Flexible Strain Sensors With Cross-Shaped Structure Based on Fe NWs/Graphene/Interlock Knit Fabric for Human Activity Monitoring</t>
  </si>
  <si>
    <t>10.1109/jsen.2023.3308715</t>
  </si>
  <si>
    <t>Publisher article: multidirectional on-body demonstrations</t>
  </si>
  <si>
    <t>The Fe-nanowire/graphene sensor was built on interlock-knit fabric and tested during multidirectional neck and wrist movements with direction-dependent quantitative output.</t>
  </si>
  <si>
    <t>Focused_Deployment_Rescreen_636_Final_42_20260909.xlsx | Focused exclusions!A514:O514</t>
  </si>
  <si>
    <t>REC-00613</t>
  </si>
  <si>
    <t>Calotropis gigantea Fiber-Based Sensitivity-Tunable Strain Sensors with Insensitive Response to Wearable Microclimate Changes</t>
  </si>
  <si>
    <t>10.1007/s42765-023-00270-y</t>
  </si>
  <si>
    <t>Methods; strain-sensing performance; wearable applications; Figs. 1, 3-5</t>
  </si>
  <si>
    <t>The complete open-access article reports a fabric-like sensor constructed by crossing graphene-modified Calotropis gigantea yarn with Spandex yarn. Sensors were worn at multiple body locations and embedded in wristbands to monitor speaking, coughing, breathing, finger motion, walking, running and sports; quantitative sensitivity, response time, 3000-cycle durability, wash/friction tests, breathability and temperature/humidity stability were reported.</t>
  </si>
  <si>
    <t>Focused_Deployment_Rescreen_636_Final_42_20260909.xlsx | Focused exclusions!A515:O515</t>
  </si>
  <si>
    <t>REC-00638</t>
  </si>
  <si>
    <t>A negative-response strain sensor towards wearable microclimate changes for body area sensing networks</t>
  </si>
  <si>
    <t>10.1016/j.cej.2023.141628</t>
  </si>
  <si>
    <t>Experimental section; Applications; Figs. 1, 4-6; author manuscript pp. 3-20</t>
  </si>
  <si>
    <t>The complete author manuscript reports a silk/polyurethane core-sheath yarn strain sensor with graphene-modified silk. A wireless body-area sensing network was built, and sensors were attached to the throat, wrist and chest of a person to record coughing, speech, drinking, wrist bending and breathing. Quantitative calibration, response time, 1500-cycle durability, washing, and temperature/humidity stability were reported.</t>
  </si>
  <si>
    <t>Focused_Deployment_Rescreen_636_Final_42_20260909.xlsx | Focused exclusions!A516:O516</t>
  </si>
  <si>
    <t>REC-00657</t>
  </si>
  <si>
    <t>Textile smart sensors based on a biomechanical and multi-layer perceptron hybrid method</t>
  </si>
  <si>
    <t>10.1177/15280837231208226</t>
  </si>
  <si>
    <t>Sensor fabrication; Data acquisition protocol; Results; Figs. 2, 4, 7-13</t>
  </si>
  <si>
    <t>The complete open-access article reports a knitted PET/Spandex fabric coated with SWCNTs and integrated into an arm sleeve. Four textile sensors were worn at the elbow and over three arm muscles during repeated biceps-curl sessions. The study quantified gauge factor, 1000-cycle durability, sensor/IMU angle calibration, and MLP-based muscle-volume estimates.</t>
  </si>
  <si>
    <t>Focused_Deployment_Rescreen_636_Final_42_20260909.xlsx | Focused exclusions!A517:O517</t>
  </si>
  <si>
    <t>REC-00674</t>
  </si>
  <si>
    <t>Flexible polypyrrole-coated conductive fabric sensor for large deformation measurement</t>
  </si>
  <si>
    <t>10.1108/ijcst-06-2018-0083</t>
  </si>
  <si>
    <t>Publisher article: wearable glove and rehabilitation demonstrations</t>
  </si>
  <si>
    <t>The polypyrrole-coated conductive fabric sensor was used in a data-collecting glove and rehabilitation system for large human deformation, with a working strain above 50%.</t>
  </si>
  <si>
    <t>Focused_Deployment_Rescreen_636_Final_42_20260909.xlsx | Focused exclusions!A518:O518</t>
  </si>
  <si>
    <t>REC-00675</t>
  </si>
  <si>
    <t>A Multi-strand Yarn with Integrated Sensing and Addressable Display Fabricated via Lock-Knot</t>
  </si>
  <si>
    <t>10.1007/s42765-026-00696-0</t>
  </si>
  <si>
    <t>Results and Discussion, Sections 2.3-2.5; Experimental section; Figs. 3, 5-6</t>
  </si>
  <si>
    <t>The complete author-uploaded article reports a CNT-coated spandex strain-sensing yarn integrated with addressable display units by a lock-knot technique. The smart yarn was integrated into clothing and an athlete's elbow pad for hunchback detection, running-position tracking and badminton-training guidance. Quantitative gauge factors, cyclic response and real-time wearable signals were reported.</t>
  </si>
  <si>
    <t>Focused_Deployment_Rescreen_636_Final_42_20260909.xlsx | Focused exclusions!A519:O519</t>
  </si>
  <si>
    <t>REC-00691</t>
  </si>
  <si>
    <t>Piezoresistive sensing in chopped carbon fiber embedded PDMS yarns</t>
  </si>
  <si>
    <t>10.1016/j.compositesb.2019.01.090</t>
  </si>
  <si>
    <t>Methods Sections 2.2 and 2.6; Results Sections 3 and 5; Figs. 3, 10-11; author manuscript pp. 4-22</t>
  </si>
  <si>
    <t>The complete author manuscript reports chopped-carbon-fiber/PDMS yarn strain sensors. The sensors were attached along yarns of woven glass-fiber/polypropylene fabric for repeated picture-frame shear tests and, as a wearable textile application, glued at both ends to the index finger of a glove to record repeated finger bending. Quantitative gauge factors, 100-cycle tests and real-time resistance signals were reported.</t>
  </si>
  <si>
    <t>Focused_Deployment_Rescreen_636_Final_42_20260909.xlsx | Focused exclusions!A520:O520</t>
  </si>
  <si>
    <t>REC-00699</t>
  </si>
  <si>
    <t>Printable wet-resistive textile strain sensors using bead-blended composite ink for robustly integrative wearable electronics</t>
  </si>
  <si>
    <t>10.1016/j.compositesb.2021.108674</t>
  </si>
  <si>
    <t>Publisher article: tracksuit integration and wet/dry human tests</t>
  </si>
  <si>
    <t>The printed textile sensor was integrated into clothing and monitored respiration and arm motion under dry and wet conditions; reported performance included GF about 57, 130% strain and 10,000 cycles.</t>
  </si>
  <si>
    <t>Focused_Deployment_Rescreen_636_Final_42_20260909.xlsx | Focused exclusions!A521:O521</t>
  </si>
  <si>
    <t>REC-00733</t>
  </si>
  <si>
    <t>Reliable sensors based on graphene textile with negative resistance variation in three dimensions</t>
  </si>
  <si>
    <t>10.1007/s12274-021-3291-5</t>
  </si>
  <si>
    <t>Results and Discussion; Figs. 2-7; complete article pp. 2810-2818</t>
  </si>
  <si>
    <t>The complete article reports a weft-knitted polyester textile coated with reduced graphene oxide and characterized as a transverse-strain sensor. Textile sensors were worn to record repeated finger, wrist, elbow and knee bending and facial movements; the study also quantified directional gauge factors, strain ranges, response time and cyclic durability.</t>
  </si>
  <si>
    <t>Focused_Deployment_Rescreen_636_Final_42_20260909.xlsx | Focused exclusions!A522:O522</t>
  </si>
  <si>
    <t>REC-00739</t>
  </si>
  <si>
    <t>Digitally interactive smart textiles in football prepared by an outstanding viscose-based flexible strain sensor</t>
  </si>
  <si>
    <t>10.1016/j.cej.2025.163421</t>
  </si>
  <si>
    <t>Publisher article: football-wear integration and field demonstrations</t>
  </si>
  <si>
    <t>Textile strain sensors were incorporated into pants/socks and tested during football movements; reported characterization included 0-436% strain, GF about 4.4 and 10,000 cycles.</t>
  </si>
  <si>
    <t>Focused_Deployment_Rescreen_636_Final_42_20260909.xlsx | Focused exclusions!A523:O523</t>
  </si>
  <si>
    <t>REC-00747</t>
  </si>
  <si>
    <t>Iron nanowire/carbon microsphere composite flexible fabric strain sensor for human motion monitoring</t>
  </si>
  <si>
    <t>10.1016/j.micrna.2024.207920</t>
  </si>
  <si>
    <t>Publisher article: fabric construction, on-body tests and dynamic results</t>
  </si>
  <si>
    <t>The iron-nanowire/carbon-microsphere fabric sensor was used for human joint-motion monitoring, with approximately 42 ms response and 8.7% hysteresis reported.</t>
  </si>
  <si>
    <t>Focused_Deployment_Rescreen_636_Final_42_20260909.xlsx | Focused exclusions!A524:O524</t>
  </si>
  <si>
    <t>REC-00761</t>
  </si>
  <si>
    <t>Highly Stretchable Multilayer Core-Shell Triboelectric Fiber for Tensile Energy Harvesting and Self-Powered Strain Sensing</t>
  </si>
  <si>
    <t>10.1016/j.nanoen.2026.112006</t>
  </si>
  <si>
    <t>Results and Discussion; Fig. 5; complete ScienceDirect article</t>
  </si>
  <si>
    <t>The complete article reports a helical core-shell triboelectric fiber made from conductive and wool yarns. For on-body testing, the sensor was conformally attached to a knee support brace and worn during gait, and it was also tested at the finger, wrist and elbow. Angle-dependent voltage outputs and strain response were quantified.</t>
  </si>
  <si>
    <t>Focused_Deployment_Rescreen_636_Final_42_20260909.xlsx | Focused exclusions!A525:O525</t>
  </si>
  <si>
    <t>REC-00762</t>
  </si>
  <si>
    <t>Highly sensitive and stretchable fiber strain sensors empowered by synergetic conductive network of silver nanoparticles and carbon nanotubes</t>
  </si>
  <si>
    <t>10.1016/j.apmt.2021.101221</t>
  </si>
  <si>
    <t>Results and Discussion; Fig. 6; complete ScienceDirect article</t>
  </si>
  <si>
    <t>The complete article reports a PU/CNTs/PD/AgNPs fiber sensor directly woven into a sateen fabric. The sensing fabric was worn or conformally fixed at the wrist, neck, elbow and knee for human-motion tests, with quantitative gauge factors, strain ranges, response/recovery times, hysteresis and 3000-cycle durability.</t>
  </si>
  <si>
    <t>Focused_Deployment_Rescreen_636_Final_42_20260909.xlsx | Focused exclusions!A526:O526</t>
  </si>
  <si>
    <t>REC-00773</t>
  </si>
  <si>
    <t>Sensitive and wearable carbon nanotubes/carbon black strain sensors with wide linear ranges for human motion monitoring</t>
  </si>
  <si>
    <t>10.1007/s10854-018-8528-z</t>
  </si>
  <si>
    <t>Sections 2.3 and 3.2; Figs. 3 and 7; complete Springer article</t>
  </si>
  <si>
    <t>The complete article reports a CNT/carbon-black coated spandex-yarn strain sensor fixed to a latex glove for finger-bending tests and to a latex film for wrist-pulse monitoring. The study quantifies gauge factor, working range, linearity, pulse rate and cyclic reproducibility.</t>
  </si>
  <si>
    <t>Focused_Deployment_Rescreen_636_Final_42_20260909.xlsx | Focused exclusions!A527:O527</t>
  </si>
  <si>
    <t>REC-00811</t>
  </si>
  <si>
    <t>A dual-mode fiber-shaped flexible capacitive strain sensor fabricated by direct ink writing technology for wearable and implantable health monitoring applications</t>
  </si>
  <si>
    <t>10.1038/s41378-023-00634-9</t>
  </si>
  <si>
    <t>Applications of FSFCSS in wearable health monitoring; Fig. 4; Methods; complete Nature article</t>
  </si>
  <si>
    <t>The complete open-access article reports a capacitive TPU-fiber strain sensor. Five sensors were sewn into a commercial glove and combined with a portable wireless acquisition circuit for gesture recognition; additional on-body strain-mediated physiological and joint signals were recorded. Quantitative evidence includes a 178% axial strain range, sensitivity 0.924, 1.44% hysteresis, response/recovery times and stability testing.</t>
  </si>
  <si>
    <t>Focused_Deployment_Rescreen_636_Final_42_20260909.xlsx | Focused exclusions!A528:O528</t>
  </si>
  <si>
    <t>REC-00812</t>
  </si>
  <si>
    <t>Wearable Strain Sensor Based on Double-Layer Graphene Fabrics for Real-Time, Continuous Acquirement of Human Pulse Signal in Daily Activities</t>
  </si>
  <si>
    <t>10.1002/admt.202001071</t>
  </si>
  <si>
    <t>Sections 2.2-2.4; Figs. 3-6; complete Wiley article</t>
  </si>
  <si>
    <t>The complete article reports a two-layer wearable sensor made from reduced-graphene-oxide microfiber fabrics. It was mounted on the wrist of a 22-year-old participant to record pulse during finger, wrist and fist movements. Quantitative evidence includes GF 57.5 over 0.25-1.01% strain, more than 2000 cycles, approximately 0.3 s response and activity-specific pulse rates.</t>
  </si>
  <si>
    <t>Focused_Deployment_Rescreen_636_Final_42_20260909.xlsx | Focused exclusions!A529:O529</t>
  </si>
  <si>
    <t>REC-00814</t>
  </si>
  <si>
    <t>Waterproof and Breathable Graphene-Based Electronic Fabric for Wearable Sensors</t>
  </si>
  <si>
    <t>10.1002/admt.202200149</t>
  </si>
  <si>
    <t>Results and Discussion; Figs. 2, 4 and 5; Experimental Section; complete Wiley article</t>
  </si>
  <si>
    <t>The complete article reports a waterproof and breathable Modal/Spandex knitted-fabric strain sensor coated with rGO and PDMS. Fabric sensors were attached at the biceps, elbow, wrist, ankle, fingers, forearm and knee of a volunteer for human-motion monitoring. Quantitative evidence includes GF 17.7 over 0-46% strain, response/recovery times, up to 14,500 cycles, wash testing and water-vapor transmission.</t>
  </si>
  <si>
    <t>Focused_Deployment_Rescreen_636_Final_42_20260909.xlsx | Focused exclusions!A530:O530</t>
  </si>
  <si>
    <t>REC-00822</t>
  </si>
  <si>
    <t>Highly durable yarn-based strain sensor with enhanced underwater monitoring capabilities and rapid drowning detection for safety applications</t>
  </si>
  <si>
    <t>10.1016/j.cej.2024.155485</t>
  </si>
  <si>
    <t>Experimental Section 2.2; Results and Discussion; Figs. 5-6; complete ScienceDirect article</t>
  </si>
  <si>
    <t>The complete article reports a coated yarn strain sensor sewn into a garment, a falling-water alarm textile and commercial sports braces. Volunteers wore sensor-equipped wrist, knee and elbow supports and were monitored during dry and underwater movements. Quantitative evidence includes a 30% working range, 210 ms response, 10,000 cycles, 72 h seawater testing and a 1.3 s water-entry alarm response.</t>
  </si>
  <si>
    <t>Focused_Deployment_Rescreen_636_Final_42_20260909.xlsx | Focused exclusions!A531:O531</t>
  </si>
  <si>
    <t>REC-00830</t>
  </si>
  <si>
    <t>Utilization of deep learning to classify resistance training exercises by the fabricated resistive stretch sensor</t>
  </si>
  <si>
    <t>10.1177/15280837231193450</t>
  </si>
  <si>
    <t>Materials—sensor fabrication; Characterization; classification results; Figs. 2 and 8-13; complete Sage article</t>
  </si>
  <si>
    <t>The complete open-access article reports SWCNT-coated polyester/spandex fabric sensors attached to a commercial arm sleeve. A participant wore the sleeve and performed four resistance-training exercises ten times each. Quantitative evidence includes GF 6.76, approximately 13% hysteresis, 2000-cycle durability, response/recovery timing and 90% test accuracy for exercise classification.</t>
  </si>
  <si>
    <t>Focused_Deployment_Rescreen_636_Final_42_20260909.xlsx | Focused exclusions!A532:O532</t>
  </si>
  <si>
    <t>REC-00864</t>
  </si>
  <si>
    <t>Hierarchical Coaxial Elastic Fibers Enabled by Porous Crack-Evolution Mechanisms for Highly Sensitive Ultrabroad-Range Strain-Sensing</t>
  </si>
  <si>
    <t>10.1002/adfm.77187</t>
  </si>
  <si>
    <t>Section 2.4; human-motion and physiological monitoring figures; complete Wiley article</t>
  </si>
  <si>
    <t>The complete article integrates the hierarchical coaxial strain fibers into sensing e-textiles and tests them on a human abdomen, throat, neck, wrist, elbow and knee. Quantitative evidence includes GF 233,549, a 426.4% sensing range, 45 ms response and 1000 loading cycles at 100% strain, together with repeated bending and ageing tests.</t>
  </si>
  <si>
    <t>Focused_Deployment_Rescreen_636_Final_42_20260909.xlsx | Focused exclusions!A533:O533</t>
  </si>
  <si>
    <t>REC-00865</t>
  </si>
  <si>
    <t>A Bioinspired Multilevel Porous Fiber-Based Wearable Sensor with Integrated Thermal Management, Energy Harvesting, and Assisted Sign Language Recognition</t>
  </si>
  <si>
    <t>10.1007/s42765-026-00718-x</t>
  </si>
  <si>
    <t>Application demonstrations and smart-glove figures; complete Springer article</t>
  </si>
  <si>
    <t>The complete article assembles the fiber strain sensor onto a smart glove for human sign-language gestures and robotic-arm control, in addition to body-motion demonstrations. Quantitative evidence includes 0.01% detection limit, 628% strain range, maximum GF 90,874, 1000 cycles, 150 ms response/recovery and 98.6% gesture-recognition accuracy.</t>
  </si>
  <si>
    <t>Focused_Deployment_Rescreen_636_Final_42_20260909.xlsx | Focused exclusions!A534:O534</t>
  </si>
  <si>
    <t>REC-00868</t>
  </si>
  <si>
    <t>Graphene Decorated Fiber for Wearable Strain Sensor with High Sensitivity at Tiny Strain</t>
  </si>
  <si>
    <t>10.1002/admt.202100421</t>
  </si>
  <si>
    <t>Section 3.4; knitted-glove application figure; complete Wiley article</t>
  </si>
  <si>
    <t>The complete article embeds the graphene-decorated fiber into a knitted glove and records resistance during human finger bending. Quantitative evidence includes a 0-20% linear range, GF 322, 0.1% strain detection, 500-cycle testing and retention after ten wash cycles.</t>
  </si>
  <si>
    <t>Focused_Deployment_Rescreen_636_Final_42_20260909.xlsx | Focused exclusions!A535:O535</t>
  </si>
  <si>
    <t>REC-00872</t>
  </si>
  <si>
    <t>Design and Fabrication of Flexible Carbon Fabric PDMS-Based Strain Sensor for Human Motion Monitoring</t>
  </si>
  <si>
    <t>10.1109/jsen.2023.3290218</t>
  </si>
  <si>
    <t>Publisher article: body-joint demonstrations and strain characterization</t>
  </si>
  <si>
    <t>The carbon-fabric/PDMS sensor was attached to finger, wrist and knee locations for human-motion monitoring and reported GF up to approximately 25.9.</t>
  </si>
  <si>
    <t>Focused_Deployment_Rescreen_636_Final_42_20260909.xlsx | Focused exclusions!A536:O536</t>
  </si>
  <si>
    <t>REC-00882</t>
  </si>
  <si>
    <t>Luminescent Sensing Smart Yarns for Human Motion Visual Monitoring: Multiple Optimization Strategies and Performance Studies</t>
  </si>
  <si>
    <t>10.1007/s12221-026-01340-9</t>
  </si>
  <si>
    <t>Sections 3.4.1-3.4.2; body-motion and glove demonstrations; complete Springer article</t>
  </si>
  <si>
    <t>The complete article tests the sensing yarn on human joints and sews it onto the exterior of a glove for finger-motion monitoring. It reports quantitative resistance changes for knee, wrist, elbow, swallowing and finger motion, including approximately 67.88% resistance change for the glove test, plus preconditioning, 50 cyclic tensile tests, four-hour stability and rate-dependent hysteresis testing.</t>
  </si>
  <si>
    <t>Focused_Deployment_Rescreen_636_Final_42_20260909.xlsx | Focused exclusions!A537:O537</t>
  </si>
  <si>
    <t>REC-00884</t>
  </si>
  <si>
    <t>Advancing Human-Machine Interface (HMI) through Development of a Conductive-Textile Based Capacitive Sensor</t>
  </si>
  <si>
    <t>10.1002/admt.202401458</t>
  </si>
  <si>
    <t>Sections 3.1 and 4; Figs. 3 and 5-7; complete Wiley article</t>
  </si>
  <si>
    <t>The complete article fabricates a dual-function textile capacitive strain/pressure sensor, sews the strain sensor into a glove and tests it on human body sites and in wearable HMI tasks. Quantitative strain evidence includes GF 1.03, sensing to 150% strain, less than 4% hysteresis, 175 ms response at 140% elongation, 2000 cycles and multi-user gesture-recognition results.</t>
  </si>
  <si>
    <t>Focused_Deployment_Rescreen_636_Final_42_20260909.xlsx | Focused exclusions!A538:O538</t>
  </si>
  <si>
    <t>REC-00894</t>
  </si>
  <si>
    <t>An accurate respiratory rate estimation algorithm for a rubber fiber respiratory sensor</t>
  </si>
  <si>
    <t>10.1177/15280837241248181</t>
  </si>
  <si>
    <t>Sensor fabrication; respiratory-garment construction; strain characterization; respiratory measurements; complete Sage article</t>
  </si>
  <si>
    <t>The complete article integrates a CNT-rubber resistive strain sensor into a fitted polyester/spandex respiratory garment using a sewn piping channel and records a participant's breathing while the garment is worn. Quantitative evidence includes GF 4.32, 800 repetitions at 10% elongation, approximately 4% signal decrease, one-minute human measurements and respiratory peak-matching rates of 93% and greater than 98%.</t>
  </si>
  <si>
    <t>Focused_Deployment_Rescreen_636_Final_42_20260909.xlsx | Focused exclusions!A539:O539</t>
  </si>
  <si>
    <t>REC-00923</t>
  </si>
  <si>
    <t>Knitted piezoresistive smart chest band and its application for respiration patterns assessment</t>
  </si>
  <si>
    <t>10.1177/1558925019868474</t>
  </si>
  <si>
    <t>Materials and methods; KTC respiration system; study population; testing procedures; complete Sage article</t>
  </si>
  <si>
    <t>The complete article evaluates a circular weft-knitted piezoresistive chest band worn by 20 volunteers from eight countries under standing, sitting, reading and physical-activity conditions. Participants were tested 14 times over 67 days, and the paper reports quantitative respiratory indices, posture/activity comparisons and 1230 device tests without significant response deterioration.</t>
  </si>
  <si>
    <t>Focused_Deployment_Rescreen_636_Final_42_20260909.xlsx | Focused exclusions!A540:O540</t>
  </si>
  <si>
    <t>REC-00940</t>
  </si>
  <si>
    <t>Flexible and self-adhesive strain sensor based on GNSs/MWCNTs coated stretchable fabric for gesture monitoring and recognition</t>
  </si>
  <si>
    <t>10.1016/j.sna.2022.114004</t>
  </si>
  <si>
    <t>Publisher article: smart-glove experiment and recognition results</t>
  </si>
  <si>
    <t>A self-adhesive fabric-tape strain sensor was integrated into a smart glove; evidence included GF about 40 at 30% strain, more than 5,000 cycles and approximately 95% gesture recognition.</t>
  </si>
  <si>
    <t>Focused_Deployment_Rescreen_636_Final_42_20260909.xlsx | Focused exclusions!A541:O541</t>
  </si>
  <si>
    <t>REC-00946</t>
  </si>
  <si>
    <t>Ultra-Stretchable Porous Fiber-Shaped Strain Sensor with Exponential Response in Full Sensing Range and Excellent Anti-Interference Ability toward Buckling, Torsion, Temperature, and Humidity</t>
  </si>
  <si>
    <t>10.1002/aelm.201900538</t>
  </si>
  <si>
    <t>Abstract; wearable human-motion application; Fig. 9; complete Wiley article</t>
  </si>
  <si>
    <t>The complete article explicitly reports the fiber-shaped strain sensor being directly attached or embedded in garments and tests it on a volunteer's knee, finger, elbow and wrist. Quantitative evidence includes GF 102 at 300% strain, a 300% sensing range, 200 ms response, 10,000 cycles at 50% strain and repeated motion-response traces.</t>
  </si>
  <si>
    <t>Focused_Deployment_Rescreen_636_Final_42_20260909.xlsx | Focused exclusions!A542:O542</t>
  </si>
  <si>
    <t>REC-00953</t>
  </si>
  <si>
    <t>Biodegradable Ecoflex encapsulated bacterial cellulose/polypyrrole strain sensor detects motion with high sensitivity, flexibility and scalability</t>
  </si>
  <si>
    <t>10.1016/j.cej.2023.141769</t>
  </si>
  <si>
    <t>Publisher article: textile integration and physiological demonstrations</t>
  </si>
  <si>
    <t>The bacterial-cellulose/polypyrrole strain sensor was integrated with textiles and tested for joint motion, pulse and respiration with quantitative strain-response results.</t>
  </si>
  <si>
    <t>Focused_Deployment_Rescreen_636_Final_42_20260909.xlsx | Focused exclusions!A543:O543</t>
  </si>
  <si>
    <t>REC-00955</t>
  </si>
  <si>
    <t>A Hybrid Multimodal System Combining Vision and Flexible Strain Sensors for Gesture Recognition</t>
  </si>
  <si>
    <t>10.1109/lsens.2026.3673240</t>
  </si>
  <si>
    <t>Publisher article: smart-glove human-gesture evaluation</t>
  </si>
  <si>
    <t>CNT/graphene/TPU textile sensors were incorporated in a glove and evaluated for human gesture recognition, with reported accuracy of 96.31%.</t>
  </si>
  <si>
    <t>Focused_Deployment_Rescreen_636_Final_42_20260909.xlsx | Focused exclusions!A544:O544</t>
  </si>
  <si>
    <t>REC-00966</t>
  </si>
  <si>
    <t>Novel printed body worn sensor for measuring the human movement orientation</t>
  </si>
  <si>
    <t>10.1108/sr-08-2015-0147</t>
  </si>
  <si>
    <t>Publisher article: printed body-worn sensor and motion tests</t>
  </si>
  <si>
    <t>The printed strain sensor was worn on the body and produced quantitative deformation signals during human-motion demonstrations.</t>
  </si>
  <si>
    <t>Focused_Deployment_Rescreen_636_Final_42_20260909.xlsx | Focused exclusions!A545:O545</t>
  </si>
  <si>
    <t>REC-00968</t>
  </si>
  <si>
    <t>Highly Sensitive and Color Adaptable Polyurethane-Based Strain Sensors with Embedded Silver Nanowires</t>
  </si>
  <si>
    <t>10.1002/admt.202300005</t>
  </si>
  <si>
    <t>Human-motion and colorful electronic-textile application; Fig. 5d-f; Experimental—Preparation of Colorful Electronic Textiles; complete Wiley article</t>
  </si>
  <si>
    <t>The complete article rolls color-adaptable AgNW/TPU sensors into yarns, weaves them with cotton warp yarns into a sensing bracer and records its resistance response during human arm bending. Quantitative evidence includes GF 34,797 at 9-10% strain, 750 s cyclic testing, 79.9% transparency and strain-dependent motion signals.</t>
  </si>
  <si>
    <t>Focused_Deployment_Rescreen_636_Final_42_20260909.xlsx | Focused exclusions!A546:O546</t>
  </si>
  <si>
    <t>REC-00982</t>
  </si>
  <si>
    <t>A flexible sensor based on ionogel/knitted coil prepared by a simple method for accurate monitoring of human physiological signals</t>
  </si>
  <si>
    <t>10.1016/j.mtchem.2024.102273</t>
  </si>
  <si>
    <t>Publisher article: knitted-coil integration, human tests and wash assessment</t>
  </si>
  <si>
    <t>The ionogel-based sensing element was incorporated into an elastic knitted coil/wearable structure and tested during human movements with quantitative and wash-related performance.</t>
  </si>
  <si>
    <t>Focused_Deployment_Rescreen_636_Final_42_20260909.xlsx | Focused exclusions!A547:O547</t>
  </si>
  <si>
    <t>REC-01014</t>
  </si>
  <si>
    <t>Conductive chromotropic fiber filament sensors with ultrahigh stretchability for wearable sensing textiles toward 3D optical motion capture</t>
  </si>
  <si>
    <t>10.1039/d3ta01359f</t>
  </si>
  <si>
    <t>Open publisher article: fabric sensor and optical-reference experiment</t>
  </si>
  <si>
    <t>The chromotropic fibre sensor was incorporated into fabric and evaluated on a person against 3D optical motion capture; evidence included 0-210% strain, GF up to 61 and 3,000 cycles.</t>
  </si>
  <si>
    <t>Focused_Deployment_Rescreen_636_Final_42_20260909.xlsx | Focused exclusions!A548:O548</t>
  </si>
  <si>
    <t>REC-01020</t>
  </si>
  <si>
    <t>Flexible and wearable multilayer structure fiber sensor for motion and human physiological signal monitoring</t>
  </si>
  <si>
    <t>10.1002/pat.6552</t>
  </si>
  <si>
    <t>Publisher article: multilayer construction and on-body demonstrations</t>
  </si>
  <si>
    <t>The multilayer fibre sensor used conductive-fabric layers and was tested for large human movements and physiological signals; quantitative sensitivities of 4.9029 and 0.7901 were reported in two strain regimes.</t>
  </si>
  <si>
    <t>Focused_Deployment_Rescreen_636_Final_42_20260909.xlsx | Focused exclusions!A549:O549</t>
  </si>
  <si>
    <t>REC-01033</t>
  </si>
  <si>
    <t>Full Body-Worn Textile-Integrated Nanomaterials and Soft Electronics for Real-Time Continuous Motion Recognition Using Cloud Computing</t>
  </si>
  <si>
    <t>10.1021/acsami.4c17369</t>
  </si>
  <si>
    <t>Abstract and Introduction; open-access ACS article page</t>
  </si>
  <si>
    <t>The original journal study integrates nanomembrane and laser-induced-graphene strain sensors with a Velcro-mesh textile in a full-body wireless suit. Multiple human participants performed eight activities, and the system quantitatively classified motions with 95.3% accuracy, satisfying C1-C6.</t>
  </si>
  <si>
    <t>Focused_Deployment_Rescreen_636_Final_42_20260909.xlsx | Focused exclusions!A550:O550</t>
  </si>
  <si>
    <t>REC-01035</t>
  </si>
  <si>
    <t>Microfluidic preparation of highly stretchable natural rubber microfiber containing CNT/PEDOT:PSS hybrid for fabric-sewable wearable strain sensor</t>
  </si>
  <si>
    <t>10.1016/j.compscitech.2021.108811</t>
  </si>
  <si>
    <t>Abstract, Methods, Results and human-motion demonstration; complete ScienceDirect article page</t>
  </si>
  <si>
    <t>The original journal study fabricates a CNT/PEDOT:PSS-natural-rubber microfiber strain sensor, sews it onto fabric, and demonstrates strain-mediated monitoring of finger and elbow bending, walking, jumping and phonation. Quantitative performance includes a 1275% sensing range, linearity to 1000%, 0.05% resolution and approximately 63 ms response time, satisfying C1-C6.</t>
  </si>
  <si>
    <t>Focused_Deployment_Rescreen_636_Final_42_20260909.xlsx | Focused exclusions!A551:O551</t>
  </si>
  <si>
    <t>REC-01063</t>
  </si>
  <si>
    <t>Fast-response and durable liquid metal wire for wearable electronics</t>
  </si>
  <si>
    <t>10.1016/j.cej.2023.145172</t>
  </si>
  <si>
    <t>Publisher article: smart-glove integration and gesture results</t>
  </si>
  <si>
    <t>Liquid-metal/lastex sensing yarns were incorporated into a smart glove; performance included a 10-100% strain range, 100,000 cycles and 100% gesture classification in the reported task.</t>
  </si>
  <si>
    <t>Focused_Deployment_Rescreen_636_Final_42_20260909.xlsx | Focused exclusions!A552:O552</t>
  </si>
  <si>
    <t>REC-01084</t>
  </si>
  <si>
    <t>Highly Sensitive and Mechanically Stable MXene Textile Sensors for Adaptive Smart Data Glove Embedded with Near-Sensor Edge Intelligence</t>
  </si>
  <si>
    <t>10.1007/s42765-024-00434-4</t>
  </si>
  <si>
    <t>Sections 2.2-2.3 and 3.1-3.5; Figs. 1, 4 and 5; complete article PDF</t>
  </si>
  <si>
    <t>The original journal study integrates 10 MXene-textile bending sensors and sewn conductive interconnects into a smart glove worn for human gesture acquisition. Quantitative evaluation used 14- and 20-gesture datasets and reported classification accuracy up to 99.7% (98.1% after expansion), satisfying C1-C6.</t>
  </si>
  <si>
    <t>Focused_Deployment_Rescreen_636_Final_42_20260909.xlsx | Focused exclusions!A553:O553</t>
  </si>
  <si>
    <t>REC-01110</t>
  </si>
  <si>
    <t>High-Performance Flexible Strain Sensor Based on Thermoplastic Polyurethane Melt-Blown Nonwoven with Molybdenum Disulfide for Human Motion Monitoring</t>
  </si>
  <si>
    <t>10.1021/acsaelm.4c01385</t>
  </si>
  <si>
    <t>Open publisher article: nonwoven construction and human demonstrations</t>
  </si>
  <si>
    <t>The MoS2/MWCNT TPU melt-blown nonwoven sensor was tested for limb, facial and vocal motions; evidence included 0.5-300% strain, GF up to 4,271.9 and 2,600 cycles.</t>
  </si>
  <si>
    <t>Focused_Deployment_Rescreen_636_Final_42_20260909.xlsx | Focused exclusions!A554:O554</t>
  </si>
  <si>
    <t>REC-01113</t>
  </si>
  <si>
    <t>Waterproof Graphene-PVDF Wearable Strain Sensors for Movement Detection in Smart Gloves</t>
  </si>
  <si>
    <t>10.3390/s21165277</t>
  </si>
  <si>
    <t>Sections 2.6 and 3.6; Fig. 12; complete open-access article PDF</t>
  </si>
  <si>
    <t>The original journal study pastes graphene/PVDF nanocomposite strain sensors onto commercial gloves and tests the gloves while worn on a human hand. Quantitative resistance responses were measured for controlled index-finger flexion from 10° to 90°, with a gauge factor around 30 at 1.5% strain, satisfying C1-C6.</t>
  </si>
  <si>
    <t>Focused_Deployment_Rescreen_636_Final_42_20260909.xlsx | Focused exclusions!A555:O555</t>
  </si>
  <si>
    <t>REC-01124</t>
  </si>
  <si>
    <t>A BLE-Connected Piezoresistive and Inertial Chest Band for Remote Monitoring of the Respiratory Activity by an Android Application: Hardware Design and Software Optimization</t>
  </si>
  <si>
    <t>10.3390/fi14060183</t>
  </si>
  <si>
    <t>Sections 2-4 and Figs. 3-13; complete open-access MDPI article</t>
  </si>
  <si>
    <t>The original journal study integrates a pressure-sensitive textile strain element into an elastic BLE chest band and tests it on six users while seated, standing and walking. Respiration measurements were quantitatively compared with breath counts and a spirometer; seated Pearson correlation was 0.96 and Bland-Altman limits were reported, satisfying C1-C6.</t>
  </si>
  <si>
    <t>Focused_Deployment_Rescreen_636_Final_42_20260909.xlsx | Focused exclusions!A556:O556</t>
  </si>
  <si>
    <t>REC-01130</t>
  </si>
  <si>
    <t>Robust Sleep Behavior Monitoring Under Motion Artefacts via Motion-Conditioned Learning</t>
  </si>
  <si>
    <t>10.1109/tnsre.2026.3715694</t>
  </si>
  <si>
    <t>Publisher article: throat-band participant protocol and classification</t>
  </si>
  <si>
    <t>The textile throat band was evaluated in 24 participants over 93.6 hours for sleep-behaviour sensing and achieved approximately 94.3% classification accuracy.</t>
  </si>
  <si>
    <t>Focused_Deployment_Rescreen_636_Final_42_20260909.xlsx | Focused exclusions!A557:O557</t>
  </si>
  <si>
    <t>REC-01133</t>
  </si>
  <si>
    <t>Deep Learning Regression-Assisted Motion Mapping Using Hydrophobic Deep Eutectic Strain Sensors</t>
  </si>
  <si>
    <t>10.1016/j.measurement.2026.122019</t>
  </si>
  <si>
    <t>Publisher article: textile data glove and sensor characterization</t>
  </si>
  <si>
    <t>Strain sensors on a textile glove were evaluated for motion mapping, with 10-100% strain, GF 6.1-30.8 and 1,000-cycle testing.</t>
  </si>
  <si>
    <t>Focused_Deployment_Rescreen_636_Final_42_20260909.xlsx | Focused exclusions!A558:O558</t>
  </si>
  <si>
    <t>REC-01135</t>
  </si>
  <si>
    <t>Multiscale Disordered Porous Fibers for Self-Sensing and Self-Cooling Integrated Smart Sportswear</t>
  </si>
  <si>
    <t>10.1021/acsnano.9b06899</t>
  </si>
  <si>
    <t>Garment demonstrations and Fig. 6; author-accepted manuscript</t>
  </si>
  <si>
    <t>The original journal study fabricates integrated smart sportswear from porous polyurethane and graphene-modified sensing fibers, with nine garment sensing zones. While worn, it records swallowing, speech, walking, stretching, chest expansion/respiration, waist motion, pulse and finger bending, with quantitative gauge factor, response, cyclic and physiological data, satisfying C1-C6.</t>
  </si>
  <si>
    <t>Focused_Deployment_Rescreen_636_Final_42_20260909.xlsx | Focused exclusions!A559:O559</t>
  </si>
  <si>
    <t>REC-01184</t>
  </si>
  <si>
    <t>Electrically Conductive Nanocarbon/Elastomer Composite Inks for Flexible and Wearable Strain Sensing</t>
  </si>
  <si>
    <t>10.1002/smll.202506844</t>
  </si>
  <si>
    <t>Results and Discussion (Fig. 5), Experimental Section and Conclusion; complete open-access article</t>
  </si>
  <si>
    <t>The original journal study blade-coats a CNT/carbon-nano-onion elastomer ink onto stretchable textile, attaches the textile sensor to an elastic chest band, and tests it on a human subject during breathing. It reports gauge factors of 10-12, 7000 strain cycles, 2.9% repeatability/drift and a respiratory rate of 17.5 ± 1.6 breaths/min, satisfying C1-C6.</t>
  </si>
  <si>
    <t>Focused_Deployment_Rescreen_636_Final_42_20260909.xlsx | Focused exclusions!A560:O560</t>
  </si>
  <si>
    <t>REC-01214</t>
  </si>
  <si>
    <t>Highly Durable Nanofiber-Reinforced Elastic Conductors for Skin-Tight Electronic Textiles</t>
  </si>
  <si>
    <t>10.1021/acsnano.9b02297</t>
  </si>
  <si>
    <t>Demonstration of Highly Durable Strain Sensor and Multimodal Sensing Suit; Fig. 4; Fabrication of Multimodal Sensors and Textile Integration; complete ACS article page</t>
  </si>
  <si>
    <t>The original journal study integrates the strain sensor into compression sportswear with TPU film/heat pressing. A volunteer wore the multimodal suit while lifting a 3 kg weight for one hour; elbow strain was recorded continuously alongside ECG and EMG. Quantitative evidence includes GF 1.52, R² 0.995 and 1000-cycle testing, satisfying C1-C6.</t>
  </si>
  <si>
    <t>Focused_Deployment_Rescreen_636_Final_42_20260909.xlsx | Focused exclusions!A561:O561</t>
  </si>
  <si>
    <t>REC-01222</t>
  </si>
  <si>
    <t>Dual-Strain Adaptive Conductive Channels Conferred Sensing Rope with Ultrahigh Linearity, Wide Working Range, and Yoga-Asana-Monitoring Capability</t>
  </si>
  <si>
    <t>10.1021/acssensors.5c01730</t>
  </si>
  <si>
    <t>Open publisher article: yoga-wear integration and pose tests</t>
  </si>
  <si>
    <t>A braided reef-knot rope sensor was integrated into yoga wear and evaluated during human asanas; calibration fits were approximately 0.998-0.999 with a broad quantitative strain range.</t>
  </si>
  <si>
    <t>Focused_Deployment_Rescreen_636_Final_42_20260909.xlsx | Focused exclusions!A562:O562</t>
  </si>
  <si>
    <t>REC-01242</t>
  </si>
  <si>
    <t>Piezoresistive Sensors Array for Multijoint Motion Estimation Application</t>
  </si>
  <si>
    <t>10.1109/tmech.2024.3371875</t>
  </si>
  <si>
    <t>Sections II-C and II-E, Fig. 2 and Results; complete accepted-manuscript PDF</t>
  </si>
  <si>
    <t>The original journal study integrates ten TPU/CNT piezoresistive strain sensors into an off-the-shelf compression shirt. One healthy volunteer performed defined shoulder and elbow motions while the sensor array estimated joint angles; quantitative normalized RMSE values of 6.77%, 7.19%, 6.31% and 8.22% are reported, satisfying C1-C6.</t>
  </si>
  <si>
    <t>Focused_Deployment_Rescreen_636_Final_42_20260909.xlsx | Focused exclusions!A563:O563</t>
  </si>
  <si>
    <t>REC-01248</t>
  </si>
  <si>
    <t>Real-Time Sleep Apnea Monitoring System Enabled by High-Performance Strain Sensors Based on Elastic E-Fibers</t>
  </si>
  <si>
    <t>10.1109/jsen.2024.3394488</t>
  </si>
  <si>
    <t>Publisher article: wearable breathing/sleep-apnoea experiment</t>
  </si>
  <si>
    <t>Elastic electronic fibres were integrated into a wearable respiratory system and used for quantitative breathing and sleep-apnoea monitoring.</t>
  </si>
  <si>
    <t>Focused_Deployment_Rescreen_636_Final_42_20260909.xlsx | Focused exclusions!A564:O564</t>
  </si>
  <si>
    <t>REC-01308</t>
  </si>
  <si>
    <t>Microcrack/Microscale Decorated Fiber-Based Electronics for Waist Rehabilitation</t>
  </si>
  <si>
    <t>10.1016/j.eng.2025.07.004</t>
  </si>
  <si>
    <t>Section 3.5, Fig. 5, and sensor-fabric application sections; complete open-access Engineering article</t>
  </si>
  <si>
    <t>The original journal study weaves Ag@PU fiber electronics into an intelligent thermal-therapy waist belt. The belt is shown worn by a person and records repeatable resistance changes during forward waist bending while maintaining stable heating. Quantitative fiber and sensing results include conductivity 1.9 × 10^5 S/m, GF 7.7 and cyclic waist-motion signals, satisfying C1-C6.</t>
  </si>
  <si>
    <t>Focused_Deployment_Rescreen_636_Final_42_20260909.xlsx | Focused exclusions!A565:O565</t>
  </si>
  <si>
    <t>REC-01331</t>
  </si>
  <si>
    <t>Preparation and application of chitosan-modified conductive fabrics in human posture monitoring; [壳聚糖改性的炭黑导电织物制备及其在人体运动监测中的应用]</t>
  </si>
  <si>
    <t>10.13475/j.fzxb.20240406501</t>
  </si>
  <si>
    <t>Publisher article: conductive-fabric construction and posture experiment</t>
  </si>
  <si>
    <t>Chitosan-modified conductive fabric sensors were used in a wearable posture-monitoring configuration and produced quantitative deformation responses during human posture tasks.</t>
  </si>
  <si>
    <t>Focused_Deployment_Rescreen_636_Final_42_20260909.xlsx | Focused exclusions!A566:O566</t>
  </si>
  <si>
    <t>REC-01332</t>
  </si>
  <si>
    <t>Micro/nanostructured sensing yarn with ultra-wide strain range enabled by a nano-topological conductive network</t>
  </si>
  <si>
    <t>10.1016/j.cej.2025.168747</t>
  </si>
  <si>
    <t>Application demonstrations, Materials, Results and Conclusion; complete ScienceDirect article page</t>
  </si>
  <si>
    <t>The original journal study integrates the CNT/spandex/TPU sensing yarn into commercial elastic bandages and uses the textile assemblies for real-time monitoring of subtle and large human motions at multiple body sites. Quantitative evidence includes GF 22.42, 63 ms response, sensing to 400% strain and negligible drift over 5000 cycles, satisfying C1-C6.</t>
  </si>
  <si>
    <t>Focused_Deployment_Rescreen_636_Final_42_20260909.xlsx | Focused exclusions!A567:O567</t>
  </si>
  <si>
    <t>REC-01466</t>
  </si>
  <si>
    <t>A Holistic Eating Monitoring System Enabled by Textile Strain Sensors and Hierarchical Network</t>
  </si>
  <si>
    <t>10.1109/tbme.2026.3701048</t>
  </si>
  <si>
    <t>Publisher article: textile placement and eating-monitoring results</t>
  </si>
  <si>
    <t>Textile strain sensors were worn at the throat/jaw and quantitatively evaluated for eating-related movements and event monitoring.</t>
  </si>
  <si>
    <t>Focused_Deployment_Rescreen_636_Final_42_20260909.xlsx | Focused exclusions!A568:O568</t>
  </si>
  <si>
    <t>REC-01533</t>
  </si>
  <si>
    <t>Wearable system using conductive fiber gloves and reservoir computing algorithms</t>
  </si>
  <si>
    <t>10.1016/j.measurement.2026.122808</t>
  </si>
  <si>
    <t>Publisher article: knitted glove participant experiment</t>
  </si>
  <si>
    <t>Silver-filament knitted sensors were integrated into a glove and evaluated on a participant across 11 gestures, with 93.88% recognition reported.</t>
  </si>
  <si>
    <t>Focused_Deployment_Rescreen_636_Final_42_20260909.xlsx | Focused exclusions!A569:O569</t>
  </si>
  <si>
    <t>REC-01617</t>
  </si>
  <si>
    <t>Construction of MXene-based conductive fabrics and their multifunctional applications; [基于 MXene 的导电织物构筑及其多功能应用]</t>
  </si>
  <si>
    <t>10.13475/j.fzxb.20230603801</t>
  </si>
  <si>
    <t>Publisher article: nonwoven fabric and on-body demonstrations</t>
  </si>
  <si>
    <t>The MXene/CNT nonwoven fabric sensor was fixed to the neck, wrist, fingertips, knee and elbow for human-motion monitoring with quantitative strain-response data.</t>
  </si>
  <si>
    <t>Focused_Deployment_Rescreen_636_Final_42_20260909.xlsx | Focused exclusions!A570:O570</t>
  </si>
  <si>
    <t>REC-01676</t>
  </si>
  <si>
    <t>Preparation and performance of fabric sensor based on polyurethane/ carbon black/polyamide conductive yarn; [基于聚氨酯/炭黑/锦纶导电纱线的织物 应变传感器制备及其性能]</t>
  </si>
  <si>
    <t>10.13475/j.fzxb.20230905001</t>
  </si>
  <si>
    <t>Publisher article: fabric sensor, belt integration and human tests</t>
  </si>
  <si>
    <t>The PU/carbon-black/polyamide fabric sensor was sewn into an elastic belt and evaluated for respiration and joint motion with quantitative signals.</t>
  </si>
  <si>
    <t>Focused_Deployment_Rescreen_636_Final_42_20260909.xlsx | Focused exclusions!A571:O571</t>
  </si>
  <si>
    <t>REC-01685</t>
  </si>
  <si>
    <t>Preparation and performance of strain-sensing smart gloves; [应变传感式智能手套的制备与性能]</t>
  </si>
  <si>
    <t>10.19398/j.att.202407004</t>
  </si>
  <si>
    <t>Publisher article: full-textile glove and gesture evaluation</t>
  </si>
  <si>
    <t>Ten knitted strain sensors were integrated into a smart glove; reported evidence included strain sensitivity over the tested range, response below 50 ms and 8,000-cycle durability.</t>
  </si>
  <si>
    <t>Focused_Deployment_Rescreen_636_Final_42_20260909.xlsx | Focused exclusions!A572:O572</t>
  </si>
  <si>
    <t>REC-01697</t>
  </si>
  <si>
    <t>Bioinspired Wearable Glove With High-Sensitivity Grid-Like Strain Sensors for Multitask Gesture Recognition</t>
  </si>
  <si>
    <t>10.1109/tim.2025.3637965</t>
  </si>
  <si>
    <t>Publisher article: glove integration and gesture/object tests</t>
  </si>
  <si>
    <t>A grid-like PDMS strain sensor was physically integrated at glove joints and evaluated in human static, dynamic and object-recognition tasks; GF reached 246 and durability was tested to 1,000 cycles.</t>
  </si>
  <si>
    <t>Focused_Deployment_Rescreen_636_Final_42_20260909.xlsx | Focused exclusions!A573:O573</t>
  </si>
  <si>
    <t>REC-01699</t>
  </si>
  <si>
    <t>All Knitted and Integrated Soft Wearable of High Stretchability and Sensitivity for Continuous Monitoring of Human Joint Motion</t>
  </si>
  <si>
    <t>10.1002/adhm.202202987</t>
  </si>
  <si>
    <t>Publisher article: all-knitted knee wearable and multi-subject tests</t>
  </si>
  <si>
    <t>The all-knitted sensing system was evaluated on multiple subjects for knee movement; the sensor exceeded 120% strain, GF 8.47 and 100,000 cycles.</t>
  </si>
  <si>
    <t>Focused_Deployment_Rescreen_636_Final_42_20260909.xlsx | Focused exclusions!A574:O574</t>
  </si>
  <si>
    <t>REC-01730</t>
  </si>
  <si>
    <t>Multifunctional flexible conductive filament for human motion detection and electrothermal</t>
  </si>
  <si>
    <t>10.1016/j.coco.2022.101446</t>
  </si>
  <si>
    <t>Materials and fabrication, wearable sensing applications, respiratory-mask experiment, Results/Discussion and Conclusion in the complete ScienceDirect article</t>
  </si>
  <si>
    <t>The original journal study wet-spins an LM/CNT@Ecoflex coaxial strain-sensing filament and then embroiders it into a KN95 facial mask for respiratory monitoring, with additional strain-mediated human pulse, heartbeat and joint-motion demonstrations. The article reports quantitative electromechanical sensitivity, response, repeatability and stability, satisfying C1-C6.</t>
  </si>
  <si>
    <t>Focused_Deployment_Rescreen_636_Final_42_20260909.xlsx | Focused exclusions!A575:O575</t>
  </si>
  <si>
    <t>REC-01746</t>
  </si>
  <si>
    <t>Deep full-body motion network for a soft wearable motion sensing suit</t>
  </si>
  <si>
    <t>10.1109/tmech.2018.2874647</t>
  </si>
  <si>
    <t>Sections III.A-III.B (sensor and suit construction), Sections V.A-V.B (human motion experiments), Section VI and complete 11-page author-shared IEEE manuscript</t>
  </si>
  <si>
    <t>The original journal study mounts 20 liquid-metal soft strain sensors on a stretchable spandex sensing suit using mesh-fabric reinforcement and sewn hook-and-loop fasteners. A human subject performs three athletic motions while an optical motion-capture system provides reference data; overall and worst-case RMSE values of 29.5 and 38.7 mm are reported, satisfying C1-C6.</t>
  </si>
  <si>
    <t>Focused_Deployment_Rescreen_636_Final_42_20260909.xlsx | Focused exclusions!A576:O576</t>
  </si>
  <si>
    <t>REC-01764</t>
  </si>
  <si>
    <t>Stretchable Strain Sensors Based on Two- And Three-Dimensional Carbonized Cotton Fabrics for the Detection of Full Range of Human Motions</t>
  </si>
  <si>
    <t>10.1021/acsaelm.1c00503</t>
  </si>
  <si>
    <t>Publisher article: carbonized-cotton fabric and joint demonstrations</t>
  </si>
  <si>
    <t>The carbonized cotton-fabric sensor was worn across body joints and tested over 0-180% strain, with GF up to 24.12.</t>
  </si>
  <si>
    <t>Focused_Deployment_Rescreen_636_Final_42_20260909.xlsx | Focused exclusions!A577:O577</t>
  </si>
  <si>
    <t>REC-01781</t>
  </si>
  <si>
    <t>Towards User-Friendly Wearable Platforms for Monitoring Unconstrained Indoor and Outdoor Activities</t>
  </si>
  <si>
    <t>10.1109/jbhi.2020.3004319</t>
  </si>
  <si>
    <t>Publisher article: textile sensor array and ten-volunteer validation</t>
  </si>
  <si>
    <t>A textile stretch-sensor array combined with gyroscopes was evaluated in ten volunteers, with reported angular errors below approximately 1.72 and 3 degrees.</t>
  </si>
  <si>
    <t>Focused_Deployment_Rescreen_636_Final_42_20260909.xlsx | Focused exclusions!A578:O578</t>
  </si>
  <si>
    <t>REC-01783</t>
  </si>
  <si>
    <t>A Finger Gesture Recognition Device with Piezoresistive Flexible Strain Sensing Fiber; [压阻式柔性应变传感纤维的手指姿态识别装置]</t>
  </si>
  <si>
    <t>10.7652/xjtuxb202008015</t>
  </si>
  <si>
    <t>Publisher article: knitted sensing-fibre glove and recognition tests</t>
  </si>
  <si>
    <t>Core-sheath sensing fibres were knitted into a glove and quantitatively evaluated for human finger-gesture recognition.</t>
  </si>
  <si>
    <t>Focused_Deployment_Rescreen_636_Final_42_20260909.xlsx | Focused exclusions!A579:O579</t>
  </si>
  <si>
    <t>REC-01797</t>
  </si>
  <si>
    <t>Lower body kinematics monitoring in running using fabric-based wearable sensors and deep convolutional neural networks</t>
  </si>
  <si>
    <t>10.3390/s19235325</t>
  </si>
  <si>
    <t>Sections 2.1-2.5 (wearable prototype, participants and reference system), Sections 3.1-3.4 (validation results), and complete open-access article</t>
  </si>
  <si>
    <t>The original journal study integrates fabric strain sensors into a lower-body wearable prototype. Ten participants completed 15 minutes of running at five speeds while an optical motion-capture system supplied reference joint angles. Inter- and intra-participant RMSE/NRMSE results are reported, satisfying C1-C6.</t>
  </si>
  <si>
    <t>Focused_Deployment_Rescreen_636_Final_42_20260909.xlsx | Focused exclusions!A580:O580</t>
  </si>
  <si>
    <t>REC-01819</t>
  </si>
  <si>
    <t>AgNW Treated PU Nanofiber/PDMS Composites as Wearable Strain Sensors for Joint Flexion Monitoring</t>
  </si>
  <si>
    <t>10.1007/s12221-020-0018-2</t>
  </si>
  <si>
    <t>Publisher article: nonwoven sleeve and participant tests</t>
  </si>
  <si>
    <t>The Ag-nanowire/PU nanofibre nonwoven sensor was incorporated into an arm sleeve and evaluated on three human participants with quantitative motion outputs.</t>
  </si>
  <si>
    <t>Focused_Deployment_Rescreen_636_Final_42_20260909.xlsx | Focused exclusions!A581:O581</t>
  </si>
  <si>
    <t>REC-01820</t>
  </si>
  <si>
    <t>Bending Angle Measurement for Finger Joint Based on Conductive Fabric; [基于导电织物的关节弯曲角度测量传感器]</t>
  </si>
  <si>
    <t>10.3969/j.issn.1004-1699.2022.04.003</t>
  </si>
  <si>
    <t>Publisher full article: glove installation and finger-angle prediction</t>
  </si>
  <si>
    <t>A conductive-fabric electrode sensor was installed on a glove and used to predict finger-joint angle; characterization included 0-50% strain and GF about 1.5.</t>
  </si>
  <si>
    <t>Focused_Deployment_Rescreen_636_Final_42_20260909.xlsx | Focused exclusions!A582:O582</t>
  </si>
  <si>
    <t>REC-01866</t>
  </si>
  <si>
    <t>Development of wearable sensing suit for monitoring wrist joint motions and deep neural</t>
  </si>
  <si>
    <t>10.7736/jkspe.020.020</t>
  </si>
  <si>
    <t>Publisher article: sensing-suit integration and wrist-motion results</t>
  </si>
  <si>
    <t>A fabric capacitive stretch sensor was incorporated into a wearable suit and evaluated for wrist motion using DNN calibration, with quantitative RMSE reported.</t>
  </si>
  <si>
    <t>Focused_Deployment_Rescreen_636_Final_42_20260909.xlsx | Focused exclusions!A583:O583</t>
  </si>
  <si>
    <t>REC-01885</t>
  </si>
  <si>
    <t>Body Movement-Based Controlling through Passive RFID Integrated into Clothing</t>
  </si>
  <si>
    <t>10.1109/jrfid.2020.3010717</t>
  </si>
  <si>
    <t>Publisher article: clothing integration and on-body RFID test</t>
  </si>
  <si>
    <t>A passive electro-textile RFID strain sensor was integrated into clothing and tested on-body during arm elongation, with approximately 1 m read range and quantitative output.</t>
  </si>
  <si>
    <t>Focused_Deployment_Rescreen_636_Final_42_20260909.xlsx | Focused exclusions!A584:O584</t>
  </si>
  <si>
    <t>REC-01895</t>
  </si>
  <si>
    <t>Human activity detection using machine learning methods from wearable sensors</t>
  </si>
  <si>
    <t>10.1108/sr-02-2020-0027</t>
  </si>
  <si>
    <t>Publisher article: woven-sensor jacket and participant classification</t>
  </si>
  <si>
    <t>Stretch and pressure sensors were woven into a protective jacket and evaluated on a healthy subject for activity/attack recognition, with 98.8% accuracy reported.</t>
  </si>
  <si>
    <t>Focused_Deployment_Rescreen_636_Final_42_20260909.xlsx | Focused exclusions!A585:O585</t>
  </si>
  <si>
    <t>REC-01897</t>
  </si>
  <si>
    <t>Highly sensitive E-textile strain sensors enhanced by geometrical treatment for human monitoring</t>
  </si>
  <si>
    <t>10.3390/s20082383</t>
  </si>
  <si>
    <t>Materials and Methods, sensor fabrication, geometrical-treatment results, wearable glove/neck demonstrations and Conclusion in the complete open-access article</t>
  </si>
  <si>
    <t>The original journal study fabricates strain sensors from woven polyester/spandex fabric coated with SWCNT and printed silver paste. Sensors are integrated on a glove for finger-motion monitoring and attached to a person's neck for speaking, coughing and swallowing tests. Quantitative sensitivity, hysteresis, response and cyclic results are reported, satisfying C1-C6.</t>
  </si>
  <si>
    <t>Focused_Deployment_Rescreen_636_Final_42_20260909.xlsx | Focused exclusions!A586:O586</t>
  </si>
  <si>
    <t>REC-01920</t>
  </si>
  <si>
    <t>Evaluating Lumbar Shape Deformation With Fabric Strain Sensors</t>
  </si>
  <si>
    <t>10.1177/0018720820965302</t>
  </si>
  <si>
    <t>Methods (participants, strain-sensor array and 3D scanning), Results, Discussion and Conclusion in the complete SAGE article</t>
  </si>
  <si>
    <t>The original journal study places an array of flexible fabric strain sensors on 12 male participants during specified lumbar postures while simultaneous 3D body scans are collected. A multifactor model is evaluated with holdout cross-validation and reports a mean torso-shape RMSE of 2.02 cm, satisfying C1-C6.</t>
  </si>
  <si>
    <t>Focused_Deployment_Rescreen_636_Final_42_20260909.xlsx | Focused exclusions!A587:O587</t>
  </si>
  <si>
    <t>REC-01956</t>
  </si>
  <si>
    <t>Batch Fabrication of Customizable Silicone-Textile Composite Capacitive Strain Sensors for Human Motion Tracking</t>
  </si>
  <si>
    <t>10.1002/admt.201700136</t>
  </si>
  <si>
    <t>Sensor fabrication and characterization, Glove Manufacturing and Testing, Figure 4 application section, Conclusion and complete author-shared manuscript</t>
  </si>
  <si>
    <t>The original journal study fabricates capacitive sensors from conductive knit-fabric electrodes and silicone dielectric, then bonds them to a reconstructed textile glove with integrated cable routing. The worn glove captures real-time finger kinematics and hand gestures; gauge factor, linearity, hysteresis, drift, response, bandwidth and 1000-cycle results are quantified, satisfying C1-C6.</t>
  </si>
  <si>
    <t>Focused_Deployment_Rescreen_636_Final_42_20260909.xlsx | Focused exclusions!A588:O588</t>
  </si>
  <si>
    <t>REC-01973</t>
  </si>
  <si>
    <t>Rapid dip-dry MWNT-rGO ink wrapped polyester elastic band (PEB) for piezoresistive strain sensor applications</t>
  </si>
  <si>
    <t>10.1063/1.5037318</t>
  </si>
  <si>
    <t>Sensor fabrication and morphology, electromechanical characterization, real-time human-motion demonstrations and Conclusion in the complete Monash-hosted article</t>
  </si>
  <si>
    <t>The original journal study dip-coats a knitted polyester elastic band with MWNT-rGO. The textile band is worn at the forearm, cheek and finger to record strain-mediated body motions, and gauge factors, step responses and 2000-cycle reproducibility are quantified, satisfying C1-C6.</t>
  </si>
  <si>
    <t>Focused_Deployment_Rescreen_636_Final_42_20260909.xlsx | Focused exclusions!A589:O589</t>
  </si>
  <si>
    <t>REC-01975</t>
  </si>
  <si>
    <t>Solution-processed Au-Ag core-shell nanoparticle-decorated yarns for human motion monitoring</t>
  </si>
  <si>
    <t>10.1039/c6ra26860a</t>
  </si>
  <si>
    <t>Fabrication and characterization, wearable-system construction, Figure 4 human demonstrations and Conclusion in the complete RSC article</t>
  </si>
  <si>
    <t>The original journal study coats cotton yarn with Au-Ag core-shell nanoparticles and integrates the yarn sensor into a commercial glove and a wearable knee pad. Finger bending, marching and squatting are measured with quantitative gauge factors and 500-cycle mechanical stability, satisfying C1-C6.</t>
  </si>
  <si>
    <t>Focused_Deployment_Rescreen_636_Final_42_20260909.xlsx | Focused exclusions!A590:O590</t>
  </si>
  <si>
    <t>REC-02007</t>
  </si>
  <si>
    <t>Directly printed wearable electronic sensing textiles towards human-machine interfaces</t>
  </si>
  <si>
    <t>10.1039/c8tc02655f</t>
  </si>
  <si>
    <t>Textile-sensor fabrication, electromechanical characterization, intelligent-glove/HMI experiments and Conclusion in the complete author-deposited manuscript</t>
  </si>
  <si>
    <t>The original journal study stencil-prints silver sensing traces directly on prestretched textile and assembles them into a worn intelligent glove. Finger bending is translated into wireless commands, with gauge factor, 60% working strain and more than 10000 cycles reported, satisfying C1-C6.</t>
  </si>
  <si>
    <t>Focused_Deployment_Rescreen_636_Final_42_20260909.xlsx | Focused exclusions!A591:O591</t>
  </si>
  <si>
    <t>REC-02178</t>
  </si>
  <si>
    <t>Application of Unconditioned Nanostructured Thermoplastic-Based Strain Gauge Sensor in Wearable Electronics</t>
  </si>
  <si>
    <t>10.1109/jsen.2022.3221181</t>
  </si>
  <si>
    <t>Sensor fabrication, experimental characterization, cloth-based wristband design, gesture-recognition evaluation and Conclusion in the complete author-deposited postprint</t>
  </si>
  <si>
    <t>The original journal study integrates three thermoplastic strain gauges into a cloth-based smart wristband worn for 14 hand gestures. Quantitative gauge factor, stability, accuracy and F1-score are reported, including 94% strain-gauge-only recognition accuracy, satisfying C1-C6.</t>
  </si>
  <si>
    <t>Focused_Deployment_Rescreen_636_Final_42_20260909.xlsx | Focused exclusions!A592:O592</t>
  </si>
  <si>
    <t>REC-02188</t>
  </si>
  <si>
    <t>Wearable FBG Sensor System for Respiratory Strain Measurement During Daily Activities</t>
  </si>
  <si>
    <t>10.1109/jsen.2024.3396784</t>
  </si>
  <si>
    <t>Publisher article: belt integration and human daily-activity tests</t>
  </si>
  <si>
    <t>The fibre-Bragg-grating strain sensor was mounted inside a respiratory belt worn on the body and evaluated during daily activities with a reference temperature sensor.</t>
  </si>
  <si>
    <t>Focused_Deployment_Rescreen_636_Final_42_20260909.xlsx | Focused exclusions!A593:O593</t>
  </si>
  <si>
    <t>REC-00569</t>
  </si>
  <si>
    <t>Janus fabric sensor with integrated moisture-wicking, wearable monitoring and thermoelectric capabilities for fire warning</t>
  </si>
  <si>
    <t>10.1039/d4ta08562k</t>
  </si>
  <si>
    <t>Publisher article: Janus fabric characterization and wearable demonstrations</t>
  </si>
  <si>
    <t>The Janus fabric strain/thermoelectric sensor was quantitatively characterized (GF about 9.37) and demonstrated for self-powered human-activity monitoring.</t>
  </si>
  <si>
    <t>Focused_Deployment_Rescreen_636_Final_42_20260909.xlsx | Focused exclusions!A594:O594</t>
  </si>
  <si>
    <t>REC-00184</t>
  </si>
  <si>
    <t>A versatile stretch sensor for measuring physiological movement using a centre loaded, end-supported load cell</t>
  </si>
  <si>
    <t>10.1080/03091902.2017.1313327</t>
  </si>
  <si>
    <t>Publisher article: fabric-belt integration and physiological-motion tests</t>
  </si>
  <si>
    <t>The stretch sensor was sewn into a fabric belt and tested on the body for physiological movements with quantitative deformation output.</t>
  </si>
  <si>
    <t>Focused_Deployment_Rescreen_636_Final_42_20260909.xlsx | Focused exclusions!A595:O595</t>
  </si>
  <si>
    <t>REC-00664</t>
  </si>
  <si>
    <t>Hierarchical Wool-Decorated Fiber Sensors with Minimizing Cross-talk for Multimodal Perception of Strain, Pressure, and Temperature Channels for Next-Generation Smart Textiles</t>
  </si>
  <si>
    <t>10.1007/s42765-026-00749-4</t>
  </si>
  <si>
    <t>Final complete-text candidate confirmation</t>
  </si>
  <si>
    <t>The participant-worn human test did not use a textile-integrated sensing configuration.</t>
  </si>
  <si>
    <t>Complete text, Section 2.5 and Figure 5a-f (PDF pages 18-21)</t>
  </si>
  <si>
    <t>The paper demonstrates that the wool-decorated fibre can be sewn through a knitted sweater in Figure 5a-b, but the wrist, finger, elbow and knee tests in Figure 5c-f use the WDMFS as a standalone band/fibre. The article does not state that those human tests used the sweater-integrated configuration.</t>
  </si>
  <si>
    <t>Independent agreement</t>
  </si>
  <si>
    <t>Master_39_Studies_Evidence_and_Consensus_20260928.xlsx | Eligibility 42!A16:P16</t>
  </si>
  <si>
    <t>REC-00750</t>
  </si>
  <si>
    <t>Stretchable Luminescent Perovskite-Polymer Hydrogels for Visual-Digital Wearable Strain Sensor Textiles</t>
  </si>
  <si>
    <t>10.1007/s42765-023-00302-7</t>
  </si>
  <si>
    <t>The participant-worn human test used an adhesive-taped hydrogel strip rather than the textile configuration.</t>
  </si>
  <si>
    <t>Complete text, Application of the Visual-Digital Strain Sensor and Figure 6 (PDF pages 15-18)</t>
  </si>
  <si>
    <t>The authors state that the sensor was directly attached to the finger and other body parts with adhesive tape for the human tests. The hydrogel strips were woven into a free-standing textile only as a separate fabrication demonstration after the on-body experiments.</t>
  </si>
  <si>
    <t>Master_39_Studies_Evidence_and_Consensus_20260928.xlsx | Eligibility 42!A17:P17</t>
  </si>
  <si>
    <t>REC-01480</t>
  </si>
  <si>
    <t>High-stability flexible strain sensors for smart compression garments: Influence of design and fabrication techniques</t>
  </si>
  <si>
    <t>10.1016/j.sna.2026.117615</t>
  </si>
  <si>
    <t>S2 requires an explicitly reported participant-worn human experiment. The angle-based garment test and the statement that no humans were used support final exclusion under S2.</t>
  </si>
  <si>
    <t>PDF p. 6, §2.5; pp. 10–11, §3.6/Fig. 13; p. 12, Ethics statement.</t>
  </si>
  <si>
    <t>Section 2.5 describes preset bending angles as an imitator of joint movement. Although §3.6 uses “wear-on trial” wording, no explicit participant-worn protocol is reported. The Ethics statement says: “No human or animal is used for research work.”</t>
  </si>
  <si>
    <t>Signed consensus</t>
  </si>
  <si>
    <t>Master_39_Studies_Evidence_and_Consensus_20260928.xlsx | Eligibility 42!A19:P19</t>
  </si>
  <si>
    <t>REC-01850</t>
  </si>
  <si>
    <t>Respiration Monitoring Technology of Smart Vest Based on Flexible Sensors</t>
  </si>
  <si>
    <t>2-s2.0-85126142449</t>
  </si>
  <si>
    <t>Retrieval</t>
  </si>
  <si>
    <t>Not retrieved</t>
  </si>
  <si>
    <t>Complete article unavailable; no eligibility exclusion assigned</t>
  </si>
  <si>
    <t>Database abstract and targeted title/publisher searches</t>
  </si>
  <si>
    <t>The available abstract describes a flexible-sensor smart vest for respiration monitoring, but the complete 2021 article was not retrieved; an actual participant protocol and strain-mediated output therefore could not be verified.</t>
  </si>
  <si>
    <t>Access failure; not a scientific eligibility exclusion.</t>
  </si>
  <si>
    <t>Final_Screening_Reconciliation_1076_Reports_20260909.xlsx | Final disposition 4!A2:G2</t>
  </si>
  <si>
    <t>REC-00954</t>
  </si>
  <si>
    <t>A self-powered laminated fabric sensor for human motion detection and heart-rate monitoring based on PPy/Al Schottky contact</t>
  </si>
  <si>
    <t>10.1177/10996362211021889</t>
  </si>
  <si>
    <t>Publisher abstract page; complete article not retrieved</t>
  </si>
  <si>
    <t>The abstract reports a laminated PPy/Al fabric sensor for human motion and heart-rate monitoring, but the complete article was unavailable for verification of the participant experiment against C1-C6.</t>
  </si>
  <si>
    <t>Final_Screening_Reconciliation_1076_Reports_20260909.xlsx | Final disposition 4!A4:G4</t>
  </si>
  <si>
    <t>REC-01767</t>
  </si>
  <si>
    <t>Self-Powered and Self-Sensing Energy Textile System for Flexible Wearable Applications</t>
  </si>
  <si>
    <t>10.1021/acsami.0c16305</t>
  </si>
  <si>
    <t>Publisher abstract and supporting-information page; complete article not retrieved</t>
  </si>
  <si>
    <t>The abstract reports an all-yarn PEDOT strain-sensor and energy-textile system for human-motion detection, but the complete article was unavailable for verification of the actual participant-worn experiment against C1-C6.</t>
  </si>
  <si>
    <t>Final_Screening_Reconciliation_1076_Reports_20260909.xlsx | Final disposition 4!A5:G5</t>
  </si>
  <si>
    <t>Figure</t>
  </si>
  <si>
    <t>Item</t>
  </si>
  <si>
    <t>Measure</t>
  </si>
  <si>
    <t>R1 independent score</t>
  </si>
  <si>
    <t>R2 independent score</t>
  </si>
  <si>
    <t>Final score</t>
  </si>
  <si>
    <t>Resolution status</t>
  </si>
  <si>
    <t>R1 evidence description</t>
  </si>
  <si>
    <t>R2 evidence location</t>
  </si>
  <si>
    <t>R2 rationale / notes</t>
  </si>
  <si>
    <t>Consensus evidence location</t>
  </si>
  <si>
    <t>Consensus evidence summary</t>
  </si>
  <si>
    <t>Consensus rationale</t>
  </si>
  <si>
    <t>Consensus date</t>
  </si>
  <si>
    <t>R1 source</t>
  </si>
  <si>
    <t>R2 source</t>
  </si>
  <si>
    <t>Consensus source</t>
  </si>
  <si>
    <t>REC-00119</t>
  </si>
  <si>
    <t>Figure 6</t>
  </si>
  <si>
    <t>V2</t>
  </si>
  <si>
    <t>Comparator validation</t>
  </si>
  <si>
    <t>Confirmed consensus</t>
  </si>
  <si>
    <t>No external reference standard reported in the reviewed sections</t>
  </si>
  <si>
    <t>Not quantified (p.14)</t>
  </si>
  <si>
    <t>4; 5; 6; 10; 12; 13 Methods 3.1 and 3.4; Results 4.3; Table1; Figs4–5 and12</t>
  </si>
  <si>
    <t>Ten instructed hand-posture classes are used as the CNN target labels. Table 1 reports mean within-subject classification accuracy 94.17%; Fig.12 shows the true-versus-predicted confusion matrix for pooled subjects (89.5%). Methods describe the network and data representation but not a train/test partition or cross-validation procedure.</t>
  </si>
  <si>
    <t>There is an actual criterion-labelled classification result, not merely labelled illustration. The evaluation partition is not described sufficiently for2; original0 overlooks the classifier validation. Approved by Azza on 30 September 2026. Accepted the score and recorded rationale, including the applicable approved rule and stated evidence limitations. Limitations: No train/test split was found in the checked Methods, Results or Discussion. This is classifier performance, not external instrument agreement.</t>
  </si>
  <si>
    <t>2026-09-30 00:00:00</t>
  </si>
  <si>
    <t>R1 | Figure 5-6 ratings 39!R2</t>
  </si>
  <si>
    <t>R2 | Figure 6!U2</t>
  </si>
  <si>
    <t>SCORES20261001 | Decisions!W20; evidence REC-00119_10.3390_s21041364.pdf; approval Azza.</t>
  </si>
  <si>
    <t>REC-00145</t>
  </si>
  <si>
    <t>Figure 5</t>
  </si>
  <si>
    <t>DR</t>
  </si>
  <si>
    <t>Deployment readiness</t>
  </si>
  <si>
    <t>Dip coating; sensor attached/integrated on clothing; Not reported</t>
  </si>
  <si>
    <t>p.7, Figure 6k</t>
  </si>
  <si>
    <t>Sensor attached onto clothing for on-body movement demonstration; no purpose-designed garment integration</t>
  </si>
  <si>
    <t>2; 5; 6; 7 Section 3.4; Fig. 6d,g,i-k; experimental electrical readout</t>
  </si>
  <si>
    <t>Patterned ink-decorated fabric is sewn onto a sports T-shirt, with copper wires sewn on the two sides of the L-shaped sensing pattern as electrodes. The worn shirt records respiration. The authors also fabricate a smart wrist sleeve and a knee pad; Fig. 6 shows these worn accessories and a walking signal.</t>
  </si>
  <si>
    <t>Deliberate shirt and accessory construction, defined placement and electrode assembly meet DR4. The actual Fig. 6 was visually checked; these are not only isolated skin-mounted patches. Approved by Azza on 30 September 2026. Accepted the score and recorded rationale, including the applicable approved rule and stated evidence limitations. Limitations: External laboratory readout is reported; no claim of autonomous operation or DR5 is made.; Rating concerns integration, not human accuracy.</t>
  </si>
  <si>
    <t>R1 | Figure 5-6 ratings 39!H3</t>
  </si>
  <si>
    <t>R2 | Figure 5!H3</t>
  </si>
  <si>
    <t>SCORES20261001 | Decisions!W2; evidence REC-00145_10.1021_acsami.9b22534.pdf; approval Azza.</t>
  </si>
  <si>
    <t>V1</t>
  </si>
  <si>
    <t>On-body / garment reporting</t>
  </si>
  <si>
    <t>Not reported; Not reported; Gauge factor approximately 62.9, R² approximately 0.99 over 0–30% strain, and stability beyond 5,000 cycles before and after washing.</t>
  </si>
  <si>
    <t>p.4</t>
  </si>
  <si>
    <t>PDF pp. 5–7, §3.4; Fig. 6 on p. 6.</t>
  </si>
  <si>
    <t>Sensors on finger, wrist, elbow and clothing show resistance traces for joint movement, respiration, pulse and 100-step walking. Placement and tasks are described; the sensing sample size and participant characteristics are not clearly reported.</t>
  </si>
  <si>
    <t>A quantitative on-body demonstration is reported, but participant/sample or human-testing protocol detail remains incomplete; final V1 = 1.</t>
  </si>
  <si>
    <t>2026-09-28</t>
  </si>
  <si>
    <t>R1 | Figure 5-6 ratings 39!Q3</t>
  </si>
  <si>
    <t>R2 | Figure 6!S3</t>
  </si>
  <si>
    <t>CONS | V1 consensus!F3</t>
  </si>
  <si>
    <t>REC-00151</t>
  </si>
  <si>
    <t>Layer-by-layer deposition of ultrathin CPC layer on PU yarn; No</t>
  </si>
  <si>
    <t>Sensing yarn woven into a glove and worn during finger bending</t>
  </si>
  <si>
    <t>7; 8 Fig. 9a-f and accompanying application text; Sections 4.3-4.4</t>
  </si>
  <si>
    <t>Five CPC@PU yarn pieces are woven into the five finger portions of a glove. A tester wears the glove and bends the fingers, grasps, holds and releases. Fig. 9 shows the textile glove, yarn placement and separate current signals for its fingers; the actual figure was visually checked.</t>
  </si>
  <si>
    <t>A functional instrumented glove with defined five-finger assembly meets the supplied garment/accessory definition; both original scores understate the demonstrated integration. Approved by Azza on 30 September 2026. Accepted the score and recorded rationale, including the applicable approved rule and stated evidence limitations. Limitations: Keithley-based electrical acquisition does not establish portable autonomous electronics.; No upgrade of validation depth is inferred from glove construction.</t>
  </si>
  <si>
    <t>R1 | Figure 5-6 ratings 39!H4</t>
  </si>
  <si>
    <t>R2 | Figure 5!H4</t>
  </si>
  <si>
    <t>SCORES20261001 | Decisions!W3; evidence REC-00151_10.1021_acsami.6b01174.pdf; approval Azza.</t>
  </si>
  <si>
    <t>E1</t>
  </si>
  <si>
    <t>Working strain</t>
  </si>
  <si>
    <t>Detection limit 0.1% strain</t>
  </si>
  <si>
    <t>p.8</t>
  </si>
  <si>
    <t>4–5 (journal pp. 9939–9940) Figure 5a–b; Results paragraph beginning 'The normalized current responses'</t>
  </si>
  <si>
    <t>Repeated tensile responses are explicitly evaluated at 0.1–0.5% and 1–3% strain; the 0–0.1% response is also described.</t>
  </si>
  <si>
    <t>Numeric tensile intervals and the loading/unloading context are reported. Approved by Azza on 30 September 2026. Accepted the score and recorded rationale, including the applicable approved rule and stated evidence limitations. Limitations: Do not label 5% as a stable operating limit: the article notes occasional sharp signal drops there.</t>
  </si>
  <si>
    <t>R1 | Figure 5-6 ratings 39!L4</t>
  </si>
  <si>
    <t>R2 | Figure 6!I4</t>
  </si>
  <si>
    <t>SCORES20261001 | Decisions!W21; evidence REC-00151_10.1021_acsami.6b01174.pdf; approval Azza.</t>
  </si>
  <si>
    <t>E3</t>
  </si>
  <si>
    <t>Signal quality</t>
  </si>
  <si>
    <t>Designed for high sensitivity in tiny-motion regime rather than broad linear range; Not explicitly quantified in accessible text; Good reproducibility reported</t>
  </si>
  <si>
    <t>Not reported</t>
  </si>
  <si>
    <t>4–5 (journal pp. 9939–9940) Figure 5d and its caption; cyclic-reproducibility discussion</t>
  </si>
  <si>
    <t>Figure 5d labels GF 43.2 before and 42.6 after 10,000 loading/unloading cycles at 1% strain.</t>
  </si>
  <si>
    <t>The before/after numerical sensitivity comparison is a quantified signal-stability descriptor under a specified cycling condition, not merely a cycle count. Approved by Azza on 30 September 2026. Accepted the score and recorded rationale, including the applicable approved rule and stated evidence limitations. Limitations: This supports reporting completeness; no unreported coefficient of variation or uncertainty was calculated.</t>
  </si>
  <si>
    <t>R1 | Figure 5-6 ratings 39!N4</t>
  </si>
  <si>
    <t>R2 | Figure 6!M4</t>
  </si>
  <si>
    <t>SCORES20261001 | Decisions!W22; evidence REC-00151_10.1021_acsami.6b01174.pdf; approval Azza.</t>
  </si>
  <si>
    <t>Not reported; Not reported; C1-C6 were identified in the full text. Textile evidence: When the tester bends his fingers, the CPC@PU yarn woven in glove is stretched, and gives corresponding current signal (Figure 9, Movie S4). Human evidence: As shown in Figure 6, a CPC@PU yarn strain sensor is attached to the neck to detect the muscle motions of the vocal cords of a healthy subject. Quantitative evidence: As given in Figure 1, significant drop in electrical resistance can be observed with incipient LBL cycles (&lt;50 cycles), resulting from the gradual construction of conductive networks on the surface of PU yarn.</t>
  </si>
  <si>
    <t>p.5, Figure 6a</t>
  </si>
  <si>
    <t>PDF pp. 6–8, Figs. 6–9; participant and pulse result on p. 7 (article p. 9942).</t>
  </si>
  <si>
    <t>A healthy male, aged 25 years and 174 cm tall, is described for wrist-pulse testing; the worn sensor reports 78 beats/min. Sensor placement and speech, pulse, expression and glove tasks are described with quantitative traces.</t>
  </si>
  <si>
    <t>Participant/sample information, sensor placement/task and a quantitative worn result are clearly reported; final V1 = 2.</t>
  </si>
  <si>
    <t>R1 | Figure 5-6 ratings 39!Q4</t>
  </si>
  <si>
    <t>R2 | Figure 6!S4</t>
  </si>
  <si>
    <t>CONS | V1 consensus!F4</t>
  </si>
  <si>
    <t>REC-00220</t>
  </si>
  <si>
    <t>Not reported; Not reported; Not reported</t>
  </si>
  <si>
    <t>p.10</t>
  </si>
  <si>
    <t>4; 10 Instrumentation Eq.3; Discussion limitations before Table3</t>
  </si>
  <si>
    <t>Eq.3 uses a linearized KPF resistance–length/curvature model explicitly attributed to previous work [27]. The current limitations state that the textile strain sensor may have non-negligible hysteresis and that further testing is needed to quantify it.</t>
  </si>
  <si>
    <t>A signal-quality descriptor is discussed qualitatively, satisfying1. The current paper's joint-position reconstruction errors do not quantify textile-sensor hysteresis or linearity. Approved by Azza on 30 September 2026. Accepted the score and recorded rationale, including the applicable approved rule and stated evidence limitations. Limitations: Do not import the prior paper's characterization as a current-study measurement.</t>
  </si>
  <si>
    <t>R1 | Figure 5-6 ratings 39!N5</t>
  </si>
  <si>
    <t>R2 | Figure 6!M5</t>
  </si>
  <si>
    <t>SCORES20261001 | Decisions!W23; evidence REC-00220_10.1186_s12984-016-0149-2.pdf; approval Azza.</t>
  </si>
  <si>
    <t>REC-00281</t>
  </si>
  <si>
    <t>p.11, Figure 5a</t>
  </si>
  <si>
    <t>11 Results, paragraph introducing Eq.1 and Fig.5a–c</t>
  </si>
  <si>
    <t>The study's own Fig.5 response is explicitly described over0–100% strain. Two fitted regions are0–20% and20–100%, and small-strain discrimination is tested at1–5%.</t>
  </si>
  <si>
    <t>Numerical sensor strain intervals and test context are explicitly stated; this meets2. Approved by Azza on 30 September 2026. Accepted the score and recorded rationale, including the applicable approved rule and stated evidence limitations. Limitations: Browser-capture text was inspected. A450% range mentioned elsewhere belongs to cited work and is not used.</t>
  </si>
  <si>
    <t>R1 | Figure 5-6 ratings 39!L7</t>
  </si>
  <si>
    <t>R2 | Figure 6!I7</t>
  </si>
  <si>
    <t>SCORES20261001 | Decisions!W24; evidence REC-00281_10.1007_s10570-022-04544-3.pdf; approval Azza.</t>
  </si>
  <si>
    <t>Not reported; Not reported; Sheet resistance 82.16 Ω/sq, gauge factor 36, air permeability 38.5 L·m⁻²·s⁻¹, more than 9,000 cycles and more than 50 washing cycles.</t>
  </si>
  <si>
    <t>p.12, Fig. 6a</t>
  </si>
  <si>
    <t>PDF pp. 12–13, Fig. 6 and accompanying text.</t>
  </si>
  <si>
    <t>Elbow and knee pads record bending from 0° to 90°, and respiration signals are reported. The text describes placement and tasks, but does not clearly report the human sensing sample size or participant characteristics.</t>
  </si>
  <si>
    <t>R1 | Figure 5-6 ratings 39!Q7</t>
  </si>
  <si>
    <t>R2 | Figure 6!S7</t>
  </si>
  <si>
    <t>CONS | V1 consensus!F5</t>
  </si>
  <si>
    <t>REC-00324</t>
  </si>
  <si>
    <t>Novel self-locking stitch architecture; optimum needle pitch reported as 0.5 cm; Smart clothing, data-acquisition unit and mobile application</t>
  </si>
  <si>
    <t>p.1</t>
  </si>
  <si>
    <t>Sensing yarn stitched into smart clothing with data-acquisition unit and mobile application</t>
  </si>
  <si>
    <t>6; 7; 8; 9 Section 3.4; Fig. 5; Table 1</t>
  </si>
  <si>
    <t>Sensing yarns are sewn into close-fitting clothing with protected flexible wiring, adjustable elastic bands and a pocket for the acquisition unit. Bluetooth transfers signals to an Android application. Table 1 specifies rechargeable power and 10 h operation. Fig. 5 shows actual clothing, outdoor wear and working application screens.</t>
  </si>
  <si>
    <t>Garment, interconnects, acquisition, power, wireless transfer and processing are explicitly assembled and demonstrated. The DR5 proposal is supported by original methods and the visually inspected figure. Approved by Azza on 30 September 2026. Accepted the score and recorded rationale, including the applicable approved rule and stated evidence limitations. Limitations: Advanced integration does not establish medical effectiveness, clinical readiness or independent field validation.</t>
  </si>
  <si>
    <t>R1 | Figure 5-6 ratings 39!H8</t>
  </si>
  <si>
    <t>R2 | Figure 5!H8</t>
  </si>
  <si>
    <t>SCORES20261001 | Decisions!W4; evidence REC-00324_10.1007_s11431-023-2442-9.pdf; approval Azza.</t>
  </si>
  <si>
    <t>0.1-50% strain; 0.1% detection limit</t>
  </si>
  <si>
    <t>5–6 Figure 3a–b; electromechanical-performance results</t>
  </si>
  <si>
    <t>The strain response is evaluated from 0.1–1% at low strain and up to 50%; Figure 3b describes stepwise 0% to 50% and back to 0%.</t>
  </si>
  <si>
    <t>The tested numerical interval and loading context meet E1=2. Approved by Azza on 30 September 2026. Accepted the score and recorded rationale, including the applicable approved rule and stated evidence limitations. Limitations: Do not extrapolate the measured interval beyond 50%.</t>
  </si>
  <si>
    <t>R1 | Figure 5-6 ratings 39!L8</t>
  </si>
  <si>
    <t>R2 | Figure 6!I8</t>
  </si>
  <si>
    <t>SCORES20261001 | Decisions!W25; evidence REC-00324_10.1007_s11431-023-2442-9.pdf; approval Azza.</t>
  </si>
  <si>
    <t>Linearity greater than 0.9 for the optimized S-0.5 sensor; Not reported; 9.9% peak reduction after 20 cycles; negligible drift and frequency-independent response</t>
  </si>
  <si>
    <t>5–6 Signal-drift definition; Figure 3f and caption</t>
  </si>
  <si>
    <t>Peak-output drift is defined as the reduction after 20 cycles divided by the first peak; the optimal yarn has 9.9% drift versus 28.6% for the comparison construction. The test is at 10% strain.</t>
  </si>
  <si>
    <t>A numerical drift metric, calculation and test condition are supplied. Approved by Azza on 30 September 2026. Accepted the score and recorded rationale, including the applicable approved rule and stated evidence limitations. Limitations: This is reporting of drift, not a claim that 9.9% drift is methodologically acceptable.</t>
  </si>
  <si>
    <t>R1 | Figure 5-6 ratings 39!N8</t>
  </si>
  <si>
    <t>R2 | Figure 6!M8</t>
  </si>
  <si>
    <t>SCORES20261001 | Decisions!W26; evidence REC-00324_10.1007_s11431-023-2442-9.pdf; approval Azza.</t>
  </si>
  <si>
    <t>R1</t>
  </si>
  <si>
    <t>Environmental robustness</t>
  </si>
  <si>
    <t>30 washing cycles at 40 °C; electrical response measured after every 10 washes; Resistance to ambient humidity and perspiration reported</t>
  </si>
  <si>
    <t>3, 5–6 Experimental washing procedure; Figure 3g–i and environmental-performance text</t>
  </si>
  <si>
    <t>Wash testing uses conventional cleaner at 40 °C for 30 cycles in a sample-dyeing machine, with sensing assessed every 10 cycles; the reported strain response is retained after washing.</t>
  </si>
  <si>
    <t>A quantified care exposure and subsequent sensor-performance outcome are reported. Approved by Azza on 30 September 2026. Accepted the score and recorded rationale, including the applicable approved rule and stated evidence limitations. Limitations: The reporting score does not certify equivalence to all real laundering conditions.</t>
  </si>
  <si>
    <t>R1 | Figure 5-6 ratings 39!P8</t>
  </si>
  <si>
    <t>R2 | Figure 6!Q8</t>
  </si>
  <si>
    <t>SCORES20261001 | Decisions!W27; evidence REC-00324_10.1007_s11431-023-2442-9.pdf; approval Azza.</t>
  </si>
  <si>
    <t>Not reported; Not reported; Detection limit 0.1%, response time 280 ms, 10,000-cycle durability, negligible drift and resistance to washing, humidity and perspiration.</t>
  </si>
  <si>
    <t>PDF pp. 6–9, §§3.3–3.4 and Figs. 4–5; Table 2 on p. 9 (article p. 595).</t>
  </si>
  <si>
    <t>The volunteer has elbow, waist and lower-chest circumferences of 26, 88 and 90 cm. Placement and elbow, breathing and heartbeat tasks are defined. Results include averages of 20 consecutive peaks and heart-rate, respiration-rate and motion-frequency values.</t>
  </si>
  <si>
    <t>R1 | Figure 5-6 ratings 39!Q8</t>
  </si>
  <si>
    <t>R2 | Figure 6!S8</t>
  </si>
  <si>
    <t>CONS | V1 consensus!F6</t>
  </si>
  <si>
    <t>REC-00355</t>
  </si>
  <si>
    <t>Not reported; Not reported; Working range 100% and 6,000-cycle durability; multifunctional fabric additionally produced 50 V open-circuit voltage, 500 nA short-circuit current and 100 nC transferred charge.</t>
  </si>
  <si>
    <t>p.10, Fig. 4</t>
  </si>
  <si>
    <t>PDF pp. 8 and 10, Fig. 4(e–i) and application text. Fig. S13 is referenced in the article.</t>
  </si>
  <si>
    <t>Finger, wrist, elbow and knee placements yield capacitance traces during bending, standing, walking, running and jumping. Tasks are described, but the human sensing sample size and participant characteristics are not clearly reported.</t>
  </si>
  <si>
    <t>R1 | Figure 5-6 ratings 39!Q9</t>
  </si>
  <si>
    <t>R2 | Figure 6!S9</t>
  </si>
  <si>
    <t>CONS | V1 consensus!F7</t>
  </si>
  <si>
    <t>REC-00398</t>
  </si>
  <si>
    <t>VD</t>
  </si>
  <si>
    <t>Validation depth</t>
  </si>
  <si>
    <t>A graphene-coated nonwoven-fabric strain sensor was mounted on the body and integrated into a smart glove. The article reports real-time strain-related signals for finger, wrist, elbow, respiration, pulse, and speech, together with a 98% working range, gauge factor up to approximately 23600, and 1000-cycle durability testing.</t>
  </si>
  <si>
    <t>On-body neck-speech / underwater glove-finger demonstrations</t>
  </si>
  <si>
    <t>4; 11; 13; 14; 15 Section 2.3; Fig. 4 bench tests; Fig. 5A-I and application paragraphs</t>
  </si>
  <si>
    <t>The human-application section presents underwater finger bending, wrist pulse, speaking two words, breathing, wrist bending and elbow bending. Fig. 5 provides signal traces and photographs; pulse rate is read at about 78/min, without a reference comparison or defined performance analysis. The stated five specimens per test and 1000-cycle measurements concern bench tests.</t>
  </si>
  <si>
    <t>The original application figure and main methods/results support illustrative on-body demonstrations. A pulse value and repeatable-looking traces alone do not establish a task-level human evaluation. Approved by Azza on 30 September 2026. Accepted the score and recorded rationale, including the applicable approved rule and stated evidence limitations. Limitations: No participant-number or external-reference requirement was imposed as an eligibility condition.; No human accuracy or clinical validation is inferred from bench gauge factor or durability.</t>
  </si>
  <si>
    <t>R1 | Figure 5-6 ratings 39!F10</t>
  </si>
  <si>
    <t>R2 | Figure 5!E10</t>
  </si>
  <si>
    <t>SCORES20261001 | Decisions!W5; evidence REC-00398_10.1016_j.nanoen.2019.104143.pdf; approval Azza.</t>
  </si>
  <si>
    <t>Dip coating and pre-straining to control microcrack density; secondary superhydrophobic dip coating; Not reported</t>
  </si>
  <si>
    <t>p.13</t>
  </si>
  <si>
    <t>Graphene-coated fabric worn on body and integrated into a glove</t>
  </si>
  <si>
    <t>4; 13 Section 2.3; human-application paragraph; Fig. 5A,G</t>
  </si>
  <si>
    <t>The main text explicitly reports fabricating a smart glove by attaching the sensor onto the glove to monitor underwater index-finger bending. The original embedded Fig. 5A was inspected and shows the worn glove application; Fig. 5G additionally shows a mask-mounted breathing configuration. Other sensors are individually attached to body sites.</t>
  </si>
  <si>
    <t>Under the supplied R2 wording, deliberate attachment to a functioning wearable accessory with specified sensing placement meets DR4. Requiring a newly manufactured glove or sewn rather than attached sensor would add an unprovided criterion. The earlier conservative DR3 proposal is therefore revised to DR4. Approved by Azza on 30 September 2026. Accepted the score and recorded rationale, including the applicable approved rule and stated evidence limitations. Limitations: This is an attached sensing patch on a glove, not evidence of woven integration or a fully engineered garment.; No portable integrated acquisition/power system is established; DR5 is not proposed.; If reviewers intentionally adopt a stricter complete-garment boundary, it must be stated and applied beyond this disputed cell.</t>
  </si>
  <si>
    <t>R1 | Figure 5-6 ratings 39!H10</t>
  </si>
  <si>
    <t>R2 | Figure 5!H10</t>
  </si>
  <si>
    <t>SCORES20261001 | Decisions!W6; evidence REC-00398_10.1016_j.nanoen.2019.104143.pdf; approval Azza.</t>
  </si>
  <si>
    <t>Tunable multi-regime response; full linearity statistics was not reported in the available full text; Not reported; Stable for more than 1,000 cycles</t>
  </si>
  <si>
    <t>p.7, Fig. 2B</t>
  </si>
  <si>
    <t>10; 11 Strain-sensing performance; Fig.4A inset and caption</t>
  </si>
  <si>
    <t>The actual embedded Fig.4A inset prints R²=0.98 for the low-strain response region up to15%. The figure caption states tensile rate1mm/min, and the accompanying text identifies this as the low-strain linear-response region.</t>
  </si>
  <si>
    <t>A numerical fit-quality descriptor is present in the figure even though missing from extracted prose. Relevant interval and rate are available, satisfying2. Approved by Azza on 30 September 2026. Accepted the score and recorded rationale, including the applicable approved rule and stated evidence limitations. Limitations: Inspected the embedded image extracted directly from PDF page11; did not rely on the cookie-overlay page rendering. R² is fit quality, not a numerical hysteresis measure.</t>
  </si>
  <si>
    <t>R1 | Figure 5-6 ratings 39!N10</t>
  </si>
  <si>
    <t>R2 | Figure 6!M10</t>
  </si>
  <si>
    <t>SCORES20261001 | Decisions!W28; evidence REC-00398_10.1016_j.nanoen.2019.104143.pdf; approval Azza.</t>
  </si>
  <si>
    <t>Not reported; Not reported; Gauge factor up to 23,600, strain range up to 98%, 0.1% detection limit, 33 ms response, more than 1,000 cycles and 154° water-contact angle.</t>
  </si>
  <si>
    <t>p.3</t>
  </si>
  <si>
    <t>PDF p. 13, Fig. 5 and accompanying application text.</t>
  </si>
  <si>
    <t>Resistance traces are reported for underwater finger bending, wrist pulse, speech, respiration, elbow and wrist movement. A volunteer is mentioned for speech testing; sample reporting and participant characteristics for the sensing demonstrations remain incomplete.</t>
  </si>
  <si>
    <t>R1 | Figure 5-6 ratings 39!Q10</t>
  </si>
  <si>
    <t>R2 | Figure 6!S10</t>
  </si>
  <si>
    <t>CONS | V1 consensus!F8</t>
  </si>
  <si>
    <t>REC-00475</t>
  </si>
  <si>
    <t>The ECGF sensor is a woven Calotropis-gigantea/spandex fabric integrated into smart knee and elbow braces. Volunteers wore the system during outdoor walking and strength training, producing real-time deformation signals; the study reports 0-100% stretchability, fitted strain-response relations, and more than 3000 cycles.</t>
  </si>
  <si>
    <t>On-body wrist/finger/elbow/throat/abdomen demonstrations</t>
  </si>
  <si>
    <t>5; 9; 10; 11; 12; 13 Section 2.4; Figs. 3-5; original Fig. 5f-h visually inspected</t>
  </si>
  <si>
    <t>Section 2.4 demonstrates elbow-pad strength movements and a wireless knee brace during actual outdoor slow and fast walking. Fig. 5f-h shows a battery/ADC/controller/Bluetooth chain, smartphone interface, worn knee brace and resistance traces. The text describes counting repetitions and step frequency, but does not give a human accuracy/error comparison or a reproducible participant-validation protocol. Separately, the main article reports washing, temperature/humidity/sweat challenges and more than 3000 bench cycles.</t>
  </si>
  <si>
    <t>Illustrative human signal traces do not meet the quantitative human-evaluation requirement. Strong integration and material robustness cannot substitute for validation depth. Approved by Azza on 30 September 2026. Accepted the score and recorded rationale, including the applicable approved rule and stated evidence limitations. Limitations: Rule and score approved by Azza on 30 September 2026. The original reviewer ratings and original codebook remain unchanged.</t>
  </si>
  <si>
    <t>R1 | Figure 5-6 ratings 39!F11</t>
  </si>
  <si>
    <t>R2 | Figure 5!E11</t>
  </si>
  <si>
    <t>SCORES20261001 | Decisions!W7; evidence REC-00475_10.1016_j.compscitech.2025.111034.pdf; approval Azza.</t>
  </si>
  <si>
    <t>In-situ reduction forms a laminated rGO layer; crisscrossed yarn/weft density tunes sensitivity; Wireless sensing device integrated</t>
  </si>
  <si>
    <t>p.5, Fig. 2c</t>
  </si>
  <si>
    <t>Woven fabric sensor integrated into worn knee/elbow braces with defined placement</t>
  </si>
  <si>
    <t>11; 12; 13 Section 2.4; Fig. 5e-h</t>
  </si>
  <si>
    <t>The actual knee brace and elbow pad integrate the ECGF sensing textile. Fig. 5f gives battery supply, voltage regulation/divider, ADC, STM32 controller, Bluetooth and receiving user interfaces. Fig. 5g shows the participant wearing the knee brace and smartphone interface outdoors; Fig. 5h and the surrounding text report walking signals, step count and frequency.</t>
  </si>
  <si>
    <t>The functioning garment/accessory, acquisition electronics, power and wireless processing satisfy DR5 directly. This integration score does not depend on settling the separate validation-depth ambiguity. Approved by Azza on 30 September 2026. Accepted the score and recorded rationale, including the applicable approved rule and stated evidence limitations. Limitations: Fig. 5i's prospective comprehensive healthcare network was not counted as a demonstrated system.; No inference of clinical efficacy or deployment approval.</t>
  </si>
  <si>
    <t>R1 | Figure 5-6 ratings 39!H11</t>
  </si>
  <si>
    <t>R2 | Figure 5!H11</t>
  </si>
  <si>
    <t>SCORES20261001 | Decisions!W8; evidence REC-00475_10.1016_j.compscitech.2025.111034.pdf; approval Azza.</t>
  </si>
  <si>
    <t>p.9</t>
  </si>
  <si>
    <t>7; 8; 9; 13 Section2.2; Fig.3a,g,h; SI NoteS1 and Fig.S16 (derived SI PDFp12)</t>
  </si>
  <si>
    <t>Main Fig.3a plots resistance response from0 to80% strain; SI NoteS1 says the sensor was stretched to80% to determine sensitivity. Main tests also hold10%,30%,50% for&gt;60s and cycle5%,10%,15% at0.25Hz. SI Fig.S16 extends twill/plain characterization to100%.</t>
  </si>
  <si>
    <t>Explicit numerical evaluated strain intervals and conditions meet2. Main0–100% stretchability is distinguished from the0–80% main calibration. Approved by Azza on 30 September 2026. Accepted the score and recorded rationale, including the applicable approved rule and stated evidence limitations. Limitations: SI was read from local publisher DOCX and relevant figure inspected after bundled LibreOffice conversion.</t>
  </si>
  <si>
    <t>R1 | Figure 5-6 ratings 39!L11</t>
  </si>
  <si>
    <t>R2 | Figure 6!I11</t>
  </si>
  <si>
    <t>SCORES20261001 | Decisions!W29; evidence REC-00475_10.1016_j.compscitech.2025.111034.pdf; supporting files listed by Record ID in Sources; approval Azza.</t>
  </si>
  <si>
    <t>E2</t>
  </si>
  <si>
    <t>Gauge factor</t>
  </si>
  <si>
    <t>Tunable with weft density; ECGF-1200 was highest, but the numerical GF was shown graphically and not stated in the text</t>
  </si>
  <si>
    <t>p.7</t>
  </si>
  <si>
    <t>1; 2; 3; 4; 5; 6; 7; 8; 9; 10; 11; 12; 13; 14 Section2.2 and actual Fig.3a; SI Fig.S16/NoteS1/NoteS2/TableS1</t>
  </si>
  <si>
    <t>Section2.2 supplies a GF definition and qualitative ranking of ECGF-800/1000/1200. Actual Fig.3a labels are resistance-change curves and R²≥99.5%, not numerical GF values. SI Fig.S16 likewise plots normalized resistance versus strain with no GF or alternative strain-normalized sensitivity value. Main text and SI NoteS1/NoteS2/TableS1 do not provide a numerical GF.</t>
  </si>
  <si>
    <t>Under the supplied E2=0 definition, no numerical GF/comparable strain-normalized sensitivity is reported. A formula or response curve alone is not a reported numerical sensitivity; no new slope was calculated. R² is not GF. Approved by Azza on 30 September 2026. Accepted the score and recorded rationale, including the applicable approved rule and stated evidence limitations. Limitations: This evidence-backed proposal differs from both original ratings. SI Fig.S16 was visually checked; a GF must not be inferred from graph endpoints. No supplemental video was used.</t>
  </si>
  <si>
    <t>R1 | Figure 5-6 ratings 39!M11</t>
  </si>
  <si>
    <t>R2 | Figure 6!K11</t>
  </si>
  <si>
    <t>SCORES20261001 | Decisions!W30; evidence REC-00475_10.1016_j.compscitech.2025.111034.pdf; supporting files listed by Record ID in Sources; approval Azza.</t>
  </si>
  <si>
    <t>Not reported; Not reported; Response time 50 ms, durability beyond 3,000 cycles, permeability 762.07 g·m⁻²·h⁻¹ and stable operation from 20.8–44.9 °C and 38–79% RH.</t>
  </si>
  <si>
    <t>p.11</t>
  </si>
  <si>
    <t>PDF pp. 11–13, Fig. 5 and accompanying application text.</t>
  </si>
  <si>
    <t>Throat and joint signals, smart knee/elbow pads, and a wireless exercise-monitoring system are described. Volunteers are mentioned, but their number and characteristics for the sensing demonstrations are not clearly reported.</t>
  </si>
  <si>
    <t>R1 | Figure 5-6 ratings 39!Q11</t>
  </si>
  <si>
    <t>R2 | Figure 6!S11</t>
  </si>
  <si>
    <t>CONS | V1 consensus!F9</t>
  </si>
  <si>
    <t>Equivalent-circuit simulation agreed with experimental electromechanical data; no human gold-standard comparator identified</t>
  </si>
  <si>
    <t>Not quantified (p.1)</t>
  </si>
  <si>
    <t>1; 2; 3; 4; 5; 6; 7; 8; 9; 10; 11; 12; 13; 14 Section2.4; actual Fig.5b–h; SI Fig.S20; SI NoteS1</t>
  </si>
  <si>
    <t>Main Fig.5 and SI Fig.S20 show resistance traces during named words, drinking, breathing, joint poses and walking. Section2.4 describes smartphone counting but provides no external count/reference, explicit comparison method, classifier evaluation or quantitative agreement. The displayed elbow photos/traces are demonstrations rather than an angle-validation experiment.</t>
  </si>
  <si>
    <t>Nominal task labels accompanying traces support on-body demonstration (V1), not criterion validation(V2). No reference/comparison is named or evaluated for the wearable outcomes in the checked report. Approved by Azza on 30 September 2026. Accepted the score and recorded rationale, including the applicable approved rule and stated evidence limitations. Limitations: Main article and written SI inspected. Supplementary Video1 was not inspected; its main-text description is an exercise-counting demonstration without validation statistics.</t>
  </si>
  <si>
    <t>R1 | Figure 5-6 ratings 39!R11</t>
  </si>
  <si>
    <t>R2 | Figure 6!U11</t>
  </si>
  <si>
    <t>SCORES20261001 | Decisions!W31; evidence REC-00475_10.1016_j.compscitech.2025.111034.pdf; supporting files listed by Record ID in Sources; approval Azza.</t>
  </si>
  <si>
    <t>REC-00483</t>
  </si>
  <si>
    <t>Not reported; Not reported; The MXene nanofiber yarn was embroidered into elastic fabrics using defined patterns and the integrated textiles were applied to the wrist, neck, lumbar spine, knee, and elbow, producing repeatable strain-related resistance signals. Pattern-specific strain ranges and gauge factors are reported, including up to 200% strain and 6000 cycles for the serpentine textile.</t>
  </si>
  <si>
    <t>PDF pp. 10–11, §3.7 and Fig. 7.</t>
  </si>
  <si>
    <t>Textile-integrated sensors show resistance responses at multiple body joints. Human sensing sample size and participant characteristics are not clearly reported. The n = 5 labels describe material/sensor measurements and do not establish a human participant count.</t>
  </si>
  <si>
    <t>R1 | Figure 5-6 ratings 39!Q12</t>
  </si>
  <si>
    <t>R2 | Figure 6!S12</t>
  </si>
  <si>
    <t>CONS | V1 consensus!F10</t>
  </si>
  <si>
    <t>REC-00522</t>
  </si>
  <si>
    <t>Not reported; Not reported; Stable response reported during chronic wetting and cyclic washing</t>
  </si>
  <si>
    <t>p.6, Fig. 2d</t>
  </si>
  <si>
    <t>6 (saved browser PDF) Section 3.2; strain-response fit</t>
  </si>
  <si>
    <t>Section 3.2 reports a strain-response linearity of 96% across 0–60% tensile strain, alongside sensitivity characterization.</t>
  </si>
  <si>
    <t>A numerical linearity descriptor with its strain interval is sufficient for E3=2. Approved by Azza on 30 September 2026. Accepted the score and recorded rationale, including the applicable approved rule and stated evidence limitations. Limitations: The browser text separates the superscript in R²; the retained evidence wording uses the reported linearity value without reinterpreting it as a correlation coefficient.</t>
  </si>
  <si>
    <t>R1 | Figure 5-6 ratings 39!N13</t>
  </si>
  <si>
    <t>R2 | Figure 6!M13</t>
  </si>
  <si>
    <t>SCORES20261001 | Decisions!W32; evidence REC-00522_10.1016_j.cej.2022.135502.pdf; approval Azza.</t>
  </si>
  <si>
    <t>Not reported; Not reported; Gauge factor 63, tensile strength 369 MPa, breaking strain 48.5%, and 3,000 underwater cycles at 20% strain.</t>
  </si>
  <si>
    <t>p.6</t>
  </si>
  <si>
    <t>PDF pp. 9–10, §3.5 and Fig. 5.</t>
  </si>
  <si>
    <t>Four sensors on elbow and knee pads record swimming movements, with amplitude and frequency analyses. Placement and activities are described, but the number and characteristics of swimmers in the sensing tests are not clearly reported.</t>
  </si>
  <si>
    <t>R1 | Figure 5-6 ratings 39!Q13</t>
  </si>
  <si>
    <t>R2 | Figure 6!S13</t>
  </si>
  <si>
    <t>CONS | V1 consensus!F11</t>
  </si>
  <si>
    <t>REC-00633</t>
  </si>
  <si>
    <t>Knee-angle model: R² 99% intrasubject and 94% intersubject; Not reported; Resistance increased by approximately 13% after 10,000 s loading at 30% strain and 0.5 Hz</t>
  </si>
  <si>
    <t>p.8, Figure 4</t>
  </si>
  <si>
    <t>6 (supplied 40-page publisher PDF capture) Figure 3b caption and following cyclic-stability paragraph</t>
  </si>
  <si>
    <t>The supplied main PDF reports a 13% resistance increase after prolonged loading/unloading at 30% strain during a 10,000-s cyclic test, after initial adaptation. This verifies the existing E3=2 proposal without the earlier JSON text cache.</t>
  </si>
  <si>
    <t>Resistance change is quantified with strain and test duration, satisfying the signal-stability reporting criterion. Approved by Azza on 30 September 2026. Accepted the score and recorded rationale, including the applicable approved rule and stated evidence limitations. Limitations: The PDF and original manifest TXT are currently absent. The surviving page-delimited publisher text was inspected; its actual cache hash is recorded. 10,000 refers to seconds, not cycles.</t>
  </si>
  <si>
    <t>R1 | Figure 5-6 ratings 39!N14</t>
  </si>
  <si>
    <t>R2 | Figure 6!M14</t>
  </si>
  <si>
    <t>SCORES20261001 | Decisions!W33; evidence REC-00633_10.1002_aisy.202400124.pdf; approval Azza.</t>
  </si>
  <si>
    <t>REC-00663</t>
  </si>
  <si>
    <t>Not reported; Not reported; Approximately 5% signal deviation after 10,000 cycles at 5% strain</t>
  </si>
  <si>
    <t>6; 7; 13; 14; 15 Methods2.4; Section3.5; Eq.2 and Fig.8</t>
  </si>
  <si>
    <t>Section3.5 reports a fourth-order resistance–strain fit with R²=0.999 and gives the fitted equation. It also quantifies resistance-change differences as8% and10% following cyclic tests at5% and10% strain, and13% after stabilization during30% strain tests.</t>
  </si>
  <si>
    <t>Quantified fit quality and quantified cyclic response changes with test conditions meet2. Approved by Azza on 30 September 2026. Accepted the score and recorded rationale, including the applicable approved rule and stated evidence limitations. Limitations: The fit is polynomial, not evidence of globally linear response.10,000s is test duration; it is not automatically10,000cycles for all frequencies.</t>
  </si>
  <si>
    <t>R1 | Figure 5-6 ratings 39!N15</t>
  </si>
  <si>
    <t>R2 | Figure 6!M15</t>
  </si>
  <si>
    <t>SCORES20261001 | Decisions!W34; evidence REC-00663_10.1002_pat.5856.pdf; approval Azza.</t>
  </si>
  <si>
    <t>Not reported; Not reported; Gauge factor 498 over a 0–293% range and approximately 5% deviation after 10,000 cycles at 5% strain.</t>
  </si>
  <si>
    <t>p.5</t>
  </si>
  <si>
    <t>PDF pp. 7–8 (application methods) and pp. 18–20, §3.9, Figs. 12–13.</t>
  </si>
  <si>
    <t>Joint flexion at 45° and 90°, facial movements, neck pulse and abdominal respiration are described with resistance traces. Placement and task details are present, but human sensing sample size and participant characteristics are not clearly reported.</t>
  </si>
  <si>
    <t>R1 | Figure 5-6 ratings 39!Q15</t>
  </si>
  <si>
    <t>R2 | Figure 6!S15</t>
  </si>
  <si>
    <t>CONS | V1 consensus!F12</t>
  </si>
  <si>
    <t>No external physiological or biomechanical comparator identified</t>
  </si>
  <si>
    <t>p.22</t>
  </si>
  <si>
    <t>3; 4; 5; 6; 7; 8; 9; 10; 11; 12; 13; 14; 15; 16; 17; 18; 19; 20; 21; 22 Methods2.4; Section3.9; actual Figs12–13; end of3.10 and Conclusion</t>
  </si>
  <si>
    <t>Methods2.4 instructs joint flexions from0° to45° and90°. Figs12–13 show task-labelled traces, including joint poses, facial expressions, pulse and breathing. No angle measurement/reference method or quantitative prediction-to-reference comparison is described. Discussion explicitly says secondary motion capture and further waveform analysis are still needed.</t>
  </si>
  <si>
    <t>Target poses and inferred pulse/breathing rates are demonstration labels, not an evaluated reference. The article's own future-work statement confirms that secondary motion-capture validation was not performed. Approved by Azza on 30 September 2026. Accepted the score and recorded rationale, including the applicable approved rule and stated evidence limitations. Limitations: No inferred absence of on-body testing: V1 evidence exists. V2=0 does not mean the device failed; it means the specified comparative validation was not reported.</t>
  </si>
  <si>
    <t>R1 | Figure 5-6 ratings 39!R15</t>
  </si>
  <si>
    <t>R2 | Figure 6!U15</t>
  </si>
  <si>
    <t>SCORES20261001 | Decisions!W35; evidence REC-00663_10.1002_pat.5856.pdf; approval Azza.</t>
  </si>
  <si>
    <t>REC-00754</t>
  </si>
  <si>
    <t>Patterned impregnation of MXene into the nylon-fabric network; Not reported</t>
  </si>
  <si>
    <t>p.8, Fig. 5a</t>
  </si>
  <si>
    <t>Sensor placed on body with a sleeve-form version worn on the wrist</t>
  </si>
  <si>
    <t>3; 4; 8; 9 Section 2.3 sleeve fabrication; application section; Fig. 5a-e</t>
  </si>
  <si>
    <t>Section 2.3 describes making the sensing sleeve by cutting fabric into a cylinder of approximately 8 cm length and 8 cm diameter, applying a defined PDMS pattern and MXene processing. Fig. 5a-e shows the resulting accessory fitted around wrist, upper arm and elbow with electrical connections and signals during movement and muscle loading.</t>
  </si>
  <si>
    <t>The exact R2 rule includes wearable accessories with defined assembly and placement. This is a purpose-fabricated sleeve, not only a free patch held on the body, so DR4 is better supported than the previous DR3 proposal. Approved by Azza on 30 September 2026. Accepted the score and recorded rationale, including the applicable approved rule and stated evidence limitations. Limitations: Acquisition uses external Keithley equipment; DR5 is not inferred.; Fabric-composition wording is inconsistent within the article but does not alter the documented sleeve assembly.</t>
  </si>
  <si>
    <t>R1 | Figure 5-6 ratings 39!H16</t>
  </si>
  <si>
    <t>R2 | Figure 5!H18</t>
  </si>
  <si>
    <t>SCORES20261001 | Decisions!W9; evidence REC-00754_10.1016_j.sna.2020.112192.pdf; approval Azza.</t>
  </si>
  <si>
    <t>Not reported; Not reported; Stable response reported for more than 500 cycles</t>
  </si>
  <si>
    <t>5–7 (saved browser PDF); SI Figures S2, S6 Electromechanical-performance results; Figure 3; SI Figure S2a–c and S6</t>
  </si>
  <si>
    <t>The article describes stable 10 s holds after 0.1 mm extension steps, stable signals during 500 cycles at 6% strain, hysteresis loops, and rate-dependent overshoot; SI Figure S2 and S6 provide curves but no numerical hysteresis, drift or repeatability descriptor.</t>
  </si>
  <si>
    <t>Usable qualitative signal-quality evidence is present, but a quantified descriptor is not reported. Cycle count alone belongs to E4 and does not make E3=2. Approved by Azza on 30 September 2026. Accepted the score and recorded rationale, including the applicable approved rule and stated evidence limitations. Limitations: Main browser renders have an overlay, so the original text layer and embedded SI figures were inspected. This does not judge the tests themselves to be poor.</t>
  </si>
  <si>
    <t>R1 | Figure 5-6 ratings 39!N16</t>
  </si>
  <si>
    <t>R2 | Figure 6!M18</t>
  </si>
  <si>
    <t>SCORES20261001 | Decisions!W36; evidence REC-00754_10.1016_j.sna.2020.112192.pdf; supporting files listed by Record ID in Sources; approval Azza.</t>
  </si>
  <si>
    <t>Washing fastness reported; protocol and cycle count was not reported in the available full text; Not reported</t>
  </si>
  <si>
    <t>6 (saved browser PDF); SI Figure S5 Water-tolerance paragraph; SI Figure S5</t>
  </si>
  <si>
    <t>The sensor is stirred in deionized water at 500 rpm for 3 h; the article and SI Figure S5 compare pre/post resistance–strain response and report reduced sensitivity while retaining strain response.</t>
  </si>
  <si>
    <t>The exposure medium, duration, agitation and post-test sensing outcome are given. Approved by Azza on 30 September 2026. Accepted the score and recorded rationale, including the applicable approved rule and stated evidence limitations. Limitations: Do not claim unchanged sensitivity after the 3 h stirred exposure; the source reports a reduction.</t>
  </si>
  <si>
    <t>R1 | Figure 5-6 ratings 39!P16</t>
  </si>
  <si>
    <t>R2 | Figure 6!Q18</t>
  </si>
  <si>
    <t>SCORES20261001 | Decisions!W37; evidence REC-00754_10.1016_j.sna.2020.112192.pdf; supporting files listed by Record ID in Sources; approval Azza.</t>
  </si>
  <si>
    <t>Not reported; Not reported; Gauge factors of 24.35 axially and 5.98 radially over 0–20% strain, with stability beyond 500 cycles.</t>
  </si>
  <si>
    <t>p.7, Fig. 4e</t>
  </si>
  <si>
    <t>PDF pp. 7–8, §4, Figs. 4–5.</t>
  </si>
  <si>
    <t>Skin-mounted and sleeve sensors record neck, palm, ankle, wrist, forearm and elbow movements. The text mentions a subject and describes tasks, but sample reporting and participant characteristics remain incomplete.</t>
  </si>
  <si>
    <t>R1 | Figure 5-6 ratings 39!Q16</t>
  </si>
  <si>
    <t>R2 | Figure 6!S18</t>
  </si>
  <si>
    <t>CONS | V1 consensus!F13</t>
  </si>
  <si>
    <t>REC-01539</t>
  </si>
  <si>
    <t>Reported qualitatively</t>
  </si>
  <si>
    <t>1; 2; 3; 4; 5; 6; 7; 8; 9; 10; 11; 12; 13; 14; 15 Abstract; Methods2.1–2.4; Results3.1–3.2 and Conclusion</t>
  </si>
  <si>
    <t>Complete main article describes relaxed/stretched resistance, U-shaped printed sensor construction, sensor placement and six ADL tasks, but never states the imposed/calibrated sensor strain interval. The precursor sensor development is attributed to reference33; body task names and resistance values are not strain magnitudes.</t>
  </si>
  <si>
    <t>No working/calibrated/evaluated numerical sensor-strain interval is reported for this study, supporting0 rather than1. Approved by Azza on 30 September 2026. Accepted the score and recorded rationale, including the applicable approved rule and stated evidence limitations. Limitations: The prior paper[33] was not imported as this paper's evidence. Classification accuracies and sampling rates are irrelevant to E1.</t>
  </si>
  <si>
    <t>R1 | Figure 5-6 ratings 39!L17</t>
  </si>
  <si>
    <t>R2 | Figure 6!I20</t>
  </si>
  <si>
    <t>SCORES20261001 | Decisions!W38; evidence REC-01539_10.37934_sej.14.1.117.pdf; approval Azza.</t>
  </si>
  <si>
    <t>REC-01593</t>
  </si>
  <si>
    <t>3,247 at 50% strain</t>
  </si>
  <si>
    <t>6 (saved browser PDF) GF equation; Figure 4e–f</t>
  </si>
  <si>
    <t>GF is defined as (ΔR/R0)/ε; values of 633 at 30% and 3247 at 50% strain are reported with the response/sensitivity curves covering up to 50%.</t>
  </si>
  <si>
    <t>Numerical GF, definition and corresponding strains are linked explicitly. Approved by Azza on 30 September 2026. Accepted the score and recorded rationale, including the applicable approved rule and stated evidence limitations. Limitations: These are reported strain-dependent values, not one constant GF for the whole interval.</t>
  </si>
  <si>
    <t>R1 | Figure 5-6 ratings 39!M18</t>
  </si>
  <si>
    <t>R2 | Figure 6!K21</t>
  </si>
  <si>
    <t>SCORES20261001 | Decisions!W39; evidence REC-01593_10.1016_j.jmrt.2023.07.185.pdf; supporting files listed by Record ID in Sources; approval Azza.</t>
  </si>
  <si>
    <t>Not reported; Not reported; Stable response reported over 5,000 cycles</t>
  </si>
  <si>
    <t>6–7 (saved browser PDF); SI Tables S1–S2 Figure 5f–g and cycling-stability paragraph; SI material-resistance tables</t>
  </si>
  <si>
    <t>The paper describes a small initial increase over approximately 100 cycles, then stable response over 5000 cycles at 20% strain; Figure 5g provides traces but no numerical drift/hysteresis/linearity/repeatability metric for the working strain sensor.</t>
  </si>
  <si>
    <t>Signal stability is discussed qualitatively. The documented cycling conditions establish E4 evidence but do not themselves quantify an E3 descriptor. Approved by Azza on 30 September 2026. Accepted the score and recorded rationale, including the applicable approved rule and stated evidence limitations. Limitations: SI standard deviations concern repeated resistance measurements of graphite coatings on cellulose paper during materials selection, not signal repeatability of the tested stretch-textile strain sensor.</t>
  </si>
  <si>
    <t>R1 | Figure 5-6 ratings 39!N18</t>
  </si>
  <si>
    <t>R2 | Figure 6!M21</t>
  </si>
  <si>
    <t>SCORES20261001 | Decisions!W40; evidence REC-01593_10.1016_j.jmrt.2023.07.185.pdf; supporting files listed by Record ID in Sources; approval Azza.</t>
  </si>
  <si>
    <t>Washability reported; exact protocol and cycle count was not reported in the available full text; Humidity, sweat, temperature and light response evaluated</t>
  </si>
  <si>
    <t>p.7, Fig. 6</t>
  </si>
  <si>
    <t>8 (saved browser PDF); SI Figure S4 Washing-results paragraph; Figure 6d; SI Figure S4</t>
  </si>
  <si>
    <t>The sensor is hand washed in tap water for approximately 1 min without detergent and tested across five washing cycles; its resistance changes after the first wash and remains similar over the subsequent four.</t>
  </si>
  <si>
    <t>Wash procedure/count and post-exposure electrical response are reported. Approved by Azza on 30 September 2026. Accepted the score and recorded rationale, including the applicable approved rule and stated evidence limitations. Limitations: Do not describe the first wash as having no effect. This does not establish standardized machine-wash durability.</t>
  </si>
  <si>
    <t>R1 | Figure 5-6 ratings 39!P18</t>
  </si>
  <si>
    <t>R2 | Figure 6!Q21</t>
  </si>
  <si>
    <t>SCORES20261001 | Decisions!W41; evidence REC-01593_10.1016_j.jmrt.2023.07.185.pdf; supporting files listed by Record ID in Sources; approval Azza.</t>
  </si>
  <si>
    <t>At least one volunteer; exact number not reported in the reviewed source; Not reported; Gauge factor 3,247 at 50% strain, 0.11 s response time and 5,000-cycle stability, including multiaxial strain testing.</t>
  </si>
  <si>
    <t>PDF pp. 6–7, §5 and Fig. 5.</t>
  </si>
  <si>
    <t>Sensors on the glove and clothing of “a volunteer” record finger, elbow and knee movement. Placement, tasks and response traces are present; participant characteristics and the repeated human-testing protocol remain incomplete.</t>
  </si>
  <si>
    <t>R1 | Figure 5-6 ratings 39!Q18</t>
  </si>
  <si>
    <t>R2 | Figure 6!S21</t>
  </si>
  <si>
    <t>CONS | V1 consensus!F14</t>
  </si>
  <si>
    <t>REC-01719</t>
  </si>
  <si>
    <t>C1-C6 were identified in the full text. Textile evidence: In this study, we present the design, development, and feasibility assessment of a smart t-shirt embedded with two flexible sensors for 𝑓 𝑅 monitoring. Human evidence: The information on signal amplitude guided us in the selection of the sensor design and chest wall locations most subject to deformation during breathing. Quantitative evidence: The static sensitivity ( 𝑠 𝜀 ) of the sensors was calculated considering two different values of 𝜀 𝑚 𝑎 𝑥 (5% and 10%, respectively), as in the following equation: 𝑆 𝜀 ( 𝜀 m a x ) = 𝛥 𝑅 𝜀 𝑚 𝑎 𝑥 (2) Figure 4.</t>
  </si>
  <si>
    <t>Participants; respiratory-rate MAE 0.32 bpm; Qualisys motion capture</t>
  </si>
  <si>
    <t>6; 7; 8; 9; 10; 11; 12; 13 Section 3.2; Table 2; Sections 4.1-4.2; Figs. 5-7</t>
  </si>
  <si>
    <t>Eight volunteers follow documented quiet-breathing/tachypnea protocols in sitting/standing and walking, running and stair tasks. The integrated shirt records at 25 Hz and is compared with a Zephyr Bioharness. Participant-level and aggregate respiratory-rate errors and MAE are reported. Bench characterization includes five tensile trials and 30 loading/unloading cycles at four frequencies specifically used to calculate hysteresis.</t>
  </si>
  <si>
    <t>Structured reference-based human evaluation supports VD4. The same cyclic hysteresis characterization is not counted twice as distinct robustness domains. Approved by Azza on 30 September 2026. Accepted the score and recorded rationale, including the applicable approved rule and stated evidence limitations. Limitations: Rule and score approved by Azza on 30 September 2026. The original reviewer ratings and original codebook remain unchanged.</t>
  </si>
  <si>
    <t>R1 | Figure 5-6 ratings 39!F19</t>
  </si>
  <si>
    <t>R2 | Figure 5!E22</t>
  </si>
  <si>
    <t>SCORES20261001 | Decisions!W10; evidence REC-01719_10.3390_s24062018.pdf; approval Azza.</t>
  </si>
  <si>
    <t>6; 7; 8 Section3.2; Fig.4; Tables1–2</t>
  </si>
  <si>
    <t>Five quasi-static tensile tests extend each sensor from0 to10% of initial length at5mm/min; the starting lengths are83.1mm and73.3mm. Dynamic tests separately impose5% maximum strain.</t>
  </si>
  <si>
    <t>Numerical strain interval and mechanical-test context explicitly meet2. Approved by Azza on 30 September 2026. Accepted the score and recorded rationale, including the applicable approved rule and stated evidence limitations. Limitations: Static and dynamic intervals must remain separate in extraction.</t>
  </si>
  <si>
    <t>R1 | Figure 5-6 ratings 39!L19</t>
  </si>
  <si>
    <t>R2 | Figure 6!I22</t>
  </si>
  <si>
    <t>SCORES20261001 | Decisions!W42; evidence REC-01719_10.3390_s24062018.pdf; approval Azza.</t>
  </si>
  <si>
    <t>6.0 and 5.8 for sensors A and B; static sensitivities also reported as 9.4 and 9.1 Ω/%</t>
  </si>
  <si>
    <t>6; 7; 8 Section3.2; Eq.3; Table1</t>
  </si>
  <si>
    <t>Eq.3 defines GF=(ΔR/R0)/εmax. Table1 reports sensorA GF6.0 at5% and4.7 at10%, and sensorB GF5.8 at5% and3.2 at10%, for the quasi-static5mm/min tests.</t>
  </si>
  <si>
    <t>Numerical GF, calculation definition and the corresponding interval endpoints are reported, satisfying2. Approved by Azza on 30 September 2026. Accepted the score and recorded rationale, including the applicable approved rule and stated evidence limitations. Limitations: Endpoint-average GF is not a local differential slope; preserve the authors' definition.</t>
  </si>
  <si>
    <t>R1 | Figure 5-6 ratings 39!M19</t>
  </si>
  <si>
    <t>R2 | Figure 6!K22</t>
  </si>
  <si>
    <t>SCORES20261001 | Decisions!W43; evidence REC-01719_10.3390_s24062018.pdf; approval Azza.</t>
  </si>
  <si>
    <t>REC-01137</t>
  </si>
  <si>
    <t>Four textile inductive strain sensors were sewn as patches on elastic textile and integrated into sports shorts. Twelve runners were assessed against optical motion capture, with reported R-squared up to 0.98 and RMSE near 2 degrees.</t>
  </si>
  <si>
    <t>12 participants running; hip angle R=0.98 vs optical motion capture</t>
  </si>
  <si>
    <t>4; 5; 6; 8; 9; 10; 12; 13; 14; 15; 16; 20 Sections 2.1.3-2.2.5; Sections 3.5-3.8; Figs. 6-8; Table 2</t>
  </si>
  <si>
    <t>Twelve participants each run for 10 min; the sensor-equipped shorts and readout are synchronized with six-camera optical motion capture. The study reports participant-level prediction analyses and aggregate joint-angle R-squared/RMSE, including sagittal RMSE 1.63 ± 0.32 degrees. Separate bench studies assess hysteresis/drift/noise and 300-cycle stability; the latter explicitly uses a nontextile-supported three-loop CCET sensor.</t>
  </si>
  <si>
    <t>Structured multi-user comparator evaluation supports VD4. The reported endurance specimen is a nontextile-supported component; its transfer to the integrated textile construction is not established. Baseline characterization is not an additional qualifying challenge. Approved by Azza on 30 September 2026. Accepted the score and recorded rationale, including the applicable approved rule and stated evidence limitations. Limitations: Rule and score approved by Azza on 30 September 2026. The original reviewer ratings and original codebook remain unchanged.</t>
  </si>
  <si>
    <t>R1 | Figure 5-6 ratings 39!F20</t>
  </si>
  <si>
    <t>R2 | Figure 5!E23</t>
  </si>
  <si>
    <t>SCORES20261001 | Decisions!W11; evidence REC-01137_10.1002_aisy.201900165.pdf; approval Azza.</t>
  </si>
  <si>
    <t>Repeated machine washing was identified as future work, not performed; Sweat did not adversely affect performance; susceptibility to electromagnetic fields within approximately 5 cm was reported</t>
  </si>
  <si>
    <t>16; 17 Section3.10 Electromagnetic Interference; Discussion4.1; supporting Fig.S7 cited by authors</t>
  </si>
  <si>
    <t>Section3.10 applies common electromagnetic interference sources within approximately2cm. Phone/circuit-board distance is varied; noise begins around5cm and increases as distance decreases. Discussion identifies&lt;5cm susceptibility and reports no observed such noise during cohort testing.</t>
  </si>
  <si>
    <t>Electromagnetic exposure is a relevant environmental interference test for an inductive sensor. The source, quantified proximity and resulting signal-noise outcome are reported;2 is supported under 'other relevant robustness testing'. Approved by Azza on 30 September 2026. Accepted the score and recorded rationale, including the applicable approved rule and stated evidence limitations. Limitations: This is electromagnetic interference, not wash/sweat durability. The primary text supports the decision; supporting Fig.S7 was not visually inspected. It does not establish post-exposure permanent-damage resistance.</t>
  </si>
  <si>
    <t>R1 | Figure 5-6 ratings 39!P20</t>
  </si>
  <si>
    <t>R2 | Figure 6!Q23</t>
  </si>
  <si>
    <t>SCORES20261001 | Decisions!W44; evidence REC-01137_10.1002_aisy.201900165.pdf; approval Azza.</t>
  </si>
  <si>
    <t>REC-01051</t>
  </si>
  <si>
    <t>Adjustable range 1-100</t>
  </si>
  <si>
    <t>10–11, 15 Figure 3b; calibration procedure; Equation 4</t>
  </si>
  <si>
    <t>Figure 3b prints the calibration equation Strain = 0.3361 × ResistanceRate + 0.015161 over strain 0–0.6. The protocol uses repeated tensile calibration; Equation 4 defines normalized resistance versus strain.</t>
  </si>
  <si>
    <t>The rubric allows a clearly defined alternative sensitivity. The reported numerical inverse calibration coefficient is linked to the measured strain interval, so it supports 2 without using the generic GF specification. Approved by Azza on 30 September 2026. Accepted the score and recorded rationale, including the applicable approved rule and stated evidence limitations. Limitations: 0.3361 is an inverse calibration coefficient, not GF. The broad Table 1 GF specification of 1–100 is not assigned as the measured device GF; no new reciprocal GF is calculated.</t>
  </si>
  <si>
    <t>R1 | Figure 5-6 ratings 39!M22</t>
  </si>
  <si>
    <t>R2 | Figure 6!K25</t>
  </si>
  <si>
    <t>SCORES20261001 | Decisions!W45; evidence REC-01051_10.1088_0964-1726_25_12_125022.pdf; approval Azza.</t>
  </si>
  <si>
    <t>REC-01775</t>
  </si>
  <si>
    <t>1; 2; 3; 4; 5; 6; 7; 8 SectionII SmartGarment; III ExperimentalSetup; IV–VII</t>
  </si>
  <si>
    <t>Complete main article describes six50×10mm piezoresistive textile sensors, elastic bands, respiratory recordings and treadmill speeds, then PCA selection and respiratory-rate comparisons. No numerical sensor elongation/strain interval is reported; the numerical ranges concern treadmill speed, breathing rate and signal processing.</t>
  </si>
  <si>
    <t>Sensor geometry and respiratory monitoring do not supply a working-strain range.0 follows the E1 criterion. Approved by Azza on 30 September 2026. Accepted the score and recorded rationale, including the applicable approved rule and stated evidence limitations. Limitations: Supplementary material is referenced for participant details, PCA thresholds and respiratory-analysis plots, but was not inspected here. No strain-range characterization is claimed in the main report.</t>
  </si>
  <si>
    <t>R1 | Figure 5-6 ratings 39!L23</t>
  </si>
  <si>
    <t>R2 | Figure 6!I26</t>
  </si>
  <si>
    <t>SCORES20261001 | Decisions!W46; evidence REC-01775_10.1109_jsen.2020.3043140.pdf; approval Azza.</t>
  </si>
  <si>
    <t>REC-00345</t>
  </si>
  <si>
    <t>Sensitivity 0.355 normalized pF/pF per mm/mm (abstract reports 0.335)</t>
  </si>
  <si>
    <t>p.13, Figure 4i</t>
  </si>
  <si>
    <t>14 (saved browser PDF) Table 2; text preceding Figure 5</t>
  </si>
  <si>
    <t>Table 2 reports normalized capacitive sensitivity 0.355 (pF/pF)/(mm/mm), alongside a 60% elongation range; the surrounding text limits the sensing range to 0–60%.</t>
  </si>
  <si>
    <t>A numerical, strain-normalized alternative sensitivity is linked to its operating interval. Approved by Azza on 30 September 2026. Accepted the score and recorded rationale, including the applicable approved rule and stated evidence limitations. Limitations: Capacitive sensitivity is retained in its reported form; it is not relabeled as a resistive GF.</t>
  </si>
  <si>
    <t>R1 | Figure 5-6 ratings 39!M25</t>
  </si>
  <si>
    <t>R2 | Figure 6!K28</t>
  </si>
  <si>
    <t>SCORES20261001 | Decisions!W47; evidence REC-00345_10.1002_admt.202200410.pdf; approval Azza.</t>
  </si>
  <si>
    <t>Ten room-temperature hand-wash cycles with water and detergent; 1.2% deviation after wash/mechanical tests; 0–50 °C thermal cycle and 64%, 72% and 94% ambient-humidity tests</t>
  </si>
  <si>
    <t>16 (saved browser PDF) Section 4.8 Waterproofing and Washing</t>
  </si>
  <si>
    <t>The glove is hand washed with water/detergent at room temperature and dried before measurement, repeated 10 times. After washing and 100 mechanical cycles, nominal input-output deviation is 1.2% and linearity is retained over 0–60%.</t>
  </si>
  <si>
    <t>Exposure conditions/count and post-test performance are reported. Approved by Azza on 30 September 2026. Accepted the score and recorded rationale, including the applicable approved rule and stated evidence limitations. Limitations: The 1.2% deviation follows the combined wash/mechanical sequence; it is not isolated as a washing-only effect.</t>
  </si>
  <si>
    <t>R1 | Figure 5-6 ratings 39!P25</t>
  </si>
  <si>
    <t>R2 | Figure 6!Q28</t>
  </si>
  <si>
    <t>SCORES20261001 | Decisions!W48; evidence REC-00345_10.1002_admt.202200410.pdf; approval Azza.</t>
  </si>
  <si>
    <t>Not reported; Glove demonstration reported; participant information not reported; The sensor was linear to 60% strain (R² 0.996), responded in 226 ms, retained performance after 1,000 cycles and ten hand washes, and distinguished open, partly bent and fully bent finger states.</t>
  </si>
  <si>
    <t>PDF pp. 16–17, §5 “Finger Movement Sensing” and Fig. 6.</t>
  </si>
  <si>
    <t>A sensor is stitched onto the middle finger of a left glove. Open, partly closed and fully closed positions are defined; normalized capacitance outputs of 0.91 and 0.82 are reported. Human sample size and participant characteristics are not clearly reported.</t>
  </si>
  <si>
    <t>R1 | Figure 5-6 ratings 39!Q25</t>
  </si>
  <si>
    <t>R2 | Figure 6!S28</t>
  </si>
  <si>
    <t>CONS | V1 consensus!F15</t>
  </si>
  <si>
    <t>REC-00357</t>
  </si>
  <si>
    <t>E4</t>
  </si>
  <si>
    <t>Dynamic / durability</t>
  </si>
  <si>
    <t>Not reported; Not reported; Three profiles of 10 cycles each per sample (30 total cycles); authors recommend longer durability testing</t>
  </si>
  <si>
    <t>5; 6; 14 Study1 MethodsIII.B–C; LimitationsVII.D</t>
  </si>
  <si>
    <t>Each sensor undergoes three sawtooth test profiles with ten consecutive loading–unloading cycles per profile, from nominal−40% strain to10%,20% or30%. Incomplete final cycles for three samples are explicitly omitted. This quantifies the short repeated-cycling protocol and analysis.</t>
  </si>
  <si>
    <t>The supplied dynamic/cycling reporting item accepts quantified cycling with relevant strain and cycle-count details and sets no minimum cycle threshold. The previous1 relied on the authors calling longer durability testing future work, which is a methodological limitation rather than missing short-cycle reporting. Approved by Azza on 30 September 2026. Accepted the score and recorded rationale, including the applicable approved rule and stated evidence limitations. Limitations: Only short-cycle characterization is established, not long-term service durability. The nominal−40% starting state is compression/slack geometry, not conventional tensile strain. Do not call these30 fully analyzedcycles for every sample.</t>
  </si>
  <si>
    <t>R1 | Figure 5-6 ratings 39!O26</t>
  </si>
  <si>
    <t>R2 | Figure 6!O29</t>
  </si>
  <si>
    <t>SCORES20261001 | Decisions!W49; evidence REC-00357_10.1109_jsen.2025.3622919.pdf; approval Azza.</t>
  </si>
  <si>
    <t>Not reported; Operational proof-of-concept data collected in microgravity aboard the ISS</t>
  </si>
  <si>
    <t>5; 14 Study1 methods; LimitationsVII.D</t>
  </si>
  <si>
    <t>The authors explicitly state in Limitations that temperature, humidity and moisture effects were not assessed and require future experimental confirmation. Reported Study1 benchtop testing and Study2 wearer/classification experiments do not provide an environmental-exposure outcome.</t>
  </si>
  <si>
    <t>An explicit statement that the relevant environmental tests were not performed supports0; intended future environmental testing is not partial experimental reporting. Approved by Azza on 30 September 2026. Accepted the score and recorded rationale, including the applicable approved rule and stated evidence limitations. Limitations: Routine test setting and garment use are not environmental robustness tests.</t>
  </si>
  <si>
    <t>R1 | Figure 5-6 ratings 39!P26</t>
  </si>
  <si>
    <t>R2 | Figure 6!Q29</t>
  </si>
  <si>
    <t>SCORES20261001 | Decisions!W50; evidence REC-00357_10.1109_jsen.2025.3622919.pdf; approval Azza.</t>
  </si>
  <si>
    <t>REC-00683</t>
  </si>
  <si>
    <t>The Silk/MXene fabric sensor was used for real-time human joint and gesture monitoring and retained repeatable response during 1,500 cycles.</t>
  </si>
  <si>
    <t>On-body smart-glove gesture demonstration</t>
  </si>
  <si>
    <t>7; 8; 9; 10 Section 2.5; Figs. 4-5; experimental methods</t>
  </si>
  <si>
    <t>The main human section presents electrical waveforms during finger, wrist, elbow and knee movements. The glove controls a robotic hand to display five numerical gestures. The original Figs. 4-5 were visually inspected: they contain illustrative traces, system wiring and corresponding gesture photographs, without a quantified gesture-classification test or human error/repeatability analysis.</t>
  </si>
  <si>
    <t>Bench sensitivity, response times and cycling demonstrate sensor properties but do not establish task-level human validation. The HMI demonstration alone does not provide the quantitative evaluation needed to advance beyond VD2. Approved by Azza on 30 September 2026. Accepted the score and recorded rationale, including the applicable approved rule and stated evidence limitations. Limitations: No trial count or participant cohort was inferred from the number of photographs.; No unsupported claim that a physical gesture-control comparator constitutes accuracy validation.</t>
  </si>
  <si>
    <t>R1 | Figure 5-6 ratings 39!F27</t>
  </si>
  <si>
    <t>R2 | Figure 5!E30</t>
  </si>
  <si>
    <t>SCORES20261001 | Decisions!W12; evidence REC-00683_10.1016_j.sna.2026.118233.pdf; approval Azza.</t>
  </si>
  <si>
    <t>Dual-regime response; exact R² values was not reported in the available full text; Not reported; Repeatable output reported over 1,500 cycles</t>
  </si>
  <si>
    <t>6–8 (saved browser PDF); SI Figures S1–S14 Section 2.4; Figure 3c–f; SI electromechanical material</t>
  </si>
  <si>
    <t>The response is described as dual-linear, and 1500 cycles at 20% strain show distinguishable waveforms with slight baseline fluctuation. Figure 3 contains curves and GF values but no quantified linearity, hysteresis, drift or repeatability descriptor.</t>
  </si>
  <si>
    <t>The signal-quality statements and curves are usable qualitative evidence. Neither GF nor the cycle count is itself a quantified E3 quality descriptor. Approved by Azza on 30 September 2026. Accepted the score and recorded rationale, including the applicable approved rule and stated evidence limitations. Limitations: The full main Results and SI were inspected; response/recovery values in SI Figure S13 belong to E4. Baseline fluctuation is not numerically estimated from the graph.</t>
  </si>
  <si>
    <t>R1 | Figure 5-6 ratings 39!N27</t>
  </si>
  <si>
    <t>R2 | Figure 6!M30</t>
  </si>
  <si>
    <t>SCORES20261001 | Decisions!W51; evidence REC-00683_10.1016_j.sna.2026.118233.pdf; supporting files listed by Record ID in Sources; approval Azza.</t>
  </si>
  <si>
    <t>Not reported; Not reported; Gauge factor 149.31 at 0–18% strain and 24.57 at 18–32%, response/recovery 171/185 ms, &gt;2,000 mm/s air permeability and 1,500-cycle repeatability.</t>
  </si>
  <si>
    <t>PDF pp. 7–8, §§2.5–2.6 and Figs. 4–5.</t>
  </si>
  <si>
    <t>Finger, wrist, elbow and knee bending produce resistance waveforms. A smart glove controls a robotic hand using gestures 1–5. Placement and tasks are described, but human sample size and participant characteristics are not clearly reported.</t>
  </si>
  <si>
    <t>R1 | Figure 5-6 ratings 39!Q27</t>
  </si>
  <si>
    <t>R2 | Figure 6!S30</t>
  </si>
  <si>
    <t>CONS | V1 consensus!F16</t>
  </si>
  <si>
    <t>Synchronous robotic-hand control demonstrated; no external human-joint angle reference identified</t>
  </si>
  <si>
    <t>7–10 (saved browser PDF); complete SI Sections 2.5–2.6; Figures 4–5; SI Figures S1–S14</t>
  </si>
  <si>
    <t>The glove demonstrates numerals 1–5 and synchronized robotic-hand poses. No comparison protocol, classifier accuracy, confusion matrix or quantitative reference-based performance is provided in the main paper or SI.</t>
  </si>
  <si>
    <t>Nominal gesture labels and matched demonstration photographs are V1 evidence. They do not establish criterion validation under the supplied V2 interpretation. Approved by Azza on 30 September 2026. Accepted the score and recorded rationale, including the applicable approved rule and stated evidence limitations. Limitations: The source reports recognition as a demonstration. It is not treated as classifier validation merely because the gestures have labels. The listed demonstration video was not used to invent performance metrics.</t>
  </si>
  <si>
    <t>R1 | Figure 5-6 ratings 39!R27</t>
  </si>
  <si>
    <t>R2 | Figure 6!U30</t>
  </si>
  <si>
    <t>SCORES20261001 | Decisions!W52; evidence REC-00683_10.1016_j.sna.2026.118233.pdf; supporting files listed by Record ID in Sources; approval Azza.</t>
  </si>
  <si>
    <t>REC-00775</t>
  </si>
  <si>
    <t>6.4 over 0-190% strain</t>
  </si>
  <si>
    <t>8; 9 Section3.2; actual Fig.2c; SI NoteS2/Fig.S2</t>
  </si>
  <si>
    <t>Section3.2 states GF6.4 over0–190% strain. Actual Fig.2c labels GF6.4, and SI Fig.S2 gives GF7.6,7.2,6.9,6.8,6.7,6.4 over ranges ending10%,50%,90%,130%,170%,190%, respectively.</t>
  </si>
  <si>
    <t>Numerical strain-normalized sensitivity and associated intervals are explicitly reported;2 is supported. Approved by Azza on 30 September 2026. Accepted the score and recorded rationale, including the applicable approved rule and stated evidence limitations. Limitations: Preserve the reported GF values rather than estimating new slopes from the plotted curves.</t>
  </si>
  <si>
    <t>R1 | Figure 5-6 ratings 39!M28</t>
  </si>
  <si>
    <t>R2 | Figure 6!K31</t>
  </si>
  <si>
    <t>SCORES20261001 | Decisions!W53; evidence REC-00775_10.1007_s12221-025-01009-9.pdf; supporting files listed by Record ID in Sources; approval Azza.</t>
  </si>
  <si>
    <t>Not reported; Not reported; Stable performance reported beyond 10,000 cycles</t>
  </si>
  <si>
    <t>8; 9; 10 Section3.2; actual Fig.2; SI NoteS2–S5 and figures</t>
  </si>
  <si>
    <t>Section3.2 describes linear response and stable uniform cycles. The actual Fig.2c–g and SI Figs.S2–S5 show response/repeated traces, but no fit coefficient, numerical hysteresis, drift percentage or quantified repeatability dispersion. GF labels quantify sensitivity, not fit quality.</t>
  </si>
  <si>
    <t>Signal-quality descriptors are present qualitatively, satisfying1 rather than0. Plotted repeated traces alone do not meet the specified E3 requirement for a quantified descriptor. Approved by Azza on 30 September 2026. Accepted the score and recorded rationale, including the applicable approved rule and stated evidence limitations. Limitations: The paper's before/after freezing response level of500% is not itself a numerical error/variation measure. E4 durability and R1 environmental outcomes are distinct.</t>
  </si>
  <si>
    <t>R1 | Figure 5-6 ratings 39!N28</t>
  </si>
  <si>
    <t>R2 | Figure 6!M31</t>
  </si>
  <si>
    <t>SCORES20261001 | Decisions!W54; evidence REC-00775_10.1007_s12221-025-01009-9.pdf; supporting files listed by Record ID in Sources; approval Azza.</t>
  </si>
  <si>
    <t>Not reported; Not reported; Detection range to 190%, conductivity 3,333.3 S/m, Young’s modulus 0.94 MPa and stability beyond 10,000 cycles.</t>
  </si>
  <si>
    <t>p.14</t>
  </si>
  <si>
    <t>PDF pp. 14–15, Fig. 5 and accompanying application text.</t>
  </si>
  <si>
    <t>Hand, elbow and knee movements and a volunteer’s swallowing produce sensing traces. Placement and tasks are described, but sample reporting and participant characteristics for these demonstrations remain incomplete.</t>
  </si>
  <si>
    <t>R1 | Figure 5-6 ratings 39!Q28</t>
  </si>
  <si>
    <t>R2 | Figure 6!S31</t>
  </si>
  <si>
    <t>CONS | V1 consensus!F17</t>
  </si>
  <si>
    <t>REC-00858</t>
  </si>
  <si>
    <t>Exercise-specific strain ranges reported in the article; exact values was not reported in the available full text</t>
  </si>
  <si>
    <t>3, 6, 9 (saved browser PDF) Section 2.2; response-time tests; Section 5</t>
  </si>
  <si>
    <t>The methods specify 50% cyclic extension at 200 mm/min; results evaluate responses at 5%, 10% and 20% strain and separately describe 100 cycles at 20%.</t>
  </si>
  <si>
    <t>Numerical tested strain intervals/conditions are reported. Approved by Azza on 30 September 2026. Accepted the score and recorded rationale, including the applicable approved rule and stated evidence limitations. Limitations: The prior-study 0–20% operating range, present 50% extension test and 20% cycling result are not combined into a claim of verified stable operation across 0–50%.</t>
  </si>
  <si>
    <t>R1 | Figure 5-6 ratings 39!L29</t>
  </si>
  <si>
    <t>R2 | Figure 6!I32</t>
  </si>
  <si>
    <t>SCORES20261001 | Decisions!W55; evidence REC-00858_10.1016_j.rineng.2024.102794.pdf; supporting files listed by Record ID in Sources; approval Azza.</t>
  </si>
  <si>
    <t>Sensitivity 2.08 Ω/mm during loading and 2.72 Ω/mm during unloading</t>
  </si>
  <si>
    <t>3, 6, 9 (saved browser PDF); SI rendered p. 2 Section 2.2; Figure 5 discussion; SI Table S2</t>
  </si>
  <si>
    <t>The main article reports displacement sensitivities such as 2.08818 and 2.72727 Ω/mm. SI Table S2 adds GF 1.60 and 1.56 in the 2nd/99th cycles, described only as calculated across the entire extension.</t>
  </si>
  <si>
    <t>Sensitivity is numerically reported, but the strain interval/calculation for the SI GF is not unambiguously identified. The main paper describes both 50% cyclic extension and 100 cycles at 20%; the SI does not explicitly link its GF to either. Approved by Azza on 30 September 2026. Accepted the score and recorded rationale, including the applicable approved rule and stated evidence limitations. Limitations: Do not claim GF is absent. Do not assign the GF to 0–20% or 0–50% without resolving the source's ambiguous linkage. A score of 2 would require an explicit source link or reviewer-agreed interpretation.</t>
  </si>
  <si>
    <t>R1 | Figure 5-6 ratings 39!M29</t>
  </si>
  <si>
    <t>R2 | Figure 6!K32</t>
  </si>
  <si>
    <t>SCORES20261001 | Decisions!W56; evidence REC-00858_10.1016_j.rineng.2024.102794.pdf; supporting files listed by Record ID in Sources; approval Azza.</t>
  </si>
  <si>
    <t>Not reported; Real-use testing in a gym environment</t>
  </si>
  <si>
    <t>Not quantified (p.4)</t>
  </si>
  <si>
    <t>SI rendered pp. 1–2 SI opening washing paragraph and Figure S1</t>
  </si>
  <si>
    <t>The supplement specifies full wetting in soap water for 1 h under 500 rpm stirring, and states that sensor performance remained the same afterward; Figure S1 documents the exposure.</t>
  </si>
  <si>
    <t>A quantified environmental/care test with exposure conditions and a stated post-test performance outcome satisfies the R1=2 rubric. Approved by Azza on 30 September 2026. Accepted the score and recorded rationale, including the applicable approved rule and stated evidence limitations. Limitations: The outcome is qualitative and no numerical postwash error or standardized washing protocol is supplied. Under the written rubric, the test is quantified and an outcome is reported; the score is not a claim of rigorous wash validation.</t>
  </si>
  <si>
    <t>R1 | Figure 5-6 ratings 39!P29</t>
  </si>
  <si>
    <t>R2 | Figure 6!Q32</t>
  </si>
  <si>
    <t>SCORES20261001 | Decisions!W57; evidence REC-00858_10.1016_j.rineng.2024.102794.pdf; supporting files listed by Record ID in Sources; approval Azza.</t>
  </si>
  <si>
    <t>Not reported; Gym wearer demonstrations reported; participant count/demographics not reported; Maximum loading/unloading sensitivities were 2.08 and 2.72 Ω/mm; the garment produced real-time exercise feedback through an ESP8266/ThingSpeak system.</t>
  </si>
  <si>
    <t>p.7, Fig. 7</t>
  </si>
  <si>
    <t>PDF pp. 6–9, §§4–5 and Figs. 6–8.</t>
  </si>
  <si>
    <t>Garment sensors record movement during cycling, treadmill, rowing and weight-training activities. Integration and real-world user trials are described, but the number and characteristics of the human test participants are not clearly reported.</t>
  </si>
  <si>
    <t>R1 | Figure 5-6 ratings 39!Q29</t>
  </si>
  <si>
    <t>R2 | Figure 6!S32</t>
  </si>
  <si>
    <t>CONS | V1 consensus!F18</t>
  </si>
  <si>
    <t>No external biomechanical reference identified</t>
  </si>
  <si>
    <t>p.2</t>
  </si>
  <si>
    <t>3–10 (saved browser PDF); SI rendered pp. 1–3 Sections 2–5; Figures 6–8; SI text, tables and video descriptions</t>
  </si>
  <si>
    <t>Main Methods describe sensor calibration with an Instron and multimeter; garment/gym results show signals during named activities and data transmission. The main article and SI do not give an external-reference comparison, verified repetition-count accuracy, measured-angle agreement or classifier performance.</t>
  </si>
  <si>
    <t>Bench calibration and nominal exercise labels alone are not criterion validation of the wearable estimation claims. No qualifying comparison is reported under V2. Approved by Azza on 30 September 2026. Accepted the score and recorded rationale, including the applicable approved rule and stated evidence limitations. Limitations: Main article and all written SI checked. Video descriptions concern calibration and demonstrations, not a quantitative validation protocol; no unreported results are inferred from them.</t>
  </si>
  <si>
    <t>R1 | Figure 5-6 ratings 39!R29</t>
  </si>
  <si>
    <t>R2 | Figure 6!U32</t>
  </si>
  <si>
    <t>SCORES20261001 | Decisions!W58; evidence REC-00858_10.1016_j.rineng.2024.102794.pdf; supporting files listed by Record ID in Sources; approval Azza.</t>
  </si>
  <si>
    <t>REC-00929</t>
  </si>
  <si>
    <t>The complete article sews five MXene/WPU-coated fiber strain sensors onto a cotton glove and integrates two sensors into a fitted sweater for human gesture and posture monitoring. Quantitative evidence includes GF values up to 960.8, 0.5% detection limit, more than 2500 cycles, 150 ms response and distinct signals for glove angles, gestures, kyphosis and forward-head posture.</t>
  </si>
  <si>
    <t>On-body data-glove finger-bending demonstration</t>
  </si>
  <si>
    <t>7; 8; 9 Sections 3.5-3.6; original Fig. 8a-f</t>
  </si>
  <si>
    <t>The glove is tested with index-finger positions labelled 10, 30, 60 and 90 degrees. Original Fig. 8b shows one resistance-response series at these labelled positions, not an angle-estimation error/calibration analysis. Fig. 8c shows five-channel gesture patterns; Fig. 8e-f illustrates posture warnings from a sweater/Arduino system. Main methods do not define a corresponding human performance-validation study.</t>
  </si>
  <si>
    <t>Labelled finger-angle response traces show on-body sensing but do not evaluate a numerical human-performance outcome under the clarified boundary. Approved by Azza on 30 September 2026. Accepted the score and recorded rationale, including the applicable approved rule and stated evidence limitations. Limitations: Rule and score approved by Azza on 30 September 2026. The original reviewer ratings and original codebook remain unchanged.</t>
  </si>
  <si>
    <t>R1 | Figure 5-6 ratings 39!F30</t>
  </si>
  <si>
    <t>R2 | Figure 5!E33</t>
  </si>
  <si>
    <t>SCORES20261001 | Decisions!W13; evidence REC-00929_10.3390_s24010271.pdf; approval Azza.</t>
  </si>
  <si>
    <t>Multiple sensitivity regimes reported; exact linearity statistics was not reported in the available full text; Not reported; Durability beyond 2,500 stretch–release cycles</t>
  </si>
  <si>
    <t>5; 6 Sections3.2–3.3; actual Figs4c–e and5b</t>
  </si>
  <si>
    <t>Section3.2 describes almost complete recovery and negligible frequency influence. Actual Fig.4c–e shows repeated responses under stated strains/frequencies and Fig.5b shows&gt;2500 cycles at20%, but no numerical linearity, hysteresis, drift or repeatability statistic is provided in those tests.</t>
  </si>
  <si>
    <t>Qualitative signal-quality evidence is reported, supporting1. Cycle count and repeated curves quantify exposure, not the required signal-quality descriptor. Approved by Azza on 30 September 2026. Accepted the score and recorded rationale, including the applicable approved rule and stated evidence limitations. Limitations: Do not confuse the GF annotations with numerical linearity; E4 can be satisfied independently of E3.</t>
  </si>
  <si>
    <t>R1 | Figure 5-6 ratings 39!N30</t>
  </si>
  <si>
    <t>R2 | Figure 6!M33</t>
  </si>
  <si>
    <t>SCORES20261001 | Decisions!W59; evidence REC-00929_10.3390_s24010271.pdf; approval Azza.</t>
  </si>
  <si>
    <t>Washing resistance reported; protocol and cycle count was not reported in the available full text; Peeling/rubbing resistance and washing resistance reported</t>
  </si>
  <si>
    <t>6 Section3.3; actual Fig.5a</t>
  </si>
  <si>
    <t>Three sensor groups are ultrasonicated for1h in deionized water, saline or laundry-detergent solution. Adhesive-tape peeling is also applied. Actual Fig.5a reports resistance before and after each treatment; accompanying text describes an average change&lt;10%.</t>
  </si>
  <si>
    <t>Quantified exposure duration/medium and post-treatment electrical outcome establish2 for at least the immersion tests. Approved by Azza on 30 September 2026. Accepted the score and recorded rationale, including the applicable approved rule and stated evidence limitations. Limitations: Solution concentrations, ultrasonic settings and tape cycle count are incomplete; this is not standardized wash certification. The&lt;10% textual claim is not independently recalculated from the bar graphic.</t>
  </si>
  <si>
    <t>R1 | Figure 5-6 ratings 39!P30</t>
  </si>
  <si>
    <t>R2 | Figure 6!Q33</t>
  </si>
  <si>
    <t>SCORES20261001 | Decisions!W60; evidence REC-00929_10.3390_s24010271.pdf; approval Azza.</t>
  </si>
  <si>
    <t>Not reported; Not reported; Gauge factor up to 960.8, sensing range above 90%, 0.5% detection limit, 150 ms response and durability beyond 2,500 cycles.</t>
  </si>
  <si>
    <t>PDF pp. 7–9, §§3.5–3.6 and Figs. 7–8.</t>
  </si>
  <si>
    <t>A volunteer performs joint movements; pulse, expression, glove gestures and posture monitoring are also shown. Placement, bending angles and quantitative traces are present, but sample reporting and participant characteristics remain incomplete.</t>
  </si>
  <si>
    <t>R1 | Figure 5-6 ratings 39!Q30</t>
  </si>
  <si>
    <t>R2 | Figure 6!S33</t>
  </si>
  <si>
    <t>CONS | V1 consensus!F19</t>
  </si>
  <si>
    <t>REC-01315</t>
  </si>
  <si>
    <t>The original journal study fabricates embroidered textile inductors and textile capacitive strain sensors, integrates two sensors into sport leggings, and tests static and dynamic activities on one participant over three independent donning/doffing sessions. It reports accuracy 0.86 and F1-score 0.87 across sessions, satisfying C1-C6.</t>
  </si>
  <si>
    <t>p.12</t>
  </si>
  <si>
    <t>Single participant, 3 sessions; F1 0.98/0.96 activity classification</t>
  </si>
  <si>
    <t>6; 7; 8; 9; 10; 12; 13; 14 Sections 2.1, 2.3, 2.4, 3.2; Table 2; Discussion</t>
  </si>
  <si>
    <t>One participant performs specified static and dynamic activities with sensorized leggings, including 10 pose cycles and 20 walking/jogging steps. Recordings are repeated across three days with garment removal/re-donning. Classifier accuracy/F1 and cross-session performance are reported; the session-transfer random-forest accuracy/F1 are 0.86/0.87. Acquisition uses a benchtop VNA because portable units could not meet the chosen sampling rate.</t>
  </si>
  <si>
    <t>Documented repeated-session protocol and quantitative classification performance satisfy VD4. The present work does not establish a complete realistically operable readout plus two distinct deployment-robustness investigations; washing, humidity and temperature evidence cited in discussion belongs to earlier papers and was not credited as testing of this study's configuration. Approved by Azza on 30 September 2026. Accepted the score and recorded rationale, including the applicable approved rule and stated evidence limitations. Limitations: Single participant and threshold-derived/manual-adjusted activity labels limit generalization.; Brief strain cycles and step-hold tests characterize sensitivity/hysteresis/drift; they were not relabelled as an independent endurance study.; No numeric cycle threshold was added. If a new VD5 domain definition is approved, its applicability should be checked consistently.</t>
  </si>
  <si>
    <t>R1 | Figure 5-6 ratings 39!F32</t>
  </si>
  <si>
    <t>R2 | Figure 5!E35</t>
  </si>
  <si>
    <t>SCORES20261001 | Decisions!W14; evidence REC-01315_10.3389_fbioe.2026.1724364.pdf; approval Azza.</t>
  </si>
  <si>
    <t>R² = 0.99 to 30% strain; Stretch/release hysteresis observed in step-hold tests because of textile viscoelasticity; Baseline drift was observed during release; controlled two-sensor response was repeatable across three step-hold cycles</t>
  </si>
  <si>
    <t>6; 9; 10 Section2.1.2; Section3.1.2; actual Fig.2B and caption</t>
  </si>
  <si>
    <t>Actual Fig.2B prints y=0.96x+0.01 and R²=0.99 for response up to30% strain. The caption states that each point averages ten cycles. Methods describe conditioning,5mm/s stretching and step-hold testing.</t>
  </si>
  <si>
    <t>Numerical fit quality plus a stated testing/averaging protocol satisfies2. Approved by Azza on 30 September 2026. Accepted the score and recorded rationale, including the applicable approved rule and stated evidence limitations. Limitations: This score uses the plotted fit quality, not a claim that the visibly hysteretic sensor is hysteresis-free.</t>
  </si>
  <si>
    <t>R1 | Figure 5-6 ratings 39!N32</t>
  </si>
  <si>
    <t>R2 | Figure 6!M35</t>
  </si>
  <si>
    <t>SCORES20261001 | Decisions!W61; evidence REC-01315_10.3389_fbioe.2026.1724364.pdf; approval Azza.</t>
  </si>
  <si>
    <t>REC-01371</t>
  </si>
  <si>
    <t>The original journal study seamlessly machine-knits four strain sensors and their interconnects into a smart crop top. A human participant performs range-of-motion and pick-and-hold tasks while a Vicon system supplies external reference measurements. Joint-angle RMSE values of 3.26-15.38 degrees and ergonomics RMSE values of 0.787% MVC and 1.896% DC are reported, satisfying C1-C6.</t>
  </si>
  <si>
    <t>Single user (n=1); joint angle vs Vicon; RMSE 0.787%</t>
  </si>
  <si>
    <t>8; 9; 10; 11; 12; 13; 15; 17; 18; 19; 20; 21 Section 3; Experimental Section; Regression Model Datasets and Training; Tables 2-4; statistical analysis</t>
  </si>
  <si>
    <t>A single participant performs four predefined shoulder/elbow range-of-motion actions, five repetitions per action in three sets. Garment signals are simultaneously recorded with Vicon. The trained regression is evaluated on a pick-and-hold task with reported joint-angle RMSE and derived ergonomic-marker deviations. The methods describe synchronization, preprocessing, model selection and quantitative comparison.</t>
  </si>
  <si>
    <t>Repeated trials and explicit motion-capture reference/error analysis meet VD4 even though only one participant was assessed. A minimum cohort size is not part of the supplied definition; limiting this to VD3 would add an unprovided threshold. Approved by Azza on 30 September 2026. Accepted the score and recorded rationale, including the applicable approved rule and stated evidence limitations. Limitations: Garment customized to one user; multi-user testing and washability remain future work.; Fatigue outputs are software-derived ergonomic markers, not direct clinical or EMG validation.; Final coefficient selection uses pick-and-hold deviation; it should not be described as fully independent external validation.</t>
  </si>
  <si>
    <t>R1 | Figure 5-6 ratings 39!F33</t>
  </si>
  <si>
    <t>R2 | Figure 5!E36</t>
  </si>
  <si>
    <t>SCORES20261001 | Decisions!W15; evidence REC-01371_10.1002_adsr.202500067.pdf; approval Azza.</t>
  </si>
  <si>
    <t>Sensor response characterized to 2.2× original length; application-specific strain interval not separately reported</t>
  </si>
  <si>
    <t>p.17</t>
  </si>
  <si>
    <t>7; 16 Garment design; sensorconstruction; references to SupportingFig.S5a</t>
  </si>
  <si>
    <t>The current knitted sensor has mean initial resistance3.29Ω and increases resistance by&gt;13-fold when extended to2.2times its original length. Garment sensors are pre-stretched40% to operate in the rising-response region.</t>
  </si>
  <si>
    <t>The numerical evaluated extension is explicitly tied to the current sensor.2.2L0 corresponds to120% engineering strain, not220%; this is sufficient to identify an evaluated interval. Approved by Azza on 30 September 2026. Accepted the score and recorded rationale, including the applicable approved rule and stated evidence limitations. Limitations: At the 30 September approval the supporting curve was unavailable. S5a has since been checked: the response is nonlinear across the full tested range. E1=2 remains unchanged; the 120% endpoint is not a claim of uniform usable performance.</t>
  </si>
  <si>
    <t>R1 | Figure 5-6 ratings 39!L33</t>
  </si>
  <si>
    <t>R2 | Figure 6!I36</t>
  </si>
  <si>
    <t>SCORES20261001 | Decisions!W62; evidence REC-01371_10.1002_adsr.202500067.pdf; approval Azza.</t>
  </si>
  <si>
    <t>Not reported as a conventional gauge factor in the reviewed article</t>
  </si>
  <si>
    <t>Supplement rendered p. 4; complete supplement pp. 1-8. Main PDF pp. 3, 7, 16. Supporting Figure S5a; main-paper prior-study citation and sensor construction</t>
  </si>
  <si>
    <t>Figure S5a plots normalized resistance versus strain without a numerical GF or equivalent strain-normalized sensitivity. All 12 supplementary figures were checked. The main-paper GF 8.47 refers to an earlier knee-brace study.</t>
  </si>
  <si>
    <t>No numerical current-study sensitivity is reported after checking the main paper and correct supplement. A slope estimated from S5a would be a new calculation, not reported GF. Azza confirmed E2 = 0 after checking Figures S5 and S9. Written confirmation supplied by Pooja, recorded 1 October 2026. Previous 30 September status: pending supporting file. Original independent ratings remain unchanged. Limitations: S5a labels 45% and 75% are microscopy states, not an explicitly reported GF interval. S6 concerns interconnects. S10-S12 voltage amplitudes are not strain-normalized sensitivity.</t>
  </si>
  <si>
    <t>2026-10-01 00:00:00</t>
  </si>
  <si>
    <t>R1 | Figure 5-6 ratings 39!M33</t>
  </si>
  <si>
    <t>R2 | Figure 6!K36</t>
  </si>
  <si>
    <t>SCORES20261001 | Decisions!W63; evidence adsr70075-sup-0001-suppmat.docx; approval Azza.</t>
  </si>
  <si>
    <t>Second-order regression converted four sensor signals to joint angles; unseen-task RMSEs were 12.78°, 3.27°, 15.38°, and 10.72° for the four joint-angle outputs; Not reported; Repeated full-range actions produced consistent signal sets; formal long-term drift was not reported</t>
  </si>
  <si>
    <t>Supplement rendered pp. 4 and 6, with complete pp. 1-8 checked. Main PDF pp. 7 and 16. Supporting Figures S5a and S9; main sensor-characterization text</t>
  </si>
  <si>
    <t>Figure S5a shows loading-unloading curves. Figure S9 shows consistency over five repetitions in three sets. Neither reports numerical hysteresis, linearity, drift or repeatability. Other supplementary figures provide no qualifying direct signal-quality metric.</t>
  </si>
  <si>
    <t>Qualitative direct signal-quality evidence supports score 1. No quantified direct descriptor with sufficient test context was identified to support score 2. Azza confirmed E3 = 1 after checking Figures S5 and S9. Written confirmation supplied by Pooja, recorded 1 October 2026. Previous 30 September status: pending supporting file. Original independent ratings remain unchanged. Limitations: Trial counts alone are not quantified repeatability. Downstream multivariate joint-angle prediction metrics do not establish direct sensor-transfer quality. Supplementary videos were not inspected.</t>
  </si>
  <si>
    <t>R1 | Figure 5-6 ratings 39!N33</t>
  </si>
  <si>
    <t>R2 | Figure 6!M36</t>
  </si>
  <si>
    <t>SCORES20261001 | Decisions!W64; evidence adsr70075-sup-0001-suppmat.docx; approval Azza.</t>
  </si>
  <si>
    <t>1; One healthy male subject was used for garment design and proof-of-concept motion testing; For an unseen pick-and-hold task, joint-angle RMSE ranged from 3.26° to 15.38°; ergonomics-output RMSE reached 0.787% MVC and 1.896% duty-cycle limit.</t>
  </si>
  <si>
    <t>PDF p. 6 (participant/placement), pp. 11–12 (Fig. 5/results), pp. 17–18 (protocol), pp. 20–21 (anthropometrics/n = 1).</t>
  </si>
  <si>
    <t>A single healthy male wore the custom garment (n = 1 explicitly reported). Four shoulder/elbow sensors were tested in defined range-of-motion and pick-and-hold tasks. Joint angles were compared with Vicon, with RMSE values of 3.27°–15.38°.</t>
  </si>
  <si>
    <t>R1 | Figure 5-6 ratings 39!Q33</t>
  </si>
  <si>
    <t>R2 | Figure 6!S36</t>
  </si>
  <si>
    <t>CONS | V1 consensus!F20</t>
  </si>
  <si>
    <t>REC-01389</t>
  </si>
  <si>
    <t>The original journal study uses a porous TPU fibrous mat as a strain sensor. Samples were worn on the forearms of three volunteers for five days, and the sensor was tested on-body for pulse, blinking, breathing, facial, knee, finger, wrist and elbow motions; it was also integrated into a data glove and insole. Quantitative results include R2 = 0.9999 to 359% strain and stability beyond 3000 cycles, satisfying C1-C6.</t>
  </si>
  <si>
    <t>On-body pulse / data-glove HMI demonstrations</t>
  </si>
  <si>
    <t>5; 6; 7; 14; 15; 16; 17; 18; 21; 22; 23; 25; 26 Methods 2.5-2.6; Figs. 2j, 5, 6; application results</t>
  </si>
  <si>
    <t>Original Fig. 5 shows human pulse, blinking, breathing and joint-motion traces; its finger panel labels 10, 30 and 60 degrees with repeated waveforms. Fig. 6 shows HMI gesture photographs/channel signals and gait-pattern traces, without a numerical recognition-accuracy/confusion-matrix or participant-level sensing-performance analysis. Three volunteers' five-day material-contact test concerns skin compatibility, not five-day sensing validation.</t>
  </si>
  <si>
    <t>Labelled joint-motion and gesture traces are illustrative. Skin-contact duration and bench measurements do not supply a quantitative human sensing-performance evaluation. Approved by Azza on 30 September 2026. Accepted the score and recorded rationale, including the applicable approved rule and stated evidence limitations. Limitations: Rule and score approved by Azza on 30 September 2026. The original reviewer ratings and original codebook remain unchanged.</t>
  </si>
  <si>
    <t>R1 | Figure 5-6 ratings 39!F34</t>
  </si>
  <si>
    <t>R2 | Figure 5!E37</t>
  </si>
  <si>
    <t>SCORES20261001 | Decisions!W16; evidence REC-01389_10.1007_s42114-026-01978-2.pdf; approval Azza.</t>
  </si>
  <si>
    <t>Not reported; Artificial-sweat immersion, water-vapour permeability and 35–70 °C resistance testing; resistance change below 2% at 35–40 °C</t>
  </si>
  <si>
    <t>p.15</t>
  </si>
  <si>
    <t>28–29 (saved browser PDF) Temperature-interference paragraph; references to SI Figures S15–S16</t>
  </si>
  <si>
    <t>The sensor's resistance is tested from 35–70 °C; within 35–40 °C, variation remains below 2%. The strain-sensing response is also discussed under illumination versus dark conditions.</t>
  </si>
  <si>
    <t>A numerical temperature exposure interval and quantified sensing-output change establish environmental-response reporting. Approved by Azza on 30 September 2026. Accepted the score and recorded rationale, including the applicable approved rule and stated evidence limitations. Limitations: This relies on actual resistance/sensing-output measurements, not merely the material's photothermal-heating capability.</t>
  </si>
  <si>
    <t>R1 | Figure 5-6 ratings 39!P34</t>
  </si>
  <si>
    <t>R2 | Figure 6!Q37</t>
  </si>
  <si>
    <t>SCORES20261001 | Decisions!W65; evidence REC-01389_10.1007_s42114-026-01978-2.pdf; approval Azza.</t>
  </si>
  <si>
    <t>3 for the five-day skin-compatibility test; participant count for motion demonstrations was not reported; One healthy 24-year-old man and two healthy 25-year-old male staff members completed the forearm skin-compatibility test; Linear response to 359% strain (R² 0.9999), mean GF 1.75 ± 0.095, 80/170 ms response/recovery, 13% hysteresis and stability over 3,000 cycles.</t>
  </si>
  <si>
    <t>PDF p. 7, §2.6 (skin test); pp. 21–23, Fig. 5 (sensing demonstrations).</t>
  </si>
  <si>
    <t>Three men are described for a five-day skin-compatibility test. Separate worn pulse and motion traces are reported, but the sensing sample is not clearly linked to that cohort and its repeated testing protocol is incomplete.</t>
  </si>
  <si>
    <t>The separate skin-compatibility cohort does not establish the sensing-validation sample. Sensing participant/protocol reporting remains incomplete; final V1 = 1.</t>
  </si>
  <si>
    <t>R1 | Figure 5-6 ratings 39!Q34</t>
  </si>
  <si>
    <t>R2 | Figure 6!S37</t>
  </si>
  <si>
    <t>CONS | V1 consensus!F21</t>
  </si>
  <si>
    <t>REC-01695</t>
  </si>
  <si>
    <t>4 Hardware/sensor construction subsection</t>
  </si>
  <si>
    <t>The hardware description says the conductive-fabric/Ecoflex sensor can stretch up to 50% without damage. The study evaluates stride tasks rather than giving a calibrated or tested strain operating interval.</t>
  </si>
  <si>
    <t>A strain capability value is present, but the working/calibrated interval and its tensile-test context are incomplete. Approved by Azza on 30 September 2026. Accepted the score and recorded rationale, including the applicable approved rule and stated evidence limitations. Limitations: 50% is not recast as the experimentally calibrated operating range.</t>
  </si>
  <si>
    <t>R1 | Figure 5-6 ratings 39!L35</t>
  </si>
  <si>
    <t>R2 | Figure 6!I38</t>
  </si>
  <si>
    <t>SCORES20261001 | Decisions!W66; evidence REC-01695_10.1109_tim.2023.3334347.pdf; approval Azza.</t>
  </si>
  <si>
    <t>REC-01736</t>
  </si>
  <si>
    <t>Six sensing elements of varied length and width were positioned around the thorax; Wheatstone bridge and AD8426 amplifier; MAX1237 ADC, PIC18F46J50 microcontroller, SPBT2632C2A Bluetooth module, and battery</t>
  </si>
  <si>
    <t>Thoracic sensor array with full acquisition electronics (amplifier, ADC, microcontroller); worn and validated against motion capture</t>
  </si>
  <si>
    <t>3; 7; 8; 9; 10; 11 Sections III.A, IV and V; Fig. 5</t>
  </si>
  <si>
    <t>The system includes three adjustable elastic bands with six sensing elements, an acquisition board and a battery. Elements and flexible multi-element wires are sewn to the bands; Velcro adjusts circumference and inter-band spacing. Section III describes bridge/amplifier, ADC, microcontroller and Bluetooth. Four participants actually wear the assembled system during respiratory assessment.</t>
  </si>
  <si>
    <t>The worn multi-band textile accessory integrates sensors, fit adjustment, interconnects, power and acquisition/communication. DR5 is directly supported even though the article calls its human assessment preliminary. Approved by Azza on 30 September 2026. Accepted the score and recorded rationale, including the applicable approved rule and stated evidence limitations. Limitations: The category is advanced wearable integration, not proof of routine clinical use.; The word preliminary in the validation section does not reduce a separately documented integration score.</t>
  </si>
  <si>
    <t>R1 | Figure 5-6 ratings 39!H36</t>
  </si>
  <si>
    <t>R2 | Figure 5!H39</t>
  </si>
  <si>
    <t>SCORES20261001 | Decisions!W17; evidence REC-01736_10.1109_jsen.2019.2917617.pdf; approval Azza.</t>
  </si>
  <si>
    <t>4–5 Quasi-static characterization; sensitivity equation and response plot</t>
  </si>
  <si>
    <t>Quasi-static characterization uses an Instron at 1.5 mm/min from resting length to 5% strain, repeated in five tests; sensitivity is evaluated over that range.</t>
  </si>
  <si>
    <t>The numerical 0–5% tested interval and its conditions are reported. Approved by Azza on 30 September 2026. Accepted the score and recorded rationale, including the applicable approved rule and stated evidence limitations. Limitations: This is the calibrated interval, not a claim about the sensor's absolute elongation limit.</t>
  </si>
  <si>
    <t>R1 | Figure 5-6 ratings 39!L36</t>
  </si>
  <si>
    <t>R2 | Figure 6!I39</t>
  </si>
  <si>
    <t>SCORES20261001 | Decisions!W67; evidence REC-01736_10.1109_jsen.2019.2917617.pdf; approval Azza.</t>
  </si>
  <si>
    <t>REC-01765</t>
  </si>
  <si>
    <t>The original journal study machine-knits a silver-plated-nylon strain sensor, conductive tracks and an elbow sleeve in one manufacturing process. A consenting healthy volunteer wore the sleeve for 50 flexion-extension cycles after 1, 5, 15, 25, 50 and 75 washes. The study reports resistance repeatability, wash-response fits and motion measures, satisfying C1-C6.</t>
  </si>
  <si>
    <t>Volunteer; elbow flexion over 5 washes; repeatable pattern</t>
  </si>
  <si>
    <t>4; 5; 6; 7; 8; 9; 11; 12; 13; 14; 15; 16 Washing and testing procedures; Figs. 3-12; Table 2</t>
  </si>
  <si>
    <t>A volunteer performs 50 elbow flexion-extension cycles after 1, 5, 15, 25, 50 and 75 standardized washing cycles. The knitted sleeve has integrated conductive tracks, a removable acquisition board and Bluetooth transmission. The study quantifies motion-cycle timing, resistance trends and repeatability (within-trial variation at maximum flexion at most 2% and extension at most 3%). Separate knitted specimens undergo 1500-cycle bench tests.</t>
  </si>
  <si>
    <t>VD5 approved under the amended rule: the documented repeated worn trials and numerical repeatability meet VD4. The integrated sleeve is tested across laundering stages, and its explicitly matching sensor specimen undergoes 1500-cycle endurance testing. Azza approved the rule and VD5 score on 30 September 2026. Approved by Azza on 30 September 2026. Accepted the score and recorded rationale, including the applicable approved rule and stated evidence limitations. Limitations: Single participant and no external angle-reference validation. Bench endurance uses the matching textile sensing specimen (PDF p.5); worn sessions contain 50 cycles. VD5 is a rubric category, not clinical efficacy or certification. Historical rubric wording remains in Rubric.</t>
  </si>
  <si>
    <t>R1 | Figure 5-6 ratings 39!F37</t>
  </si>
  <si>
    <t>R2 | Figure 5!E40</t>
  </si>
  <si>
    <t>SCORES20261001 | Decisions!W18; evidence REC-01765_10.1177_15280837211059210.pdf; approval Azza.</t>
  </si>
  <si>
    <t>No external gold-standard device explicitly captured in accessible text</t>
  </si>
  <si>
    <t>p.19</t>
  </si>
  <si>
    <t>1; 2; 3; 4; 5; 6; 7; 8; 9; 10; 11; 12; 13; 14; 15; 16; 17; 18; 19 Testingprocedure; actual Fig.10; Table2; Conclusion futurework</t>
  </si>
  <si>
    <t>The wearer performs50 flexion–extension cycles at comfortable range/speed. Table2 derives motion timing from the sensor signal itself. The entire study reports wash-induced electrical performance, not sensor-versus-joint-reference error. Conclusion explicitly reserves wireless twin-axis goniometer comparison for future work.</t>
  </si>
  <si>
    <t>Sensor-derived motion parameters and nominal movement labels are not an external/criterion validation. A named comparator planned for future research does not earn partial1 in the current study. Approved by Azza on 30 September 2026. Accepted the score and recorded rationale, including the applicable approved rule and stated evidence limitations. Limitations: The benchtop tensile apparatus is used to characterize electrical response, not to validate the claimed wearable joint-motion quantities.</t>
  </si>
  <si>
    <t>R1 | Figure 5-6 ratings 39!R37</t>
  </si>
  <si>
    <t>R2 | Figure 6!U40</t>
  </si>
  <si>
    <t>SCORES20261001 | Decisions!W68; evidence REC-01765_10.1177_15280837211059210.pdf; approval Azza.</t>
  </si>
  <si>
    <t>REC-01854</t>
  </si>
  <si>
    <t>4 (saved browser PDF) Commercial sensor specifications; Methods</t>
  </si>
  <si>
    <t>The commercial fabric sensor is stated to elongate to 150% of its original length; the study does not establish its own calibrated strain interval.</t>
  </si>
  <si>
    <t>An elongation capability is mentioned, but the evaluated strain interval is not reported. Approved by Azza on 30 September 2026. Accepted the score and recorded rationale, including the applicable approved rule and stated evidence limitations. Limitations: 150% of original length corresponds to 50% engineering strain, not 150% strain. The manufacturer capability is not substituted for a tested operating interval.</t>
  </si>
  <si>
    <t>R1 | Figure 5-6 ratings 39!L38</t>
  </si>
  <si>
    <t>R2 | Figure 6!I41</t>
  </si>
  <si>
    <t>SCORES20261001 | Decisions!W69; evidence REC-01854_10.1016_j.ergon.2018.11.007.pdf; approval Azza.</t>
  </si>
  <si>
    <t>4 (saved browser PDF) Commercial sensor specifications</t>
  </si>
  <si>
    <t>The methods cite the manufacturer's sensitivity of 3.82 pF/mm, but provide no associated calibrated strain interval or study-specific GF.</t>
  </si>
  <si>
    <t>Numerical sensitivity without its corresponding strain interval meets E2=1. Approved by Azza on 30 September 2026. Accepted the score and recorded rationale, including the applicable approved rule and stated evidence limitations. Limitations: This is a manufacturer-reported displacement sensitivity, not a newly measured strain-normalized GF.</t>
  </si>
  <si>
    <t>R1 | Figure 5-6 ratings 39!M38</t>
  </si>
  <si>
    <t>R2 | Figure 6!K41</t>
  </si>
  <si>
    <t>SCORES20261001 | Decisions!W70; evidence REC-01854_10.1016_j.ergon.2018.11.007.pdf; approval Azza.</t>
  </si>
  <si>
    <t>Mean R² 0.93 ± 0.06 for flexion and 0.96 ± 0.03 for lateral bending; Not reported; Between-participant sensor response varied with anthropometry; repeat-session drift was not reported</t>
  </si>
  <si>
    <t>6–7 (saved browser PDF) Section 2.4.2; Figure 6; Table 3</t>
  </si>
  <si>
    <t>The study fits sensor output to scanner-measured lumbar angles and reports R² 0.83–0.99 for flexion and 0.90–0.99 for lateral bending, with a described regression protocol. These are application-level sensor-output/angle relationships, not bench strain-transfer linearity.</t>
  </si>
  <si>
    <t>Figure 6 directly fits sensor capacitance to scanner-measured lumbar angle. Section 2.4.2 and Table 3 give the protocol and quantified linearity; this is not a downstream multivariate prediction result. Approved by Azza on 30 September 2026. Accepted the score and recorded rationale, including the applicable approved rule and stated evidence limitations. Limitations: Rule and score approved by Azza on 30 September 2026. The original reviewer ratings and original codebook remain unchanged.</t>
  </si>
  <si>
    <t>R1 | Figure 5-6 ratings 39!N38</t>
  </si>
  <si>
    <t>R2 | Figure 6!M41</t>
  </si>
  <si>
    <t>SCORES20261001 | Decisions!W71; evidence REC-01854_10.1016_j.ergon.2018.11.007.pdf; approval Azza.</t>
  </si>
  <si>
    <t>REC-01859</t>
  </si>
  <si>
    <t>F2</t>
  </si>
  <si>
    <t>Material / substrate</t>
  </si>
  <si>
    <t>Commercial electro-capacitive C-STRETCH sensors (Bando Chemical Industries); electrode composition was not reported; Elastic knee brace</t>
  </si>
  <si>
    <t>3; 5 MethodsIII.A; ExperimentIV.A</t>
  </si>
  <si>
    <t>The device section identifies a Mueller OpenPatella KneeStabilizer and Bando C-STRETCH capacitive stretch sensors, with electronics brands/models. It does not identify conductive electrode composition or the sensor/textile substrate composition.</t>
  </si>
  <si>
    <t>Named commercial sensor and garment provide partial identification, but not both conductive and substrate materials required byF2=2. Approved by Azza on 30 September 2026. Accepted the score and recorded rationale, including the applicable approved rule and stated evidence limitations. Limitations: No material composition was inferred from current manufacturer web pages or other publications.</t>
  </si>
  <si>
    <t>R1 | Figure 5-6 ratings 39!K39</t>
  </si>
  <si>
    <t>R2 | Figure 6!G42</t>
  </si>
  <si>
    <t>SCORES20261001 | Decisions!W72; evidence REC-01859_10.1109_lra.2020.3010486.pdf; approval Azza.</t>
  </si>
  <si>
    <t>Brace shift positions from 0 to 20 mm in 5-mm increments; sensor strain range was not reported</t>
  </si>
  <si>
    <t>1; 2; 3; 4; 5; 6; 7; 8; 9 MethodsIII; ExperimentIV; actual TableI/Figs3–4; DiscussionVI</t>
  </si>
  <si>
    <t>The complete main article varies brace shifts from0 to20mm, records squats and normalizes capacitance, but gives no evaluated/calibrated sensor-strain interval. TableI's millimetres are brace-placement offsets and its degrees are joint-angle errors, not sensor extension.</t>
  </si>
  <si>
    <t>The body-motion/placement ranges cannot substitute for a working sensor-strain range.0 is supported. Approved by Azza on 30 September 2026. Accepted the score and recorded rationale, including the applicable approved rule and stated evidence limitations. Limitations: Do not report0–20mm brace shift as sensor stretch or derive strain from body angles.</t>
  </si>
  <si>
    <t>R1 | Figure 5-6 ratings 39!L39</t>
  </si>
  <si>
    <t>R2 | Figure 6!I42</t>
  </si>
  <si>
    <t>SCORES20261001 | Decisions!W73; evidence REC-01859_10.1109_lra.2020.3010486.pdf; approval Azza.</t>
  </si>
  <si>
    <t>Signals filtered/resampled to 100 Hz; no conventional sensor response-time value reported; Not reported; Not reported</t>
  </si>
  <si>
    <t>6; 7; 9 ExperimentIV.C andIV.E; DiscussionVI</t>
  </si>
  <si>
    <t>ExperimentIV.E explicitly states that stretch and relaxation have different capacitance-to-voltage conversion delays and separates those motion phases for modelling. The20ms moving average and100Hz resampling are processing settings, not measured sensor response times.</t>
  </si>
  <si>
    <t>A dynamic-response limitation is described but its response/recovery delay is not quantified under a specified response test, supporting1. Repeated squats are not a reported device endurance experiment. Approved by Azza on 30 September 2026. Accepted the score and recorded rationale, including the applicable approved rule and stated evidence limitations. Limitations: Do not convert sample rate/filter window into response time; the authors propose amplifier-speed improvement as future work.</t>
  </si>
  <si>
    <t>R1 | Figure 5-6 ratings 39!O39</t>
  </si>
  <si>
    <t>R2 | Figure 6!O42</t>
  </si>
  <si>
    <t>SCORES20261001 | Decisions!W74; evidence REC-01859_10.1109_lra.2020.3010486.pdf; approval Azza.</t>
  </si>
  <si>
    <t>REC-02145</t>
  </si>
  <si>
    <t>The original journal study uses body-worn textile stretch sensors to record torso expansion during breathing and speech in young healthy adults. The strain-derived respiratory signals are analysed with machine learning and talking is detected with a reported mean intra-subject accuracy of 85%, satisfying C1-C6.</t>
  </si>
  <si>
    <t>15 participants; talking detection accuracy 85-96%</t>
  </si>
  <si>
    <t>3; 4; 5; 6; 7; 8; 9; 10 Sections 2.2-2.8, 3.1-3.2 and Discussion; Tables 1-3; Fig. 7</t>
  </si>
  <si>
    <t>Fifteen participants perform randomized sitting, standing and treadmill-walking blocks, with five trials of 2 min quiet breathing and 2 min reading aloud per activity. The study reports defined machine-learning selection/evaluation procedures and participant-level accuracy, TPR and FPR. Average accuracy is 85.0%, and talking-segment accuracy 96.3%. Bands are wired to NI-USB-6009 acquisition.</t>
  </si>
  <si>
    <t>A documented multi-participant protocol with repeated trials and quantitative performance analysis supports VD4. Main-text future work explicitly calls for an integrated circuit board/battery and daily-life validation; multiple users alone do not meet all VD5 conditions. Approved by Azza on 30 September 2026. Accepted the score and recorded rationale, including the applicable approved rule and stated evidence limitations. Limitations: Model evaluation is intra-subject, not demonstrated inter-user transfer.; Wire length necessitated treadmill walking; wearable autonomous operation was not established.; Filtering drift is a processing step, not an independent durability/environmental robustness experiment.</t>
  </si>
  <si>
    <t>R1 | Figure 5-6 ratings 39!F40</t>
  </si>
  <si>
    <t>R2 | Figure 5!E43</t>
  </si>
  <si>
    <t>SCORES20261001 | Decisions!W19; evidence REC-02145_10.3390_s18082474.pdf; approval Azza.</t>
  </si>
  <si>
    <t>Not reported; Not reported; A 0.1–1.5 Hz band-pass filter was used to reduce drift/noise; no formal sensor drift test was reported</t>
  </si>
  <si>
    <t>5, 9 Signal preprocessing; Discussion of motion/noise limitations</t>
  </si>
  <si>
    <t>The methods specify a fourth-order 0.1–1.5 Hz Butterworth filter to address drift/noise; the discussion describes interference from movement and signal variability, without a numerical drift, hysteresis, linearity or repeatability descriptor.</t>
  </si>
  <si>
    <t>Signal-quality limitations and handling are discussed qualitatively, supporting 1. The reported classifier accuracy/AUC is V2 performance, not an E3 signal-quality measurement. Approved by Azza on 30 September 2026. Accepted the score and recorded rationale, including the applicable approved rule and stated evidence limitations. Limitations: Complete main article reviewed. No numerical signal-quality metric is manufactured from classification performance.</t>
  </si>
  <si>
    <t>R1 | Figure 5-6 ratings 39!N40</t>
  </si>
  <si>
    <t>R2 | Figure 6!M43</t>
  </si>
  <si>
    <t>SCORES20261001 | Decisions!W75; evidence REC-02145_10.3390_s18082474.pdf; approval Azza.</t>
  </si>
  <si>
    <t>Eligibility</t>
  </si>
  <si>
    <t>Include / exclude</t>
  </si>
  <si>
    <t>Exclude</t>
  </si>
  <si>
    <t>Include</t>
  </si>
  <si>
    <t>Compression garment with textile strain sensors; knee/elbow/wrist joint angles (0/30/45/60/75 deg) with participants/angle protocol; durability tested.</t>
  </si>
  <si>
    <t>R1 | Eligibility 42!X19</t>
  </si>
  <si>
    <t>R2 | Eligibility!O19</t>
  </si>
  <si>
    <t>SIGNED | Eligibility consensus!E3:M3</t>
  </si>
  <si>
    <t>C1-C6 were identified in the full text. Textile evidence: The elbow can be seen as a ball and socket joint, allowing the arm to flex and extend, as well as rotate forward or backward.[51] Figure 7 and S2, Supporting Information, show the signal generated by the three graphene-based sensors and IMU integrated into the sensing elbow sleeve under different el Human evidence: As shown in Figure 3, the sensor exhibited varying positive and negative electrical resistance changes under bending and twisting in various directions, showing its potential for measuring human postures and detecting joint angular deformations. Quantitative evidence: For intra-subject analysis, the sensing sleeve only exhibits a 2.34° angle error in five different knee activities among 20 participants, and the sensing sleeves show up to 94.1% and 96.1% accuracy in the gesture classification of knee and elbow, respectively.</t>
  </si>
  <si>
    <t>20 participants; angle error 2.34-4.21 deg; gesture accuracy 79.9-85.5%</t>
  </si>
  <si>
    <t>6-7; 8-14; 21-25 Fig. 3b,d; Sections 2.2-2.4; knit design and system integration; joint-angle protocol</t>
  </si>
  <si>
    <t>Twenty participants complete knee-angle assessment against OptiTrack and ten complete elbow-gesture tests. Sensors, conductive yarns, a microcontroller/IMU, PCB and protective casing are integrated into knitted sleeves. The main paper reports 10,000-s cycling at 30% strain, laundering through ten cycles, and one-week UV exposure with sensing outcomes. The sleeve sensor size is kept consistent with characterized specimens. Figure 3d is explicitly reproduced from prior work [44].</t>
  </si>
  <si>
    <t>The refined VD5 rule permits multi-user quantitative evaluation and explicitly representative sensor specimens. This supports VD5 under the approved rule. The historical VD4 remains preserved. Azza accepted the stated representative-specimen scope and reused-evidence provenance. The historical agreement remains preserved. Approved by Azza on 30 September 2026. Accepted the score and recorded rationale, including the applicable approved rule and stated evidence limitations. Earlier recorded final score 4; superseded by this approval. Limitations: Accepted revision following the all-study check. Historical R1=4, R2=4 and agreed score=4 remain in Figure 5 data. The robustness specimen evidence is not whole-garment washing, and Figure 3d is reused evidence rather than a new independent experiment.</t>
  </si>
  <si>
    <t>R1 | Figure 5-6 ratings 39!F14</t>
  </si>
  <si>
    <t>R2 | Figure 5!E14</t>
  </si>
  <si>
    <t>SCORES20261001 | Decisions!W76; evidence REC-00633_10.1002_aisy.202400124.pdf; approval Azza.</t>
  </si>
  <si>
    <t>The knot-based strain sensor was integrated into a garment and evaluated on a participant for human-movement classification, with class recall above 70%.</t>
  </si>
  <si>
    <t>Single participant (ISS); ML human-movement classification</t>
  </si>
  <si>
    <t>6-10; 14 Section IV Study #2 Methods; Section V.B; Tables IV-V; Section VI.C</t>
  </si>
  <si>
    <t>One participant on the ISS follows a documented exercise protocol over three sessions on flight days 6-8. Sessions include three torso positions and five unilateral leg movements, with 45-90 repetitions per leg movement. The paper specifies time segmentation, train/test construction and multinomial models and reports recall and AUC.</t>
  </si>
  <si>
    <t>The existing VD4 definition permits a documented quantitative human protocol with repeated trials or statistical analysis and adds no minimum cohort size. A single participant limits generalizability but does not by itself require VD3. Azza approved VD4 on 30 September 2026; the historical VD3 agreement remains preserved. Approved by Azza on 30 September 2026. Accepted the score and recorded rationale, including the applicable approved rule and stated evidence limitations. Earlier recorded final score 3; superseded by this approval. Limitations: One participant; randomized train/test segments do not establish independent inter-user or held-out-session generalization. No two distinct deployment challenge domains are established, so VD5 is not proposed. Historical independent scores and agreement remain preserved.</t>
  </si>
  <si>
    <t>R1 | Figure 5-6 ratings 39!F26</t>
  </si>
  <si>
    <t>R2 | Figure 5!E29</t>
  </si>
  <si>
    <t>SCORES20261001 | Decisions!W77; evidence REC-00357_10.1109_jsen.2025.3622919.pdf; approval Azza.</t>
  </si>
  <si>
    <t>Methodological reporting</t>
  </si>
  <si>
    <t>Q16</t>
  </si>
  <si>
    <t>Data and code availability</t>
  </si>
  <si>
    <t>Main article and supplement</t>
  </si>
  <si>
    <t>Supplement provides methods and derived results, not a stated underlying-data/code access route.</t>
  </si>
  <si>
    <t>Main article pp. 20–21 and complete Supporting Information, pp. 1–6.</t>
  </si>
  <si>
    <t>No underlying-data/code availability statement or usable access route was located in the checked main text and complete supplied supplement. Supplementary methods and derived results alone do not establish availability reporting. Azza explicitly confirmed Q16 = 0 in her reply supplied by Pooja on 14 October 2026. Zero describes reporting, not whether data exist.</t>
  </si>
  <si>
    <t>Explicit Azza confirmation; original R2 score retained in source matrix.</t>
  </si>
  <si>
    <t>2026-10-14</t>
  </si>
  <si>
    <t>Original R2 Q16 = 1</t>
  </si>
  <si>
    <t>Azza_Q16_Confirmation_20261014.txt</t>
  </si>
  <si>
    <t>Main article supplement notices/end matter and complete supplement, pp. 1–5.</t>
  </si>
  <si>
    <t>REC-00001</t>
  </si>
  <si>
    <t>Main PDF pp5-8, Figure4 and Smart Textiles/Testing sections</t>
  </si>
  <si>
    <t>VD2: illustrative worn finger, limb and respiration traces; no evaluated human performance. Main pp5-8 Fig4. Rubric p21 approved VD2/3 clarification; quantitative trace axes do not establish VD3.</t>
  </si>
  <si>
    <t>2026-10-14 approval</t>
  </si>
  <si>
    <t>Original independent ratings retained; approval is adjudication, not replacement independent scoring.</t>
  </si>
  <si>
    <t>01_Azza_Added_Studies_20261014.xlsx | Two added studies row 4</t>
  </si>
  <si>
    <t>Azza approval confirmed by Pooja, 20261014</t>
  </si>
  <si>
    <t>Main PDF p5 Figure4; pp6-8 smart-textile Results and Testing methods</t>
  </si>
  <si>
    <t>DR4: sensors deliberately sewn/adhered into a glove, bandage and kinesiology tape, with defined positions and interconnects. Main pp5-8 Fig4; SI p21 FigS15. No implemented advanced wireless system for DR5.</t>
  </si>
  <si>
    <t>01_Azza_Added_Studies_20261014.xlsx | Two added studies row 5</t>
  </si>
  <si>
    <t>F1</t>
  </si>
  <si>
    <t>Architecture / integration</t>
  </si>
  <si>
    <t>Main PDF pp2-4 and7-8; Figure1 and Figure4</t>
  </si>
  <si>
    <t>F1=2: dual-lumen dimensions, construction/filling/sealing and textile placement are specified. Main pp2-4,7-8 Figs1,4; SI p5 FigS1. Meets construction/integration detail threshold.</t>
  </si>
  <si>
    <t>01_Azza_Added_Studies_20261014.xlsx | Two added studies row 6</t>
  </si>
  <si>
    <t>Main PDF pp3-4 and7-8</t>
  </si>
  <si>
    <t>F2=2: eGaIn, Ecoflex00-30, fabrication ratios and commercial glove/bandage/tape substrate routes are identified. Main pp3-4,7-8.</t>
  </si>
  <si>
    <t>01_Azza_Added_Studies_20261014.xlsx | Two added studies row 7</t>
  </si>
  <si>
    <t>Main PDF pp4-6, Figure3</t>
  </si>
  <si>
    <t>E1=2: numerical tested intervals are supplied, including geometry-dependent maximum500%, 180% rate tests and200% cyclic tests. Main pp4-6 Fig3. Do not combine intervals across variants.</t>
  </si>
  <si>
    <t>01_Azza_Added_Studies_20261014.xlsx | Two added studies row 8</t>
  </si>
  <si>
    <t>Main PDF p4; Supporting PDF pp2-3 equations andp6 FigureS2a</t>
  </si>
  <si>
    <t>E2=2: GF0.19 belongs to the material-comparison variant (main p4; SI pp2-3 equations and p6 FigS2a, Ecoflex curve to350%). Maximum0.32 and maximum500% refer to geometry comparisons, not this pair.</t>
  </si>
  <si>
    <t>01_Azza_Added_Studies_20261014.xlsx | Two added studies row 9</t>
  </si>
  <si>
    <t>Main PDF pp5-6, Figure3a-c</t>
  </si>
  <si>
    <t>E3=2: quantified direct capacitance-strain linearity R-squared0.999 with tensile context. Main pp5-6 Fig3a-c; SI p11 FigS7. Satisfies approved direct transfer-characteristic scope (rubric p21).</t>
  </si>
  <si>
    <t>01_Azza_Added_Studies_20261014.xlsx | Two added studies row 10</t>
  </si>
  <si>
    <t>Main PDF p6, Figure3d; Characterization pp7-8</t>
  </si>
  <si>
    <t>E4=2: 1000cycles at200% strain and about75ms ramp-response lag at specified rates. Main p6 Fig3b-d; SI p10 FigS6; methods pp7-8.</t>
  </si>
  <si>
    <t>01_Azza_Added_Studies_20261014.xlsx | Two added studies row 11</t>
  </si>
  <si>
    <t>Main PDF p6 environmental Results and p8 methods</t>
  </si>
  <si>
    <t>R1=2: humidity48-75% at23C and temperature-20 to100C, with equilibration and capacitance outcomes. Main pp6,8; SI p19 FigS13. Environmental testing, not laundering.</t>
  </si>
  <si>
    <t>01_Azza_Added_Studies_20261014.xlsx | Two added studies row 12</t>
  </si>
  <si>
    <t>Main PDF pp5-8, Figure4; Testing on the Smart Textiles</t>
  </si>
  <si>
    <t>V1=1: placement/tasks and worn numerical traces are reported, but total participant cohort and demographics are not. Main pp5-8 Fig4 and Testing on the Smart Textiles.</t>
  </si>
  <si>
    <t>01_Azza_Added_Studies_20261014.xlsx | Two added studies row 13</t>
  </si>
  <si>
    <t>Main PDF pp5-8, Figure4 and human-testing methods</t>
  </si>
  <si>
    <t>V2=0 for the worn human outputs: no independent human comparator or evaluated agreement/error. Main pp5-8 Fig4. Bench instruments characterize the sensor; they are not a human-validation reference.</t>
  </si>
  <si>
    <t>01_Azza_Added_Studies_20261014.xlsx | Two added studies row 14</t>
  </si>
  <si>
    <t>REC-00009</t>
  </si>
  <si>
    <t>Main PDF pp6-7, Figure5 and human-application paragraphs</t>
  </si>
  <si>
    <t>VD2: wrist/pulse traces and labelled manual Morse input are illustrative; no evaluated task accuracy. Main pp6-7 Fig5. Rubric p21 specifically keeps labelled-word traces at VD2 without evaluated performance.</t>
  </si>
  <si>
    <t>01_Azza_Added_Studies_20261014.xlsx | Two added studies row 15</t>
  </si>
  <si>
    <t>Main PDF pp2-3 fabrication; pp6-7 Figure5</t>
  </si>
  <si>
    <t>DR3: tape-mounted textile sensing strip worn on wrist/finger, wired to laboratory readout; no deliberately complete garment/accessory assembly. Main pp2-3,6-7 Fig5; rubric p3.</t>
  </si>
  <si>
    <t>01_Azza_Added_Studies_20261014.xlsx | Two added studies row 16</t>
  </si>
  <si>
    <t>Main PDF pp2-3, section2.2 and fabric morphology; Figure2</t>
  </si>
  <si>
    <t>F1=2: knitted fabric,5x1cm strip, two dip/dry passes,30mm electrodes and PDMS encapsulation are described. Main pp2-3 section2.2 and Fig2.</t>
  </si>
  <si>
    <t>01_Azza_Added_Studies_20261014.xlsx | Two added studies row 17</t>
  </si>
  <si>
    <t>Main PDF p2 sections2.1-2.2</t>
  </si>
  <si>
    <t>F2=2: Ti3C2Tx,97%polyester/3%spandex,0.33mm fabric, silver paste/copper contacts and10:1PDMS are specified. Main p2 sections2.1-2.2.</t>
  </si>
  <si>
    <t>01_Azza_Added_Studies_20261014.xlsx | Two added studies row 18</t>
  </si>
  <si>
    <t>Main PDF pp5-7, Figure4</t>
  </si>
  <si>
    <t>E1=2: distinct course0-8% and wale0-6% tested intervals. Main pp4-5 and Fig4 p7. Direction-specific response must remain separate.</t>
  </si>
  <si>
    <t>01_Azza_Added_Studies_20261014.xlsx | Two added studies row 19</t>
  </si>
  <si>
    <t>Main PDF pp5-7, Figure4a,d and section2.4</t>
  </si>
  <si>
    <t>E2=2: course GF9.7(0-1%),26.6(1-3%),6.6(3-8%); wale22(0-1%),61.2(1-6%). Main pp4-5 and Fig4a,d p7. Conclusion p8 conflicts; retain results/figure values.</t>
  </si>
  <si>
    <t>01_Azza_Added_Studies_20261014.xlsx | Two added studies row 20</t>
  </si>
  <si>
    <t>E3=1: qualitative linearity/frequency consistency and baseline change in cycle plots; no quantified fit-quality/hysteresis/drift statistic. Main pp4-7 Fig4. GF slopes alone are sensitivity, not fit-quality measures.</t>
  </si>
  <si>
    <t>01_Azza_Added_Studies_20261014.xlsx | Two added studies row 21</t>
  </si>
  <si>
    <t>Main PDF p3 section2.4; p7 Figure4c,f</t>
  </si>
  <si>
    <t>E4=2: 500cycles at5% strain,0.75mm/s,0.1V;0.1-0.3Hz tests. Main p3 section2.4 and Fig4c,f p7. No numerical response/recovery time inferred.</t>
  </si>
  <si>
    <t>01_Azza_Added_Studies_20261014.xlsx | Two added studies row 22</t>
  </si>
  <si>
    <t>Main PDF pp1-3 and8, PDMS-protection statements</t>
  </si>
  <si>
    <t>R1=1: PDMS environmental/oxidation protection claims, but no controlled sensing-exposure outcome. Main pp1-3,8. Rubric p7 explicitly permits incomplete robustness claims at1; this is not empirical durability proof.</t>
  </si>
  <si>
    <t>01_Azza_Added_Studies_20261014.xlsx | Two added studies row 23</t>
  </si>
  <si>
    <t>Main PDF pp6-7, Figure5; declarations p9</t>
  </si>
  <si>
    <t>V1=1: worn wrist/finger placement and traces, with incomplete cohort/protocol details. Main pp6-7 Fig5; declarations p9. No total participant n inferred from photographs.</t>
  </si>
  <si>
    <t>01_Azza_Added_Studies_20261014.xlsx | Two added studies row 24</t>
  </si>
  <si>
    <t>Main PDF pp6-7 human demonstrations</t>
  </si>
  <si>
    <t>V2=0 for worn human outputs:85beats/min comes from the same sensor trace; no external pulse reference or evaluated Morse performance. Main pp6-7 Fig5. Loudspeaker comparison is a separate bench experiment.</t>
  </si>
  <si>
    <t>01_Azza_Added_Studies_20261014.xlsx | Two added studies row 25</t>
  </si>
  <si>
    <t>Q1</t>
  </si>
  <si>
    <t>Fabricated samples</t>
  </si>
  <si>
    <t>Main PDF p8, Characterization</t>
  </si>
  <si>
    <t>Q1=2, limited to identified experiments: main p8 states three humidity sensors plus another three identical temperature sensors. Independent specimen units are distinguishable there; no all-experiment total inferred.</t>
  </si>
  <si>
    <t>01_Azza_Added_Studies_20261014.xlsx | Two added studies row 26</t>
  </si>
  <si>
    <t>Q2</t>
  </si>
  <si>
    <t>Manufacturing batches</t>
  </si>
  <si>
    <t>Main PDF pp7-8 fabrication and characterization</t>
  </si>
  <si>
    <t>Q2=0: no independent manufacturing-batch/production-run count found in main pp7-8 or supplied SI. Multiple specimens/designs do not establish independent batches.</t>
  </si>
  <si>
    <t>01_Azza_Added_Studies_20261014.xlsx | Two added studies row 27</t>
  </si>
  <si>
    <t>Q3</t>
  </si>
  <si>
    <t>Devices tested</t>
  </si>
  <si>
    <t>Main PDF pp5-8, Figure4</t>
  </si>
  <si>
    <t>Q3=1: glove, bandage and tape arrangements are described, but total complete-device count and reuse are unclear. Main pp5-8 Fig4; SI FigS15.</t>
  </si>
  <si>
    <t>01_Azza_Added_Studies_20261014.xlsx | Two added studies row 28</t>
  </si>
  <si>
    <t>Q4</t>
  </si>
  <si>
    <t>Participants</t>
  </si>
  <si>
    <t>Main PDF p8 human-testing methods; full main text</t>
  </si>
  <si>
    <t>Q4=0: main p8 reports consent and subject tasks, not total n, population or demographics. Singular task wording does not identify the complete participant cohort.</t>
  </si>
  <si>
    <t>01_Azza_Added_Studies_20261014.xlsx | Two added studies row 29</t>
  </si>
  <si>
    <t>Q5</t>
  </si>
  <si>
    <t>Repeated sessions</t>
  </si>
  <si>
    <t>Main PDF pp6-8 human-testing methods</t>
  </si>
  <si>
    <t>Q5=0: repeated movements are shown; independent sessions/days/re-donning per participant are not identified. Main pp6-8; supplied SI.</t>
  </si>
  <si>
    <t>01_Azza_Added_Studies_20261014.xlsx | Two added studies row 30</t>
  </si>
  <si>
    <t>Q6</t>
  </si>
  <si>
    <t>Calibration procedure</t>
  </si>
  <si>
    <t>Main PDF pp5-8, Figure3 and Characterization</t>
  </si>
  <si>
    <t>Q6=1: known Instron strain and simultaneous capacitance characterization are explicit (main pp5-8). SI pp2-3 derives sensitivity, but does not document an applied device-calibration/parameter-identification procedure beyond characterization. No human-model requirement added.</t>
  </si>
  <si>
    <t>01_Azza_Added_Studies_20261014.xlsx | Two added studies row 31</t>
  </si>
  <si>
    <t>Q7</t>
  </si>
  <si>
    <t>External reference or comparator</t>
  </si>
  <si>
    <t>Main PDF pp6-8, human tasks and Figure4</t>
  </si>
  <si>
    <t>Q7=0 for intended worn outputs: no independent human motion/respiration reference or criterion-validation protocol. Main pp6-8 Fig4. Bench engineering controls remain separate.</t>
  </si>
  <si>
    <t>01_Azza_Added_Studies_20261014.xlsx | Two added studies row 32</t>
  </si>
  <si>
    <t>Q8</t>
  </si>
  <si>
    <t>Statistical uncertainty</t>
  </si>
  <si>
    <t>Main PDF pp6 and8; Supporting PDF p19 FigureS13</t>
  </si>
  <si>
    <t>Q8=1: SI p19 FigS13 identifies three samples and shaded error bars; the dispersion statistic is undefined. Main pp6,8. Do not label these bars SD/SE/CI.</t>
  </si>
  <si>
    <t>01_Azza_Added_Studies_20261014.xlsx | Two added studies row 33</t>
  </si>
  <si>
    <t>Q9</t>
  </si>
  <si>
    <t>Testing conditions</t>
  </si>
  <si>
    <t>Main PDF pp6-8, Characterization and Testing</t>
  </si>
  <si>
    <t>Q9=2: strain/rate, instruments, humidity/temperature ranges and equilibration, and worn positioning/tasks are sufficiently specified. Main pp6-8, Characterization and Testing.</t>
  </si>
  <si>
    <t>01_Azza_Added_Studies_20261014.xlsx | Two added studies row 34</t>
  </si>
  <si>
    <t>Q10</t>
  </si>
  <si>
    <t>Device reproducibility</t>
  </si>
  <si>
    <t>Q10=1 under the unified scope approved by Pooja: main p8 and SI p19 FigS13 link three equivalent sensors per exposure to shaded electrical-stability error bars. Statistic unclear, so not2. Pooja approved the unified scope on 14 October 2026; the same scope applies to Liu.</t>
  </si>
  <si>
    <t>01_Azza_Added_Studies_20261014.xlsx | Two added studies row 35</t>
  </si>
  <si>
    <t>Q11</t>
  </si>
  <si>
    <t>Environmental standard</t>
  </si>
  <si>
    <t>Main PDF p8, humidity and temperature methods</t>
  </si>
  <si>
    <t>Q11=2: hourly humidity alternation, named instruments, temperature range and1h equilibration form an interpretable environmental protocol. Main p8. A named standard is not mandatory when protocol is fully described.</t>
  </si>
  <si>
    <t>01_Azza_Added_Studies_20261014.xlsx | Two added studies row 36</t>
  </si>
  <si>
    <t>Q12</t>
  </si>
  <si>
    <t>Stability or failure criteria</t>
  </si>
  <si>
    <t>Main PDF pp2-3 cutting Results; pp6-8 tests</t>
  </si>
  <si>
    <t>Q12=0: cutting/cycling/environmental outcomes do not specify a functional acceptance threshold or failure decision rule. Main pp2-3,6-8 and SI. Follows approved Q12 functional-service scope (rubric p12).</t>
  </si>
  <si>
    <t>01_Azza_Added_Studies_20261014.xlsx | Two added studies row 37</t>
  </si>
  <si>
    <t>Q13</t>
  </si>
  <si>
    <t>Inter-user transferability</t>
  </si>
  <si>
    <t>Main PDF pp5-8, human results</t>
  </si>
  <si>
    <t>Q13=0: no unseen-user or cross-user calibration transfer evaluation. Main pp5-8 and supplied SI. Repeated demonstrations are not transferability evidence.</t>
  </si>
  <si>
    <t>01_Azza_Added_Studies_20261014.xlsx | Two added studies row 38</t>
  </si>
  <si>
    <t>Q14</t>
  </si>
  <si>
    <t>Fit, placement and pretension</t>
  </si>
  <si>
    <t>Main PDF p8, Testing on the Smart Textiles</t>
  </si>
  <si>
    <t>Q14=2: phalange placement/orientation, bandage wrapping without stretch for respiration and knee/tape alignment are explicit. Main p8 Testing on the Smart Textiles; SI FigS15.</t>
  </si>
  <si>
    <t>01_Azza_Added_Studies_20261014.xlsx | Two added studies row 39</t>
  </si>
  <si>
    <t>Q15</t>
  </si>
  <si>
    <t>Electronics, interconnects and power</t>
  </si>
  <si>
    <t>Main PDF pp2 and8</t>
  </si>
  <si>
    <t>Q15=1: hook-up contacts, sealing and tethered PXIe-4082 acquisition are described; sampling/power/implemented portable readout are incomplete. Main pp2,7-8; SI FigS15.</t>
  </si>
  <si>
    <t>01_Azza_Added_Studies_20261014.xlsx | Two added studies row 40</t>
  </si>
  <si>
    <t>Main PDF p8, Associated Content and declarations</t>
  </si>
  <si>
    <t>Q16=0: main p8 Associated Content and supplied SI offer plots/theory/demonstration media, not an underlying-data/code access statement. Approved R4 excludes supplementary outputs alone; no access absence beyond assessed sources asserted.</t>
  </si>
  <si>
    <t>01_Azza_Added_Studies_20261014.xlsx | Two added studies row 41</t>
  </si>
  <si>
    <t>Main PDF pp2-3 Methods and5-8 Results</t>
  </si>
  <si>
    <t>Q1=0: main pp2-3,4-8 does not give an independent fabricated-specimen n. Course/wale variants and cycle counts are not specimen counts.</t>
  </si>
  <si>
    <t>01_Azza_Added_Studies_20261014.xlsx | Two added studies row 42</t>
  </si>
  <si>
    <t>Main PDF pp2-3 Methods</t>
  </si>
  <si>
    <t>Q2=0: independent fabrication batches/runs not specified. Main pp2-3 Methods.</t>
  </si>
  <si>
    <t>01_Azza_Added_Studies_20261014.xlsx | Two added studies row 43</t>
  </si>
  <si>
    <t>Main PDF pp6-7 Figure5</t>
  </si>
  <si>
    <t>Q3=1: worn wrist/finger configurations are described, but total completed device count/reuse is unclear. Main pp6-7 Fig5.</t>
  </si>
  <si>
    <t>01_Azza_Added_Studies_20261014.xlsx | Two added studies row 44</t>
  </si>
  <si>
    <t>Main PDF pp6-7 human applications andp9 declarations</t>
  </si>
  <si>
    <t>Q4=0: no total participant n, population or demographic description in main pp6-7 or p9 declarations. Ethics/consent text does not supply cohort information.</t>
  </si>
  <si>
    <t>01_Azza_Added_Studies_20261014.xlsx | Two added studies row 45</t>
  </si>
  <si>
    <t>Q5=0: repeated bends are not independent session/day/donning counts. Main pp6-7 Fig5.</t>
  </si>
  <si>
    <t>01_Azza_Added_Studies_20261014.xlsx | Two added studies row 46</t>
  </si>
  <si>
    <t>Main PDF p3 section2.4 andp7 Figure4</t>
  </si>
  <si>
    <t>Q6=1: defined mechanical inputs with0.1V readout and sensitivity calculation support partial calibration. Main p3 section2.4 and Fig4 p7. No operational individual/general calibration procedure beyond characterization.</t>
  </si>
  <si>
    <t>01_Azza_Added_Studies_20261014.xlsx | Two added studies row 47</t>
  </si>
  <si>
    <t>Q7=0 for worn human outputs: no independent motion/pulse reference or criterion comparison. Main pp6-7 Fig5; separate speaker experiment does not validate worn pulse/motion.</t>
  </si>
  <si>
    <t>01_Azza_Added_Studies_20261014.xlsx | Two added studies row 48</t>
  </si>
  <si>
    <t>Main PDF pp5-8 sensing Results andFigures4-6</t>
  </si>
  <si>
    <t>Q8=0: no defined statistical variability/uncertainty in the assessed main sensing results. Main pp4-8 Figs4-6. Cyclic baseline change is not an uncertainty statistic.</t>
  </si>
  <si>
    <t>01_Azza_Added_Studies_20261014.xlsx | Two added studies row 49</t>
  </si>
  <si>
    <t>Main PDF p3 section2.4</t>
  </si>
  <si>
    <t>Q9=2: test voltage, strain, speed,frequency and500cycle settings are explicit. Main p3 section2.4.</t>
  </si>
  <si>
    <t>01_Azza_Added_Studies_20261014.xlsx | Two added studies row 50</t>
  </si>
  <si>
    <t>Main PDF pp5-8 sensing Results</t>
  </si>
  <si>
    <t>Q10=0: different sensing directions and repeated cycles are not identified equivalent independently fabricated device-output comparisons. Main pp4-8 Figs4-6.</t>
  </si>
  <si>
    <t>01_Azza_Added_Studies_20261014.xlsx | Two added studies row 51</t>
  </si>
  <si>
    <t>Main PDF pp2-3 and8</t>
  </si>
  <si>
    <t>Q11=0: environmental protection is claimed, without a sensor exposure/test protocol. Main pp2-3,8. Material TGA is not environmental sensing durability.</t>
  </si>
  <si>
    <t>01_Azza_Added_Studies_20261014.xlsx | Two added studies row 52</t>
  </si>
  <si>
    <t>Main PDF pp5-8 cycling discussion</t>
  </si>
  <si>
    <t>Q12=0: qualitative stability and survival of cycling lack a stated functional acceptance/failure rule. Main pp4-8. Approved Q12 clarification applies; not NA.</t>
  </si>
  <si>
    <t>01_Azza_Added_Studies_20261014.xlsx | Two added studies row 53</t>
  </si>
  <si>
    <t>Q13=0: no cross-user/unseen-user evaluation of calibration or human measurement. Main pp6-7 Fig5.</t>
  </si>
  <si>
    <t>01_Azza_Added_Studies_20261014.xlsx | Two added studies row 54</t>
  </si>
  <si>
    <t>Main PDF pp6-7, Figure5</t>
  </si>
  <si>
    <t>Q14=1: wrist/finger position and PI-tape attachment are stated; pretension, fit control and repeated placement are not. Main pp6-7 Fig5.</t>
  </si>
  <si>
    <t>01_Azza_Added_Studies_20261014.xlsx | Two added studies row 55</t>
  </si>
  <si>
    <t>Main PDF pp2-3 sections2.2-2.4</t>
  </si>
  <si>
    <t>Q15=1: copper/silver contacts and2614B source meter/0.1V are identified; acquisition sampling/power arrangement is incomplete. Main pp2-3 sections2.2-2.4.</t>
  </si>
  <si>
    <t>01_Azza_Added_Studies_20261014.xlsx | Two added studies row 56</t>
  </si>
  <si>
    <t>Main PDF p9 Data Availability Statement</t>
  </si>
  <si>
    <t>Q16=1 under the approved status-reporting boundary: main p9 explicitly locates presented data in the article. No raw-data/code access arrangement established. Endorse rule consistently; Pooja approved this clarification on 14 October 2026.</t>
  </si>
  <si>
    <t>01_Azza_Added_Studies_20261014.xlsx | Two added studies row 57</t>
  </si>
  <si>
    <t>Saved main PDF p 4, section 2.3; pp 8-11, Figures 2-4 and captions; official Supporting Information Figure S5B, rendered p 6, with complete SI inspected.
DOI 10.1016/j.nanoen.2019.104143</t>
  </si>
  <si>
    <t>Approved revision 0 to 1 under the agreed electrical-stability scope: main p4 states five specimens/test; main p9 Fig3E shows resistance-washing error bars. These add partial sensing-relevant replicate evidence beyond SI conductivity. Statistic/unit linkage remains incomplete; not2. Unified scope and this revision approved by Pooja on 14 October 2026.</t>
  </si>
  <si>
    <t>02_Azza_Original_39_20261014.xlsx | Six cases row 7</t>
  </si>
  <si>
    <t>Saved main PDF pp 5-7, sections 2.3-2.4; p 10, section 3.3 and Figure 5; pp 12-16, Figures 7-9 and Table 1. Publisher full text independently checked.
DOI 10.1002/pat.5856</t>
  </si>
  <si>
    <t>Retain0: main pp5-7,10,12-16 reports fabrication counts, static-resistance SD, design comparisons and within-sensor cycling. Fig5 is static composition characterization, not output/stability agreement under sensing/exposure across equivalent devices. Unified Q10 scope approved by Pooja on 14 October 2026.</t>
  </si>
  <si>
    <t>02_Azza_Original_39_20261014.xlsx | Six cases row 8</t>
  </si>
  <si>
    <t>p 14, Data Availability Statement
DOI 10.3390/s21041364</t>
  </si>
  <si>
    <t>Main p14 Data Availability gives unsupported NA despite newly generated sensor/participant data. Approved score 0 under the approved explicit Q16 clarification; no claim that no data exist. Full main checked; This boundary was approved by Pooja on 14 October 2026; it is not a historical prespecified rule.</t>
  </si>
  <si>
    <t>02_Azza_Original_39_20261014.xlsx | Six cases row 9</t>
  </si>
  <si>
    <t>p 14, Data availability and Code availability
DOI 10.1007/s10570-022-04544-3</t>
  </si>
  <si>
    <t>Main p14 Data availability offers first-author request access; Code availability NA. Supplied SI adds no dataset/code repository. Approved score 1 under the approved request-only boundary, not2 or overallNA; Clarification approved by Pooja on 14 October 2026.</t>
  </si>
  <si>
    <t>02_Azza_Original_39_20261014.xlsx | Six cases row 10</t>
  </si>
  <si>
    <t>p 23, DATA AVAILABILITY STATEMENT
DOI 10.1002/pat.5856</t>
  </si>
  <si>
    <t>Main p23 Data Availability explicitly reports non-sharing, without detailed reasons/conditions. Approved score 1 for incomplete status reporting under the approved Q16 clarification. This credits availability reporting, not accessible/public data. Pooja approved the clarification on 14 October 2026.</t>
  </si>
  <si>
    <t>02_Azza_Original_39_20261014.xlsx | Six cases row 11</t>
  </si>
  <si>
    <t>p 18, Data Availability Statement
DOI 10.1002/admt.202200410</t>
  </si>
  <si>
    <t>Main p18 Data Availability gives corresponding-author reasonable-request access. Approved score 1 under the approved request-only depth rule. No persistent dataset identifier/detailed access arrangements; Clarification approved by Pooja on 14 October 2026.</t>
  </si>
  <si>
    <t>02_Azza_Original_39_20261014.xlsx | Six cases row 12</t>
  </si>
  <si>
    <t>Resistance–strain calibration over 0–30% strain</t>
  </si>
  <si>
    <t>Main PDF p 2, electrical/mechanical characterization; pp 3–4, Fig 2
DOI 10.1021/acsami.9b22534</t>
  </si>
  <si>
    <t>Q6=1: main p2 identifies YL-S370,10mm/min and simultaneous B2902A acquisition; pp3-5 strain-response characterization. SI response-time fitting is not an applied strain-calibration model. Partial credit under approved R3.</t>
  </si>
  <si>
    <t>02_Azza_Original_39_20261014.xlsx | Other applications row 6</t>
  </si>
  <si>
    <t>Main PDF p 8, section 4.3; p 4, Fig 5
DOI 10.1021/acsami.6b01174</t>
  </si>
  <si>
    <t>Q6=1: main p8 section4.4 uses Instron5560 with live Keithley2601B current; main p4 Fig5 and supplied SI show controlled strain outputs. Calibration application/model scope remains incomplete.</t>
  </si>
  <si>
    <t>02_Azza_Original_39_20261014.xlsx | Other applications row 7</t>
  </si>
  <si>
    <t>Strain-resistivity characterization using a Keysight 34465A multimeter and Instron 5943 at 50 mm/min; ASTM D882-10</t>
  </si>
  <si>
    <t>Main PDF p 5, strain-resistivity characterization
DOI 10.1007/s10570-022-04544-3</t>
  </si>
  <si>
    <t>Q6=1: main p5 gives Keysight34465A/Instron5943,4cm spacing and50mm/min; p11 segmented sensitivity fits. Those fits characterize response but do not describe operational calibration/model application scope sufficiently for full credit.</t>
  </si>
  <si>
    <t>02_Azza_Original_39_20261014.xlsx | Other applications row 8</t>
  </si>
  <si>
    <t>Stitch geometry and 0.5 cm needle pitch assessed using finite-element analysis and experiments</t>
  </si>
  <si>
    <t>Main PDF p 2, section 2.4; pp 5–7, strain-response results
DOI 10.1007/s11431-023-2442-9</t>
  </si>
  <si>
    <t>Q6=1: main p2 section2.4 names Instron3365/electronic tester,5cm clamps and0.1V; sensing curves pp5-7. Retrieved publisher SI FigsS1-S10 adds construction/test illustrations, not a full calibration procedure.</t>
  </si>
  <si>
    <t>02_Azza_Original_39_20261014.xlsx | Other applications row 9</t>
  </si>
  <si>
    <t>p 9, Supporting Information; full main text
DOI 10.1007/s11431-023-2442-9</t>
  </si>
  <si>
    <t>Q16=0: main p9 supplies a generic SI notice. Publisher SI DOC was additionally retrieved and read: FigsS1-S10 are construction/characterization/demonstration outputs, with no underlying-data/code access statement. Approved R4; missing videos are described as demonstrations.</t>
  </si>
  <si>
    <t>02_Azza_Original_39_20261014.xlsx | Other applications row 10</t>
  </si>
  <si>
    <t>Capacitive response characterized across a 100% working range</t>
  </si>
  <si>
    <t>Main PDF pp 6–7, section 2.3 and Fig 3; p 18, characterization
DOI 10.1016/j.nanoen.2022.108078</t>
  </si>
  <si>
    <t>Q6=1: main p18 Characterization pairs Instron5943 and dynamic34465A capacitance acquisition; pp6-7 Fig3 gives defined strain/rate response. No documented applied calibration procedure beyond sensor characterization.</t>
  </si>
  <si>
    <t>02_Azza_Original_39_20261014.xlsx | Other applications row 11</t>
  </si>
  <si>
    <t>Microcrack density tuned by pre-strain and graphene loading</t>
  </si>
  <si>
    <t>Main PDF p 4, electromechanical characterization; pp 9–11, sensing tests
DOI 10.1016/j.nanoen.2019.104143</t>
  </si>
  <si>
    <t>Q6=1: main p4 section2.3 and SI FigS2 identify coupled SHIMADZU/multimeter; main pp10-11 Fig4A provides response at1mm/min. Five-specimen statement is not by itself calibration detail.</t>
  </si>
  <si>
    <t>02_Azza_Original_39_20261014.xlsx | Other applications row 12</t>
  </si>
  <si>
    <t>p 15, Appendix A; full main text
DOI 10.1016/j.nanoen.2019.104143</t>
  </si>
  <si>
    <t>Q16=0: main p15 AppendixA and supplied complete SI list plots and demonstration videos, without underlying-data/code availability route. Supplementary outputs alone fail approved R4.</t>
  </si>
  <si>
    <t>02_Azza_Original_39_20261014.xlsx | Other applications row 13</t>
  </si>
  <si>
    <t>Weft density used to tune sensitivity; equivalent-circuit model compared with experiment</t>
  </si>
  <si>
    <t>Supporting Information p 16, Note S1 characterization and evaluation of sensing performance; main PDF p 7, Fig 3
DOI 10.1016/j.compscitech.2025.111034</t>
  </si>
  <si>
    <t>Q6=1: supplied SI NoteS1 Characterization/Evaluation gives adjustable linear module, KeithleyDMM7510, sensitivity to80%, specified amplitudes/rates/frequencies. Main Fig3 pp7-8. SI circuit mechanism is not an operational calibration model.</t>
  </si>
  <si>
    <t>02_Azza_Original_39_20261014.xlsx | Other applications row 14</t>
  </si>
  <si>
    <t>Main PDF p 3, section 2.5; pp 6–9, sensing characterization
DOI 10.1016/j.mtphys.2026.102086</t>
  </si>
  <si>
    <t>Q6=1: main p3 section2.5 pairs DMM6500 with cyclic tensile chamber; pp7-8 Fig4 has defined inputs and segmentedGF/R-squared. Those are sensitivity fits, not a documented calibration/model-use procedure with scope.</t>
  </si>
  <si>
    <t>02_Azza_Original_39_20261014.xlsx | Other applications row 15</t>
  </si>
  <si>
    <t>Resistance response calibrated against applied tensile strain</t>
  </si>
  <si>
    <t>Main PDF p 4, characterization; pp 6–7, strain-response tests
DOI 10.1016/j.cej.2022.135502</t>
  </si>
  <si>
    <t>Q6=1: main p4 explicitly names Instron3344 and Keithley2000 for mechanical/electrical calibration; pp5-7 sensing range/response and supplied SI. Known inputs support partial credit; complete calibration model/procedure scope is not specified.</t>
  </si>
  <si>
    <t>02_Azza_Original_39_20261014.xlsx | Other applications row 16</t>
  </si>
  <si>
    <t>pp 11–12, Appendix A / Supplementary data; full main text
DOI 10.1016/j.cej.2022.135502</t>
  </si>
  <si>
    <t>Q16=0: main pp11-12 AppendixA and supplied SI give characterization/summary plots and videos, not underlying dataset/code access. No availability statement found in supplied main/SI. Approved R4.</t>
  </si>
  <si>
    <t>02_Azza_Original_39_20261014.xlsx | Other applications row 17</t>
  </si>
  <si>
    <t>p 27, Code Availability and Data Availability Statement
DOI 10.1002/aisy.202400124</t>
  </si>
  <si>
    <t>Q16=2: main p27 Code Availability and Data Availability identify DOI10.5281/zenodo.11374803 for underlying code/data. This verifies persistent-location reporting only; repository contents/successful access not checked.</t>
  </si>
  <si>
    <t>02_Azza_Original_39_20261014.xlsx | Other applications row 18</t>
  </si>
  <si>
    <t>Resistance–strain characterization across 0–293% strain</t>
  </si>
  <si>
    <t>Main PDF pp 5–7, section 2.4
DOI 10.1002/pat.5856</t>
  </si>
  <si>
    <t>Revise Q6:1-&gt;2. Main pp6-7 section2.4 supplies mechanical inputs, DEWE2-F acquisition and least-squares model-order selection; p13 section3.5 eq2 specifies fourth-order transfer coefficients/R-squared0.999 for the selected sensor. Full bench calibration reporting, not proof of human-angle validity.</t>
  </si>
  <si>
    <t>02_Azza_Original_39_20261014.xlsx | Other applications row 19</t>
  </si>
  <si>
    <t>Axial and radial resistance–strain calibration over 0–20% strain</t>
  </si>
  <si>
    <t>Main PDF p 4, characterization; p 6, strain-sensing results
DOI 10.1016/j.sna.2020.112192</t>
  </si>
  <si>
    <t>Q6=1: main p4 gives ZQ990-6 mechanics/Keithley4200 readout; p6 strain-response results; supplied SI adds fabrication/comparison. No complete operational calibration/model application scope reported.</t>
  </si>
  <si>
    <t>02_Azza_Original_39_20261014.xlsx | Other applications row 20</t>
  </si>
  <si>
    <t>p 9, Appendix A / Supplementary data; full main text
DOI 10.1016/j.sna.2020.112192</t>
  </si>
  <si>
    <t>Q16=0: main p9 AppendixA and supplied SI provide supporting figures/characterization comparisons, not an underlying-data/code statement or access route. Approved R4.</t>
  </si>
  <si>
    <t>02_Azza_Original_39_20261014.xlsx | Other applications row 21</t>
  </si>
  <si>
    <t>Uniaxial and multiaxial resistance–strain calibration with a pre-strain strategy</t>
  </si>
  <si>
    <t>Main PDF p 2, section 3 Fabrication and testing of device; Fig 4
DOI 10.1016/j.jmrt.2023.07.185</t>
  </si>
  <si>
    <t>Q6=1: main p2 section3 and p5 Fig4 identify a graduated stand for manually measured strain and sourcemeter acquisition. Manual actuation does not remove known-input calibration credit; no full model/procedure.</t>
  </si>
  <si>
    <t>02_Azza_Original_39_20261014.xlsx | Other applications row 22</t>
  </si>
  <si>
    <t>p 9, Appendix A / Supplementary data; full main text
DOI 10.1016/j.jmrt.2023.07.185</t>
  </si>
  <si>
    <t>Q16=0: main p9 AppendixA and supplied complete SI contain outputs/summary characterization; no underlying-data/code access statement identified. Approved R4.</t>
  </si>
  <si>
    <t>02_Azza_Original_39_20261014.xlsx | Other applications row 23</t>
  </si>
  <si>
    <t>Data available on request; not publicly released because of privacy</t>
  </si>
  <si>
    <t>p 14, Data Availability Statement
DOI 10.3390/s24062018</t>
  </si>
  <si>
    <t>Q16=1 under the clarification approved by Pooja: main p14 Data Availability gives corresponding-author request access and a generic privacy reason. Restricted materials/access conditions are not detailed enough for2. Boundary approved by Pooja on 14 October 2026.</t>
  </si>
  <si>
    <t>02_Azza_Original_39_20261014.xlsx | Other applications row 24</t>
  </si>
  <si>
    <t>REC-01921</t>
  </si>
  <si>
    <t>pp 11–12, conclusion, declarations and Appendix A; full main text
DOI 10.3390/s22072499</t>
  </si>
  <si>
    <t>Q16=0: complete main/end matter pp11-12 contains contributor/declaration text and AppendixA model-performance tables, without underlying-data/code route. Published model-performance summaries do not qualify under R4.</t>
  </si>
  <si>
    <t>02_Azza_Original_39_20261014.xlsx | Other applications row 26</t>
  </si>
  <si>
    <t>REC-00316</t>
  </si>
  <si>
    <t>Main PDF p 4, electrical/strain measurement; p 7, strain/frequency results
DOI 10.1007/s10853-019-04189-x</t>
  </si>
  <si>
    <t>Q6=1: main p4 describes synchronized computer-controlled loading/Keysight3440A-11A acquisition; p7 specifies strains/frequencies; supplied SI adds characterization. No full operational calibration model/procedure scope.</t>
  </si>
  <si>
    <t>02_Azza_Original_39_20261014.xlsx | Other applications row 28</t>
  </si>
  <si>
    <t>p 12, Electronic supplementary material; full main text
DOI 10.1007/s10853-019-04189-x</t>
  </si>
  <si>
    <t>Q16=0: main p12 generic authorized-user supplementary notice and supplied complete SI give characterization information, not underlying-data/code access. Authorization wording alone does not establish research-data access.</t>
  </si>
  <si>
    <t>02_Azza_Original_39_20261014.xlsx | Other applications row 29</t>
  </si>
  <si>
    <t>First 70 data series used for linear fitting and remaining 30 for verification</t>
  </si>
  <si>
    <t>Main PDF pp 10–12, Sensor Characteristics and section 4.1
DOI 10.1002/admt.202200410</t>
  </si>
  <si>
    <t>Revise Q6:1-&gt;2. Main pp10-12 sections4 and4.1 give0-60% inputs in2% steps, measurement frequency/relaxation, first70 series for linear fitting and remaining30 for verification, with fit statistics. These are series/trials, not70/30 independently fabricated devices.</t>
  </si>
  <si>
    <t>02_Azza_Original_39_20261014.xlsx | Other applications row 30</t>
  </si>
  <si>
    <t>Resistance–strain calibration across two strain regimes</t>
  </si>
  <si>
    <t>Main PDF p 9, characterization; pp 6–8, strain-response results
DOI 10.1016/j.sna.2026.118233</t>
  </si>
  <si>
    <t>Q6=1: main p9 section4.4 integrates Instron3367/LCR resistance recording and definesGF; pp6-8 Fig4 gives applied-strain response. GenericGF calculation and sensing tests are partial calibration, not a full operational model/procedure.</t>
  </si>
  <si>
    <t>02_Azza_Original_39_20261014.xlsx | Other applications row 31</t>
  </si>
  <si>
    <t>Fibre conductivity and strain response characterized over 0–190%</t>
  </si>
  <si>
    <t>Main PDF p 9, strain-sensing performance; p 18, section 7.1.2
DOI 10.1007/s12221-025-01009-9</t>
  </si>
  <si>
    <t>Q6=1: main PDF visually checked at p9 (10-190% known strains and frequencies) and p18 section7.1.2 (source meter/cyclic-test system). Text extraction was defective, so score is grounded in page images plus supplied SI.</t>
  </si>
  <si>
    <t>02_Azza_Original_39_20261014.xlsx | Other applications row 32</t>
  </si>
  <si>
    <t>Loading/unloading resistance–extension calibration across stitch lengths/geometries</t>
  </si>
  <si>
    <t>Main PDF p 3, testing procedure
DOI 10.1016/j.rineng.2024.102794</t>
  </si>
  <si>
    <t>Revise Q6:1-&gt;2. Main pp3,5-6 describes synchronized loading/readout and explicit calibration of4/8/16cm sensors; Fig5 gives slopes/intercepts and fit metrics for loading/unloading. This is sensor/length-specific extension calibration (ohm/mm), not a normalizedGF or validated human-motion model.</t>
  </si>
  <si>
    <t>02_Azza_Original_39_20261014.xlsx | Other applications row 33</t>
  </si>
  <si>
    <t>Resistance–strain calibration over &gt;90% strain; finger-angle/posture mappings demonstrated</t>
  </si>
  <si>
    <t>Main PDF pp 3–5, characterization and Fig 4
DOI 10.3390/s24010271</t>
  </si>
  <si>
    <t>Q6=1: main pp3-4 section2.4 couples AG-XplusHS tensile machine/source meter/computer and stepper cycles; strain-response results Fig4. A complete operational calibration model/application procedure is not described.</t>
  </si>
  <si>
    <t>02_Azza_Original_39_20261014.xlsx | Other applications row 34</t>
  </si>
  <si>
    <t>REC-01064</t>
  </si>
  <si>
    <t>Not reported in the reviewed article</t>
  </si>
  <si>
    <t>pp 20–21, Supplementary Materials and declarations; full main text
DOI 10.3390/s19194288</t>
  </si>
  <si>
    <t>Q16=0: main pp20-21 Supplementary Materials/declarations and supplied SI contain supporting figures/performance comparisons, not an underlying-data/code statement or route. Approved R4.</t>
  </si>
  <si>
    <t>02_Azza_Original_39_20261014.xlsx | Other applications row 35</t>
  </si>
  <si>
    <t>p 21, Data Availability Statement
DOI 10.1002/adsr.202500067</t>
  </si>
  <si>
    <t>Q16=1 under the clarification approved by Pooja: main p21 Data Availability explicitly gives corresponding-author reasonable-request access. Supplied SI adds no persistent dataset/code location. This Q16 is distinct from already confirmed Tan E2/E3; it is in scope.</t>
  </si>
  <si>
    <t>02_Azza_Original_39_20261014.xlsx | Other applications row 36</t>
  </si>
  <si>
    <t>Universal testing machine with Keithley electrometer; fixed 15-mm gauge length and defined GF/hysteresis equations</t>
  </si>
  <si>
    <t>Main PDF p 7, electromechanical characterization
DOI 10.1007/s42114-026-01978-2</t>
  </si>
  <si>
    <t>Q6=1: main p7 section2.5 names DR-509AS/Keithley6517B,15mm gauge and sensing definitions; supplied SI. This Q6 is distinct from confirmed Gai Q1/Q8/Q10; those were not reopened.</t>
  </si>
  <si>
    <t>02_Azza_Original_39_20261014.xlsx | Other applications row 37</t>
  </si>
  <si>
    <t>Evidence identified; details was not reported in the available full text</t>
  </si>
  <si>
    <t>Main PDF pp 8–9, Testing procedure; p 13, Figure 7 caption
DOI 10.1177/15280837211059210</t>
  </si>
  <si>
    <t>Q10=0: main pp8-9 testing plus p13 Fig7 explicitly use the same knitted sample before/after washing. Fig8 is variation across washing occasions/cycles, not independently fabricated equivalent-device agreement. Applicable, notNA.</t>
  </si>
  <si>
    <t>02_Azza_Original_39_20261014.xlsx | Other applications row 38</t>
  </si>
  <si>
    <t>pp 8–9, Discussion / Acknowledgement / References; full publisher text
DOI 10.1016/j.ergon.2018.11.007</t>
  </si>
  <si>
    <t>Q16=0: supplied full main ends with Discussion/Acknowledgement/References pp8-9, without underlying-data/code availability route. Earlier p11 citation is not availability evidence. No unavailable supplement inferred from an empty index.</t>
  </si>
  <si>
    <t>02_Azza_Original_39_20261014.xlsx | Other applications row 39</t>
  </si>
  <si>
    <t>No public dataset or code release identified</t>
  </si>
  <si>
    <t>p 10, discussion / Author Contributions / Funding / Conflicts; full main text
DOI 10.3390/s18082474</t>
  </si>
  <si>
    <t>Q16=0: full main p10 Discussion/Contributions/Funding/Acknowledgments/Conflicts provides no underlying-data/code access route. A software-contribution acknowledgment is not code availability.</t>
  </si>
  <si>
    <t>02_Azza_Original_39_20261014.xlsx | Other applications row 40</t>
  </si>
  <si>
    <t>Study</t>
  </si>
  <si>
    <t>Old decision/reason</t>
  </si>
  <si>
    <t>Corrected decision</t>
  </si>
  <si>
    <t>Authority/date</t>
  </si>
  <si>
    <t>Evidence</t>
  </si>
  <si>
    <t>PRISMA effect</t>
  </si>
  <si>
    <t>Yu et al. (2019)</t>
  </si>
  <si>
    <t>Exclude: no textile-integrated participant configuration</t>
  </si>
  <si>
    <t>Pooja explicitly approved including both previously flagged papers and preparing the 41-study manuscript on 13 October 2026.</t>
  </si>
  <si>
    <t>Complete original main supportsS1–S6; textile-worn human signals plus separateD4 andD6 tests. See original-source locators in S1/S3/S5.</t>
  </si>
  <si>
    <t>Two changes together:39to41 included;795to793 excluded; textile-integration reason299to297.</t>
  </si>
  <si>
    <t>Lu et al. (2022)</t>
  </si>
  <si>
    <t>No.</t>
  </si>
  <si>
    <t>Full study title</t>
  </si>
  <si>
    <t>First author (source)</t>
  </si>
  <si>
    <t>DOI</t>
  </si>
  <si>
    <t>Journal</t>
  </si>
  <si>
    <t>Citation label</t>
  </si>
  <si>
    <t>DOI link</t>
  </si>
  <si>
    <t>Final inclusion</t>
  </si>
  <si>
    <t>Databases</t>
  </si>
  <si>
    <t>A Knitted Sensing Glove for Human Hand Postures Pattern Recognition</t>
  </si>
  <si>
    <t>Lee, Seulah</t>
  </si>
  <si>
    <t>10.3390/s21041364</t>
  </si>
  <si>
    <t>SENSORS</t>
  </si>
  <si>
    <t>Lee et al. (2021)</t>
  </si>
  <si>
    <t>https://doi.org/10.3390/s21041364</t>
  </si>
  <si>
    <t>Embase; PubMed; Scopus; Web of Science</t>
  </si>
  <si>
    <t>Facile Fabrication of High-Performance Pen Ink-Decorated Textile Strain Sensors for Human Motion Detection</t>
  </si>
  <si>
    <t>Yang, Shuaitao</t>
  </si>
  <si>
    <t>10.1021/acsami.9b22534</t>
  </si>
  <si>
    <t>ACS APPLIED MATERIALS &amp; INTERFACES</t>
  </si>
  <si>
    <t>Yang et al. (2020)</t>
  </si>
  <si>
    <t>https://doi.org/10.1021/acsami.9b22534</t>
  </si>
  <si>
    <t>Highly Sensitive, Stretchable, and Wash-Durable Strain Sensor Based on Ultrathin Conductive Layer@Polyurethane Yarn for Tiny Motion Monitoring</t>
  </si>
  <si>
    <t>Wu, Xiaodong</t>
  </si>
  <si>
    <t>10.1021/acsami.6b01174</t>
  </si>
  <si>
    <t>Wu et al. (2016)</t>
  </si>
  <si>
    <t>https://doi.org/10.1021/acsami.6b01174</t>
  </si>
  <si>
    <t>PubMed; Scopus; Web of Science</t>
  </si>
  <si>
    <t>A bi-articular model for scapular-humeral rhythm reconstruction through data from wearable sensors</t>
  </si>
  <si>
    <t>Lorussi, Federico</t>
  </si>
  <si>
    <t>10.1186/s12984-016-0149-2</t>
  </si>
  <si>
    <t>JOURNAL OF NEUROENGINEERING AND REHABILITATION</t>
  </si>
  <si>
    <t>Lorussi et al. (2016)</t>
  </si>
  <si>
    <t>https://doi.org/10.1186/s12984-016-0149-2</t>
  </si>
  <si>
    <t>REC-00237</t>
  </si>
  <si>
    <t>Effect of slit-regulated 3D embroidered sensor structures on contact area-variation-based strain sensing performance in smart gloves</t>
  </si>
  <si>
    <t>Choi, Moonjung</t>
  </si>
  <si>
    <t>10.1038/s41598-026-52545-0</t>
  </si>
  <si>
    <t>SCIENTIFIC REPORTS</t>
  </si>
  <si>
    <t>Choi et al. (2026)</t>
  </si>
  <si>
    <t>https://doi.org/10.1038/s41598-026-52545-0</t>
  </si>
  <si>
    <t>Highly sensitive, breathable and durable E-textiles integrated by graphene ink via scalable aerodynamics assisted screen printing</t>
  </si>
  <si>
    <t>Li, Zhen</t>
  </si>
  <si>
    <t>10.1007/s10570-022-04544-3</t>
  </si>
  <si>
    <t>CELLULOSE</t>
  </si>
  <si>
    <t>Li et al. (2022)</t>
  </si>
  <si>
    <t>https://doi.org/10.1007/s10570-022-04544-3</t>
  </si>
  <si>
    <t>Scopus; Web of Science</t>
  </si>
  <si>
    <t>Fabricating a smart clothing system based on strain-sensing yarn and novel stitching technology for health monitoring</t>
  </si>
  <si>
    <t>Tang, Jian</t>
  </si>
  <si>
    <t>10.1007/s11431-023-2442-9</t>
  </si>
  <si>
    <t>SCIENCE CHINA-TECHNOLOGICAL SCIENCES</t>
  </si>
  <si>
    <t>Tang et al. (2024)</t>
  </si>
  <si>
    <t>https://doi.org/10.1007/s11431-023-2442-9</t>
  </si>
  <si>
    <t>Large-scalable fabrication of liquid metal-based double helix core-spun yarns for capacitive sensing, energy harvesting, and thermal management</t>
  </si>
  <si>
    <t>Fu, Chiyu</t>
  </si>
  <si>
    <t>10.1016/j.nanoen.2022.108078</t>
  </si>
  <si>
    <t>NANO ENERGY</t>
  </si>
  <si>
    <t>Fu et al. (2023)</t>
  </si>
  <si>
    <t>https://doi.org/10.1016/j.nanoen.2022.108078</t>
  </si>
  <si>
    <t>Stretchable conductive nonwoven fabrics with self-cleaning capability for tunable wearable strain sensor</t>
  </si>
  <si>
    <t>Liu, Hu</t>
  </si>
  <si>
    <t>10.1016/j.nanoen.2019.104143</t>
  </si>
  <si>
    <t>Liu et al. (2019)</t>
  </si>
  <si>
    <t>https://doi.org/10.1016/j.nanoen.2019.104143</t>
  </si>
  <si>
    <t>A scalable flexible strain sensor with adaptive response capability to varying microenvironments for digital healthcare</t>
  </si>
  <si>
    <t>Liu, Jingge</t>
  </si>
  <si>
    <t>10.1016/j.compscitech.2025.111034</t>
  </si>
  <si>
    <t>COMPOSITES SCIENCE AND TECHNOLOGY</t>
  </si>
  <si>
    <t>Liu et al. (2025)</t>
  </si>
  <si>
    <t>https://doi.org/10.1016/j.compscitech.2025.111034</t>
  </si>
  <si>
    <t>Nanofiber yarn strain sensor with interpenetrating 3D MXene network via conjugated electrospinning and deep deposition</t>
  </si>
  <si>
    <t>Wang, Binghui</t>
  </si>
  <si>
    <t>10.1016/j.mtphys.2026.102086</t>
  </si>
  <si>
    <t>MATERIALS TODAY PHYSICS</t>
  </si>
  <si>
    <t>Wang et al. (2026)</t>
  </si>
  <si>
    <t>https://doi.org/10.1016/j.mtphys.2026.102086</t>
  </si>
  <si>
    <t>Twisted graphene fibre based breathable, wettable and washable anti-jamming strain sensor for underwater motion sensing</t>
  </si>
  <si>
    <t>Zhai, Heng</t>
  </si>
  <si>
    <t>10.1016/j.cej.2022.135502</t>
  </si>
  <si>
    <t>CHEMICAL ENGINEERING JOURNAL</t>
  </si>
  <si>
    <t>Zhai et al. (2022)</t>
  </si>
  <si>
    <t>https://doi.org/10.1016/j.cej.2022.135502</t>
  </si>
  <si>
    <t>A Highly Durable and UV-Resistant Graphene-Based Knitted Textile Sensing Sleeve for Human Joint Angle Monitoring and Gesture Differentiation</t>
  </si>
  <si>
    <t>Zhou, Yi</t>
  </si>
  <si>
    <t>10.1002/aisy.202400124</t>
  </si>
  <si>
    <t>ADVANCED INTELLIGENT SYSTEMS</t>
  </si>
  <si>
    <t>Zhou et al. (2024)</t>
  </si>
  <si>
    <t>https://doi.org/10.1002/aisy.202400124</t>
  </si>
  <si>
    <t>Highly flexible, durable, UV resistant, and electrically conductive graphene based TPU/textile composite sensor</t>
  </si>
  <si>
    <t>10.1002/pat.5856</t>
  </si>
  <si>
    <t>POLYMERS FOR ADVANCED TECHNOLOGIES</t>
  </si>
  <si>
    <t>Zhou et al. (2022)</t>
  </si>
  <si>
    <t>https://doi.org/10.1002/pat.5856</t>
  </si>
  <si>
    <t>Flexible and breathable strain sensor with high performance based on MXene/nylon fabric network</t>
  </si>
  <si>
    <t>Yuan, Li</t>
  </si>
  <si>
    <t>10.1016/j.sna.2020.112192</t>
  </si>
  <si>
    <t>SENSORS AND ACTUATORS A-PHYSICAL</t>
  </si>
  <si>
    <t>Yuan et al. (2020)</t>
  </si>
  <si>
    <t>https://doi.org/10.1016/j.sna.2020.112192</t>
  </si>
  <si>
    <t>Stretchable Sensor-Based Glove for Hand Pose Recognition while Performing Activity of Daily Living (ADL) Tasks using Random Forest and K-Nearest Neighbors</t>
  </si>
  <si>
    <t>Hassan, Hafizu Ibrahim (60134740500)</t>
  </si>
  <si>
    <t>10.37934/sej.14.1.117</t>
  </si>
  <si>
    <t>Semarak Engineering Journal</t>
  </si>
  <si>
    <t>Hassan et al. (2026)</t>
  </si>
  <si>
    <t>https://doi.org/10.37934/sej.14.1.117</t>
  </si>
  <si>
    <t>Wearable strain sensors for human motion detection and health monitoring based on hybrid graphite-textile flexible electrodes</t>
  </si>
  <si>
    <t>Sonil, Nazmina Imrose (57216711577)</t>
  </si>
  <si>
    <t>10.1016/j.jmrt.2023.07.185</t>
  </si>
  <si>
    <t>Journal of Materials Research and Technology</t>
  </si>
  <si>
    <t>Sonil et al. (2023)</t>
  </si>
  <si>
    <t>https://doi.org/10.1016/j.jmrt.2023.07.185</t>
  </si>
  <si>
    <t>Flexible Textile Sensors-Based Smart T-Shirt for Respiratory Monitoring: Design, Development, and Preliminary Validation</t>
  </si>
  <si>
    <t>Romano, Chiara (57210786932)</t>
  </si>
  <si>
    <t>10.3390/s24062018</t>
  </si>
  <si>
    <t>Sensors</t>
  </si>
  <si>
    <t>Romano et al. (2024)</t>
  </si>
  <si>
    <t>https://doi.org/10.3390/s24062018</t>
  </si>
  <si>
    <t>Textile-Based Inductive Soft Strain Sensors for Fast Frequency Movement and Their Application in Wearable Devices Measuring Multiaxial Hip Joint Angles during Running</t>
  </si>
  <si>
    <t>Tavassolian, Mohammad</t>
  </si>
  <si>
    <t>10.1002/aisy.201900165</t>
  </si>
  <si>
    <t>Tavassolian et al. (2020)</t>
  </si>
  <si>
    <t>https://doi.org/10.1002/aisy.201900165</t>
  </si>
  <si>
    <t>Accurate Prediction of Knee Angles during Open-Chain Rehabilitation Exercises Using a Wearable Array of Nanocomposite Stretch Sensors</t>
  </si>
  <si>
    <t>Wood, David S. (57200733793)</t>
  </si>
  <si>
    <t>10.3390/s22072499</t>
  </si>
  <si>
    <t>Wood et al. (2022)</t>
  </si>
  <si>
    <t>https://doi.org/10.3390/s22072499</t>
  </si>
  <si>
    <t>Monitoring elbow isometric contraction by novel wearable fabric sensing device</t>
  </si>
  <si>
    <t>Wang, Xi</t>
  </si>
  <si>
    <t>10.1088/0964-1726/25/12/125022</t>
  </si>
  <si>
    <t>SMART MATERIALS AND STRUCTURES</t>
  </si>
  <si>
    <t>Wang et al. (2016)</t>
  </si>
  <si>
    <t>https://doi.org/10.1088/0964-1726/25/12/125022</t>
  </si>
  <si>
    <t>A PCA-Based Method to Select the Number and the Body Location of Piezoresistive Sensors in a Wearable System for Respiratory Monitoring</t>
  </si>
  <si>
    <t>Raiano, Luigi (57192922626)</t>
  </si>
  <si>
    <t>10.1109/jsen.2020.3043140</t>
  </si>
  <si>
    <t>IEEE Sensors Journal</t>
  </si>
  <si>
    <t>Raiano et al. (2021)</t>
  </si>
  <si>
    <t>https://doi.org/10.1109/jsen.2020.3043140</t>
  </si>
  <si>
    <t>Highly stretchable, breathable and negative resistance variation textile strain sensor with excellent mechanical stability for wearable electronics</t>
  </si>
  <si>
    <t>Zhao, Kai</t>
  </si>
  <si>
    <t>10.1007/s10853-019-04189-x</t>
  </si>
  <si>
    <t>JOURNAL OF MATERIALS SCIENCE</t>
  </si>
  <si>
    <t>Zhao et al. (2020)</t>
  </si>
  <si>
    <t>https://doi.org/10.1007/s10853-019-04189-x</t>
  </si>
  <si>
    <t>A Flexible Capacitance Strain Sensor with Stitched Contact Terminals</t>
  </si>
  <si>
    <t>Kumar, Nimal Jagadeesh</t>
  </si>
  <si>
    <t>10.1002/admt.202200410</t>
  </si>
  <si>
    <t>ADVANCED MATERIALS TECHNOLOGIES</t>
  </si>
  <si>
    <t>Kumar et al. (2023)</t>
  </si>
  <si>
    <t>https://doi.org/10.1002/admt.202200410</t>
  </si>
  <si>
    <t>Human Movement Classification With a Garment-Integrated Knot-Based Strain Sensor</t>
  </si>
  <si>
    <t>Bellisle, Rachel F.</t>
  </si>
  <si>
    <t>10.1109/jsen.2025.3622919</t>
  </si>
  <si>
    <t>IEEE SENSORS JOURNAL</t>
  </si>
  <si>
    <t>Bellisle et al. (2026)</t>
  </si>
  <si>
    <t>https://doi.org/10.1109/jsen.2025.3622919</t>
  </si>
  <si>
    <t>IEEE Xplore; Scopus; Web of Science</t>
  </si>
  <si>
    <t>Highly sensitive and breathable Silk/MXene fabric wearable strain sensor for gesture recognition and motion capture</t>
  </si>
  <si>
    <t>Ding, Yi</t>
  </si>
  <si>
    <t>10.1016/j.sna.2026.118233</t>
  </si>
  <si>
    <t>Ding et al. (2026)</t>
  </si>
  <si>
    <t>https://doi.org/10.1016/j.sna.2026.118233</t>
  </si>
  <si>
    <t>Non-leakage and High Stretchable Sheath-Core Structure Liquid Metal-Based Strain-Sensing Fiber for Smart Wearable</t>
  </si>
  <si>
    <t>Zhang, Yajuan</t>
  </si>
  <si>
    <t>10.1007/s12221-025-01009-9</t>
  </si>
  <si>
    <t>FIBERS AND POLYMERS</t>
  </si>
  <si>
    <t>Zhang et al. (2025)</t>
  </si>
  <si>
    <t>https://doi.org/10.1007/s12221-025-01009-9</t>
  </si>
  <si>
    <t>A garment-integrated textile stitch-based strain sensor device, IoT-Enabled for enhanced wearable sportswear applications</t>
  </si>
  <si>
    <t>Aliyana, Akshaya Kumar</t>
  </si>
  <si>
    <t>10.1016/j.rineng.2024.102794</t>
  </si>
  <si>
    <t>RESULTS IN ENGINEERING</t>
  </si>
  <si>
    <t>Aliyana et al. (2024)</t>
  </si>
  <si>
    <t>https://doi.org/10.1016/j.rineng.2024.102794</t>
  </si>
  <si>
    <t>A Flexible and Stretchable MXene/Waterborne Polyurethane Composite-Coated Fiber Strain Sensor for Wearable Motion and Healthcare Monitoring</t>
  </si>
  <si>
    <t>Cao, Junming</t>
  </si>
  <si>
    <t>10.3390/s24010271</t>
  </si>
  <si>
    <t>Cao et al. (2024)</t>
  </si>
  <si>
    <t>https://doi.org/10.3390/s24010271</t>
  </si>
  <si>
    <t>Application-Based Production and Testing of a Core-Sheath Fiber Strain Sensor for Wearable Electronics: Feasibility Study of Using the Sensors in Measuring Tri-Axial Trunk Motion Angles</t>
  </si>
  <si>
    <t>Rezaei, Ahmad</t>
  </si>
  <si>
    <t>10.3390/s19194288</t>
  </si>
  <si>
    <t>Rezaei et al. (2019)</t>
  </si>
  <si>
    <t>https://doi.org/10.3390/s19194288</t>
  </si>
  <si>
    <t>Fully textile passive wireless sensing for human movement monitoring with multiple sensors</t>
  </si>
  <si>
    <t>Galli, Valeria (57903535000)</t>
  </si>
  <si>
    <t>10.3389/fbioe.2026.1724364</t>
  </si>
  <si>
    <t>Frontiers in Bioengineering and Biotechnology</t>
  </si>
  <si>
    <t>Galli et al. (2026)</t>
  </si>
  <si>
    <t>https://doi.org/10.3389/fbioe.2026.1724364</t>
  </si>
  <si>
    <t>Seamlessly Machine-Knitted Multi-Sensor Garment to Monitor and Quantify Dynamic Upper Body Movement</t>
  </si>
  <si>
    <t>Tan, Ying Yi (57194696739)</t>
  </si>
  <si>
    <t>10.1002/adsr.202500067</t>
  </si>
  <si>
    <t>Advanced Sensor Research</t>
  </si>
  <si>
    <t>Tan et al. (2025)</t>
  </si>
  <si>
    <t>https://doi.org/10.1002/adsr.202500067</t>
  </si>
  <si>
    <t>A permeable and stretchable liquid metal fiber enables ultrahigh-linearity and wide-range strain sensors</t>
  </si>
  <si>
    <t>Gai, Chaqi (59666285600)</t>
  </si>
  <si>
    <t>10.1007/s42114-026-01978-2</t>
  </si>
  <si>
    <t>Advanced Composites and Hybrid Materials</t>
  </si>
  <si>
    <t>Gai et al. (2026)</t>
  </si>
  <si>
    <t>https://doi.org/10.1007/s42114-026-01978-2</t>
  </si>
  <si>
    <t>Real-Time Stride Length Estimation Using Textile-Based Capacitive Soft Strain Sensors</t>
  </si>
  <si>
    <t>Ayvaz, Ugur (57210616677)</t>
  </si>
  <si>
    <t>10.1109/tim.2023.3334347</t>
  </si>
  <si>
    <t>IEEE Transactions on Instrumentation and Measurement</t>
  </si>
  <si>
    <t>Ayvaz et al. (2024)</t>
  </si>
  <si>
    <t>https://doi.org/10.1109/tim.2023.3334347</t>
  </si>
  <si>
    <t>IEEE Xplore; Scopus</t>
  </si>
  <si>
    <t>Smart textile based on piezoresistive sensing elements for respiratory monitoring</t>
  </si>
  <si>
    <t>Massaroni, Carlo (56230824500)</t>
  </si>
  <si>
    <t>10.1109/jsen.2019.2917617</t>
  </si>
  <si>
    <t>Massaroni et al. (2019)</t>
  </si>
  <si>
    <t>https://doi.org/10.1109/jsen.2019.2917617</t>
  </si>
  <si>
    <t>The effect of washing on the electrical performance of knitted textile strain sensors for quantifying joint motion</t>
  </si>
  <si>
    <t>Isaia, Cristina (57195505907)</t>
  </si>
  <si>
    <t>10.1177/15280837211059210</t>
  </si>
  <si>
    <t>Journal of Industrial Textiles</t>
  </si>
  <si>
    <t>Isaia et al. (2022)</t>
  </si>
  <si>
    <t>https://doi.org/10.1177/15280837211059210</t>
  </si>
  <si>
    <t>Evaluation of lumbar motion with fabric strain sensors: A pilot study</t>
  </si>
  <si>
    <t>Vu, Linh Q. (57194707478)</t>
  </si>
  <si>
    <t>10.1016/j.ergon.2018.11.007</t>
  </si>
  <si>
    <t>International Journal of Industrial Ergonomics</t>
  </si>
  <si>
    <t>Vu et al. (2019)</t>
  </si>
  <si>
    <t>https://doi.org/10.1016/j.ergon.2018.11.007</t>
  </si>
  <si>
    <t>Shift-Adaptive Estimation of Joint Angle Using Instrumented Brace with Two Stretch Sensors Based on Gaussian Mixture Models</t>
  </si>
  <si>
    <t>Eguchi, Ryo (57200845813)</t>
  </si>
  <si>
    <t>10.1109/lra.2020.3010486</t>
  </si>
  <si>
    <t>IEEE Robotics and Automation Letters</t>
  </si>
  <si>
    <t>Eguchi et al. (2020)</t>
  </si>
  <si>
    <t>https://doi.org/10.1109/lra.2020.3010486</t>
  </si>
  <si>
    <t>Detection of talking in respiratory signals: A feasibility study using machine learning and wearable textile-based sensors</t>
  </si>
  <si>
    <t>Ejupi, Andreas (56328819700)</t>
  </si>
  <si>
    <t>10.3390/s18082474</t>
  </si>
  <si>
    <t>Sensors (Switzerland)</t>
  </si>
  <si>
    <t>Ejupi et al. (2018)</t>
  </si>
  <si>
    <t>https://doi.org/10.3390/s18082474</t>
  </si>
  <si>
    <t>Dual-Core Capacitive Microfiber Sensor for Smart Textile Applications</t>
  </si>
  <si>
    <t>Yu, Longteng</t>
  </si>
  <si>
    <t>10.1021/acsami.9b10937</t>
  </si>
  <si>
    <t>ACS Applied Materials &amp; Interfaces</t>
  </si>
  <si>
    <t>https://doi.org/10.1021/acsami.9b10937</t>
  </si>
  <si>
    <t>Include; author approved 2026-10-13</t>
  </si>
  <si>
    <t>Previously retrieved database record; source membership in archived search register</t>
  </si>
  <si>
    <t>PDMS-Encapsulated MXene@Polyester Fabric Strain Sensor for Multifunctional Sensing Applications</t>
  </si>
  <si>
    <t>Lu, Wengang</t>
  </si>
  <si>
    <t>10.3390/nano12050871</t>
  </si>
  <si>
    <t>Nanomaterials</t>
  </si>
  <si>
    <t>https://doi.org/10.3390/nano12050871</t>
  </si>
  <si>
    <t>Data item</t>
  </si>
  <si>
    <t>R1 extracted value</t>
  </si>
  <si>
    <t>R2 extracted value</t>
  </si>
  <si>
    <t>Candidate aligned value</t>
  </si>
  <si>
    <t>Reconciliation status</t>
  </si>
  <si>
    <t>R1 study-level location</t>
  </si>
  <si>
    <t>R2 study-level location</t>
  </si>
  <si>
    <t>Relevant signed evidence</t>
  </si>
  <si>
    <t>Signed evidence location</t>
  </si>
  <si>
    <t>Review note</t>
  </si>
  <si>
    <t>Signed evidence source</t>
  </si>
  <si>
    <t>Proposed correction</t>
  </si>
  <si>
    <t>Proposed evidence location</t>
  </si>
  <si>
    <t>Proposal status</t>
  </si>
  <si>
    <t>Technical evidence checked</t>
  </si>
  <si>
    <t>Exact checked location</t>
  </si>
  <si>
    <t>Checked source file</t>
  </si>
  <si>
    <t>Check date</t>
  </si>
  <si>
    <t>Scope / limitation</t>
  </si>
  <si>
    <t>Source SHA-256</t>
  </si>
  <si>
    <t>Textile architecture</t>
  </si>
  <si>
    <t>Seamlessly knitted sensing glove with integral knitted strain sensors</t>
  </si>
  <si>
    <t>Knitted glove (knit-loop)</t>
  </si>
  <si>
    <t>Knitted sensing textile</t>
  </si>
  <si>
    <t>Source-checked analyst classification; source checked</t>
  </si>
  <si>
    <t>Open-access full text, Methods 3.1 and 3.4; Discussion</t>
  </si>
  <si>
    <t>See Figure 6 / Quality sheets for per-item page locations</t>
  </si>
  <si>
    <t>Source locations are study-level extraction references, unless explicitly item-specific. Different wording alone does not establish a scientific disagreement.</t>
  </si>
  <si>
    <t>R1 | Data extraction 39!L2</t>
  </si>
  <si>
    <t>R2 | Extraction!I2</t>
  </si>
  <si>
    <t>Whole-garment knitting integrates conductive silver-coated nylon loops into the glove using intarsia knitting. Classifies the demonstrated device; not a new eligibility decision.</t>
  </si>
  <si>
    <t>PDF page(s) 3; §3.1 Materials and fabrication; saved PDF pp. 3</t>
  </si>
  <si>
    <t>REC-00119_10.3390_s21041364.pdf</t>
  </si>
  <si>
    <t>2026-10-01</t>
  </si>
  <si>
    <t>Source-checked classification, not new human consensus. Construction and integration route are separate.</t>
  </si>
  <si>
    <t>50fd37ee54a41e1c0df74ceadf18e21326edcbcdedd1bcb28a170f3bcb916f9b</t>
  </si>
  <si>
    <t>Sensing mechanism</t>
  </si>
  <si>
    <t>Resistive knitted strain sensing</t>
  </si>
  <si>
    <t>Resistive (piezoresistive)</t>
  </si>
  <si>
    <t>Resistive</t>
  </si>
  <si>
    <t>R1 | Data extraction 39!M2</t>
  </si>
  <si>
    <t>R2 | Extraction!J2</t>
  </si>
  <si>
    <t>Electrical resistance varies with loop contact and deformation; article describes resistance of the conductive loops. Classifies the demonstrated device; not a new eligibility decision.</t>
  </si>
  <si>
    <t>PDF page(s) 3, 4; Knitted sensor resistance model; saved PDF pp. 3, 4</t>
  </si>
  <si>
    <t>Conductive materials / fabrication</t>
  </si>
  <si>
    <t>99% silver-coated nylon yarn (Statex Shieldex, 117/17 dtex, 2-ply)</t>
  </si>
  <si>
    <t>Conductive knitting yarn</t>
  </si>
  <si>
    <t>Reconcile wording / values</t>
  </si>
  <si>
    <t>R1 | Data extraction 39!N2</t>
  </si>
  <si>
    <t>R2 | Extraction!K2</t>
  </si>
  <si>
    <t>Substrate</t>
  </si>
  <si>
    <t>Non-conductive glove yarn</t>
  </si>
  <si>
    <t>Non-conductive knit glove body</t>
  </si>
  <si>
    <t>R1 | Data extraction 39!O2</t>
  </si>
  <si>
    <t>R2 | Extraction!L2</t>
  </si>
  <si>
    <t>Integration</t>
  </si>
  <si>
    <t>Whole-garment knitting without sewing or bonding</t>
  </si>
  <si>
    <t>Knitted directly into glove</t>
  </si>
  <si>
    <t>Conductive-yarn intarsia/whole-garment knitting; sensor zones integral to glove.</t>
  </si>
  <si>
    <t>R1 | Data extraction 39!P2</t>
  </si>
  <si>
    <t>R2 | Extraction!M2</t>
  </si>
  <si>
    <t>Conductive-yarn intarsia/whole-garment knitting; sensor zones integral to glove. Classifies the demonstrated device; not a new eligibility decision.</t>
  </si>
  <si>
    <t>§3.1; saved PDF pp. 3</t>
  </si>
  <si>
    <t>Application</t>
  </si>
  <si>
    <t>Recognition of 10 hand postures</t>
  </si>
  <si>
    <t>Hand-posture recognition</t>
  </si>
  <si>
    <t>Movement/posture/gait monitoring</t>
  </si>
  <si>
    <t>R1 | Data extraction 39!Q2</t>
  </si>
  <si>
    <t>R2 | Extraction!N2</t>
  </si>
  <si>
    <t>Ten hand/wrist postures were classified using the knitted glove; the demonstrated outcome is hand posture, not physiological monitoring. Classifies the demonstrated device; not a new eligibility decision.</t>
  </si>
  <si>
    <t>§3 and hand-posture classification results; Table 1; saved PDF pp. 4, 10</t>
  </si>
  <si>
    <t>Participant sample / details</t>
  </si>
  <si>
    <t>Human sample size: 10; Participant details: 10 able-bodied participants; age and sex were not reported</t>
  </si>
  <si>
    <t>10 subjects</t>
  </si>
  <si>
    <t>10 healthy able-bodied participants. Age and sex not stated in the checked main text.</t>
  </si>
  <si>
    <t>Source-checked technical reconciliation; not new reviewer consensus</t>
  </si>
  <si>
    <t>R1 | Data extraction 39!S2; R1 | Data extraction 39!T2</t>
  </si>
  <si>
    <t>R2 | Extraction!O2</t>
  </si>
  <si>
    <t>Methods 3.1 and Results 4.2-4.3; Figure 8; Table 1. Ten participants and six movement repetitions are distinct from ten posture classes. Separates participant cohorts, bench tests, human repetitions, model training and experimental reference use.</t>
  </si>
  <si>
    <t>Saved main PDF pp. 4, 8, 10, 12</t>
  </si>
  <si>
    <t>Targeted main-text check. This does not assert exhaustive supplementary-material review.</t>
  </si>
  <si>
    <t>Repeated sessions / trials</t>
  </si>
  <si>
    <t>Ten postures were assessed for each of 10 participants; exact repetitions per posture were not reported</t>
  </si>
  <si>
    <t>Ten target hand postures per participant. Figure 8 describes six continuous index-finger movement repetitions; classifier repetitions per posture and separate-session count are not specified.</t>
  </si>
  <si>
    <t>R1 | Method quality 39!K2</t>
  </si>
  <si>
    <t>R2 | Extraction!P2</t>
  </si>
  <si>
    <t>Calibration</t>
  </si>
  <si>
    <t>Resistance variation characterized against flexion angle and movement speed</t>
  </si>
  <si>
    <t>Bench and worn resistance-response characterization plus supervised CNN training. A separate quantitative participant calibration procedure is not established by these passages.</t>
  </si>
  <si>
    <t>R1 | Method quality 39!L2</t>
  </si>
  <si>
    <t>R2 | Extraction!Q2</t>
  </si>
  <si>
    <t>Comparator</t>
  </si>
  <si>
    <t>Cited IMU/goniometric gloves (not used)</t>
  </si>
  <si>
    <t>Prescribed posture labels for classification. No external joint-angle reference identified in the checked experiment; cited IMU gloves are background literature.</t>
  </si>
  <si>
    <t>R1 | Data extraction 39!U2</t>
  </si>
  <si>
    <t>R2 | Extraction!R2</t>
  </si>
  <si>
    <t>Working strain range</t>
  </si>
  <si>
    <t>Linear response to 10%; cyclic tests at 3-16% and 3-40% strain</t>
  </si>
  <si>
    <t>up to 30%</t>
  </si>
  <si>
    <t>Continuous characterization to 30%; approximately linear to 10%; dynamic tests at 3–16%, with short cyclic tests at 3–40%.</t>
  </si>
  <si>
    <t>Source-supported analyst reconciliation</t>
  </si>
  <si>
    <t>R1 | Data extraction 39!W2</t>
  </si>
  <si>
    <t>R2 | Extraction!S2</t>
  </si>
  <si>
    <t>The Results distinguish continuous loading, a linear subrange and several cyclic strain amplitudes. The different ranges describe different tests, not competing maximum-range estimates.</t>
  </si>
  <si>
    <t>PDF pp. 7</t>
  </si>
  <si>
    <t>This is source checking by the assistant, not a second independent rating, new consensus or screening decision.</t>
  </si>
  <si>
    <t>Gauge factor / interval</t>
  </si>
  <si>
    <t>Approximately 12 over the linear range up to 10% strain</t>
  </si>
  <si>
    <t>~12</t>
  </si>
  <si>
    <t>Approximately 12 over the linear range up to 10% (R² = 0.97).</t>
  </si>
  <si>
    <t>R1 | Data extraction 39!X2</t>
  </si>
  <si>
    <t>R2 | Extraction!T2</t>
  </si>
  <si>
    <t>The current knitted sensor is described as approximately linear up to 10%, with GF around 12. Preserve the author-reported value and its measurement conditions; do not collapse distinct test types.</t>
  </si>
  <si>
    <t>Linearity</t>
  </si>
  <si>
    <t>R² = 0.97 up to 10% strain</t>
  </si>
  <si>
    <t>R2 = 0.97</t>
  </si>
  <si>
    <t>R²=0.97 over 0–10% strain; the response saturates beyond this region.</t>
  </si>
  <si>
    <t>R1 | Data extraction 39!AA2</t>
  </si>
  <si>
    <t>R2 | Extraction!U2</t>
  </si>
  <si>
    <t>The electrical response is fit over the initial strain range; GF is approximately 12 in this region. Retains the reported result with its specific test, range and construct; does not extend it to untested conditions.</t>
  </si>
  <si>
    <t>Saved main PDF p 7, Fig 6</t>
  </si>
  <si>
    <t>Targeted reading of the cited original main-text passages and any explicitly listed SI. Absence statements apply only to the inspected passages, not an exhaustive global not-reported determination. No curve digitization or new performance calculation. Approved Figure 5/6 ratings and original independent ratings are unchanged.</t>
  </si>
  <si>
    <t>Hysteresis</t>
  </si>
  <si>
    <t>Text match; evidence review pending</t>
  </si>
  <si>
    <t>R1 | Data extraction 39!AB2</t>
  </si>
  <si>
    <t>R2 | Extraction!V2</t>
  </si>
  <si>
    <t>Drift / repeatability</t>
  </si>
  <si>
    <t>Between-participant and pooled classification were evaluated; device drift was not quantified</t>
  </si>
  <si>
    <t>Repeated stepwise and cyclic strain responses are illustrated; no scalar drift or repeatability metric extracted from the cited passages.</t>
  </si>
  <si>
    <t>R1 | Data extraction 39!AC2</t>
  </si>
  <si>
    <t>R2 | Extraction!W2</t>
  </si>
  <si>
    <t>Repeated bench responses and finger-motion demonstrations are shown. Between-participant classification is a separate outcome. Removes human classification from the intrinsic sensor drift/repeatability field.</t>
  </si>
  <si>
    <t>Saved main PDF pp 7–8, Figs 6–7</t>
  </si>
  <si>
    <t>Response / recovery</t>
  </si>
  <si>
    <t>Response time: Not reported; Recovery time: Not reported</t>
  </si>
  <si>
    <t>R1 | Data extraction 39!Y2; R1 | Data extraction 39!Z2</t>
  </si>
  <si>
    <t>R2 | Extraction!X2</t>
  </si>
  <si>
    <t>Cyclic durability</t>
  </si>
  <si>
    <t>20 cycles across 3-40% strain at 0.25 Hz</t>
  </si>
  <si>
    <t>20 cycles at 0</t>
  </si>
  <si>
    <t>20 cycles at 3–40% strain, approximately 0.25 Hz; signal fluctuation noted at 40%.</t>
  </si>
  <si>
    <t>R1 | Data extraction 39!AD2</t>
  </si>
  <si>
    <t>R2 | Extraction!Y2</t>
  </si>
  <si>
    <t>Short periodic testing uses 20 cycles and includes strains through 40%. Classify as short cyclic characterization; do not imply a long endurance test.</t>
  </si>
  <si>
    <t>R1 | Method quality 39!P2</t>
  </si>
  <si>
    <t>R2 | Extraction!Z2</t>
  </si>
  <si>
    <t>Washability</t>
  </si>
  <si>
    <t>R1 | Data extraction 39!AE2</t>
  </si>
  <si>
    <t>R2 | Extraction!AA2</t>
  </si>
  <si>
    <t>Environment</t>
  </si>
  <si>
    <t>R1 | Data extraction 39!AF2</t>
  </si>
  <si>
    <t>R2 | Extraction!AB2</t>
  </si>
  <si>
    <t>Abrasion</t>
  </si>
  <si>
    <t>Single reviewer field</t>
  </si>
  <si>
    <t>R2 | Extraction!AC2</t>
  </si>
  <si>
    <t>Comfort / breathability</t>
  </si>
  <si>
    <t>Seamless knitted glove; wearability was an explicit design motivation</t>
  </si>
  <si>
    <t>R1 | Data extraction 39!AG2</t>
  </si>
  <si>
    <t>R2 | Extraction!AD2</t>
  </si>
  <si>
    <t>Fit / placement / pretension</t>
  </si>
  <si>
    <t>Seamlessly knitted glove; a separate pretension protocol was not reported</t>
  </si>
  <si>
    <t>placements of the knitted sensing</t>
  </si>
  <si>
    <t>R1 | Method quality 39!T2</t>
  </si>
  <si>
    <t>R2 | Extraction!AE2</t>
  </si>
  <si>
    <t>Electronics / power</t>
  </si>
  <si>
    <t>Pattern-recognition analysis; acquisition/electronics details was not reported in the available full text</t>
  </si>
  <si>
    <t>Arduino micro, and then the electrica</t>
  </si>
  <si>
    <t>R1 | Method quality 39!U2</t>
  </si>
  <si>
    <t>R2 | Extraction!AF2</t>
  </si>
  <si>
    <t>Data / code</t>
  </si>
  <si>
    <t>Data Availability Statement: Not applicable</t>
  </si>
  <si>
    <t>R1 | Method quality 39!V2</t>
  </si>
  <si>
    <t>R2 | Extraction!AG2</t>
  </si>
  <si>
    <t>Key quantitative result</t>
  </si>
  <si>
    <t>Mean 10-posture classification accuracy was 94.17% with within-participant data and 89.5% with pooled data.</t>
  </si>
  <si>
    <t>Classification accuracy 94.17% (10 postures)</t>
  </si>
  <si>
    <t>Ten-posture CNN accuracy averaged 94.17% when trained/validated on each participant’s own data and 89.5% for the mixed ten-participant dataset.</t>
  </si>
  <si>
    <t>R1 | Data extraction 39!AH2</t>
  </si>
  <si>
    <t>R2 | Extraction!AH2</t>
  </si>
  <si>
    <t>Results 4.2 and 4.3 explicitly separate own-participant and mixed-participant datasets and give their mean classification accuracies. Mixed-participant accuracy is not evidence of leave-one-participant-out generalization.</t>
  </si>
  <si>
    <t>Retained main PDF pp. 10, 12, 13</t>
  </si>
  <si>
    <t>Assistant source checking, not new independent human review, a screening decision or changed reviewer consensus. Original R1/R2 values are preserved.</t>
  </si>
  <si>
    <t>Main strength</t>
  </si>
  <si>
    <t>Garment-level sensor integration and multi-participant functional validation</t>
  </si>
  <si>
    <t>R1 | Data extraction 39!AI2</t>
  </si>
  <si>
    <t>Main limitation</t>
  </si>
  <si>
    <t>No external biomechanical reference or deployment robustness test recorded in the reviewed sections</t>
  </si>
  <si>
    <t>R1 | Data extraction 39!AJ2</t>
  </si>
  <si>
    <t>Dip-coated commercial stretch fabric</t>
  </si>
  <si>
    <t>Dip-coated woven fabric</t>
  </si>
  <si>
    <t>Full text: Results and Discussions, wrist and body-motion demonstrations; Conclusions</t>
  </si>
  <si>
    <t>R1 | Data extraction 39!L3</t>
  </si>
  <si>
    <t>R2 | Extraction!I3</t>
  </si>
  <si>
    <t>§3.1 explicitly identifies a weft-knitted fabric. Table1 lists weft knitting for SP10–SP19 and 'wrap' for SP22. The primary evaluated SP13 sensor is pen-ink dip-coated spandex/polyamide knit. Classifies the demonstrated device; not a new eligibility decision.</t>
  </si>
  <si>
    <t>PDF page(s) 2, 3; §2.1; §3.1; Table1; saved PDF pp. 2, 3</t>
  </si>
  <si>
    <t>REC-00145_10.1021_acsami.9b22534.pdf</t>
  </si>
  <si>
    <t>9993e1f98dfb42a11eb5b52c8b415fdb8a2ed005d2df5b92f25ce7e3ba2d3a94</t>
  </si>
  <si>
    <t>Resistive textile strain sensor</t>
  </si>
  <si>
    <t>R1 | Data extraction 39!M3</t>
  </si>
  <si>
    <t>R2 | Extraction!J3</t>
  </si>
  <si>
    <t>Electrical resistance during loading and release is the strain response. Article explicitly calls the material piezoresistive. Classifies the demonstrated device; not a new eligibility decision.</t>
  </si>
  <si>
    <t>PDF page(s) 2, 3; §3.2 Strain performance; saved PDF pp. 2, 3</t>
  </si>
  <si>
    <t>Carbon-based commercial pen ink</t>
  </si>
  <si>
    <t>Commercial carbonic pen ink</t>
  </si>
  <si>
    <t>R1 | Data extraction 39!N3</t>
  </si>
  <si>
    <t>R2 | Extraction!K3</t>
  </si>
  <si>
    <t>Spandex/polyamide fabric</t>
  </si>
  <si>
    <t>R1 | Data extraction 39!O3</t>
  </si>
  <si>
    <t>R2 | Extraction!L3</t>
  </si>
  <si>
    <t>Dip coating; sensor attached/integrated on clothing</t>
  </si>
  <si>
    <t>Sewn onto clothes / T-shirt</t>
  </si>
  <si>
    <t>Pen-ink dip coating of existing knit; coated fabric attached/sewn into T-shirt, wrist/knee and other wearable sites.</t>
  </si>
  <si>
    <t>R1 | Data extraction 39!P3</t>
  </si>
  <si>
    <t>R2 | Extraction!M3</t>
  </si>
  <si>
    <t>Pen-ink dip coating of existing knit; coated fabric attached/sewn into T-shirt, wrist/knee and other wearable sites. Classifies the demonstrated device; not a new eligibility decision.</t>
  </si>
  <si>
    <t>§2.1 and wearable demonstrations; saved PDF pp. 2, 6, 7</t>
  </si>
  <si>
    <t>Wrist, finger and elbow motion; pulse and respiration monitoring</t>
  </si>
  <si>
    <t>Motion &amp; respiration (demo)</t>
  </si>
  <si>
    <t>Movement/posture/gait monitoring; Respiration; Pulse/heartbeat</t>
  </si>
  <si>
    <t>R1 | Data extraction 39!Q3</t>
  </si>
  <si>
    <t>R2 | Extraction!N3</t>
  </si>
  <si>
    <t>Finger/wrist/elbow movement, a T-shirt respiratory sensor, and wrist pulse were demonstrated; walking was also recorded. Classifies the demonstrated device; not a new eligibility decision.</t>
  </si>
  <si>
    <t>Wearable demonstrations; Fig. 5; saved PDF pp. 6, 7</t>
  </si>
  <si>
    <t>Human sample size: Not reported; Participant details: Not reported</t>
  </si>
  <si>
    <t>None (on-body demo)</t>
  </si>
  <si>
    <t>On-body demonstrations are reported; total participant number and demographics are not stated in the checked main-text sections.</t>
  </si>
  <si>
    <t>Signed V1 evidence is relevant to this field. Extract participant details per task from the cited PDF before finalizing the sample count.</t>
  </si>
  <si>
    <t>R1 | Data extraction 39!S3; R1 | Data extraction 39!T3</t>
  </si>
  <si>
    <t>R2 | Extraction!O3</t>
  </si>
  <si>
    <t>CONS | V1 consensus!H3</t>
  </si>
  <si>
    <t>Figure 6 and the application text describe finger, wrist and elbow motion, wrist pulse, respiration using an instrumented T-shirt, and knee monitoring during walking. These are application examples, not an enumerated cohort. Separates participant cohorts, bench tests, human repetitions, model training and actual reference use. Does not infer participant number from a photograph or a non-human n.</t>
  </si>
  <si>
    <t>Saved main PDF pp. 5, 6, 7</t>
  </si>
  <si>
    <t>Targeted check of the indicated main-text methods/results sections. Not an exhaustive supplementary-material review; absence is limited to the checked main text, not globally not reported.</t>
  </si>
  <si>
    <t>Human demonstrations reported; repeat-session design not reported</t>
  </si>
  <si>
    <t>A walking demonstration records approximately 100 steps; a separate-session or per-participant repetition protocol is not stated in the checked main text.</t>
  </si>
  <si>
    <t>R1 | Method quality 39!K3</t>
  </si>
  <si>
    <t>R2 | Extraction!P3</t>
  </si>
  <si>
    <t>Figure 6f is labelled 100-step walking; the accompanying text says knee bending was recorded during walking around a hundred steps. Steps must not be relabelled as sessions. Separates participant cohorts, bench tests, human repetitions, model training and actual reference use. Does not infer participant number from a photograph or a non-human n.</t>
  </si>
  <si>
    <t>Saved main PDF pp. 6, 7</t>
  </si>
  <si>
    <t>Bench resistance–strain characterization is reported, including loading/releasing at 0–30% strain for SP13; a participant-specific calibration protocol is not stated in the checked application text.</t>
  </si>
  <si>
    <t>R1 | Method quality 39!L3</t>
  </si>
  <si>
    <t>R2 | Extraction!Q3</t>
  </si>
  <si>
    <t>Figure 2b–e relates applied tensile strain to electrical resistance and relative resistance change. Figure 6 presents on-body signals without a separate quantitative personal calibration procedure. Separates participant cohorts, bench tests, human repetitions, model training and actual reference use. Does not infer participant number from a photograph or a non-human n.</t>
  </si>
  <si>
    <t>Saved main PDF pp. 3, 5, 6, 7</t>
  </si>
  <si>
    <t>No external gold-standard comparison identified</t>
  </si>
  <si>
    <t>None</t>
  </si>
  <si>
    <t>An independent on-body reference or comparator is not described in the checked application sections.</t>
  </si>
  <si>
    <t>R1 | Data extraction 39!U3</t>
  </si>
  <si>
    <t>R2 | Extraction!R3</t>
  </si>
  <si>
    <t>Figure 6 and accompanying application text present the textile sensor signals; Table 2 is a comparison with published textile sensors, not a simultaneous human-reference experiment. Separates participant cohorts, bench tests, human repetitions, model training and actual reference use. Does not infer participant number from a photograph or a non-human n.</t>
  </si>
  <si>
    <t>0–30%</t>
  </si>
  <si>
    <t>strain range of 0−30%</t>
  </si>
  <si>
    <t>0–30% for the reported SP13 sensor.</t>
  </si>
  <si>
    <t>R1 | Data extraction 39!W3</t>
  </si>
  <si>
    <t>R2 | Extraction!S3</t>
  </si>
  <si>
    <t>The current SP13 strain-response curve is assessed to 30%. Preserve the author-reported value and its measurement conditions; do not collapse distinct test types.</t>
  </si>
  <si>
    <t>PDF pp. 3, 4</t>
  </si>
  <si>
    <t>Approximately 62.9</t>
  </si>
  <si>
    <t>~772.6</t>
  </si>
  <si>
    <t>Representative SP13: GF approximately 62.9 over 0–30%; Table 1 gives 63.3. Eight-sensor mean GF 64.57 ± 2.40.</t>
  </si>
  <si>
    <t>Source conflict retained</t>
  </si>
  <si>
    <t>R1 | Data extraction 39!X3</t>
  </si>
  <si>
    <t>R2 | Extraction!T3</t>
  </si>
  <si>
    <t>The introduction attributes GF 772.6 to Cai et al.; current-study results report approximately 62.9, a table lists 63.3, and the eight-sensor summary reports 64.57 ± 2.40. Do not assign the cited prior-study GF to this paper; distinguish representative and device-mean values.</t>
  </si>
  <si>
    <t>PDF pp. 1, 3, 4, 5</t>
  </si>
  <si>
    <t>R² approximately 0.99 over 0–30% strain</t>
  </si>
  <si>
    <t>linearity (R2 ∼0.99</t>
  </si>
  <si>
    <t>R²≈0.99 over 0–30% strain.</t>
  </si>
  <si>
    <t>R1 | Data extraction 39!AA3</t>
  </si>
  <si>
    <t>R2 | Extraction!U3</t>
  </si>
  <si>
    <t>The article describes a linear fit y=ax+b and uses squared correlation R² to characterize the SP sensor response. Retains the reported result with its specific test, range and construct; does not extend it to untested conditions.</t>
  </si>
  <si>
    <t>Saved main PDF pp 3–5, Figs 2 and 4</t>
  </si>
  <si>
    <t>Negligible recovery hysteresis is described qualitatively; no numerical hysteresis metric extracted.</t>
  </si>
  <si>
    <t>R1 | Data extraction 39!AB3</t>
  </si>
  <si>
    <t>R2 | Extraction!V3</t>
  </si>
  <si>
    <t>Recovery of the original resistance and negligible hysteresis are described during loading and unloading. Adds qualitative evidence, not a computed hysteresis percentage.</t>
  </si>
  <si>
    <t>Saved main PDF p 3, Fig 2 c</t>
  </si>
  <si>
    <t>Stable over more than 5,000 cycles before and after washing</t>
  </si>
  <si>
    <t>Stable responses are reported over more than 5,000 cycles at 10% strain before and after washing; washing raises initial resistance from 37 to 41 kΩ.</t>
  </si>
  <si>
    <t>R1 | Data extraction 39!AC3</t>
  </si>
  <si>
    <t>R2 | Extraction!W3</t>
  </si>
  <si>
    <t>The post-wash test is described with 10% repeated strain and &gt;5,000 cycles; the baseline resistance shift after washing is explicitly reported. Distinguishes cyclic response stability from the separate washing-induced baseline change.</t>
  </si>
  <si>
    <t>Saved main PDF pp 4–5, durability/washability paragraphs</t>
  </si>
  <si>
    <t>Response time: Numerical value not reported in the available main article; supporting information is cited; Recovery time: Numerical value not reported in the available main article; supporting information is cited</t>
  </si>
  <si>
    <t>response of the SP13 s</t>
  </si>
  <si>
    <t>Response 37 ms; recovery 57 ms; exponential-fit estimates.</t>
  </si>
  <si>
    <t>Partially reconciled; conditions or specificity pending</t>
  </si>
  <si>
    <t>R1 | Data extraction 39!Y3; R1 | Data extraction 39!Z3</t>
  </si>
  <si>
    <t>R2 | Extraction!X3</t>
  </si>
  <si>
    <t>The transient response/recovery paragraph reports 37 and 57 ms with exponential fits and points to Figure S5. Preserve the author-reported value and its measurement conditions; do not collapse distinct test types.</t>
  </si>
  <si>
    <t>PDF pp. 4</t>
  </si>
  <si>
    <t>This is source checking by the assistant, not a second independent rating, new consensus or screening decision. Remaining limitation: Transient strain-step amplitude not established in the inspected passage.</t>
  </si>
  <si>
    <t>&gt;5,000 cycles</t>
  </si>
  <si>
    <t>5000 cycles</t>
  </si>
  <si>
    <t>5,000 cycles at 10% strain; washed-sensor testing also exceeds 5,000 cycles at 10%.</t>
  </si>
  <si>
    <t>R1 | Data extraction 39!AD3</t>
  </si>
  <si>
    <t>R2 | Extraction!Y3</t>
  </si>
  <si>
    <t>Figure 2f and the washing-results discussion explicitly state 10% strain and the respective repeated-cycle tests. Preserve the author-reported value and its measurement conditions; do not collapse distinct test types.</t>
  </si>
  <si>
    <t>PDF pp. 4, 5</t>
  </si>
  <si>
    <t>This is source checking by the assistant, not a second independent rating, new consensus or screening decision. Remaining limitation: Cycle rate for endurance tests not established in the inspected passages.</t>
  </si>
  <si>
    <t>Eight fabricated specimens: initial resistance 34.88±1.90 kΩ and GF 64.57±2.40. The ± statistic is not defined in the cited text.</t>
  </si>
  <si>
    <t>R1 | Method quality 39!P3</t>
  </si>
  <si>
    <t>R2 | Extraction!Z3</t>
  </si>
  <si>
    <t>Eight samples were fabricated and electrically tested; the article reports mean initial resistance and GF with ± variation. Corrects both-reviewer NR. Does not relabel the ± term as SD or CV, and does not repeat the blanket less-than 5% deviation claim as a calculated result.</t>
  </si>
  <si>
    <t>Saved main PDF p 5, section 3.2.4 and Fig 4 b</t>
  </si>
  <si>
    <t>Immersed in deionized water with vigorous stirring for 1 h; dried for 2 h at 60 °C; initial resistance changed from 37 to 41 kΩ with negligible loss of linearity or sensitivity</t>
  </si>
  <si>
    <t>Deionized-water vigorous stirring for 1 h, then drying for 2 h at 60 °C; initial resistance 37 to 41 kΩ, with little change in GF/linearity.</t>
  </si>
  <si>
    <t>R1 | Data extraction 39!AE3</t>
  </si>
  <si>
    <t>R2 | Extraction!AA3</t>
  </si>
  <si>
    <t>The washing protocol is an immersion/stirring test, followed by drying and strain-response checks. Do not label this as a specified number of standardized laundering cycles.</t>
  </si>
  <si>
    <t>R1 | Data extraction 39!AF3</t>
  </si>
  <si>
    <t>R2 | Extraction!AB3</t>
  </si>
  <si>
    <t>abrasion resistance</t>
  </si>
  <si>
    <t>R2 | Extraction!AC3</t>
  </si>
  <si>
    <t>Commercial stretch fabric with stated skin affinity</t>
  </si>
  <si>
    <t>air permeability and wear comfort wh</t>
  </si>
  <si>
    <t>R1 | Data extraction 39!AG3</t>
  </si>
  <si>
    <t>R2 | Extraction!AD3</t>
  </si>
  <si>
    <t>placement rate of 1 mm/min</t>
  </si>
  <si>
    <t>R1 | Method quality 39!T3</t>
  </si>
  <si>
    <t>R2 | Extraction!AE3</t>
  </si>
  <si>
    <t>R1 | Method quality 39!U3</t>
  </si>
  <si>
    <t>R2 | Extraction!AF3</t>
  </si>
  <si>
    <t>R1 | Method quality 39!V3</t>
  </si>
  <si>
    <t>R2 | Extraction!AG3</t>
  </si>
  <si>
    <t>Gauge factor approximately 62.9, R² approximately 0.99 over 0–30% strain, and stability beyond 5,000 cycles before and after washing.</t>
  </si>
  <si>
    <t>GF 65 over 0-30% (R2 0.99); 5000 wash cycles</t>
  </si>
  <si>
    <t>SP13 representative GF approximately 62.9 over 0–30% (R² approximately 0.99); eight-sensor mean GF 64.57 ± 2.40. Mechanical cycling: 5,000 cycles at 10%, including testing after a water-stirring wash.</t>
  </si>
  <si>
    <t>R1 | Data extraction 39!AH3</t>
  </si>
  <si>
    <t>R2 | Extraction!AH3</t>
  </si>
  <si>
    <t>The strain-response Results, device-reproducibility paragraph, durability test and washing procedure give these distinct quantities. Table 1 instead gives representative GF 63.3. Correct the erroneous “5,000 wash cycles”: these are mechanical strain cycles. Preserve representative-versus-mean GF and the 62.9/63.3 source difference.</t>
  </si>
  <si>
    <t>Retained main PDF pp. 1, 3, 4, 5</t>
  </si>
  <si>
    <t>Assistant source checking, not new independent human review, a screening decision or changed reviewer consensus. Original R1/R2 values are preserved. Remaining limitation: Representative GF is approximately 62.9 in text versus 63.3 in Table 1; retain the discrepancy or specify chosen source.</t>
  </si>
  <si>
    <t>Combines sensitivity, quantified linearity, cyclic testing, wash testing and on-body demonstrations</t>
  </si>
  <si>
    <t>R1 | Data extraction 39!AI3</t>
  </si>
  <si>
    <t>Participant number and comparator validation were not identified in the accessible sections</t>
  </si>
  <si>
    <t>R1 | Data extraction 39!AJ3</t>
  </si>
  <si>
    <t>Coated PU yarn strain sensor; can be woven into electronic fabrics</t>
  </si>
  <si>
    <t>Coated PU yarn (LBL)</t>
  </si>
  <si>
    <t>Fibre/yarn/thread sensing element</t>
  </si>
  <si>
    <t>R1 | Data extraction 39!L4</t>
  </si>
  <si>
    <t>R2 | Extraction!I4</t>
  </si>
  <si>
    <t>Layer-by-layer assembly deposits CB@CNC/natural-rubber conductive coating onto PU yarn using chitosan mediator. The characterized sensing unit is CPC@PU yarn. Classifies the demonstrated device; not a new eligibility decision.</t>
  </si>
  <si>
    <t>PDF page(s) 2, 3; Fabrication and Results, Fig1 text; saved PDF pp. 2, 3</t>
  </si>
  <si>
    <t>REC-00151_10.1021_acsami.6b01174.pdf</t>
  </si>
  <si>
    <t>7613c15478b60030c8da33720e3bc9e9380f3735317d4607796c4a295a44bb75</t>
  </si>
  <si>
    <t>Resistive yarn-based strain sensor</t>
  </si>
  <si>
    <t>R1 | Data extraction 39!M4</t>
  </si>
  <si>
    <t>R2 | Extraction!J4</t>
  </si>
  <si>
    <t>The CPC coating forms conductive networks; strain sensing uses change of electrical resistance of the coated PU yarn. Classifies the demonstrated device; not a new eligibility decision.</t>
  </si>
  <si>
    <t>PDF page(s) 2, 4; Results; strain-sensitive conductive yarn; saved PDF pp. 2, 4</t>
  </si>
  <si>
    <t>Carbon black/natural rubber conductive polymer composite with cellulose nanocrystals and chitosan-mediated LBL assembly</t>
  </si>
  <si>
    <t>Carbon-black/natural-rubber CPC</t>
  </si>
  <si>
    <t>R1 | Data extraction 39!N4</t>
  </si>
  <si>
    <t>R2 | Extraction!K4</t>
  </si>
  <si>
    <t>Polyurethane yarn</t>
  </si>
  <si>
    <t>Polyurethane yarn (woven into glove)</t>
  </si>
  <si>
    <t>R1 | Data extraction 39!O4</t>
  </si>
  <si>
    <t>R2 | Extraction!L4</t>
  </si>
  <si>
    <t>Layer-by-layer deposition of ultrathin CPC layer on PU yarn</t>
  </si>
  <si>
    <t>Woven into glove / attached</t>
  </si>
  <si>
    <t>Layer-by-layer conductive coating on PU yarn; yarn used as skin-attached elements and woven into a glove.</t>
  </si>
  <si>
    <t>R1 | Data extraction 39!P4</t>
  </si>
  <si>
    <t>R2 | Extraction!M4</t>
  </si>
  <si>
    <t>Layer-by-layer conductive coating on PU yarn; yarn used as skin-attached elements and woven into a glove. Classifies the demonstrated device; not a new eligibility decision.</t>
  </si>
  <si>
    <t>Fabrication and wearable demonstrations; saved PDF pp. 2, 3, 6, 7</t>
  </si>
  <si>
    <t>Tiny-motion monitoring, speech recognition, pulse, expression, swallowing, coughing</t>
  </si>
  <si>
    <t>Tiny-motion &amp; speech (demo)</t>
  </si>
  <si>
    <t>Movement/posture/gait monitoring; Pulse/heartbeat; Speech/swallowing/facial motion</t>
  </si>
  <si>
    <t>R1 | Data extraction 39!Q4</t>
  </si>
  <si>
    <t>R2 | Extraction!N4</t>
  </si>
  <si>
    <t>Yarn in a glove monitored grasp/hold/release; skin-mounted yarn measured radial pulse, speech, swallowing/coughing/chewing and facial expressions. Classifies the demonstrated device; not a new eligibility decision.</t>
  </si>
  <si>
    <t>Human-motion demonstrations; Figs. 4–5; saved PDF pp. 6, 7</t>
  </si>
  <si>
    <t>None (healthy subject demo)</t>
  </si>
  <si>
    <t>The pulse demonstrator is a healthy 25-year-old male, 174 cm tall; facial demonstrations use a female. A healthy subject is described for throat measurements. Total cohort size and whether demonstrations share participants are not stated.</t>
  </si>
  <si>
    <t>R1 | Data extraction 39!S4; R1 | Data extraction 39!T4</t>
  </si>
  <si>
    <t>R2 | Extraction!O4</t>
  </si>
  <si>
    <t>CONS | V1 consensus!H4</t>
  </si>
  <si>
    <t>The Figure 7 discussion explicitly supplies the pulse demonstrator age, sex and height. The Figure 8 discussion explicitly describes a female for forehead measurements. Figure 6 describes a healthy subject for vocal-cord motion. Do not derive a total n from images or merge these descriptions into one person. Separates participant cohorts, bench tests, human repetitions, model training and actual reference use. Does not infer participant number from a photograph or a non-human n.</t>
  </si>
  <si>
    <t>Saved main PDF pp. 5, 7</t>
  </si>
  <si>
    <t>Repeated speech, facial-expression and hand-motion traces are reported; number of separate human sessions and a formal per-participant repetition protocol are not stated in the checked sections.</t>
  </si>
  <si>
    <t>R1 | Method quality 39!K4</t>
  </si>
  <si>
    <t>R2 | Extraction!P4</t>
  </si>
  <si>
    <t>Figures 6–9 show repeated signal patterns. The 10,000 loading–unloading cycles concern bench durability and are not human sessions. Separates participant cohorts, bench tests, human repetitions, model training and actual reference use. Does not infer participant number from a photograph or a non-human n.</t>
  </si>
  <si>
    <t>Bench strain-response/sensitivity characterization is reported; a participant-specific calibration procedure is not stated in the checked on-body sections.</t>
  </si>
  <si>
    <t>R1 | Method quality 39!L4</t>
  </si>
  <si>
    <t>R2 | Extraction!Q4</t>
  </si>
  <si>
    <t>Figure 5 characterizes strain sensitivity and gauge factor. Figures 6–9 describe recording current/resistance during on-body activities, without an individual calibration model. Separates participant cohorts, bench tests, human repetitions, model training and actual reference use. Does not infer participant number from a photograph or a non-human n.</t>
  </si>
  <si>
    <t>Saved main PDF pp. 4, 5, 6, 7</t>
  </si>
  <si>
    <t>No explicit external gold-standard comparison</t>
  </si>
  <si>
    <t>An independent reference measurement is not described in the checked on-body sections; the 78 beats/min value is derived from the textile sensor trace.</t>
  </si>
  <si>
    <t>R1 | Data extraction 39!U4</t>
  </si>
  <si>
    <t>R2 | Extraction!R4</t>
  </si>
  <si>
    <t>The Figure 7 text reports pulse frequency and waveform features directly from the sensor, rather than reporting agreement with ECG, PPG or another independent instrument. Speech/facial/glove demonstrations likewise show sensor traces. Separates participant cohorts, bench tests, human repetitions, model training and actual reference use. Does not infer participant number from a photograph or a non-human n.</t>
  </si>
  <si>
    <t>Minimum resolved strain 0.1%; repeated sensing illustrated at 1–3%. At 5%, severe conductive-network damage causes an abrupt signal drop.</t>
  </si>
  <si>
    <t>R1 | Data extraction 39!W4</t>
  </si>
  <si>
    <t>R2 | Extraction!S4</t>
  </si>
  <si>
    <t>Evaluated 0.1–3%; occasional drops discussed at 5%</t>
  </si>
  <si>
    <t>PDF page(s) 4; Fig.5a–b</t>
  </si>
  <si>
    <t>Earlier proposal rechecked; use current working value in E and source evidence in R:W. Not new human consensus.</t>
  </si>
  <si>
    <t>The Results separate the 0.1% low-strain response, repeated 1–3% response and breakdown at 5%. Do not state a stable 0–5% operating interval.</t>
  </si>
  <si>
    <t>39</t>
  </si>
  <si>
    <t>GF of 70.6</t>
  </si>
  <si>
    <t>50-bilayer sensor: GF 38.9 at 1% strain. Separate 25- and 100-bilayer variants give GF 70.6 and 18.0.</t>
  </si>
  <si>
    <t>R1 | Data extraction 39!X4</t>
  </si>
  <si>
    <t>R2 | Extraction!T4</t>
  </si>
  <si>
    <t>GF about 38.9 at 1% for the 50-LBL sensor; separate before/after-cycle fits 43.2 and 42.6</t>
  </si>
  <si>
    <t>PDF page(s) 4; Fig.5c–d</t>
  </si>
  <si>
    <t>GF depends on layer-by-layer coating count, with separate values for 25, 50 and 100 bilayers. Preserve the author-reported value and its measurement conditions; do not collapse distinct test types.</t>
  </si>
  <si>
    <t>This is source checking by the assistant, not a second independent rating, new consensus or screening decision. Remaining limitation: Exact strain interval for the 25- and 100-bilayer GF values requires Figure 5c-specific verification.</t>
  </si>
  <si>
    <t>Designed for high sensitivity in tiny-motion regime rather than broad linear range</t>
  </si>
  <si>
    <t>Tiny-strain sensitivity is described; no numerical strain–response linearity statistic extracted from the cited passages.</t>
  </si>
  <si>
    <t>R1 | Data extraction 39!AA4</t>
  </si>
  <si>
    <t>R2 | Extraction!U4</t>
  </si>
  <si>
    <t>The text emphasizes high sensitivity to very small deformation and response under repeated extension. A small sensing range or high GF is not itself quantified linearity.</t>
  </si>
  <si>
    <t>Saved main PDF pp 4–5, electromechanical results</t>
  </si>
  <si>
    <t>Not explicitly quantified in accessible text</t>
  </si>
  <si>
    <t>No numerical electrical hysteresis metric extracted from the inspected electromechanical passages.</t>
  </si>
  <si>
    <t>R1 | Data extraction 39!AB4</t>
  </si>
  <si>
    <t>R2 | Extraction!V4</t>
  </si>
  <si>
    <t>The inspected text describes strain sensitivity and repeated responses but does not supply an extracted scalar hysteresis outcome. Bounded absence check only; no new global NR claim.</t>
  </si>
  <si>
    <t>Saved main PDF pp 4–5, electrical tests</t>
  </si>
  <si>
    <t>Good reproducibility reported</t>
  </si>
  <si>
    <t>Qualitative repeatability/stability is reported through 10,000 repeated cycles; no separate drift scalar extracted.</t>
  </si>
  <si>
    <t>R1 | Data extraction 39!AC4</t>
  </si>
  <si>
    <t>R2 | Extraction!W4</t>
  </si>
  <si>
    <t>Cyclic electrical responses are used to support a reproducibility claim. Cyclic repetition is kept separate from independent device reproducibility.</t>
  </si>
  <si>
    <t>Saved main PDF pp 4–5, cyclic stability results</t>
  </si>
  <si>
    <t>Response time: NR in accessible text; Recovery time: Not reported</t>
  </si>
  <si>
    <t>R1 | Data extraction 39!Y4; R1 | Data extraction 39!Z4</t>
  </si>
  <si>
    <t>R2 | Extraction!X4</t>
  </si>
  <si>
    <t>10,000 cycles</t>
  </si>
  <si>
    <t>000 cycles and excellent wash- and corro</t>
  </si>
  <si>
    <t>10,000 stretching–releasing cycles at 1% strain.</t>
  </si>
  <si>
    <t>R1 | Data extraction 39!AD4</t>
  </si>
  <si>
    <t>R2 | Extraction!Y4</t>
  </si>
  <si>
    <t>10,000 stretch–release cycles at 1% strain</t>
  </si>
  <si>
    <t>PDF page(s) 4, 5; Fig.5d and discussion</t>
  </si>
  <si>
    <t>Figure 5d and the associated discussion identify 10,000 cycles at 1%. Preserve the author-reported value and its measurement conditions; do not collapse distinct test types.</t>
  </si>
  <si>
    <t>This is source checking by the assistant, not a second independent rating, new consensus or screening decision. Remaining limitation: Cycle rate not established in inspected passage.</t>
  </si>
  <si>
    <t>No independent between-device electrical variability statistic established by the inspected passages; five yarn pieces in a glove are sensing elements, not five independently replicated gloves.</t>
  </si>
  <si>
    <t>R1 | Method quality 39!P4</t>
  </si>
  <si>
    <t>R2 | Extraction!Z4</t>
  </si>
  <si>
    <t>The article shows electrical cycling and weaving five sensing-yarn pieces into glove fingers. Removes an unsupported device-reproducibility-positive implication.</t>
  </si>
  <si>
    <t>Saved main PDF pp 4–5 and 7, Fig 9</t>
  </si>
  <si>
    <t>Excellent wash durability reported qualitatively</t>
  </si>
  <si>
    <t>washing durability</t>
  </si>
  <si>
    <t>R1 | Data extraction 39!AE4</t>
  </si>
  <si>
    <t>R2 | Extraction!AA4</t>
  </si>
  <si>
    <t>Good wash- and corrosion-resistance; boiled water, detergent, acid, and alkaline robustness discussed</t>
  </si>
  <si>
    <t>R1 | Data extraction 39!AF4</t>
  </si>
  <si>
    <t>R2 | Extraction!AB4</t>
  </si>
  <si>
    <t>R2 | Extraction!AC4</t>
  </si>
  <si>
    <t>Yarn can be woven into functional electronic fabrics; wearable textile potential emphasized</t>
  </si>
  <si>
    <t>R1 | Data extraction 39!AG4</t>
  </si>
  <si>
    <t>R2 | Extraction!AD4</t>
  </si>
  <si>
    <t>prestrained anisotropic silve</t>
  </si>
  <si>
    <t>R1 | Method quality 39!T4</t>
  </si>
  <si>
    <t>R2 | Extraction!AE4</t>
  </si>
  <si>
    <t>No</t>
  </si>
  <si>
    <t>PCbased strain sensors, vari</t>
  </si>
  <si>
    <t>R1 | Method quality 39!U4</t>
  </si>
  <si>
    <t>R2 | Extraction!AF4</t>
  </si>
  <si>
    <t>R1 | Method quality 39!V4</t>
  </si>
  <si>
    <t>R2 | Extraction!AG4</t>
  </si>
  <si>
    <t>C1-C6 were identified in the full text. Textile evidence: When the tester bends his fingers, the CPC@PU yarn woven in glove is stretched, and gives corresponding current signal (Figure 9, Movie S4). Human evidence: As shown in Figure 6, a CPC@PU yarn strain sensor is attached to the neck to detect the muscle motions of the vocal cords of a healthy subject. Quantitative evidence: As given in Figure 1, significant drop in electrical resistance can be observed with incipient LBL cycles (&lt;50 cycles), resulting from the gradual construction of conductive networks on the surface of PU yarn.</t>
  </si>
  <si>
    <t>GF 39; 10,000 cycles; wash/acid/alkali durable</t>
  </si>
  <si>
    <t>The 50-bilayer yarn has GF 38.9 at 1% strain and undergoes 10,000 stretching–releasing cycles at 1%; separate 25- and 100-bilayer variants have different sensitivities.</t>
  </si>
  <si>
    <t>R1 | Data extraction 39!AH4</t>
  </si>
  <si>
    <t>R2 | Extraction!AH4</t>
  </si>
  <si>
    <t>The Results give GF by layer count and Figure 5d specifies 10,000 cycles at 1%. The original “&lt;50 LBL cycles” concerns coating fabrication, not fatigue testing; replace eligibility boilerplate with a genuine sensor result.</t>
  </si>
  <si>
    <t>Retained main PDF pp. 4, 5</t>
  </si>
  <si>
    <t>Strong early yarn-based paper for tiny-motion sensing with unusually broad robustness discussion including washing and corrosion</t>
  </si>
  <si>
    <t>R1 | Data extraction 39!AI4</t>
  </si>
  <si>
    <t>Older paper and less focused on garment-level deployment than some newer studies</t>
  </si>
  <si>
    <t>R1 | Data extraction 39!AJ4</t>
  </si>
  <si>
    <t>Sensing shirt with one textile-integrated strain sensor and two IMUs</t>
  </si>
  <si>
    <t>Knitted piezoresistive fabric (KPF)</t>
  </si>
  <si>
    <t>Full text: Abstract; sensing-shirt description; participant evaluation; Tables 1-2</t>
  </si>
  <si>
    <t>R1 | Data extraction 39!L5</t>
  </si>
  <si>
    <t>R2 | Extraction!I5</t>
  </si>
  <si>
    <t>PDF pp.3–4, Instrumentation and Fig.1 description</t>
  </si>
  <si>
    <t>The strain-sensing material is explicitly knitted piezoresistive fabric integrated into a sensing shirt. Classifies the demonstrated device; not a new eligibility decision.</t>
  </si>
  <si>
    <t>PDF pp.3–4, Instrumentation and Fig.1 description; saved PDF pp. 3, 4</t>
  </si>
  <si>
    <t>REC-00220_10.1186_s12984-016-0149-2.pdf</t>
  </si>
  <si>
    <t>b0c3fb29a93cf43ed4c31b13047340c986760121cd1798ec1c050ef82d5df890</t>
  </si>
  <si>
    <t>Textile strain sensing combined with inertial sensing; transduction details was not reported in the available full text</t>
  </si>
  <si>
    <t>R1 | Data extraction 39!M5</t>
  </si>
  <si>
    <t>R2 | Extraction!J5</t>
  </si>
  <si>
    <t>Resistive (knitted piezoresistive fabric)</t>
  </si>
  <si>
    <t>PDF p.4, Instrumentation, Eq.3</t>
  </si>
  <si>
    <t>Smartex knitted piezoresistive fabric is used to detect scapula sliding through resistance changes. Classifies the demonstrated device; not a new eligibility decision.</t>
  </si>
  <si>
    <t>PDF p.4, Instrumentation, Eq.3; saved PDF pp. 4, 3</t>
  </si>
  <si>
    <t>Knitted conductive fabric</t>
  </si>
  <si>
    <t>R1 | Data extraction 39!N5</t>
  </si>
  <si>
    <t>R2 | Extraction!K5</t>
  </si>
  <si>
    <t>Shirt/garment substrate</t>
  </si>
  <si>
    <t>Sensing shirt (with IMUs)</t>
  </si>
  <si>
    <t>R1 | Data extraction 39!O5</t>
  </si>
  <si>
    <t>R2 | Extraction!L5</t>
  </si>
  <si>
    <t>Sensor integrated into a sensing shirt</t>
  </si>
  <si>
    <t>Integrated into shirt</t>
  </si>
  <si>
    <t>Knitted piezoresistive sensor fabric integrated in a sensing shirt; combined with inertial units.</t>
  </si>
  <si>
    <t>R1 | Data extraction 39!P5</t>
  </si>
  <si>
    <t>R2 | Extraction!M5</t>
  </si>
  <si>
    <t>Knitted piezoresistive sensor fabric integrated in a sensing shirt; combined with inertial units. Classifies the demonstrated device; not a new eligibility decision.</t>
  </si>
  <si>
    <t>Instrumentation; saved PDF pp. 3, 4</t>
  </si>
  <si>
    <t>Scapular–humeral rhythm and upper-limb kinematics for rehabilitation assessment</t>
  </si>
  <si>
    <t>Shoulder/scapula kinematics</t>
  </si>
  <si>
    <t>R1 | Data extraction 39!Q5</t>
  </si>
  <si>
    <t>R2 | Extraction!N5</t>
  </si>
  <si>
    <t>Five volunteers repeated sagittal arm flexion and frontal abduction while the sensing shirt tracked scapular-girdle movement. Classifies the demonstrated device; not a new eligibility decision.</t>
  </si>
  <si>
    <t>Data collection and initial analysis; saved PDF pp. 4, 5</t>
  </si>
  <si>
    <t>Human sample size: 5; Participant details: Five participants; detailed demographics was not reported in the available full text</t>
  </si>
  <si>
    <t>5 subjects</t>
  </si>
  <si>
    <t>5 volunteers without shoulder pathology; all described as healthy. Detailed age/sex not stated in the checked main text.</t>
  </si>
  <si>
    <t>R1 | Data extraction 39!S5; R1 | Data extraction 39!T5</t>
  </si>
  <si>
    <t>R2 | Extraction!O5</t>
  </si>
  <si>
    <t>Instrumentation; Data collection and initial analysis; Results; limitations of model calibration. Separates participant cohorts, bench tests, human repetitions, model training and experimental reference use.</t>
  </si>
  <si>
    <t>Saved main PDF pp. 4, 8, 12</t>
  </si>
  <si>
    <t>Repeated arm abduction and sagittal-plane flexion movements</t>
  </si>
  <si>
    <t>Initial sagittal flexion and frontal abduction repeated five times each. Subsequent evaluation movements repeated three times. Separate-day sessions not stated.</t>
  </si>
  <si>
    <t>R1 | Method quality 39!K5</t>
  </si>
  <si>
    <t>R2 | Extraction!P5</t>
  </si>
  <si>
    <t>Subject-specific model parameter identification</t>
  </si>
  <si>
    <t>calibration procedure for the identificatio</t>
  </si>
  <si>
    <t>Subject-specific kinematic parameter identification using optically measured planar trajectories; IMU-to-segment alignment in the anatomical pose.</t>
  </si>
  <si>
    <t>R1 | Method quality 39!L5</t>
  </si>
  <si>
    <t>R2 | Extraction!Q5</t>
  </si>
  <si>
    <t>Yes — optical reference system</t>
  </si>
  <si>
    <t>Optical reference system</t>
  </si>
  <si>
    <t>BTS Smart DX 100 optical reference measuring sternum, acromion and trochlea markers.</t>
  </si>
  <si>
    <t>R1 | Data extraction 39!U5</t>
  </si>
  <si>
    <t>R2 | Extraction!R5</t>
  </si>
  <si>
    <t>R1 | Data extraction 39!W5</t>
  </si>
  <si>
    <t>R2 | Extraction!S5</t>
  </si>
  <si>
    <t>R1 | Data extraction 39!X5</t>
  </si>
  <si>
    <t>R2 | Extraction!T5</t>
  </si>
  <si>
    <t>R1 | Data extraction 39!AA5</t>
  </si>
  <si>
    <t>R2 | Extraction!U5</t>
  </si>
  <si>
    <t>R1 | Data extraction 39!AB5</t>
  </si>
  <si>
    <t>R2 | Extraction!V5</t>
  </si>
  <si>
    <t>R1 | Data extraction 39!AC5</t>
  </si>
  <si>
    <t>R2 | Extraction!W5</t>
  </si>
  <si>
    <t>R1 | Data extraction 39!Y5; R1 | Data extraction 39!Z5</t>
  </si>
  <si>
    <t>R2 | Extraction!X5</t>
  </si>
  <si>
    <t>R1 | Data extraction 39!AD5</t>
  </si>
  <si>
    <t>R2 | Extraction!Y5</t>
  </si>
  <si>
    <t>R1 | Method quality 39!P5</t>
  </si>
  <si>
    <t>R2 | Extraction!Z5</t>
  </si>
  <si>
    <t>R1 | Data extraction 39!AE5</t>
  </si>
  <si>
    <t>R2 | Extraction!AA5</t>
  </si>
  <si>
    <t>R1 | Data extraction 39!AF5</t>
  </si>
  <si>
    <t>R2 | Extraction!AB5</t>
  </si>
  <si>
    <t>R2 | Extraction!AC5</t>
  </si>
  <si>
    <t>R1 | Data extraction 39!AG5</t>
  </si>
  <si>
    <t>R2 | Extraction!AD5</t>
  </si>
  <si>
    <t>Ad-hoc sensing shirt; an explicit placement/pretension protocol was not reported</t>
  </si>
  <si>
    <t>placement of the use of the deltoi</t>
  </si>
  <si>
    <t>R1 | Method quality 39!T5</t>
  </si>
  <si>
    <t>R2 | Extraction!AE5</t>
  </si>
  <si>
    <t>Two IMUs plus one textile strain sensor</t>
  </si>
  <si>
    <t>R1 | Method quality 39!U5</t>
  </si>
  <si>
    <t>R2 | Extraction!AF5</t>
  </si>
  <si>
    <t>Available online: https://www</t>
  </si>
  <si>
    <t>R1 | Method quality 39!V5</t>
  </si>
  <si>
    <t>R2 | Extraction!AG5</t>
  </si>
  <si>
    <t>Compared with the optical reference, reported position error decreased from 11.5 cm with the simplified model to 1.8 cm with the bi-articular model.</t>
  </si>
  <si>
    <t>Bi-articular model error vs optical reference</t>
  </si>
  <si>
    <t>Against optical tracking, the maximum position-specific mean Euclidean position error was 11.5 cm for the socket-ball model and 1.8 cm for the calibrated bi-articular model (five volunteers, three trials).</t>
  </si>
  <si>
    <t>R1 | Data extraction 39!AH5</t>
  </si>
  <si>
    <t>R2 | Extraction!AH5</t>
  </si>
  <si>
    <t>Tables 3 and 4 report mean ± SD Euclidean errors at individual arm positions. The text identifies the worst position-specific mean of 1.8 cm for the bi-articular model; Table 4 contains 11.5 ± 1.1 cm for the simplified model. These are maxima among position-specific mean errors, not a pooled mean, RMSE or joint-angle error.</t>
  </si>
  <si>
    <t>Retained main PDF pp. 9, 10, 11</t>
  </si>
  <si>
    <t>Participant-based garment validation against an optical reference system</t>
  </si>
  <si>
    <t>R1 | Data extraction 39!AI5</t>
  </si>
  <si>
    <t>Small human sample; device robustness and garment-care testing were not reported</t>
  </si>
  <si>
    <t>R1 | Data extraction 39!AJ5</t>
  </si>
  <si>
    <t>Three-dimensional embroidered smart glove</t>
  </si>
  <si>
    <t>Embroidered (3D slit stitch)</t>
  </si>
  <si>
    <t>Embroidery/stitch-based sensing structure</t>
  </si>
  <si>
    <t>Full text: participant protocol; smart-glove evaluation; motion-classification and durability results</t>
  </si>
  <si>
    <t>R1 | Data extraction 39!L6</t>
  </si>
  <si>
    <t>R2 | Extraction!I6</t>
  </si>
  <si>
    <t>Computerized embroidery uses silver-plated nylon yarn. Three-dimensional slit/contact-point/stitch-density configurations form the active sensing architecture. Classifies the demonstrated device; not a new eligibility decision.</t>
  </si>
  <si>
    <t>PDF page(s) 9, 13, 14; Methods: Sensor materials and fabrication; glove-type platform; saved PDF pp. 9, 13, 14</t>
  </si>
  <si>
    <t>REC-00237_10.1038_s41598-026-52545-0.pdf</t>
  </si>
  <si>
    <t>91db1fbbcf2cd4fa52865b5da6eb5cb88612838ff49fff88122a48552d365e65</t>
  </si>
  <si>
    <t>Resistive contact-area variation in a folded multilayer embroidered structure</t>
  </si>
  <si>
    <t>Resistive (contact-area variation)</t>
  </si>
  <si>
    <t>R1 | Data extraction 39!M6</t>
  </si>
  <si>
    <t>R2 | Extraction!J6</t>
  </si>
  <si>
    <t>Resistance changes as conductive embroidered elements make or lose contact; voltage readout follows this resistive contact-area mechanism. Classifies the demonstrated device; not a new eligibility decision.</t>
  </si>
  <si>
    <t>PDF page(s) 2, 15; Contact-area mechanism; Experimental setup; saved PDF pp. 2, 15</t>
  </si>
  <si>
    <t>Silver-plated Nylon 6 conductive yarn (140 denier, 1 ply/48 filaments, 17% Ag)</t>
  </si>
  <si>
    <t>Silver-plated conductive thread</t>
  </si>
  <si>
    <t>R1 | Data extraction 39!N6</t>
  </si>
  <si>
    <t>R2 | Extraction!K6</t>
  </si>
  <si>
    <t>Glove textile with embroidered sensor structure</t>
  </si>
  <si>
    <t>Glove base fabric</t>
  </si>
  <si>
    <t>R1 | Data extraction 39!O6</t>
  </si>
  <si>
    <t>R2 | Extraction!L6</t>
  </si>
  <si>
    <t>Three-dimensional embroidery with a slit/folded multilayer configuration</t>
  </si>
  <si>
    <t>Embroidered into glove</t>
  </si>
  <si>
    <t>Silver-coated nylon embroidery on tricot substrate; folded/slit three-dimensional contact sensor; embroidered glove interconnections.</t>
  </si>
  <si>
    <t>R1 | Data extraction 39!P6</t>
  </si>
  <si>
    <t>R2 | Extraction!M6</t>
  </si>
  <si>
    <t>Silver-coated nylon embroidery on tricot substrate; folded/slit three-dimensional contact sensor; embroidered glove interconnections. Classifies the demonstrated device; not a new eligibility decision.</t>
  </si>
  <si>
    <t>Methods; saved PDF pp. 9, 10, 13, 14</t>
  </si>
  <si>
    <t>Finger-motion monitoring with repeated wearable trials</t>
  </si>
  <si>
    <t>Finger-joint / rehab</t>
  </si>
  <si>
    <t>R1 | Data extraction 39!Q6</t>
  </si>
  <si>
    <t>R2 | Extraction!N6</t>
  </si>
  <si>
    <t>Seven participants performed repeated finger flexion–extension using the glove; video-based hand-skin strain informed sensor placement. Classifies the demonstrated device; not a new eligibility decision.</t>
  </si>
  <si>
    <t>Glove platform; Experimental design; saved PDF pp. 13, 14, 15</t>
  </si>
  <si>
    <t>Human sample size: 7; Participant details: Seven female participants, 25-31 years</t>
  </si>
  <si>
    <t>Participants (28.4+/-2.2 yr)</t>
  </si>
  <si>
    <t>7 female participants, 25-31 years (28.43 +/- 2.19 years), in the glove experiment. A separate placement study used 5 participants; overlap is not stated, so these are not summed.</t>
  </si>
  <si>
    <t>R1 | Data extraction 39!S6; R1 | Data extraction 39!T6</t>
  </si>
  <si>
    <t>R2 | Extraction!O6</t>
  </si>
  <si>
    <t>Sensor positioning study; Participants; Experimental protocol and Data analysis. Do not add the placement cohort to the main cohort. Separates participant cohorts, bench tests, human repetitions, model training and experimental reference use.</t>
  </si>
  <si>
    <t>Saved main PDF pp. 13, 14, 15</t>
  </si>
  <si>
    <t>Three repeated motion sets; 10 cycles per finger</t>
  </si>
  <si>
    <t>Three sets of 10 finger flexion-extension cycles per finger at 1 Hz, with 60-s rests. Full protocol 170 s. Separate-day sessions not specified.</t>
  </si>
  <si>
    <t>R1 | Method quality 39!K6</t>
  </si>
  <si>
    <t>R2 | Extraction!P6</t>
  </si>
  <si>
    <t>Sensor placement and hand morphology were standardized; no separate calibration curve was reported</t>
  </si>
  <si>
    <t>machine learning efficiency</t>
  </si>
  <si>
    <t>Hand morphology, placement and wearing standardized; a 3D-printed angle indicator guided approximately 0-90 degree motion. This is controlled task setup, not a separate fitted strain-to-angle calibration.</t>
  </si>
  <si>
    <t>R1 | Method quality 39!L6</t>
  </si>
  <si>
    <t>R2 | Extraction!Q6</t>
  </si>
  <si>
    <t>Video frame-by-frame review confirmed performed motion cycles; no external angle/force gold standard identified</t>
  </si>
  <si>
    <t>Reference motion-cycle count</t>
  </si>
  <si>
    <t>Synchronized video verified the prescribed 10-cycle reference count. A 3D-printed angle indicator guided movement; no continuous external angle trace is established by this protocol.</t>
  </si>
  <si>
    <t>R1 | Data extraction 39!U6</t>
  </si>
  <si>
    <t>R2 | Extraction!R6</t>
  </si>
  <si>
    <t>R1 | Data extraction 39!W6</t>
  </si>
  <si>
    <t>R2 | Extraction!S6</t>
  </si>
  <si>
    <t>R1 | Data extraction 39!X6</t>
  </si>
  <si>
    <t>R2 | Extraction!T6</t>
  </si>
  <si>
    <t>R1 | Data extraction 39!AA6</t>
  </si>
  <si>
    <t>R2 | Extraction!U6</t>
  </si>
  <si>
    <t>R1 | Data extraction 39!AB6</t>
  </si>
  <si>
    <t>R2 | Extraction!V6</t>
  </si>
  <si>
    <t>Inter-trial reproducibility r = 0.972; baseline drift &lt;1%</t>
  </si>
  <si>
    <t>baseline drift20</t>
  </si>
  <si>
    <t>Repeated-motion-set correlations for optimized S1 average 0.972,0.976 and 0.964 for set pairs 1–2,1–3 and 2–3. The abstract reports baseline drift&lt;1%; Table 5 labels the baseline-drift values in mV, so that unit inconsistency remains flagged.</t>
  </si>
  <si>
    <t>Source ambiguity retained: baseline-drift units</t>
  </si>
  <si>
    <t>R1 | Data extraction 39!AC6</t>
  </si>
  <si>
    <t>R2 | Extraction!W6</t>
  </si>
  <si>
    <t>Seven-participant finger-motion recordings comprise three sets of 10 cycles; correlations compare motion sets. Baseline drift is defined from resting segments as percentage change, whereas Table 5 uses an mV heading. Does not treat a motion-set correlation as a device replication statistic or silently convert Table 5 values into percentages.</t>
  </si>
  <si>
    <t>Saved main PDF p 1 abstract; p 4 Table 2; pp 5–6 Table 5; p 15 drift definition</t>
  </si>
  <si>
    <t>R1 | Data extraction 39!Y6; R1 | Data extraction 39!Z6</t>
  </si>
  <si>
    <t>R2 | Extraction!X6</t>
  </si>
  <si>
    <t>20,000 Martindale abrasion cycles; wearable motion repeated in three sets of 10 cycles per finger</t>
  </si>
  <si>
    <t>10 cycles), verified using synchronized</t>
  </si>
  <si>
    <t>Three sets of 10 motions per finger demonstrate repeatability; 20,000 Martindale rubs are a separate abrasion test.</t>
  </si>
  <si>
    <t>R1 | Data extraction 39!AD6</t>
  </si>
  <si>
    <t>R2 | Extraction!Y6</t>
  </si>
  <si>
    <t>The application repeatability and Martindale procedures have different mechanical loads and purposes. Do not combine human movement repetitions and abrasion rubs into a tensile cycle count.</t>
  </si>
  <si>
    <t>PDF pp. 8, 15</t>
  </si>
  <si>
    <t>This is source checking by the assistant, not a second independent rating, new consensus or screening decision. Remaining limitation: A tensile-strain endurance protocol is not established by these passages.</t>
  </si>
  <si>
    <t>Eight configurations assessed; inter-trial reproducibility r = 0.972</t>
  </si>
  <si>
    <t>Eight design configurations are compared. The reported r=0.972 refers to repeated motion sets, not agreement between independently manufactured devices.</t>
  </si>
  <si>
    <t>R1 | Method quality 39!P6</t>
  </si>
  <si>
    <t>R2 | Extraction!Z6</t>
  </si>
  <si>
    <t>Configuration comparisons and three motion sets are described. Corrects the unit of analysis; no between-device variability extracted.</t>
  </si>
  <si>
    <t>Saved main PDF pp 3–4, configurations and Table 2; pp 14–15 human protocol</t>
  </si>
  <si>
    <t>R1 | Data extraction 39!AE6</t>
  </si>
  <si>
    <t>R2 | Extraction!AA6</t>
  </si>
  <si>
    <t>20,000 Martindale abrasion rubs at 9 kPa under KS K ISO 12947-2:2016; no yarn breakage or visible damage</t>
  </si>
  <si>
    <t>The 20,000-cycle Martindale result belongs in Abrasion, not a temperature, humidity or sweat exposure category.</t>
  </si>
  <si>
    <t>R1 | Data extraction 39!AF6</t>
  </si>
  <si>
    <t>R2 | Extraction!AB6</t>
  </si>
  <si>
    <t>The cited test is mechanical rubbing at 9 kPa under an abrasion standard. Retain the result in Abrasion; do not count it again as environmental exposure.</t>
  </si>
  <si>
    <t>PDF pp. 8</t>
  </si>
  <si>
    <t>This is source checking by the assistant, not a second independent rating, new consensus or screening decision. Remaining limitation: Other environmental exposures are not reverified by this correction.</t>
  </si>
  <si>
    <t>Martindale abrasion cycles</t>
  </si>
  <si>
    <t>20,000 Martindale rubbing cycles; KS K ISO 12947-2:2016, 9 kPa, 595 ± 7 g; no conductive-yarn breakage/detachment.</t>
  </si>
  <si>
    <t>R2 | Extraction!AC6</t>
  </si>
  <si>
    <t>The durability paragraph names the abrasion standard, load and termination observation. This is abrasion resistance, not tensile-strain endurance.</t>
  </si>
  <si>
    <t>Wearer comfort was considered in assembly, but no quantitative comfort or breathability outcome was reported</t>
  </si>
  <si>
    <t>R1 | Data extraction 39!AG6</t>
  </si>
  <si>
    <t>R2 | Extraction!AD6</t>
  </si>
  <si>
    <t>Placement and hand morphology standardized</t>
  </si>
  <si>
    <t>placement, and density, even on co</t>
  </si>
  <si>
    <t>R1 | Method quality 39!T6</t>
  </si>
  <si>
    <t>R2 | Extraction!AE6</t>
  </si>
  <si>
    <t>Signal amplitude reported; electronics details was not reported in the available full text</t>
  </si>
  <si>
    <t>ADC and can handle 8 ch</t>
  </si>
  <si>
    <t>R1 | Method quality 39!U6</t>
  </si>
  <si>
    <t>R2 | Extraction!AF6</t>
  </si>
  <si>
    <t>Supplementary Information (Fig</t>
  </si>
  <si>
    <t>R1 | Method quality 39!V6</t>
  </si>
  <si>
    <t>R2 | Extraction!AG6</t>
  </si>
  <si>
    <t>Peak detection was 100%; inter-trial reproducibility r = 0.972; baseline drift was &lt;1%; signal amplitude was 15–80 mV.</t>
  </si>
  <si>
    <t>Peak-detection accuracy; 20,000 Martindale abrasion</t>
  </si>
  <si>
    <t>The slit-structured S1 glove achieved 100% motion-peak detection and &lt;1% baseline drift. Pairwise inter-trial mean Spearman correlations were 0.972, 0.976 and 0.964; 20,000 Martindale rubs produced no conductive-yarn failure.</t>
  </si>
  <si>
    <t>R1 | Data extraction 39!AH6</t>
  </si>
  <si>
    <t>R2 | Extraction!AH6</t>
  </si>
  <si>
    <t>Table 2 gives the three pairwise-set correlations, the reliability Results give peak detection and baseline drift, and the abrasion test specifies 20,000 standardized rubs. The earlier r = 0.972 is one pairwise-set mean, not an all-trial aggregate or angle-validation R². The approximate 15–80 mV refers to a representative S0/S1 signal increase, not a universal amplitude range.</t>
  </si>
  <si>
    <t>Retained main PDF pp. 4, 8, 15</t>
  </si>
  <si>
    <t>Explicit participants, repeated sessions, statistical analysis and extensive abrasion testing</t>
  </si>
  <si>
    <t>R1 | Data extraction 39!AI6</t>
  </si>
  <si>
    <t>No external biomechanical reference was identified</t>
  </si>
  <si>
    <t>R1 | Data extraction 39!AJ6</t>
  </si>
  <si>
    <t>Screen-printed electronic textile/smart garment</t>
  </si>
  <si>
    <t>Screen-printed E-textile</t>
  </si>
  <si>
    <t>Sensing fabric construction not determined</t>
  </si>
  <si>
    <t>Source-checked analyst classification; not reported</t>
  </si>
  <si>
    <t>R1 | Data extraction 39!L7</t>
  </si>
  <si>
    <t>R2 | Extraction!I7</t>
  </si>
  <si>
    <t>Screen-printed spandex/cotton fabric; construction not established</t>
  </si>
  <si>
    <t>PDF pp.4–5, Materials and E-textile preparation</t>
  </si>
  <si>
    <t>Spandex/cotton fabric and printing are specified; knit/weave construction of the active substrate is not specified. Missingness or source conflict retained explicitly.</t>
  </si>
  <si>
    <t>§2.1 Materials and E-textile preparation; saved PDF pp. 4, 5</t>
  </si>
  <si>
    <t>REC-00281_10.1007_s10570-022-04544-3.pdf</t>
  </si>
  <si>
    <t>cca8b08e5a8cbfda83bf8a5c136e5dc300b965017687e91df7ca248b20997dda</t>
  </si>
  <si>
    <t>Resistive graphene-ink textile strain sensor</t>
  </si>
  <si>
    <t>R1 | Data extraction 39!M7</t>
  </si>
  <si>
    <t>R2 | Extraction!J7</t>
  </si>
  <si>
    <t>Stretch changes contacts between graphene nanosheets and therefore resistivity/resistance. Classifies the demonstrated device; not a new eligibility decision.</t>
  </si>
  <si>
    <t>Sensing mechanism; Fig. 5; saved PDF pp. 12</t>
  </si>
  <si>
    <t>Graphene dispersed in cellulose/PEDOT:PSS ink</t>
  </si>
  <si>
    <t>Graphene ink</t>
  </si>
  <si>
    <t>R1 | Data extraction 39!N7</t>
  </si>
  <si>
    <t>R2 | Extraction!K7</t>
  </si>
  <si>
    <t>Spandex/cotton blend fabric</t>
  </si>
  <si>
    <t>R1 | Data extraction 39!O7</t>
  </si>
  <si>
    <t>R2 | Extraction!L7</t>
  </si>
  <si>
    <t>Aerodynamics-assisted screen printing; ink wraps fibre surfaces while preserving fabric pores</t>
  </si>
  <si>
    <t>Screen-printed on fabric</t>
  </si>
  <si>
    <t>Aerodynamics-assisted screen printing of graphene/cellulose/PEDOT:PSS on spandex/cotton fabric; sensor integrated with clothing/pads.</t>
  </si>
  <si>
    <t>R1 | Data extraction 39!P7</t>
  </si>
  <si>
    <t>R2 | Extraction!M7</t>
  </si>
  <si>
    <t>Aerodynamics-assisted screen printing of graphene/cellulose/PEDOT:PSS on spandex/cotton fabric; sensor integrated with clothing/pads. Classifies the demonstrated device; not a new eligibility decision.</t>
  </si>
  <si>
    <t>E-textile preparation and Fig. 6; saved PDF pp. 4, 5, 12</t>
  </si>
  <si>
    <t>Physical-training and health-management smart garment</t>
  </si>
  <si>
    <t>Motion (demo)</t>
  </si>
  <si>
    <t>Movement/posture/gait monitoring; Respiration</t>
  </si>
  <si>
    <t>R1 | Data extraction 39!Q7</t>
  </si>
  <si>
    <t>R2 | Extraction!N7</t>
  </si>
  <si>
    <t>Sensors integrated with elbow/knee pads monitored flexion; Fig. 6c records respiration during lung expansion/contraction. Rehabilitation is proposed, not a separately demonstrated clinical application. Classifies the demonstrated device; not a new eligibility decision.</t>
  </si>
  <si>
    <t>E-textile wearable application; Fig. 6a–c; saved PDF pp. 12, 13</t>
  </si>
  <si>
    <t>On-body joint and respiration demonstrations are reported; total participant number and demographics are not stated in the checked main-text sections.</t>
  </si>
  <si>
    <t>R1 | Data extraction 39!S7; R1 | Data extraction 39!T7</t>
  </si>
  <si>
    <t>R2 | Extraction!O7</t>
  </si>
  <si>
    <t>CONS | V1 consensus!H5</t>
  </si>
  <si>
    <t>Figure 6 and its discussion describe elbow/knee-pad signals and respiration. No enrolled cohort is enumerated in the inspected characterization and application sections. Separates participant cohorts, bench tests, human repetitions, model training and actual reference use. Does not infer participant number from a photograph or a non-human n.</t>
  </si>
  <si>
    <t>Saved main PDF pp. 5, 12, 13</t>
  </si>
  <si>
    <t>Smart-garment proof-of-concept reported; independent repeat-session design was not reported</t>
  </si>
  <si>
    <t>Human motion and breathing traces are reported; a separate-session or per-participant trial count is not stated in the checked application text.</t>
  </si>
  <si>
    <t>R1 | Method quality 39!K7</t>
  </si>
  <si>
    <t>R2 | Extraction!P7</t>
  </si>
  <si>
    <t>The characterization statement that each sample was tested three times accompanies material testing, including air permeability; it is not a three-session human protocol. Separates participant cohorts, bench tests, human repetitions, model training and actual reference use. Does not infer participant number from a photograph or a non-human n.</t>
  </si>
  <si>
    <t>machine learning</t>
  </si>
  <si>
    <t>Bench strain–resistance characterization used an Instron 5943 and Keysight 34465A at 50 mm/min, with ASTM D882-10 cited. No implemented participant-specific or machine-learning calibration protocol is established in the checked sections.</t>
  </si>
  <si>
    <t>R1 | Method quality 39!L7</t>
  </si>
  <si>
    <t>R2 | Extraction!Q7</t>
  </si>
  <si>
    <t>The Characterization section specifies synchronized mechanical/electrical tests. The application discussion presents a prospective rehabilitation/training software concept rather than documenting machine-learning training or validation. Separates participant cohorts, bench tests, human repetitions, model training and actual reference use. Does not infer participant number from a photograph or a non-human n.</t>
  </si>
  <si>
    <t>No external gold-standard comparison identified in the reviewed source</t>
  </si>
  <si>
    <t>R1 | Data extraction 39!U7</t>
  </si>
  <si>
    <t>R2 | Extraction!R7</t>
  </si>
  <si>
    <t>Figure 6 presents joint/breathing responses and a proposed application concept, not a concurrent reference-instrument accuracy analysis. Separates participant cohorts, bench tests, human repetitions, model training and actual reference use. Does not infer participant number from a photograph or a non-human n.</t>
  </si>
  <si>
    <t>Saved main PDF pp. 12, 13</t>
  </si>
  <si>
    <t>up to 450%</t>
  </si>
  <si>
    <t>0–100%</t>
  </si>
  <si>
    <t>R1 | Data extraction 39!W7</t>
  </si>
  <si>
    <t>R2 | Extraction!S7</t>
  </si>
  <si>
    <t>PDF p.11, Results; Fig.5a–c description</t>
  </si>
  <si>
    <t>The study reports its strain-response curve over 0–100% and resolves smaller 1–5% strains. The 450% value in the R2 extraction is a cited prior study in the introduction, not this device.</t>
  </si>
  <si>
    <t>PDF pp. 3, 11; PDF p.11, Results; Fig.5a–c description</t>
  </si>
  <si>
    <t>36</t>
  </si>
  <si>
    <t>GF 36 at 0–20%; GF 17 at 20–100%</t>
  </si>
  <si>
    <t>R1 | Data extraction 39!X7</t>
  </si>
  <si>
    <t>R2 | Extraction!T7</t>
  </si>
  <si>
    <t>PDF p.11, Results; Fig.5a description</t>
  </si>
  <si>
    <t>Two linear fit regions are explicitly given: 36 with R²=0.988, and 17 with R²=0.986. Retain both intervals. Do not pair GF36 with the entire 0–100% range.</t>
  </si>
  <si>
    <t>PDF pp. 11; PDF p.11, Results; Fig.5a description</t>
  </si>
  <si>
    <t>R1 | Data extraction 39!AA7</t>
  </si>
  <si>
    <t>R2 | Extraction!U7</t>
  </si>
  <si>
    <t>R1 | Data extraction 39!AB7</t>
  </si>
  <si>
    <t>R2 | Extraction!V7</t>
  </si>
  <si>
    <t>Stable for more than 9,000 cycles</t>
  </si>
  <si>
    <t>Qualitative stability is reported through more than 9,000 cycles; this is a cyclic-durability observation, not a separate scalar drift estimate.</t>
  </si>
  <si>
    <t>R1 | Data extraction 39!AC7</t>
  </si>
  <si>
    <t>R2 | Extraction!W7</t>
  </si>
  <si>
    <t>Repeated stretch–release traces support the stability claim. Retains the reported result with its specific test, range and construct; does not extend it to untested conditions.</t>
  </si>
  <si>
    <t>Saved main PDF pp 11–12, cyclic tests</t>
  </si>
  <si>
    <t>R1 | Data extraction 39!Y7; R1 | Data extraction 39!Z7</t>
  </si>
  <si>
    <t>R2 | Extraction!X7</t>
  </si>
  <si>
    <t>&gt;9,000 cycles</t>
  </si>
  <si>
    <t>50 cycles), excellent Log in Highly sen</t>
  </si>
  <si>
    <t>9,000 loading–unloading cycles; endurance strain amplitude/rate not established in the inspected description.</t>
  </si>
  <si>
    <t>R1 | Data extraction 39!AD7</t>
  </si>
  <si>
    <t>R2 | Extraction!Y7</t>
  </si>
  <si>
    <t>9,000 loading–unloading cycles; strain and rate require figure/protocol verification</t>
  </si>
  <si>
    <t>PDF pp.11–12, Results and Fig.5d caption</t>
  </si>
  <si>
    <t>The Results and Figure 5 description specify 9,000 cycles. Retain the cycle count, but do not import general test speed as the endurance speed.</t>
  </si>
  <si>
    <t>PDF pp. 11, 12</t>
  </si>
  <si>
    <t>This is source checking by the assistant, not a second independent rating, new consensus or screening decision. Remaining limitation: Endurance amplitude and rate require the original figure/Supporting Information.</t>
  </si>
  <si>
    <t>Manufacturing scalability stated; device-to-device results was not reported in the available full text</t>
  </si>
  <si>
    <t>Scalable manufacture is claimed; no independent between-device electrical variability statistic extracted from the inspected results.</t>
  </si>
  <si>
    <t>R1 | Method quality 39!P7</t>
  </si>
  <si>
    <t>R2 | Extraction!Z7</t>
  </si>
  <si>
    <t>The inspected electrical results concern response and cycling rather than an enumerated replicate-device distribution. Scalability is not a device-to-device reproducibility result.</t>
  </si>
  <si>
    <t>Saved main PDF pp 11–12, sensor performance and applications</t>
  </si>
  <si>
    <t>&gt;50 washing cycles</t>
  </si>
  <si>
    <t>50 simulated washing cycles: 5 × 10-cm sample in 400 mL of 0.37 wt% detergent solution; 100-rpm stirring for 45 min is defined as five wash cycles. Sheet resistance 185.97 → 187.15 Ω/sq at 30 cycles and 191.732 Ω/sq at 50 cycles.</t>
  </si>
  <si>
    <t>R1 | Data extraction 39!AE7</t>
  </si>
  <si>
    <t>R2 | Extraction!AA7</t>
  </si>
  <si>
    <t>Methods define the wash-cycle equivalence; Results explicitly report measurements through 50 cycles. The abstract says &gt;50; the verified detailed Results reach 50. Preserve the simulation definition rather than implying 50 domestic machine cycles.</t>
  </si>
  <si>
    <t>PDF pp. 5, 10</t>
  </si>
  <si>
    <t>waterproof, breathable cellulo</t>
  </si>
  <si>
    <t>R1 | Data extraction 39!AF7</t>
  </si>
  <si>
    <t>R2 | Extraction!AB7</t>
  </si>
  <si>
    <t>R2 | Extraction!AC7</t>
  </si>
  <si>
    <t>Air permeability 38.5 L·m⁻²·s⁻¹</t>
  </si>
  <si>
    <t>breathable, and durable electroni</t>
  </si>
  <si>
    <t>Reported air-permeability value 38.5; measured using YG461E, three repeated readings per sample.</t>
  </si>
  <si>
    <t>R1 | Data extraction 39!AG7</t>
  </si>
  <si>
    <t>R2 | Extraction!AD7</t>
  </si>
  <si>
    <t>The abstract gives 38.5 and Methods name instrument and triplicate averaging. The browser capture corrupts the printed area/pressure-unit notation; retain the original R1 unit as unconfirmed, not automatically corrected.</t>
  </si>
  <si>
    <t>PDF pp. 1, 5</t>
  </si>
  <si>
    <t>This is source checking by the assistant, not a second independent rating, new consensus or screening decision. Remaining limitation: Verify exact area exponent in L·m⁻²·s⁻¹ and differential-pressure units against original typeset PDF or Figure 4b; current capture renders them ambiguously.</t>
  </si>
  <si>
    <t>R1 | Method quality 39!T7</t>
  </si>
  <si>
    <t>R2 | Extraction!AE7</t>
  </si>
  <si>
    <t>Electronic acquisition and power details were not reported</t>
  </si>
  <si>
    <t>Bluetooth</t>
  </si>
  <si>
    <t>R1 | Method quality 39!U7</t>
  </si>
  <si>
    <t>R2 | Extraction!AF7</t>
  </si>
  <si>
    <t>Data availability The datasets used or analyzed duri</t>
  </si>
  <si>
    <t>R1 | Method quality 39!V7</t>
  </si>
  <si>
    <t>R2 | Extraction!AG7</t>
  </si>
  <si>
    <t>Sheet resistance 82.16 Ω/sq, gauge factor 36, air permeability 38.5 L·m⁻²·s⁻¹, more than 9,000 cycles and more than 50 washing cycles.</t>
  </si>
  <si>
    <t>GF 36 (0-20%, R2 0.988)/17 (20-100%); 30 washes</t>
  </si>
  <si>
    <t>Sheet resistance 82.16 Ω/sq; piecewise GF 36 over 0–20% and 17 over 20–100%; 9,000 mechanical cycles and resistance/strain-response evaluation after 50 washes.</t>
  </si>
  <si>
    <t>Partially reconciled; specific original claim not verified</t>
  </si>
  <si>
    <t>R1 | Data extraction 39!AH7</t>
  </si>
  <si>
    <t>R2 | Extraction!AH7</t>
  </si>
  <si>
    <t>The abstract states sheet resistance; the Results specify the two sensitivity intervals, 9,000 cycles and detailed 50-wash experiment. Do not substitute R2’s 30 washes; the abstract’s &gt;50 wording is stronger than the detailed 50-wash endpoint. Air-permeability value 38.5 is omitted here because its captured source-unit formatting remains ambiguous.</t>
  </si>
  <si>
    <t>Retained main PDF pp. 1, 3, 5, 10, 11, 12</t>
  </si>
  <si>
    <t>Assistant source checking, not new independent human review, a screening decision or changed reviewer consensus. Original R1/R2 values are preserved. Remaining limitation: Air-permeability unit typography needs direct original-table/SI verification before restoring 38.5 L m⁻² s⁻¹.</t>
  </si>
  <si>
    <t>Scalable fabric printing with quantified breathability, washing and cyclic durability</t>
  </si>
  <si>
    <t>R1 | Data extraction 39!AI7</t>
  </si>
  <si>
    <t>Participant count and external comparator validation were not identified in the reviewed source</t>
  </si>
  <si>
    <t>R1 | Data extraction 39!AJ7</t>
  </si>
  <si>
    <t>Strain-sensing yarn stitched into commercial fabric/smart clothing</t>
  </si>
  <si>
    <t>Yarn sewn into fabric (FEA stitch)</t>
  </si>
  <si>
    <t>Full text: Methods, Figure 3, Figure 4, and Table 2</t>
  </si>
  <si>
    <t>R1 | Data extraction 39!L8</t>
  </si>
  <si>
    <t>R2 | Extraction!I8</t>
  </si>
  <si>
    <t>Strain-sensing conductive composite nanofiber yarn is hand-stitched into knitted base fabric using different stitching methods and needle pitches; stitch geometry is an explicit sensor design variable. Classifies the demonstrated device; not a new eligibility decision.</t>
  </si>
  <si>
    <t>PDF page(s) 2; §2.2–2.3 Sensor/yarn preparation; saved PDF pp. 2</t>
  </si>
  <si>
    <t>REC-00324_10.1007_s11431-023-2442-9.pdf</t>
  </si>
  <si>
    <t>ea9171eb680f0b485ecf7a33a76d2b45e3a9c5ce0cf175d84d1e7936b34eeca1</t>
  </si>
  <si>
    <t>Resistive composite yarn comprising pure TPU and nanocarbon/TPU nanofibre filaments</t>
  </si>
  <si>
    <t>R1 | Data extraction 39!M8</t>
  </si>
  <si>
    <t>R2 | Extraction!J8</t>
  </si>
  <si>
    <t>The analysis relates relative resistance change to elongation and compares sensing behaviour of the stitch patterns. Classifies the demonstrated device; not a new eligibility decision.</t>
  </si>
  <si>
    <t>PDF page(s) 3, 4, 5; Composite sensing fabric electromechanical results; saved PDF pp. 3, 4, 5</t>
  </si>
  <si>
    <t>Strain-sensing conductive yarn</t>
  </si>
  <si>
    <t>R1 | Data extraction 39!N8</t>
  </si>
  <si>
    <t>R2 | Extraction!K8</t>
  </si>
  <si>
    <t>Commercial garment fabric</t>
  </si>
  <si>
    <t>R1 | Data extraction 39!O8</t>
  </si>
  <si>
    <t>R2 | Extraction!L8</t>
  </si>
  <si>
    <t>Novel self-locking stitch architecture; optimum needle pitch reported as 0.5 cm</t>
  </si>
  <si>
    <t>Sewn (stitch-optimised) into fabric</t>
  </si>
  <si>
    <t>Conductive composite nanofibre yarn hand-stitched into a knitted base; controlled stitch structure/needle pitch creates the active sensing fabric.</t>
  </si>
  <si>
    <t>R1 | Data extraction 39!P8</t>
  </si>
  <si>
    <t>R2 | Extraction!M8</t>
  </si>
  <si>
    <t>Conductive composite nanofibre yarn hand-stitched into a knitted base; controlled stitch structure/needle pitch creates the active sensing fabric. Classifies the demonstrated device; not a new eligibility decision.</t>
  </si>
  <si>
    <t>§2.2–2.3 and Fig. 4; saved PDF pp. 2, 6, 7</t>
  </si>
  <si>
    <t>Simultaneous elbow motion, respiration and heartbeat monitoring</t>
  </si>
  <si>
    <t>Smart clothing (elbow/breath/heart)</t>
  </si>
  <si>
    <t>R1 | Data extraction 39!Q8</t>
  </si>
  <si>
    <t>R2 | Extraction!N8</t>
  </si>
  <si>
    <t>The sensing fabric records elbow motion, abdominal breathing, and heartbeat/pulse-related signals. Classifies the demonstrated device; not a new eligibility decision.</t>
  </si>
  <si>
    <t>Wearable demonstrations; Fig. 4; saved PDF pp. 6, 7</t>
  </si>
  <si>
    <t>None (smart-clothing demo)</t>
  </si>
  <si>
    <t>A volunteer is described with elbow, waist and lower-chest circumferences of 26, 88 and 90 cm; total participant count, age and sex are not stated in the checked main text. Written consent from all participants is reported.</t>
  </si>
  <si>
    <t>R1 | Data extraction 39!S8; R1 | Data extraction 39!T8</t>
  </si>
  <si>
    <t>R2 | Extraction!O8</t>
  </si>
  <si>
    <t>CONS | V1 consensus!H6</t>
  </si>
  <si>
    <t>The methods state informed written consent before smart-clothing tests. Section 3.3 describes the volunteer circumferences; the wording does not establish the total study-wide cohort. Separates participant cohorts, bench tests, human repetitions, model training and actual reference use. Does not infer participant number from a photograph or a non-human n.</t>
  </si>
  <si>
    <t>Saved main PDF pp. 3, 5, 6</t>
  </si>
  <si>
    <t>Elbow, breathing, and heartbeat demonstrations were reported; independent repeat-session design was not reported</t>
  </si>
  <si>
    <t>Stitch-length optimization averages 20 consecutive peaks; Figure 4g–i shows 10 cycles each of elbow bending, breathing and heartbeats. Separate-session counts are not stated.</t>
  </si>
  <si>
    <t>R1 | Method quality 39!K8</t>
  </si>
  <si>
    <t>R2 | Extraction!P8</t>
  </si>
  <si>
    <t>The Section 3.3 text identifies the 20-peak average; the Figure 4 caption explicitly specifies the 10 cycles. Walking/jogging/sprinting are demonstrated, but not assigned an independent session count. Separates participant cohorts, bench tests, human repetitions, model training and actual reference use. Does not infer participant number from a photograph or a non-human n.</t>
  </si>
  <si>
    <t>Saved main PDF pp. 6, 7, 9</t>
  </si>
  <si>
    <t>Bench strain-response characterization and on-body stitch-length optimization are reported; no machine-learning or per-participant quantitative calibration model is established in the checked methods/results.</t>
  </si>
  <si>
    <t>R1 | Method quality 39!L8</t>
  </si>
  <si>
    <t>R2 | Extraction!Q8</t>
  </si>
  <si>
    <t>Section 3.1 calculates sensitivity/linearity from resistance–strain curves and uses finite-element analysis for stitch mechanics. Section 3.3 optimizes stitch trace lengths to 5, 30 and 3 cm for elbow, respiration and heartbeat. The app records sensor signals and rates. Separates participant cohorts, bench tests, human repetitions, model training and actual reference use. Does not infer participant number from a photograph or a non-human n.</t>
  </si>
  <si>
    <t>Saved main PDF pp. 3, 6, 7, 8, 9</t>
  </si>
  <si>
    <t>An independent reference instrument is not described in the checked smart-clothing sections. Collaborative heart and pulse sensing uses the study textile sensors, not an external comparator.</t>
  </si>
  <si>
    <t>R1 | Data extraction 39!U8</t>
  </si>
  <si>
    <t>R2 | Extraction!R8</t>
  </si>
  <si>
    <t>Section 3.4 places CCNY sensors at heart/pulse/abdomen/elbows and Table 2 reports derived activity rates. No paired external-reference measurement is specified there. Separates participant cohorts, bench tests, human repetitions, model training and actual reference use. Does not infer participant number from a photograph or a non-human n.</t>
  </si>
  <si>
    <t>Saved main PDF pp. 6, 7, 8, 9</t>
  </si>
  <si>
    <t>S0.5 responds to 0.1–1% low strains and is characterized up to 50%.</t>
  </si>
  <si>
    <t>R1 | Data extraction 39!W8</t>
  </si>
  <si>
    <t>R2 | Extraction!S8</t>
  </si>
  <si>
    <t>Detection at 0.1–1%; characterized up to 50% strain</t>
  </si>
  <si>
    <t>PDF page(s) 5, 6; Fig.3 results</t>
  </si>
  <si>
    <t>The selected self-locked stitch with 0.5-cm pitch is tested from small strain to a 50% step. Preserve the author-reported value and its measurement conditions; do not collapse distinct test types.</t>
  </si>
  <si>
    <t>PDF pp. 5, 6</t>
  </si>
  <si>
    <t>Selected S0.5 cyclic-response sensitivity greater than 4, with linearity greater than 0.9; exact numerical slope is plotted in Figure 1l.</t>
  </si>
  <si>
    <t>R1 | Data extraction 39!X8</t>
  </si>
  <si>
    <t>R2 | Extraction!T8</t>
  </si>
  <si>
    <t>The main text states bounds (&gt;4 and &gt;0.9), not an exact numerical value. Do not digitize a graph and call it an author-reported exact GF.</t>
  </si>
  <si>
    <t>This is source checking by the assistant, not a second independent rating, new consensus or screening decision. Remaining limitation: The exact strain interval used for the cyclic-response sensitivity must be taken from the Figure 1 protocol.</t>
  </si>
  <si>
    <t>Linearity greater than 0.9 for the optimized S-0.5 sensor</t>
  </si>
  <si>
    <t>Reported linearity&gt;0.9 for the optimized S-0.5 sensor; retain the article’s term rather than relabelling it as R² without a defined statistic.</t>
  </si>
  <si>
    <t>R1 | Data extraction 39!AA8</t>
  </si>
  <si>
    <t>R2 | Extraction!U8</t>
  </si>
  <si>
    <t>The sensor-design comparison reports linearity greater than 0.9 for S-0.5. Retains the reported result with its specific test, range and construct; does not extend it to untested conditions.</t>
  </si>
  <si>
    <t>Saved main PDF pp 3–4, Fig 1 l</t>
  </si>
  <si>
    <t>R1 | Data extraction 39!AB8</t>
  </si>
  <si>
    <t>R2 | Extraction!V8</t>
  </si>
  <si>
    <t>9.9% peak reduction after 20 cycles; negligible drift and frequency-independent response</t>
  </si>
  <si>
    <t>Response-peak reduction after 20 cycles is 9.9% for S-0.5 versus 28.6% for the comparator design; longer repeated cycling is also illustrated.</t>
  </si>
  <si>
    <t>R1 | Data extraction 39!AC8</t>
  </si>
  <si>
    <t>R2 | Extraction!W8</t>
  </si>
  <si>
    <t>The peak-reduction calculation is explicitly given for 20 cycles. Replaces the incompatible unqualified phrase negligible drift with the quantified peak-change outcome.</t>
  </si>
  <si>
    <t>Saved main PDF p 5, cyclic-response paragraph</t>
  </si>
  <si>
    <t>Response time: 280 ms loading; Recovery time: 330 ms unloading</t>
  </si>
  <si>
    <t>response (280 ms</t>
  </si>
  <si>
    <t>Loading response 280 ms; unloading 330 ms, with a 0 → 50 → 0% quasi-transient strain step.</t>
  </si>
  <si>
    <t>R1 | Data extraction 39!Y8; R1 | Data extraction 39!Z8</t>
  </si>
  <si>
    <t>R2 | Extraction!X8</t>
  </si>
  <si>
    <t>Figure 3b and Results jointly identify the response values and applied step. Preserve the author-reported value and its measurement conditions; do not collapse distinct test types.</t>
  </si>
  <si>
    <t>10,000 cycles at 10% strain</t>
  </si>
  <si>
    <t>10000 cycles), and high stability (negligi</t>
  </si>
  <si>
    <t>S0.5 composite: 10,000 cycles at 10% strain; approximately 9.9% initial drift over the first 20 cycles.</t>
  </si>
  <si>
    <t>R1 | Data extraction 39!AD8</t>
  </si>
  <si>
    <t>R2 | Extraction!Y8</t>
  </si>
  <si>
    <t>More than 10,000 cycles at 10% strain</t>
  </si>
  <si>
    <t>PDF page(s) 5, 6; Fig.3e results and caption</t>
  </si>
  <si>
    <t>Figure 3 and adjacent Results describe the 10,000-cycle test and initial transient. Preserve the author-reported value and its measurement conditions; do not collapse distinct test types.</t>
  </si>
  <si>
    <t>PDF pp. 6</t>
  </si>
  <si>
    <t>This is source checking by the assistant, not a second independent rating, new consensus or screening decision. Remaining limitation: Endurance frequency not verified in inspected passage.</t>
  </si>
  <si>
    <t>R1 | Method quality 39!P8</t>
  </si>
  <si>
    <t>R2 | Extraction!Z8</t>
  </si>
  <si>
    <t>30 washing cycles at 40 °C; electrical response measured after every 10 washes</t>
  </si>
  <si>
    <t>30 washes at 40 °C in a low-liquor-ratio sample dyeing machine using conventional detergent, GB/T 3921; sensing measured every 10 cycles.</t>
  </si>
  <si>
    <t>R1 | Data extraction 39!AE8</t>
  </si>
  <si>
    <t>R2 | Extraction!AA8</t>
  </si>
  <si>
    <t>Methods describe 30 standardized color-fastness washing cycles; Results report sensing stability. Preserve the author-reported value and its measurement conditions; do not collapse distinct test types.</t>
  </si>
  <si>
    <t>PDF pp. 3, 5</t>
  </si>
  <si>
    <t>Resistance to ambient humidity and perspiration reported</t>
  </si>
  <si>
    <t>Artificial sweat exposure for 5 min, with measurement immediately after exposure.</t>
  </si>
  <si>
    <t>R1 | Data extraction 39!AF8</t>
  </si>
  <si>
    <t>R2 | Extraction!AB8</t>
  </si>
  <si>
    <t>The Experimental section specifies artificial-sweat immersion time and immediate testing. Preserve the author-reported value and its measurement conditions; do not collapse distinct test types.</t>
  </si>
  <si>
    <t>PDF pp. 3</t>
  </si>
  <si>
    <t>This is source checking by the assistant, not a second independent rating, new consensus or screening decision. Remaining limitation: Sweat formulation and temperature not transcribed in this audit.</t>
  </si>
  <si>
    <t>7,000 rubs; Martindale testing against the same fabric, 155 g load, 14-cm circular sample, GB/T 21196; sensing checked every 1,000 rubs.</t>
  </si>
  <si>
    <t>R2 | Extraction!AC8</t>
  </si>
  <si>
    <t>Methods give load/counterface/standard; Results describe small initial change after 2,000 rubs followed by stability to 7,000. Preserve the author-reported value and its measurement conditions; do not collapse distinct test types.</t>
  </si>
  <si>
    <t>PDF pp. 2, 3, 5</t>
  </si>
  <si>
    <t>R1 | Data extraction 39!AG8</t>
  </si>
  <si>
    <t>R2 | Extraction!AD8</t>
  </si>
  <si>
    <t>R1 | Method quality 39!T8</t>
  </si>
  <si>
    <t>R2 | Extraction!AE8</t>
  </si>
  <si>
    <t>Garment plus data-acquisition unit and mobile application</t>
  </si>
  <si>
    <t>data acquisition unit, and mobile APP was</t>
  </si>
  <si>
    <t>R1 | Method quality 39!U8</t>
  </si>
  <si>
    <t>R2 | Extraction!AF8</t>
  </si>
  <si>
    <t>available online at tech</t>
  </si>
  <si>
    <t>R1 | Method quality 39!V8</t>
  </si>
  <si>
    <t>R2 | Extraction!AG8</t>
  </si>
  <si>
    <t>Detection limit 0.1%, response time 280 ms, 10,000-cycle durability, negligible drift and resistance to washing, humidity and perspiration.</t>
  </si>
  <si>
    <t>280 ms response; 10,000 cycles; smart-clothing+APP</t>
  </si>
  <si>
    <t>Selected S0.5 sensor: minimum detected strain 0.1%; response/recovery 280/330 ms for a 0→50→0% step; 10,000 cycles at 10%, with approximately 9.9% initial drift during the first 20 cycles; 30 standardized wash cycles.</t>
  </si>
  <si>
    <t>R1 | Data extraction 39!AH8</t>
  </si>
  <si>
    <t>R2 | Extraction!AH8</t>
  </si>
  <si>
    <t>Figure 3 and its discussion separate the low-strain response, transient step, cyclic response and early-cycle drift; Methods describe the wash protocol. Remove “negligible drift”: a quantified initial drift is explicitly reported.</t>
  </si>
  <si>
    <t>Retained main PDF pp. 3, 5, 6</t>
  </si>
  <si>
    <t>Garment-level integration, complete acquisition/app system and several deployment-robustness tests</t>
  </si>
  <si>
    <t>R1 | Data extraction 39!AI8</t>
  </si>
  <si>
    <t>Participant/sample numbers and comparator validation was not reported in the available full text</t>
  </si>
  <si>
    <t>R1 | Data extraction 39!AJ8</t>
  </si>
  <si>
    <t>Liquid-metal double-helix core-spun yarn and plain-woven fabric</t>
  </si>
  <si>
    <t>Double-helix core-spun yarn</t>
  </si>
  <si>
    <t>Full text: strain-sensing performance and human-motion demonstrations (Figures 3-4 and Figure S13)</t>
  </si>
  <si>
    <t>R1 | Data extraction 39!L9</t>
  </si>
  <si>
    <t>R2 | Extraction!I9</t>
  </si>
  <si>
    <t>Two liquid-metal-filled silicone tubes are twisted into double-helix yarn and covered with skin-friendly fibres by friction spinning. Classifies the demonstrated device; not a new eligibility decision.</t>
  </si>
  <si>
    <t>PDF page(s) 3; §2.1 Fabrication and structure of DHCY; saved PDF pp. 3</t>
  </si>
  <si>
    <t>REC-00355_10.1016_j.nanoen.2022.108078.pdf</t>
  </si>
  <si>
    <t>f0d9e4f2a56a09dc3cdd203c271ac185f9554c2eed35ad3a32d3b27659097678</t>
  </si>
  <si>
    <t>Capacitive strain sensing</t>
  </si>
  <si>
    <t>Capacitive (multifunctional)</t>
  </si>
  <si>
    <t>Capacitive</t>
  </si>
  <si>
    <t>R1 | Data extraction 39!M9</t>
  </si>
  <si>
    <t>R2 | Extraction!J9</t>
  </si>
  <si>
    <t>The double-helix yarn's two electrodes sense strain through changing capacitance. Resistance is also characterized, but the functional strain sensor uses capacitance. Classifies the demonstrated device; not a new eligibility decision.</t>
  </si>
  <si>
    <t>PDF page(s) 4; §2.2 Mechanical properties and strain-sensitive capacitance; saved PDF pp. 4</t>
  </si>
  <si>
    <t>Liquid metal</t>
  </si>
  <si>
    <t>Liquid metal (LM)</t>
  </si>
  <si>
    <t>R1 | Data extraction 39!N9</t>
  </si>
  <si>
    <t>R2 | Extraction!K9</t>
  </si>
  <si>
    <t>Double-helix core-spun yarn/fabric; polymer and fibre composition was not reported in the available full text</t>
  </si>
  <si>
    <t>PU/elastic yarn; knee brace</t>
  </si>
  <si>
    <t>R1 | Data extraction 39!O9</t>
  </si>
  <si>
    <t>R2 | Extraction!L9</t>
  </si>
  <si>
    <t>Scalable friction core-spinning followed by fabric formation</t>
  </si>
  <si>
    <t>Yarn in knee brace / attached</t>
  </si>
  <si>
    <t>Double-helix liquid-metal/silicone yarn produced by friction core spinning; yarn incorporated into fabric/wearable movement demonstrators.</t>
  </si>
  <si>
    <t>R1 | Data extraction 39!P9</t>
  </si>
  <si>
    <t>R2 | Extraction!M9</t>
  </si>
  <si>
    <t>Double-helix liquid-metal/silicone yarn produced by friction core spinning; yarn incorporated into fabric/wearable movement demonstrators. Classifies the demonstrated device; not a new eligibility decision.</t>
  </si>
  <si>
    <t>§2.1 and motion demonstrations; saved PDF pp. 3, 8, 9</t>
  </si>
  <si>
    <t>Human-motion monitoring; also energy harvesting and thermal management</t>
  </si>
  <si>
    <t>Motion + energy + thermal</t>
  </si>
  <si>
    <t>R1 | Data extraction 39!Q9</t>
  </si>
  <si>
    <t>R2 | Extraction!N9</t>
  </si>
  <si>
    <t>Capacitive yarn measured finger/wrist/elbow motion and knee-dependent standing, walking, running and jumping. Heating/energy harvesting are auxiliary functions, not additional physiological outcomes. Classifies the demonstrated device; not a new eligibility decision.</t>
  </si>
  <si>
    <t>Human-motion demonstrations; Fig. 4; saved PDF pp. 8, 9</t>
  </si>
  <si>
    <t>A tester is described for on-body demonstrations; total participant number and demographics are not stated in the checked main-text sections.</t>
  </si>
  <si>
    <t>R1 | Data extraction 39!S9; R1 | Data extraction 39!T9</t>
  </si>
  <si>
    <t>R2 | Extraction!O9</t>
  </si>
  <si>
    <t>CONS | V1 consensus!H7</t>
  </si>
  <si>
    <t>Section 2.3 describes finger grasping, wrist/elbow bending and knee-brace activity sensing. Experimental characterization specifies material/electrical apparatus rather than a human cohort. Separates participant cohorts, bench tests, human repetitions, model training and actual reference use. Does not infer participant number from a photograph or a non-human n.</t>
  </si>
  <si>
    <t>Saved main PDF pp. 10, 18</t>
  </si>
  <si>
    <t>Human-motion proof-of-concept demonstrations were reported; independent repeat-session design was not reported</t>
  </si>
  <si>
    <t>Repeated wrist/elbow bending and standing/walking/running/jumping demonstrations are described; a formal human session or repetition count is not stated in the checked sections.</t>
  </si>
  <si>
    <t>R1 | Method quality 39!K9</t>
  </si>
  <si>
    <t>R2 | Extraction!P9</t>
  </si>
  <si>
    <t>The Figure 4 discussion describes repeated motions without an enumerated session design. Sensor durability and generator cycling are separate bench tests. Separates participant cohorts, bench tests, human repetitions, model training and actual reference use. Does not infer participant number from a photograph or a non-human n.</t>
  </si>
  <si>
    <t>Saved main PDF pp. 9, 10, 18</t>
  </si>
  <si>
    <t>Bench capacitance–strain characterization is reported, with a near-linear 0–100% relation and GF 1.07; participant-specific calibration is not stated in the checked on-body section.</t>
  </si>
  <si>
    <t>R1 | Method quality 39!L9</t>
  </si>
  <si>
    <t>R2 | Extraction!Q9</t>
  </si>
  <si>
    <t>Section 2.2/Figure 3 reports the applied-strain relation. Characterization uses an Instron 5943 and Keysight 34465A. Section 2.3 explicitly notes that external contact can make wearable responses differ from theoretical test results. Separates participant cohorts, bench tests, human repetitions, model training and actual reference use. Does not infer participant number from a photograph or a non-human n.</t>
  </si>
  <si>
    <t>Saved main PDF pp. 6, 7, 10, 18</t>
  </si>
  <si>
    <t>An independent on-body comparator is not described in the checked application section. Numerical/theoretical agreement concerns the sensor mechanism, not human-reference validation.</t>
  </si>
  <si>
    <t>R1 | Data extraction 39!U9</t>
  </si>
  <si>
    <t>R2 | Extraction!R9</t>
  </si>
  <si>
    <t>Section 2.3 and Figure 4 compare calculated/experimental capacitance for the double-helix mechanism, then show human motion traces without a paired reference instrument. Separates participant cohorts, bench tests, human repetitions, model training and actual reference use. Does not infer participant number from a photograph or a non-human n.</t>
  </si>
  <si>
    <t>Saved main PDF pp. 8, 9, 10</t>
  </si>
  <si>
    <t>0-100%</t>
  </si>
  <si>
    <t>up to 100%</t>
  </si>
  <si>
    <t>0–100% characterized strain range for DHCY.</t>
  </si>
  <si>
    <t>R1 | Data extraction 39!W9</t>
  </si>
  <si>
    <t>R2 | Extraction!S9</t>
  </si>
  <si>
    <t>The reported GF is evaluated over 0–100%. Preserve the author-reported value and its measurement conditions; do not collapse distinct test types.</t>
  </si>
  <si>
    <t>1.07 over 0-100% strain</t>
  </si>
  <si>
    <t>GF of 1.07</t>
  </si>
  <si>
    <t>DHCY GF 1.07 over 0–100%.</t>
  </si>
  <si>
    <t>R1 | Data extraction 39!X9</t>
  </si>
  <si>
    <t>R2 | Extraction!T9</t>
  </si>
  <si>
    <t>The normalized-capacitance/strain relationship is described as approximately linear with GF 1.07. Preserve the author-reported value and its measurement conditions; do not collapse distinct test types.</t>
  </si>
  <si>
    <t>R1 | Data extraction 39!AA9</t>
  </si>
  <si>
    <t>R2 | Extraction!U9</t>
  </si>
  <si>
    <t>Ultra-low hysteresis reported; numerical hysteresis value was not stated in the main text</t>
  </si>
  <si>
    <t>Negligible recovery hysteresis is described qualitatively; no numerical electrical hysteresis metric extracted.</t>
  </si>
  <si>
    <t>R1 | Data extraction 39!AB9</t>
  </si>
  <si>
    <t>R2 | Extraction!V9</t>
  </si>
  <si>
    <t>The capacitance response returns after strain release with negligible hysteresis described. Retains the reported result with its specific test, range and construct; does not extend it to untested conditions.</t>
  </si>
  <si>
    <t>Saved main PDF pp 6–7, Fig 3 b</t>
  </si>
  <si>
    <t>Stable cyclic capacitance response is shown over 6,000 cycles at 10% strain.</t>
  </si>
  <si>
    <t>R1 | Data extraction 39!AC9</t>
  </si>
  <si>
    <t>R2 | Extraction!W9</t>
  </si>
  <si>
    <t>The text and figure identify 6,000 repeated cycles at 10% strain. Adds a previously missing qualitative repeatability/durability observation, not a quantified drift metric.</t>
  </si>
  <si>
    <t>Saved main PDF p 7, Fig 3 h</t>
  </si>
  <si>
    <t>R1 | Data extraction 39!Y9; R1 | Data extraction 39!Z9</t>
  </si>
  <si>
    <t>R2 | Extraction!X9</t>
  </si>
  <si>
    <t>6,000 loading-unloading cycles at 10% strain</t>
  </si>
  <si>
    <t>6000 cycles)</t>
  </si>
  <si>
    <t>6,000 cycles at 10% strain; separate 100-cycle mechanical recovery testing at 20%.</t>
  </si>
  <si>
    <t>R1 | Data extraction 39!AD9</t>
  </si>
  <si>
    <t>R2 | Extraction!Y9</t>
  </si>
  <si>
    <t>Electrical durability and mechanical recovery are described as separate tests. Preserve the author-reported value and its measurement conditions; do not collapse distinct test types.</t>
  </si>
  <si>
    <t>PDF pp. 4, 7</t>
  </si>
  <si>
    <t>This is source checking by the assistant, not a second independent rating, new consensus or screening decision. Remaining limitation: 6,000-cycle frequency not verified in inspected passage.</t>
  </si>
  <si>
    <t>Mass/scalable production claimed; device-to-device statistics was not reported in the available full text</t>
  </si>
  <si>
    <t>Mass/scalable production is claimed; no between-device variability statistic extracted from the cited electromechanical results.</t>
  </si>
  <si>
    <t>R1 | Method quality 39!P9</t>
  </si>
  <si>
    <t>R2 | Extraction!Z9</t>
  </si>
  <si>
    <t>Device response and wearable application are illustrated without an identified replicate-device distribution. Manufacturing scale is distinct from demonstrated reproducibility.</t>
  </si>
  <si>
    <t>Saved main PDF pp 6–7 and 10</t>
  </si>
  <si>
    <t>Washability reported; protocol/count was not reported in the available full text</t>
  </si>
  <si>
    <t>10 washing cycles, with a stable relative-capacitance response.</t>
  </si>
  <si>
    <t>R1 | Data extraction 39!AE9</t>
  </si>
  <si>
    <t>R2 | Extraction!AA9</t>
  </si>
  <si>
    <t>The washing-results discussion reports 10 cycles. Preserve the author-reported value and its measurement conditions; do not collapse distinct test types.</t>
  </si>
  <si>
    <t>PDF pp. 5</t>
  </si>
  <si>
    <t>This is source checking by the assistant, not a second independent rating, new consensus or screening decision. Remaining limitation: Water/detergent, cycle duration, temperature and drying method still need protocol-level extraction.</t>
  </si>
  <si>
    <t>R1 | Data extraction 39!AF9</t>
  </si>
  <si>
    <t>R2 | Extraction!AB9</t>
  </si>
  <si>
    <t>1,000 friction cycles with no liquid-metal leakage reported.</t>
  </si>
  <si>
    <t>R2 | Extraction!AC9</t>
  </si>
  <si>
    <t>Friction resistance is described independently of tensile cycling. Preserve the author-reported value and its measurement conditions; do not collapse distinct test types.</t>
  </si>
  <si>
    <t>This is source checking by the assistant, not a second independent rating, new consensus or screening decision. Remaining limitation: Load, abrasion counterface and standard not established in inspected passage.</t>
  </si>
  <si>
    <t>Flexibility and breathability reported</t>
  </si>
  <si>
    <t>breathability and washability</t>
  </si>
  <si>
    <t>R1 | Data extraction 39!AG9</t>
  </si>
  <si>
    <t>R2 | Extraction!AD9</t>
  </si>
  <si>
    <t>R1 | Method quality 39!T9</t>
  </si>
  <si>
    <t>R2 | Extraction!AE9</t>
  </si>
  <si>
    <t>R1 | Method quality 39!U9</t>
  </si>
  <si>
    <t>R2 | Extraction!AF9</t>
  </si>
  <si>
    <t>Supplementary material Data Availability R</t>
  </si>
  <si>
    <t>R1 | Method quality 39!V9</t>
  </si>
  <si>
    <t>R2 | Extraction!AG9</t>
  </si>
  <si>
    <t>Working range 100% and 6,000-cycle durability; multifunctional fabric additionally produced 50 V open-circuit voltage, 500 nA short-circuit current and 100 nC transferred charge.</t>
  </si>
  <si>
    <t>GF 1.07 (0-100%); 6000 cycles; multifunctional</t>
  </si>
  <si>
    <t>DHCY capacitive GF 1.07 over 0–100%; 6,000 strain cycles at 10%. A separate triboelectric fabric experiment reports 50 V open-circuit output, 500 nA short-circuit current and 100 nC transferred charge under 7 Hz/5 N excitation.</t>
  </si>
  <si>
    <t>R1 | Data extraction 39!AH9</t>
  </si>
  <si>
    <t>R2 | Extraction!AH9</t>
  </si>
  <si>
    <t>The strain-sensing section gives GF and electrical cycling, whereas the energy-harvesting section and Figure S14 discussion give triboelectric outputs and loading conditions. Energy-harvesting outputs are not strain-sensitivity or human-monitoring validation results.</t>
  </si>
  <si>
    <t>Retained main PDF pp. 1, 4, 6, 7, 11</t>
  </si>
  <si>
    <t>Scalable yarn manufacturing with wide strain range, durability, washability and multifunctionality</t>
  </si>
  <si>
    <t>R1 | Data extraction 39!AI9</t>
  </si>
  <si>
    <t>Human-validation depth, participant count and comparator evidence was not reported in the available full text</t>
  </si>
  <si>
    <t>R1 | Data extraction 39!AJ9</t>
  </si>
  <si>
    <t>Conductive stretchable nonwoven fabric</t>
  </si>
  <si>
    <t>Micro-cracked non-woven fabric</t>
  </si>
  <si>
    <t>Nonwoven/electrospun sensing mat</t>
  </si>
  <si>
    <t>ScienceDirect full text: methods, strain-performance, and human-activity application sections</t>
  </si>
  <si>
    <t>R1 | Data extraction 39!L10</t>
  </si>
  <si>
    <t>R2 | Extraction!I10</t>
  </si>
  <si>
    <t>Starting substrate is commercial TPU nonwoven fabric, functionalized with a CNC/graphene conductive coating and hydrophobic fumed silica. Classifies the demonstrated device; not a new eligibility decision.</t>
  </si>
  <si>
    <t>PDF page(s) 3; §2.1 Materials; preparation description; saved PDF pp. 3</t>
  </si>
  <si>
    <t>REC-00398_10.1016_j.nanoen.2019.104143.pdf</t>
  </si>
  <si>
    <t>93e23e01c211fd2380532b99aace1609b0d8c409eb08876347cc4dd17629a1c5</t>
  </si>
  <si>
    <t>Resistive microcrack-based strain sensing</t>
  </si>
  <si>
    <t>Resistive (crack-based)</t>
  </si>
  <si>
    <t>R1 | Data extraction 39!M10</t>
  </si>
  <si>
    <t>R2 | Extraction!J10</t>
  </si>
  <si>
    <t>Prestrain-controlled microcracks in the conductive coating alter the conductive network and resistance during extension. Classifies the demonstrated device; not a new eligibility decision.</t>
  </si>
  <si>
    <t>PDF page(s) 10, 11; Electromechanical response and microcrack model; saved PDF pp. 10, 11</t>
  </si>
  <si>
    <t>Cellulose nanocrystal/graphene conductive coating; Hf-SiO₂ superhydrophobic top treatment</t>
  </si>
  <si>
    <t>CNC/graphene coating</t>
  </si>
  <si>
    <t>R1 | Data extraction 39!N10</t>
  </si>
  <si>
    <t>R2 | Extraction!K10</t>
  </si>
  <si>
    <t>Stretchable nonwoven fabric</t>
  </si>
  <si>
    <t>Non-woven fabric (NWF)</t>
  </si>
  <si>
    <t>R1 | Data extraction 39!O10</t>
  </si>
  <si>
    <t>R2 | Extraction!L10</t>
  </si>
  <si>
    <t>Dip coating and pre-straining to control microcrack density; secondary superhydrophobic dip coating</t>
  </si>
  <si>
    <t>Coated on non-woven; attached to glove</t>
  </si>
  <si>
    <t>Conductive CNC/graphene and hydrophobic silica functionalisation of TPU nonwoven; cut elements applied to glove/body.</t>
  </si>
  <si>
    <t>R1 | Data extraction 39!P10</t>
  </si>
  <si>
    <t>R2 | Extraction!M10</t>
  </si>
  <si>
    <t>Conductive CNC/graphene and hydrophobic silica functionalisation of TPU nonwoven; cut elements applied to glove/body. Classifies the demonstrated device; not a new eligibility decision.</t>
  </si>
  <si>
    <t>Materials/preparation and Fig. 5; saved PDF pp. 3, 13</t>
  </si>
  <si>
    <t>Pulse, speech, finger, elbow and wrist monitoring, including wet/underwater use</t>
  </si>
  <si>
    <t>Motion &amp; speech (underwater demo)</t>
  </si>
  <si>
    <t>Movement/posture/gait monitoring; Respiration; Pulse/heartbeat; Speech/swallowing/facial motion</t>
  </si>
  <si>
    <t>R1 | Data extraction 39!Q10</t>
  </si>
  <si>
    <t>R2 | Extraction!N10</t>
  </si>
  <si>
    <t>The coated nonwoven sensor measured elbow/wrist/finger motion, wrist pulse, throat speech and respiration (Fig. 5G). Classifies the demonstrated device; not a new eligibility decision.</t>
  </si>
  <si>
    <t>Human monitoring; Fig. 5; saved PDF pp. 13, 14</t>
  </si>
  <si>
    <t>None (volunteer demo)</t>
  </si>
  <si>
    <t>A volunteer is described for speech/throat monitoring; total participant number and demographics are not stated in the checked main-text application section.</t>
  </si>
  <si>
    <t>R1 | Data extraction 39!S10; R1 | Data extraction 39!T10</t>
  </si>
  <si>
    <t>R2 | Extraction!O10</t>
  </si>
  <si>
    <t>CONS | V1 consensus!H8</t>
  </si>
  <si>
    <t>Figure 5 discusses underwater finger motion, wrist pulse, a volunteer pronouncing sensor and ZZU, respiration and joint motion. Separates participant cohorts, bench tests, human repetitions, model training and actual reference use. Does not infer participant number from a photograph or a non-human n.</t>
  </si>
  <si>
    <t>Saved main PDF pp. 13, 14</t>
  </si>
  <si>
    <t>Multiple on-body and underwater demonstrations were reported; independent repeat-session design was not reported</t>
  </si>
  <si>
    <t>Repeated on-body signal examples are shown; formal human trial counts and separate sessions are not stated in the checked application section.</t>
  </si>
  <si>
    <t>R1 | Method quality 39!K10</t>
  </si>
  <si>
    <t>R2 | Extraction!P10</t>
  </si>
  <si>
    <t>The Figure 5 discussion identifies activity-dependent peaks and repeated patterns but does not enumerate a participant/session protocol. Separates participant cohorts, bench tests, human repetitions, model training and actual reference use. Does not infer participant number from a photograph or a non-human n.</t>
  </si>
  <si>
    <t>Machine Learning Glove Using Self-Po</t>
  </si>
  <si>
    <t>Bench resistance–strain characterization and sensing-mechanism analysis are reported; a performed human machine-learning or participant-specific calibration protocol is not established in the checked main-text sections.</t>
  </si>
  <si>
    <t>R1 | Method quality 39!L10</t>
  </si>
  <si>
    <t>R2 | Extraction!Q10</t>
  </si>
  <si>
    <t>The strain-response/mechanism discussion precedes Figure 5. The speech demonstration distinguishes word-related signal peaks; this is not a documented trained machine-learning glove protocol. Separates participant cohorts, bench tests, human repetitions, model training and actual reference use. Does not infer participant number from a photograph or a non-human n.</t>
  </si>
  <si>
    <t>Saved main PDF pp. 10, 11, 12, 13</t>
  </si>
  <si>
    <t>An independent on-body reference or comparator is not described in the checked application section.</t>
  </si>
  <si>
    <t>R1 | Data extraction 39!U10</t>
  </si>
  <si>
    <t>R2 | Extraction!R10</t>
  </si>
  <si>
    <t>Figure 5 shows the sensor responses to pulse, respiration, speech and movement without a paired physiological or biomechanical reference. Separates participant cohorts, bench tests, human repetitions, model training and actual reference use. Does not infer participant number from a photograph or a non-human n.</t>
  </si>
  <si>
    <t>Up to 98%; detection limit 0.1%</t>
  </si>
  <si>
    <t>working range of 98%</t>
  </si>
  <si>
    <t>Response characterized up to 98% strain for the 25% graphene-loading microcracked nonwoven; GF is approximately linear only over 0–15%.</t>
  </si>
  <si>
    <t>R1 | Data extraction 39!W10</t>
  </si>
  <si>
    <t>R2 | Extraction!S10</t>
  </si>
  <si>
    <t>The strain-response discussion identifies the selected loading and separates the low-strain linear regime. Preserve the author-reported value and its measurement conditions; do not collapse distinct test types.</t>
  </si>
  <si>
    <t>PDF pp. 10, 11</t>
  </si>
  <si>
    <t>Up to 23,600</t>
  </si>
  <si>
    <t>GF of 0.2</t>
  </si>
  <si>
    <t>GF approximately 180 over 0–15%; nonlinear increase to approximately 23,600 at 98%. The same Results section later describes the high value as 2.25 × 10⁴.</t>
  </si>
  <si>
    <t>R1 | Data extraction 39!X10</t>
  </si>
  <si>
    <t>R2 | Extraction!T10</t>
  </si>
  <si>
    <t>Both large endpoint values occur in the current paper, whereas a GF of 0.2 is from cited work. Keep the linear-regime and endpoint GF distinct and retain the source inconsistency.</t>
  </si>
  <si>
    <t>Tunable multi-regime response; full linearity statistics was not reported in the available full text</t>
  </si>
  <si>
    <t>Authors describe an approximately linear response up to 15% strain. Figure 4 A inset reports R²=0.98 over 0–15%, but does not identify the fitted model; this is not verified simple linear regression over the full≈98% working range.</t>
  </si>
  <si>
    <t>R1 | Data extraction 39!AA10</t>
  </si>
  <si>
    <t>R2 | Extraction!U10</t>
  </si>
  <si>
    <t>The inset x-axis spans 0–15% and displays R²=0.98; the plotted trace is visibly curved. Adjacent text makes the approximate-linearity claim. Preserves author wording while distinguishing an unspecified-fit annotation from independently verified linearity. Figure 6 E3=2 remains unchanged.</t>
  </si>
  <si>
    <t>Saved main PDF p 11, Fig 4 A inset and adjacent text; original embedded Fig 4 visually inspected</t>
  </si>
  <si>
    <t>R1 | Data extraction 39!AB10</t>
  </si>
  <si>
    <t>R2 | Extraction!V10</t>
  </si>
  <si>
    <t>Stable for more than 1,000 cycles</t>
  </si>
  <si>
    <t>Stable periodic response is shown for 1,000 cycles at 10% strain and 10 mm/min.</t>
  </si>
  <si>
    <t>R1 | Data extraction 39!AC10</t>
  </si>
  <si>
    <t>R2 | Extraction!W10</t>
  </si>
  <si>
    <t>The test conditions and 1,000-cycle response are presented. Uses the tested count rather than an unsupported more-than qualifier.</t>
  </si>
  <si>
    <t>Saved main PDF p 11, Fig 4 D</t>
  </si>
  <si>
    <t>Response time: 33 ms; Recovery time: Not reported</t>
  </si>
  <si>
    <t>response time (33 ms</t>
  </si>
  <si>
    <t>Response 33 ms.</t>
  </si>
  <si>
    <t>R1 | Data extraction 39!Y10; R1 | Data extraction 39!Z10</t>
  </si>
  <si>
    <t>R2 | Extraction!X10</t>
  </si>
  <si>
    <t>The response-time description reports 33 ms. Preserve the author-reported value and its measurement conditions; do not collapse distinct test types.</t>
  </si>
  <si>
    <t>PDF pp. 11</t>
  </si>
  <si>
    <t>This is source checking by the assistant, not a second independent rating, new consensus or screening decision. Remaining limitation: Step amplitude and recovery time not established in inspected passage.</t>
  </si>
  <si>
    <t>&gt;1,000 cycles</t>
  </si>
  <si>
    <t>1000 cycles</t>
  </si>
  <si>
    <t>1,000 tensile cycles at 10% strain, 10 mm/min.</t>
  </si>
  <si>
    <t>R1 | Data extraction 39!AD10</t>
  </si>
  <si>
    <t>R2 | Extraction!Y10</t>
  </si>
  <si>
    <t>Figure 4D durability discussion states count, amplitude and displacement rate. Preserve the author-reported value and its measurement conditions; do not collapse distinct test types.</t>
  </si>
  <si>
    <t>R1 | Method quality 39!P10</t>
  </si>
  <si>
    <t>R2 | Extraction!Z10</t>
  </si>
  <si>
    <t>Waterproof/self-cleaning behavior reported; laundering protocol not identified</t>
  </si>
  <si>
    <t>Soapy-water cleaning for 30 min under magnetic stirring at approximately 800 rpm.</t>
  </si>
  <si>
    <t>R1 | Data extraction 39!AE10</t>
  </si>
  <si>
    <t>R2 | Extraction!AA10</t>
  </si>
  <si>
    <t>The contaminated sensor is washed by stirred soapy water and its cleanliness/surface property is assessed. This is a timed washing procedure, not an explicit count of domestic wash cycles.</t>
  </si>
  <si>
    <t>PDF pp. 9</t>
  </si>
  <si>
    <t>Water contact angle 154°; anti-corrosion, self-cleaning, humid and underwater demonstrations</t>
  </si>
  <si>
    <t>waterproofness, anti-corrosion</t>
  </si>
  <si>
    <t>Initial water contact angle 154°. After UV-B 48 h, water erosion 20 min and 100 °C heat treatment 48 h: 153°, 154° and 151°, respectively; separate pH and underwater demonstrations.</t>
  </si>
  <si>
    <t>R1 | Data extraction 39!AF10</t>
  </si>
  <si>
    <t>R2 | Extraction!AB10</t>
  </si>
  <si>
    <t>Robustness Results name three exposures and their residual contact angles. Contact-angle retention is surface-wetting evidence, not automatically validated strain accuracy throughout exposure.</t>
  </si>
  <si>
    <t>PDF pp. 1, 9, 13</t>
  </si>
  <si>
    <t>This is source checking by the assistant, not a second independent rating, new consensus or screening decision. Remaining limitation: Exact pH values, UV dose and water-erosion flow conditions are not specified in inspected passages.</t>
  </si>
  <si>
    <t>R2 | Extraction!AC10</t>
  </si>
  <si>
    <t>breathable medical tape for detec</t>
  </si>
  <si>
    <t>R1 | Data extraction 39!AG10</t>
  </si>
  <si>
    <t>R2 | Extraction!AD10</t>
  </si>
  <si>
    <t>pre-strain technique, and the</t>
  </si>
  <si>
    <t>R1 | Method quality 39!T10</t>
  </si>
  <si>
    <t>R2 | Extraction!AE10</t>
  </si>
  <si>
    <t>R1 | Method quality 39!U10</t>
  </si>
  <si>
    <t>R2 | Extraction!AF10</t>
  </si>
  <si>
    <t>Supplementary data References Vitae Sh</t>
  </si>
  <si>
    <t>R1 | Method quality 39!V10</t>
  </si>
  <si>
    <t>R2 | Extraction!AG10</t>
  </si>
  <si>
    <t>Gauge factor up to 23,600, strain range up to 98%, 0.1% detection limit, 33 ms response, more than 1,000 cycles and 154° water-contact angle.</t>
  </si>
  <si>
    <t>Broad range up to 90-98%; 33 ms; waterproof WCA 154 deg</t>
  </si>
  <si>
    <t>Microcracked nonwoven: GF approximately 180 over 0–15%, rising nonlinearly to a reported endpoint approximately 23,600 at 98%; 0.1% detection limit; 33 ms response; 1,000 cycles at 10% and 10 mm/min; water contact angle approximately 154°.</t>
  </si>
  <si>
    <t>R1 | Data extraction 39!AH10</t>
  </si>
  <si>
    <t>R2 | Extraction!AH10</t>
  </si>
  <si>
    <t>The abstract and Results give these sensor values. The later comparison paragraph instead states an endpoint GF of 2.25×10⁴. Endpoint GF is not a constant slope over 0–98%. Preserve the internal 23,600 versus 22,500 discrepancy.</t>
  </si>
  <si>
    <t>Retained main PDF pp. 1, 9, 10, 11</t>
  </si>
  <si>
    <t>Assistant source checking, not new independent human review, a screening decision or changed reviewer consensus. Original R1/R2 values are preserved. Remaining limitation: Large-strain endpoint GF is inconsistent within the article (23,600 versus 22,500).</t>
  </si>
  <si>
    <t>Broad quantified strain performance plus harsh-environment and underwater demonstrations</t>
  </si>
  <si>
    <t>R1 | Data extraction 39!AI10</t>
  </si>
  <si>
    <t>Participant count, garment integration and comparator validation were not identified</t>
  </si>
  <si>
    <t>R1 | Data extraction 39!AJ10</t>
  </si>
  <si>
    <t>Woven/structured fabric strain sensor</t>
  </si>
  <si>
    <t>Laminated rGO fabric</t>
  </si>
  <si>
    <t>Woven sensing textile</t>
  </si>
  <si>
    <t>ScienceDirect full text: fabric construction, strain characterization, and Figure 5 wearable monitoring demonstrations</t>
  </si>
  <si>
    <t>R1 | Data extraction 39!L11</t>
  </si>
  <si>
    <t>R2 | Extraction!I11</t>
  </si>
  <si>
    <t>PU/PET warp and Calotropis gigantea weft yarns are woven on a rigid rapier loom into 2/2 twill and plain structures; PDA/rGO functionalization creates the sensing textile. Classifies the demonstrated device; not a new eligibility decision.</t>
  </si>
  <si>
    <t>PDF page(s) 3, 5; Fabrication of CG fabric and electrode coating; saved PDF pp. 3, 5</t>
  </si>
  <si>
    <t>REC-00475_10.1016_j.compscitech.2025.111034.pdf</t>
  </si>
  <si>
    <t>166b79b784631ee026dff7c81879ad9afce075cb8ebb8cd2e2df697929e1f355</t>
  </si>
  <si>
    <t>Resistive reduced-graphene-oxide textile strain sensor</t>
  </si>
  <si>
    <t>R1 | Data extraction 39!M11</t>
  </si>
  <si>
    <t>R2 | Extraction!J11</t>
  </si>
  <si>
    <t>The sensor resistance is modelled using yarn/contact resistance; changing yarn separation/contact under strain changes total resistance. Classifies the demonstrated device; not a new eligibility decision.</t>
  </si>
  <si>
    <t>PDF page(s) 8; Strain-sensing mechanism; saved PDF pp. 8</t>
  </si>
  <si>
    <t>Reduced graphene oxide linked through polydopamine</t>
  </si>
  <si>
    <t>Reduced graphene oxide (PDA-bridged)</t>
  </si>
  <si>
    <t>R1 | Data extraction 39!N11</t>
  </si>
  <si>
    <t>R2 | Extraction!K11</t>
  </si>
  <si>
    <t>Calotropis gigantea yarn and spandex elastic yarn</t>
  </si>
  <si>
    <t>Calotropis gigantea/spandex fabric</t>
  </si>
  <si>
    <t>R1 | Data extraction 39!O11</t>
  </si>
  <si>
    <t>R2 | Extraction!L11</t>
  </si>
  <si>
    <t>In-situ reduction forms a laminated rGO layer; crisscrossed yarn/weft density tunes sensitivity</t>
  </si>
  <si>
    <t>Coated fabric; wireless demo</t>
  </si>
  <si>
    <t>Weaving of PU/PET warp and CG weft; PDA/rGO dip functionalisation; coated sensor integrated into elbow/knee pads.</t>
  </si>
  <si>
    <t>R1 | Data extraction 39!P11</t>
  </si>
  <si>
    <t>R2 | Extraction!M11</t>
  </si>
  <si>
    <t>Weaving of PU/PET warp and CG weft; PDA/rGO dip functionalisation; coated sensor integrated into elbow/knee pads. Classifies the demonstrated device; not a new eligibility decision.</t>
  </si>
  <si>
    <t>Fabrication and §2.4; saved PDF pp. 3, 5, 11, 12</t>
  </si>
  <si>
    <t>Wireless personal digital-health and sports monitoring</t>
  </si>
  <si>
    <t>Motion + microenvironment health</t>
  </si>
  <si>
    <t>Movement/posture/gait monitoring; Respiration; Speech/swallowing/facial motion</t>
  </si>
  <si>
    <t>R1 | Data extraction 39!Q11</t>
  </si>
  <si>
    <t>R2 | Extraction!N11</t>
  </si>
  <si>
    <t>Throat speaking/drinking, diaphragmatic breathing and joint movement were demonstrated; knee/elbow-pad outdoor monitoring followed. Temperature/humidity tests demonstrate robustness, not an environmental sensing application. Classifies the demonstrated device; not a new eligibility decision.</t>
  </si>
  <si>
    <t>§2.4 Practical application; Fig. 5; saved PDF pp. 11, 12, 13</t>
  </si>
  <si>
    <t>Volunteers are described in knee-brace and elbow-pad demonstrations; total participant number and demographics are not stated in the checked main-text sections.</t>
  </si>
  <si>
    <t>R1 | Data extraction 39!S11; R1 | Data extraction 39!T11</t>
  </si>
  <si>
    <t>R2 | Extraction!O11</t>
  </si>
  <si>
    <t>CONS | V1 consensus!H9</t>
  </si>
  <si>
    <t>Figure 5 and its discussion describe outdoor walking and strength training with smart pads and smartphone software. Separates participant cohorts, bench tests, human repetitions, model training and actual reference use. Does not infer participant number from a photograph or a non-human n.</t>
  </si>
  <si>
    <t>Saved main PDF pp. 11, 12, 13</t>
  </si>
  <si>
    <t>Wearable wireless demonstration was reported; independent human repeat-session design was not reported</t>
  </si>
  <si>
    <t>Slow/fast walking and strength-training demonstrations are reported; formal participant-level repetition and separate-session counts are not stated in the checked sections.</t>
  </si>
  <si>
    <t>R1 | Method quality 39!K11</t>
  </si>
  <si>
    <t>R2 | Extraction!P11</t>
  </si>
  <si>
    <t>The application text and Supplementary Video 1 description discuss activity counting and changing walking speed, not an enumerated repeat-session study. Separates participant cohorts, bench tests, human repetitions, model training and actual reference use. Does not infer participant number from a photograph or a non-human n.</t>
  </si>
  <si>
    <t>calibration results of the ECGF sensor with</t>
  </si>
  <si>
    <t>Bench calibration curves compare weft densities, and an equivalent-circuit model analyzes strain response. Software motion thresholds can be adjusted; a performed individualized human calibration protocol is not specified.</t>
  </si>
  <si>
    <t>R1 | Method quality 39!L11</t>
  </si>
  <si>
    <t>R2 | Extraction!Q11</t>
  </si>
  <si>
    <t>Figure 3a is explicitly a calibration result for different weft densities; the Figure 3d/equivalent-circuit analysis concerns the sensor. The application paragraph states thresholds can be adjusted according to exercise needs. Separates participant cohorts, bench tests, human repetitions, model training and actual reference use. Does not infer participant number from a photograph or a non-human n.</t>
  </si>
  <si>
    <t>Saved main PDF pp. 8, 9, 13</t>
  </si>
  <si>
    <t>Equivalent-circuit simulation</t>
  </si>
  <si>
    <t>An independent human reference instrument is not described in the checked application sections. The equivalent circuit is a sensor model, not an external human comparator.</t>
  </si>
  <si>
    <t>R1 | Data extraction 39!U11</t>
  </si>
  <si>
    <t>R2 | Extraction!R11</t>
  </si>
  <si>
    <t>The mechanism section compares model and electrical response; Figure 5 applications report sensor traces and app counts without a paired independent motion/physiology reference. Separates participant cohorts, bench tests, human repetitions, model training and actual reference use. Does not infer participant number from a photograph or a non-human n.</t>
  </si>
  <si>
    <t>Saved main PDF pp. 8, 9, 11, 12, 13</t>
  </si>
  <si>
    <t>0–25%</t>
  </si>
  <si>
    <t>Reported range 0–100% in Conclusion/SI Table S1; sensitivity characterization to 80% in SI Methods/main Figure 3a. Supporting Figure S16 shows a nonlinear response extending to approximately 100% for twill/plain variants. The 0–25% value is only a mechanistic subrange.</t>
  </si>
  <si>
    <t>R1 | Data extraction 39!W11</t>
  </si>
  <si>
    <t>R2 | Extraction!S11</t>
  </si>
  <si>
    <t>Sensing tests explicitly described at 5–50%; conclusion states 0–100% stretchability</t>
  </si>
  <si>
    <t>PDF page(s) 8, 9, 13; Section 2.2 and Conclusions</t>
  </si>
  <si>
    <t>The SI text specifies 80% for sensitivity testing. Visually inspected SI Figure S16 extends to about 100%, consistent with the claimed range, but flattens at high strain. Keep variant, measured/claimed range and calibration subrange explicit; do not assign a constant GF to the full range.</t>
  </si>
  <si>
    <t>PDF pp. 8, 9, 13; retained supplementary PDF pp. 12, 16, 18</t>
  </si>
  <si>
    <t>REC-00475_10.1016_j.compscitech.2025.111034.pdf; 1-s2.0-S0266353825000028-mmc1.pdf</t>
  </si>
  <si>
    <t>166b79b784631ee026dff7c81879ad9afce075cb8ebb8cd2e2df697929e1f355; 2869f40583d437dfff29f1f32d98b007036a28493093ef6202fd2af89a9252b3</t>
  </si>
  <si>
    <t>R1 | Data extraction 39!X11</t>
  </si>
  <si>
    <t>R2 | Extraction!T11</t>
  </si>
  <si>
    <t>Sensitivity-curve fit at least 99.5%</t>
  </si>
  <si>
    <t>Sensitivity-curve fit is reported as at least 99.5% (R²&gt;0.995 in the abstract); do not assume a single linear model across every strain interval.</t>
  </si>
  <si>
    <t>R1 | Data extraction 39!AA11</t>
  </si>
  <si>
    <t>R2 | Extraction!U11</t>
  </si>
  <si>
    <t>The curve-fitting quality accompanies design-dependent sensitivity results. High goodness of fit is not, without the fit model, proof of global linearity.</t>
  </si>
  <si>
    <t>Saved main PDF p 3 abstract andp 7 section 2.2</t>
  </si>
  <si>
    <t>R1 | Data extraction 39!AB11</t>
  </si>
  <si>
    <t>R2 | Extraction!V11</t>
  </si>
  <si>
    <t>Stable sensing under varying temperature and humidity</t>
  </si>
  <si>
    <t>Qualitative stability over 3,000 cycles at 15% strain and under reported temperature/humidity variations; no separate drift percentage extracted.</t>
  </si>
  <si>
    <t>R1 | Data extraction 39!AC11</t>
  </si>
  <si>
    <t>R2 | Extraction!W11</t>
  </si>
  <si>
    <t>The cycling test and temperature 20.8–44.9°C / humidity 38–79% conditions are described. Retains the reported result with its specific test, range and construct; does not extend it to untested conditions.</t>
  </si>
  <si>
    <t>Saved main PDF pp 9–11, cyclic/environmental response</t>
  </si>
  <si>
    <t>Response time: 50 ms; Recovery time: Not reported</t>
  </si>
  <si>
    <t>response (50 ms</t>
  </si>
  <si>
    <t>50 ms response to a 0.5% quasi-instantaneous strain step (0.15 mm for a 3-cm sensor). Conclusion instead states 59 ms.</t>
  </si>
  <si>
    <t>R1 | Data extraction 39!Y11; R1 | Data extraction 39!Z11</t>
  </si>
  <si>
    <t>R2 | Extraction!X11</t>
  </si>
  <si>
    <t>The Results give 50 ms and the applied displacement; the Conclusion gives 59 ms. Report the Results-based estimate with the internal discrepancy noted.</t>
  </si>
  <si>
    <t>PDF pp. 9, 13</t>
  </si>
  <si>
    <t>&gt;3,000 cycles</t>
  </si>
  <si>
    <t>3000 cycles)</t>
  </si>
  <si>
    <t>More than 3,000 electrical strain cycles at 15%; separate mechanical stress–strain repeatability over 100 cycles at 100%.</t>
  </si>
  <si>
    <t>R1 | Data extraction 39!AD11</t>
  </si>
  <si>
    <t>R2 | Extraction!Y11</t>
  </si>
  <si>
    <t>More than 3,000 cycles at 15% strain</t>
  </si>
  <si>
    <t>PDF page(s) 9; Section 2.2</t>
  </si>
  <si>
    <t>The main article distinguishes 15% long-term sensing stability from 100% mechanical cycling. Preserve the author-reported value and its measurement conditions; do not collapse distinct test types.</t>
  </si>
  <si>
    <t>PDF pp. 3, 5, 9</t>
  </si>
  <si>
    <t>This is source checking by the assistant, not a second independent rating, new consensus or screening decision. Remaining limitation: Endurance frequency not established here; 0.25–1 Hz is a separate dynamic frequency sweep.</t>
  </si>
  <si>
    <t>Scalable design claimed; device-to-device statistics was not reported in the available full text</t>
  </si>
  <si>
    <t>Scalable design is claimed; no independent between-device electrical variability statistic extracted from the inspected sections.</t>
  </si>
  <si>
    <t>R1 | Method quality 39!P11</t>
  </si>
  <si>
    <t>R2 | Extraction!Z11</t>
  </si>
  <si>
    <t>Results compare geometries and environmental conditions. Design variants and scalable fabrication are not replicate-device agreement.</t>
  </si>
  <si>
    <t>Saved main PDF pp 7–11</t>
  </si>
  <si>
    <t>Five water washes and five detergent washes: ECGF conductivity reductions 8.62% and 7.41%, respectively.</t>
  </si>
  <si>
    <t>R1 | Data extraction 39!AE11</t>
  </si>
  <si>
    <t>R2 | Extraction!AA11</t>
  </si>
  <si>
    <t>Figure 2c / Figure S7 discussion explicitly compares five washes in water and detergent. Both prior reviewers recorded NR, but positive washing evidence is present in the main text.</t>
  </si>
  <si>
    <t>This is source checking by the assistant, not a second independent rating, new consensus or screening decision. Remaining limitation: Detailed washing duration, temperature, drying and standard are deferred to Supporting Information.</t>
  </si>
  <si>
    <t>Stable from 20.8–44.9 °C and 38–79% relative humidity</t>
  </si>
  <si>
    <t>humidity levels (from 38%</t>
  </si>
  <si>
    <t>Temperature 20.8–44.9 °C and relative humidity 38–79%, including 15% strain-response testing; artificial-sweat/rain drop-interference demonstrations.</t>
  </si>
  <si>
    <t>R1 | Data extraction 39!AF11</t>
  </si>
  <si>
    <t>R2 | Extraction!AB11</t>
  </si>
  <si>
    <t>Figure 4 captions and adjacent discussion specify the temperature/humidity ranges and strain condition. Preserve the author-reported value and its measurement conditions; do not collapse distinct test types.</t>
  </si>
  <si>
    <t>PDF pp. 10, 11, 13</t>
  </si>
  <si>
    <t>Conductivity stable after repeated rubbing, referenced to Figure S8.</t>
  </si>
  <si>
    <t>R2 | Extraction!AC11</t>
  </si>
  <si>
    <t>The main text reports repeated-rubbing stability. Preserve the author-reported value and its measurement conditions; do not collapse distinct test types.</t>
  </si>
  <si>
    <t>This is source checking by the assistant, not a second independent rating, new consensus or screening decision. Remaining limitation: Rubbing count, load and standardized method require Figure S8 / SI.</t>
  </si>
  <si>
    <t>Water-vapour permeability 762.07 g·m⁻²·h⁻¹</t>
  </si>
  <si>
    <t>Breathable design ensures wear co</t>
  </si>
  <si>
    <t>Reported permeability 762.07 g m⁻² h⁻¹ for ECGF versus 772.67 g m⁻² h⁻¹ for CGF; water-vapour/moisture transmission demonstration.</t>
  </si>
  <si>
    <t>R1 | Data extraction 39!AG11</t>
  </si>
  <si>
    <t>R2 | Extraction!AD11</t>
  </si>
  <si>
    <t>The permeability values and steam/mist demonstration are described together. These units represent mass transmission, not volumetric air permeability; preserve the source terminology caveat.</t>
  </si>
  <si>
    <t>This is source checking by the assistant, not a second independent rating, new consensus or screening decision. Remaining limitation: Verify the Supporting Information test standard and whether the source formally calls this water-vapour permeability.</t>
  </si>
  <si>
    <t>R1 | Method quality 39!T11</t>
  </si>
  <si>
    <t>R2 | Extraction!AE11</t>
  </si>
  <si>
    <t>Wireless sensing device integrated; component and power details was not reported in the available full text</t>
  </si>
  <si>
    <t>ADC)</t>
  </si>
  <si>
    <t>R1 | Method quality 39!U11</t>
  </si>
  <si>
    <t>R2 | Extraction!AF11</t>
  </si>
  <si>
    <t>Supplementary data Data availability R</t>
  </si>
  <si>
    <t>R1 | Method quality 39!V11</t>
  </si>
  <si>
    <t>R2 | Extraction!AG11</t>
  </si>
  <si>
    <t>Response time 50 ms, durability beyond 3,000 cycles, permeability 762.07 g·m⁻²·h⁻¹ and stable operation from 20.8–44.9 °C and 38–79% RH.</t>
  </si>
  <si>
    <t>R&gt;99.5%; 50 ms; 3000 cyc; temp 20.8-44.9 C + humidity</t>
  </si>
  <si>
    <t>Electrical durability exceeds 3,000 cycles at 15%; Results report 50 ms response to a 0.5% step. Reported moisture-transmission/permeability is 762.07 g m⁻² h⁻¹; environmental response was examined at 20.8–44.9 °C and 38–79% RH.</t>
  </si>
  <si>
    <t>R1 | Data extraction 39!AH11</t>
  </si>
  <si>
    <t>R2 | Extraction!AH11</t>
  </si>
  <si>
    <t>The Results provide the response stimulus, environmental ranges and mass-transmission units. The Conclusion instead gives 59 ms. Do not call g m⁻² h⁻¹ an air-flow permeability. R2’s “R&gt;99.5%” is not retained without a defined metric and traceable fitting interval.</t>
  </si>
  <si>
    <t>Retained main PDF pp. 3, 5, 7, 9, 10, 11, 13</t>
  </si>
  <si>
    <t>Assistant source checking, not new independent human review, a screening decision or changed reviewer consensus. Original R1/R2 values are preserved. Remaining limitation: 50 versus 59 ms internal response-time discrepancy. R2 R&gt;99.5% claim not independently verified as a particular metric/fit in this key-result audit.</t>
  </si>
  <si>
    <t>Explicit microclimate testing, breathability, cyclic durability and wireless integration</t>
  </si>
  <si>
    <t>R1 | Data extraction 39!AI11</t>
  </si>
  <si>
    <t>Participant/sample numbers and wearable comparator validation was not reported in the available full text</t>
  </si>
  <si>
    <t>R1 | Data extraction 39!AJ11</t>
  </si>
  <si>
    <t>Nanofiber yarn integrated into elastic fabric by embroidery</t>
  </si>
  <si>
    <t>Nanofiber yarn (embroidered)</t>
  </si>
  <si>
    <t>ScienceDirect full text: patterned embroidery, strain characterization, and Figure 7 joint-monitoring section</t>
  </si>
  <si>
    <t>R1 | Data extraction 39!L12</t>
  </si>
  <si>
    <t>R2 | Extraction!I12</t>
  </si>
  <si>
    <t>Conjugated electrospinning continuously draws and twists PA/PVA nanofibres into coreless yarn; deep MXene deposition forms an internal conductive network. Classifies the demonstrated device; not a new eligibility decision.</t>
  </si>
  <si>
    <t>PDF page(s) 2, 3; §2.2 Preparation of PPY; MXene deposition; saved PDF pp. 2, 3</t>
  </si>
  <si>
    <t>REC-00483_10.1016_j.mtphys.2026.102086.pdf</t>
  </si>
  <si>
    <t>29e2813573785d89cd970a1ed49985d4697744fbae8670855c4ec729a5348597</t>
  </si>
  <si>
    <t>Resistive MXene nanofiber yarn strain sensor</t>
  </si>
  <si>
    <t>R1 | Data extraction 39!M12</t>
  </si>
  <si>
    <t>R2 | Extraction!J12</t>
  </si>
  <si>
    <t>The article states that rearrangement of the internal 3D nanofibre conductive network changes resistance; low/intermediate strain changes contacts and high strain reduces cross-contact points. Classifies the demonstrated device; not a new eligibility decision.</t>
  </si>
  <si>
    <t>PDF page(s) 7; §3.4 Strain-sensing mechanism and performance; saved PDF pp. 7</t>
  </si>
  <si>
    <t>MXene nanosheets</t>
  </si>
  <si>
    <t>MXene on PA/PVA nanofiber yarn</t>
  </si>
  <si>
    <t>R1 | Data extraction 39!N12</t>
  </si>
  <si>
    <t>R2 | Extraction!K12</t>
  </si>
  <si>
    <t>PA/PVA electrospun nanofiber yarn</t>
  </si>
  <si>
    <t>Elastic spandex bandage</t>
  </si>
  <si>
    <t>R1 | Data extraction 39!O12</t>
  </si>
  <si>
    <t>R2 | Extraction!L12</t>
  </si>
  <si>
    <t>Conjugated electrospinning to form nanofiber yarn, ultrasonic deep deposition of MXene, then twisting/plying and embroidery integration into elastic bandage</t>
  </si>
  <si>
    <t>Embroidered into elastic bandage</t>
  </si>
  <si>
    <t>Conjugate electrospinning into continuous nanofibre yarn followed by internal MXene deposition; patterned embroidery into elastic host fabric.</t>
  </si>
  <si>
    <t>R1 | Data extraction 39!P12</t>
  </si>
  <si>
    <t>R2 | Extraction!M12</t>
  </si>
  <si>
    <t>Conjugate electrospinning into continuous nanofibre yarn followed by internal MXene deposition; patterned embroidery into elastic host fabric. Classifies the demonstrated device; not a new eligibility decision.</t>
  </si>
  <si>
    <t>§2.2 and §3.7; saved PDF pp. 2, 3, 10, 11</t>
  </si>
  <si>
    <t>Multi-joint human motion monitoring; wearable e-textiles</t>
  </si>
  <si>
    <t>Motion &amp; physiological</t>
  </si>
  <si>
    <t>R1 | Data extraction 39!Q12</t>
  </si>
  <si>
    <t>R2 | Extraction!N12</t>
  </si>
  <si>
    <t>Patterned yarn textiles monitored wrist, neck, lumbar spine, knee and elbow motion. Generic statements about physiological potential are not a separate demonstrated application. Classifies the demonstrated device; not a new eligibility decision.</t>
  </si>
  <si>
    <t>§3.7 Human motion monitoring; Fig. 7a; saved PDF pp. 10, 11</t>
  </si>
  <si>
    <t>Human joint demonstrations are reported, but total participant number and demographics are not established in the checked main text. The Figure 7 caption gives mean ± SD (n=5) without identifying n as human participants.</t>
  </si>
  <si>
    <t>R1 | Data extraction 39!S12; R1 | Data extraction 39!T12</t>
  </si>
  <si>
    <t>R2 | Extraction!O12</t>
  </si>
  <si>
    <t>CONS | V1 consensus!H10</t>
  </si>
  <si>
    <t>Figure 7 combines joint signals, washing and corrosion measurements. Its omnibus n=5 caption is not an explicit participant cohort declaration and must not be converted to five volunteers. Separates participant cohorts, bench tests, human repetitions, model training and actual reference use. Does not infer participant number from a photograph or a non-human n.</t>
  </si>
  <si>
    <t>Saved main PDF pp. 10, 11</t>
  </si>
  <si>
    <t>Repeated/stepwise joint responses are shown; a separate-session or per-participant repetition count is not stated in the checked application sections.</t>
  </si>
  <si>
    <t>R1 | Method quality 39!K12</t>
  </si>
  <si>
    <t>R2 | Extraction!P12</t>
  </si>
  <si>
    <t>Section 3.7 describes wrist, neck, lumbar, knee and elbow signal patterns. The cycling and washing counts elsewhere concern bench/material testing. Separates participant cohorts, bench tests, human repetitions, model training and actual reference use. Does not infer participant number from a photograph or a non-human n.</t>
  </si>
  <si>
    <t>calibration compared to low-linearity count</t>
  </si>
  <si>
    <t>Bench strain-response curves for yarn and embroidery variants are reported; an implemented participant-specific calibration protocol is not stated in the checked on-body section.</t>
  </si>
  <si>
    <t>R1 | Method quality 39!L12</t>
  </si>
  <si>
    <t>R2 | Extraction!Q12</t>
  </si>
  <si>
    <t>Figures 5–6 quantify variant/geometric-pattern strain response. Section 3.7 strategically assigns patterns to different deformation demands without specifying an individual quantitative calibration procedure. Separates participant cohorts, bench tests, human repetitions, model training and actual reference use. Does not infer participant number from a photograph or a non-human n.</t>
  </si>
  <si>
    <t>Saved main PDF pp. 7, 8, 9, 10, 11</t>
  </si>
  <si>
    <t>An independent on-body reference or comparator is not described in the checked joint-monitoring section.</t>
  </si>
  <si>
    <t>R1 | Data extraction 39!U12</t>
  </si>
  <si>
    <t>R2 | Extraction!R12</t>
  </si>
  <si>
    <t>Section 3.7/Figure 7a reports sensor response during joint motion; reference-number citations and material comparisons do not establish a simultaneous human-reference experiment. Separates participant cohorts, bench tests, human repetitions, model training and actual reference use. Does not infer participant number from a photograph or a non-human n.</t>
  </si>
  <si>
    <t>0–100% mentioned through multiregime GF reporting; explicit full window includes 0–50%, 50–80%, 80–100%</t>
  </si>
  <si>
    <t>0–50%</t>
  </si>
  <si>
    <t>Variant-specific: unplied MPPY 1:1.9 yarn 0–100%; integrated straight-line 0–60%, zigzag 0–160%, serpentine and arched textiles 0–200%.</t>
  </si>
  <si>
    <t>R1 | Data extraction 39!W12</t>
  </si>
  <si>
    <t>R2 | Extraction!S12</t>
  </si>
  <si>
    <t>The paper reports an unplied yarn and multiple integrated MPPY3P patterns. These cannot be represented by one GF/range/endurance combination.</t>
  </si>
  <si>
    <t>PDF pp. 8, 9</t>
  </si>
  <si>
    <t>1.82 (0–50%), 9.71 (50–80%), 22.93 (100%)</t>
  </si>
  <si>
    <t>GF of 1.82</t>
  </si>
  <si>
    <t>Unplied MPPY 1:1.9: 1.82 (0–50%), 9.71 (50–80%), 22.93 (80–100%). MPPY3P serpentine textile: 0.10 (0–80%), 1.55 (80–160%), 6.24 (160–200%). Other pattern values remain separately attributable.</t>
  </si>
  <si>
    <t>R1 | Data extraction 39!X12</t>
  </si>
  <si>
    <t>R2 | Extraction!T12</t>
  </si>
  <si>
    <t>GF values for the optimized unplied yarn differ from the MPPY3P serpentine textile. The 6,000-cycle test belongs to the serpentine textile, not to the unplied yarn with GF 22.93.</t>
  </si>
  <si>
    <t>R² above 0.98 throughout reported strain regimes</t>
  </si>
  <si>
    <t>linearity (R2 = 0.98</t>
  </si>
  <si>
    <t>Segmented R² values:0.98 over 0–50%,0.99 over 50–80%, and 0.99 over 80–100% strain.</t>
  </si>
  <si>
    <t>R1 | Data extraction 39!AA12</t>
  </si>
  <si>
    <t>R2 | Extraction!U12</t>
  </si>
  <si>
    <t>These fits accompany GF 1.82,9.71 and 22.93 in the three intervals. Corrects above 0.98 to the actual segmented values; the first is equal to 0.98.</t>
  </si>
  <si>
    <t>Saved main PDF p 8, resistance–strain results</t>
  </si>
  <si>
    <t>NR in accessible text excerpt</t>
  </si>
  <si>
    <t>Mechanical loading–unloading hysteresis is discussed; no electrical-output hysteresis metric extracted from the inspected response passages.</t>
  </si>
  <si>
    <t>R1 | Data extraction 39!AB12</t>
  </si>
  <si>
    <t>R2 | Extraction!V12</t>
  </si>
  <si>
    <t>Stress–strain cycling and resistance–strain behavior are separate tests. Mechanical energy dissipation must not be relabelled as electrical sensing hysteresis.</t>
  </si>
  <si>
    <t>Saved main PDF pp 7–8, mechanical and sensing tests</t>
  </si>
  <si>
    <t>High reliability and conductivity uniformity emphasized</t>
  </si>
  <si>
    <t>After 1,500 cycles at 15% strain, response peaks increase by 28.5%; baseline drift is also described at strains above 50%.</t>
  </si>
  <si>
    <t>R1 | Data extraction 39!AC12</t>
  </si>
  <si>
    <t>R2 | Extraction!W12</t>
  </si>
  <si>
    <t>The authors quantify peak increase and describe baseline movement. Replaces generic reliability language with the observed change; not an ideal stable response.</t>
  </si>
  <si>
    <t>Saved main PDF p 8, durability and strain-cycling results</t>
  </si>
  <si>
    <t>Response time: 58 ± 2 ms at 10% strain; Recovery time: Not reported</t>
  </si>
  <si>
    <t>response time (58 ± 2 ms</t>
  </si>
  <si>
    <t>Single-cycle timing at 10% strain: approximately 58 ± 2 ms response/recovery; later text gives 58/60 ms and a comparison table approximately 56/60 ms.</t>
  </si>
  <si>
    <t>R1 | Data extraction 39!Y12; R1 | Data extraction 39!Z12</t>
  </si>
  <si>
    <t>R2 | Extraction!X12</t>
  </si>
  <si>
    <t>The response discussion specifies 10% strain but the text and table present slightly different times. Do not silently select one numerical pair; retain the discrepancy.</t>
  </si>
  <si>
    <t>Over 6000 stretching-releasing cycles at 50% strain</t>
  </si>
  <si>
    <t>25 cycles at 20% strain (Fig</t>
  </si>
  <si>
    <t>Unplied MPPY 1:1.9: 1,500 cycles at 15%, peak response increases 28.5%. Integrated MPPY3P serpentine textile: 6,000 cycles at 50%. Separate 25-cycle mechanical tests are not endurance substitutes.</t>
  </si>
  <si>
    <t>R1 | Data extraction 39!AD12</t>
  </si>
  <si>
    <t>R2 | Extraction!Y12</t>
  </si>
  <si>
    <t>The main Results explicitly give distinct conditions for the unplied yarn and serpentine textile. Preserve variant linkage; do not pair unplied-yarn GF with integrated-textile durability.</t>
  </si>
  <si>
    <t>This is source checking by the assistant, not a second independent rating, new consensus or screening decision. Remaining limitation: Endurance rates need protocol-specific extraction.</t>
  </si>
  <si>
    <t>Five independent specimens per group are stated for mechanical testing; the number and independence of electrically tested devices and their between-device agreement are not established by the cited text.</t>
  </si>
  <si>
    <t>R1 | Method quality 39!P12</t>
  </si>
  <si>
    <t>R2 | Extraction!Z12</t>
  </si>
  <si>
    <t>Mechanical replicate count and repeated electrical measurements are described. Keeps specimen replication distinct from quantified electrical device reproducibility.</t>
  </si>
  <si>
    <t>Saved main PDF p 3, section 2.3</t>
  </si>
  <si>
    <t>Excellent washability reported</t>
  </si>
  <si>
    <t>Unplied MPPY 1:1.9: five ultrasonic washing cycles. Integrated MPPY3P textile: seven simulated machine-washing/drying cycles; resistance 1073.43 → 1259.8 Ω, stated rise &lt;20%.</t>
  </si>
  <si>
    <t>R1 | Data extraction 39!AE12</t>
  </si>
  <si>
    <t>R2 | Extraction!AA12</t>
  </si>
  <si>
    <t>The yarn-adhesion and integrated-textile tests occur in separate Results sections. Keep both tests and their respective device variants; do not substitute one for the other.</t>
  </si>
  <si>
    <t>PDF pp. 7, 11</t>
  </si>
  <si>
    <t>This is source checking by the assistant, not a second independent rating, new consensus or screening decision. Remaining limitation: Detergent, load, wash/dry temperatures and durations still require protocol-level verification.</t>
  </si>
  <si>
    <t>Resistance to corrosion in artificial sweat explicitly reported</t>
  </si>
  <si>
    <t>artificial sweat</t>
  </si>
  <si>
    <t>Integrated textile: simulated sweat testing includes 1,800-s open-circuit-potential monitoring, 25 CV cycles and EIS after 12-h immersion; baseline resistance rises slightly after sweat exposure.</t>
  </si>
  <si>
    <t>R1 | Data extraction 39!AF12</t>
  </si>
  <si>
    <t>R2 | Extraction!AB12</t>
  </si>
  <si>
    <t>The environmental section reports several electrochemical and strain-sensing checks in simulated sweat. Electrochemical stability and strain-readout stability are related but different endpoints.</t>
  </si>
  <si>
    <t>This is source checking by the assistant, not a second independent rating, new consensus or screening decision. Remaining limitation: Sweat composition, detailed immersion conditions and a numerical sensing-error threshold remain unspecified in inspected passage.</t>
  </si>
  <si>
    <t>R2 | Extraction!AC12</t>
  </si>
  <si>
    <t>1D yarn architecture and embroidery integration support practical textile wearability</t>
  </si>
  <si>
    <t>breathability, susceptibility to</t>
  </si>
  <si>
    <t>R1 | Data extraction 39!AG12</t>
  </si>
  <si>
    <t>R2 | Extraction!AD12</t>
  </si>
  <si>
    <t>placement of the yarn ends during</t>
  </si>
  <si>
    <t>R1 | Method quality 39!T12</t>
  </si>
  <si>
    <t>R2 | Extraction!AE12</t>
  </si>
  <si>
    <t>R1 | Method quality 39!U12</t>
  </si>
  <si>
    <t>R2 | Extraction!AF12</t>
  </si>
  <si>
    <t>Available online 27 March 2026 2542-</t>
  </si>
  <si>
    <t>R1 | Method quality 39!V12</t>
  </si>
  <si>
    <t>R2 | Extraction!AG12</t>
  </si>
  <si>
    <t>The MXene nanofiber yarn was embroidered into elastic fabrics using defined patterns and the integrated textiles were applied to the wrist, neck, lumbar spine, knee, and elbow, producing repeatable strain-related resistance signals. Pattern-specific strain ranges and gauge factors are reported, including up to 200% strain and 6000 cycles for the serpentine textile.</t>
  </si>
  <si>
    <t>GF 1.82/9.71/22.93 (R2 0.98-0.99); 56 ms; 6000 cyc; sweat/wash</t>
  </si>
  <si>
    <t>Unplied MPPY 1:1.9 yarn: GF 1.82/9.71/22.93 over 0–50/50–80/80–100%. Integrated serpentine textile: GF 0.10/1.55/6.24 over 0–80/80–160/160–200%, with 6,000 cycles at 50%.</t>
  </si>
  <si>
    <t>R1 | Data extraction 39!AH12</t>
  </si>
  <si>
    <t>R2 | Extraction!AH12</t>
  </si>
  <si>
    <t>Separate Results paragraphs give the unplied-yarn and embroidered MPPY3P-pattern sensitivities and endurance conditions. Avoid pairing the unplied-yarn maximum GF with the serpentine textile’s range and durability. The timing disagreement is preserved in the dedicated response/recovery field rather than selecting R2’s 56 ms.</t>
  </si>
  <si>
    <t>Retained main PDF pp. 8, 9</t>
  </si>
  <si>
    <t>Excellent modern yarn paper for your deployment lens because it combines fast response, washability, artificial-sweat resistance, and embroidery-based textile integration</t>
  </si>
  <si>
    <t>R1 | Data extraction 39!AI12</t>
  </si>
  <si>
    <t>Some classical robustness metrics like long-term drift/hysteresis numbers are not explicit in the accessible text excerpt</t>
  </si>
  <si>
    <t>R1 | Data extraction 39!AJ12</t>
  </si>
  <si>
    <t>Woven fabric assembled from twisted graphene fibres and sewn into elbow/knee pads</t>
  </si>
  <si>
    <t>Twisted graphene fibre (woven)</t>
  </si>
  <si>
    <t>ScienceDirect full text: woven BWWAJ construction, quantitative characterization, and Figure 5 swimming demonstration</t>
  </si>
  <si>
    <t>R1 | Data extraction 39!L13</t>
  </si>
  <si>
    <t>R2 | Extraction!I13</t>
  </si>
  <si>
    <t>A hand loom constructs an active plain-weave sensor with twisted graphene fibre (TGF) weft and elastic Lycra warp. Effective sensing area is 10×5 mm. Classifies the demonstrated device; not a new eligibility decision.</t>
  </si>
  <si>
    <t>PDF page(s) 4, 5; §2.3 Fabrication of BWWAJ strain sensor; Fig2 text; saved PDF pp. 4, 5</t>
  </si>
  <si>
    <t>REC-00522_10.1016_j.cej.2022.135502.pdf</t>
  </si>
  <si>
    <t>8d48439aab073db030c60fc934808523ae75ae82a306691891e84ea36c648d74</t>
  </si>
  <si>
    <t>Resistive fibre strain sensing</t>
  </si>
  <si>
    <t>Resistive (anti-jamming)</t>
  </si>
  <si>
    <t>R1 | Data extraction 39!M13</t>
  </si>
  <si>
    <t>R2 | Extraction!J13</t>
  </si>
  <si>
    <t>Strain along warp separates neighbouring TGF segments; loss of contact/parallel conductive paths raises the woven sensor's resistance. Classifies the demonstrated device; not a new eligibility decision.</t>
  </si>
  <si>
    <t>PDF page(s) 6; §3.2 Sensing mechanism; saved PDF pp. 6</t>
  </si>
  <si>
    <t>Twisted graphene fibre</t>
  </si>
  <si>
    <t>R1 | Data extraction 39!N13</t>
  </si>
  <si>
    <t>R2 | Extraction!K13</t>
  </si>
  <si>
    <t>Graphene-fibre woven textile; pad substrate composition not recorded</t>
  </si>
  <si>
    <t>Woven fabric</t>
  </si>
  <si>
    <t>R1 | Data extraction 39!O13</t>
  </si>
  <si>
    <t>R2 | Extraction!L13</t>
  </si>
  <si>
    <t>Wet-fused twisted graphene fibres woven into a fabric and sewn onto wearable pads</t>
  </si>
  <si>
    <t>Woven into fabric</t>
  </si>
  <si>
    <t>Plain weaving of graphene-fibre weft/Lycra warp creates contact-dependent active sensor; sensor sewn onto elbow/knee pads.</t>
  </si>
  <si>
    <t>R1 | Data extraction 39!P13</t>
  </si>
  <si>
    <t>R2 | Extraction!M13</t>
  </si>
  <si>
    <t>Plain weaving of graphene-fibre weft/Lycra warp creates contact-dependent active sensor; sensor sewn onto elbow/knee pads. Classifies the demonstrated device; not a new eligibility decision.</t>
  </si>
  <si>
    <t>§2.3 and §3.5; saved PDF pp. 4, 9</t>
  </si>
  <si>
    <t>Underwater limb-motion monitoring during swimming</t>
  </si>
  <si>
    <t>Underwater motion</t>
  </si>
  <si>
    <t>R1 | Data extraction 39!Q13</t>
  </si>
  <si>
    <t>R2 | Extraction!N13</t>
  </si>
  <si>
    <t>Sensors sewn on elbow/knee pads monitored swimming strokes and simulated drowning movement, with resistance signals transmitted wirelessly. This is a motion demonstration, not clinical rescue validation. Classifies the demonstrated device; not a new eligibility decision.</t>
  </si>
  <si>
    <t>§3.5 Underwater motion monitoring; Fig. 5; saved PDF pp. 9, 10</t>
  </si>
  <si>
    <t>Swimming demonstrations are reported; total participant number and demographics are not stated in the checked main-text sections. Four sensors represent left/right arms and legs, not four participants.</t>
  </si>
  <si>
    <t>R1 | Data extraction 39!S13; R1 | Data extraction 39!T13</t>
  </si>
  <si>
    <t>R2 | Extraction!O13</t>
  </si>
  <si>
    <t>CONS | V1 consensus!H11</t>
  </si>
  <si>
    <t>Section 3.5/Figure 5 integrates four sensors into elbow/knee pads and records freestyle, breaststroke, treading water and a drowning-motion demonstration. Separates participant cohorts, bench tests, human repetitions, model training and actual reference use. Does not infer participant number from a photograph or a non-human n.</t>
  </si>
  <si>
    <t>Saved main PDF pp. 9, 10</t>
  </si>
  <si>
    <t>Repeated underwater swimming/motion demonstrations reported; session count not identified</t>
  </si>
  <si>
    <t>Multiple swimming styles and rhythmic signal traces are reported; human session and per-participant trial counts are not stated in the checked section.</t>
  </si>
  <si>
    <t>R1 | Method quality 39!K13</t>
  </si>
  <si>
    <t>R2 | Extraction!P13</t>
  </si>
  <si>
    <t>Figure 5 derives amplitude/frequency and a danger indicator from motion signals. The 3000 cycles and one-week immersion are material tests, not human sessions. Separates participant cohorts, bench tests, human repetitions, model training and actual reference use. Does not infer participant number from a photograph or a non-human n.</t>
  </si>
  <si>
    <t>calibration of the sensor were performed us</t>
  </si>
  <si>
    <t>Bench tensile calibration, including sensitivity comparisons in air, water and salt solution and after washing, is reported; individualized human calibration is not stated in the checked swimming section.</t>
  </si>
  <si>
    <t>R1 | Method quality 39!L13</t>
  </si>
  <si>
    <t>R2 | Extraction!Q13</t>
  </si>
  <si>
    <t>Characterization uses Instron 3344 and Keithley 2000. Sections 3.2–3.4/Figures 3–4 describe strain response and environmental recalibration; Section 3.5 applies the sensors to swimming. Separates participant cohorts, bench tests, human repetitions, model training and actual reference use. Does not infer participant number from a photograph or a non-human n.</t>
  </si>
  <si>
    <t>Saved main PDF pp. 4, 5, 6, 7, 8, 9, 10</t>
  </si>
  <si>
    <t>No external biomechanical reference identified in the reviewed source</t>
  </si>
  <si>
    <t>An independent motion or clinical drowning reference is not described in the checked swimming section; the danger indicator is calculated from the textile sensor signals.</t>
  </si>
  <si>
    <t>R1 | Data extraction 39!U13</t>
  </si>
  <si>
    <t>R2 | Extraction!R13</t>
  </si>
  <si>
    <t>Figure 5c–e and Section 3.5 define amplitude, frequency and average relative-standard-deviation indicators from the four body-site sensor traces, not agreement with an external reference. Separates participant cohorts, bench tests, human repetitions, model training and actual reference use. Does not infer participant number from a photograph or a non-human n.</t>
  </si>
  <si>
    <t>0-60% tensile strain</t>
  </si>
  <si>
    <t>0–60%</t>
  </si>
  <si>
    <t>0–60% in the warp direction.</t>
  </si>
  <si>
    <t>R1 | Data extraction 39!W13</t>
  </si>
  <si>
    <t>R2 | Extraction!S13</t>
  </si>
  <si>
    <t>The warp-direction strain-response curve is evaluated to 60%. Preserve the author-reported value and its measurement conditions; do not collapse distinct test types.</t>
  </si>
  <si>
    <t>63 over 0-60% strain; decreased to 50 after repeated washing</t>
  </si>
  <si>
    <t>gauge factor = 63) with high linearity (R = 96%</t>
  </si>
  <si>
    <t>GF 63 over 0–60% in the warp direction (R² = 0.96).</t>
  </si>
  <si>
    <t>R1 | Data extraction 39!X13</t>
  </si>
  <si>
    <t>R2 | Extraction!T13</t>
  </si>
  <si>
    <t>The linear-fit GF and range are reported together. Preserve the author-reported value and its measurement conditions; do not collapse distinct test types.</t>
  </si>
  <si>
    <t>R1 | Data extraction 39!AA13</t>
  </si>
  <si>
    <t>R2 | Extraction!U13</t>
  </si>
  <si>
    <t>R1 | Data extraction 39!AB13</t>
  </si>
  <si>
    <t>R2 | Extraction!V13</t>
  </si>
  <si>
    <t>Stable response reported during chronic wetting and cyclic washing</t>
  </si>
  <si>
    <t>Stable underwater response through 3,000 cycles at 20% strain and 1 Hz; a separate one-week wetting test changes GF from 55 to 48.</t>
  </si>
  <si>
    <t>R1 | Data extraction 39!AC13</t>
  </si>
  <si>
    <t>R2 | Extraction!W13</t>
  </si>
  <si>
    <t>The article describes chronic immersion and underwater repeated cycling as separate tests. Cyclic stability does not erase the sensitivity change following prolonged wetting.</t>
  </si>
  <si>
    <t>Saved main PDF p 9, underwater sensing tests</t>
  </si>
  <si>
    <t>response and relaxation speed (90 ms</t>
  </si>
  <si>
    <t>Response and recovery 90/90 ms at 0.5% rapidly applied strain.</t>
  </si>
  <si>
    <t>R1 | Data extraction 39!Y13; R1 | Data extraction 39!Z13</t>
  </si>
  <si>
    <t>R2 | Extraction!X13</t>
  </si>
  <si>
    <t>The transient response test states both timing values and strain amplitude. Preserve the author-reported value and its measurement conditions; do not collapse distinct test types.</t>
  </si>
  <si>
    <t>3,000 underwater cycles at 20% strain</t>
  </si>
  <si>
    <t>3000 cycles</t>
  </si>
  <si>
    <t>Dry: 3,000 cycles at 30%, 1 Hz. Underwater: 3,000 cycles at 20%, 1 Hz.</t>
  </si>
  <si>
    <t>R1 | Data extraction 39!AD13</t>
  </si>
  <si>
    <t>R2 | Extraction!Y13</t>
  </si>
  <si>
    <t>Separate dry and underwater tests specify their respective amplitudes. Do not combine the amplitudes or represent underwater durability as the only test.</t>
  </si>
  <si>
    <t>PDF pp. 7, 9</t>
  </si>
  <si>
    <t>R1 | Method quality 39!P13</t>
  </si>
  <si>
    <t>R2 | Extraction!Z13</t>
  </si>
  <si>
    <t>Standardized cyclic washing reported; exact standard and cycle count was not reported in the available full text</t>
  </si>
  <si>
    <t>Six washes; GF decreases from 63 to 50, while fitted linearity changes from 0.96 to 0.97.</t>
  </si>
  <si>
    <t>R1 | Data extraction 39!AE13</t>
  </si>
  <si>
    <t>R2 | Extraction!AA13</t>
  </si>
  <si>
    <t>The washing paragraph compares before/after sensing properties. Preserve the author-reported value and its measurement conditions; do not collapse distinct test types.</t>
  </si>
  <si>
    <t>This is source checking by the assistant, not a second independent rating, new consensus or screening decision. Remaining limitation: Washing temperature, detergent, duration and drying remain to be extracted.</t>
  </si>
  <si>
    <t>Air/water and chronic-wetting operation; resistance to bending, pressure, temperature and humidity interference reported</t>
  </si>
  <si>
    <t>humidity from 40% to 90%</t>
  </si>
  <si>
    <t>One-week water immersion: stated GF 55 to 48; underwater endurance separately uses 3,000 cycles at 20%, 1 Hz.</t>
  </si>
  <si>
    <t>R1 | Data extraction 39!AF13</t>
  </si>
  <si>
    <t>R2 | Extraction!AB13</t>
  </si>
  <si>
    <t>The water-soaking paragraph gives a different initial GF from the dry-response baseline. Preserve the soak-test baseline rather than replacing it with dry GF 63.</t>
  </si>
  <si>
    <t>R2 | Extraction!AC13</t>
  </si>
  <si>
    <t>Breathable and wettable textile sensor reported</t>
  </si>
  <si>
    <t>breathable, wettable and washable</t>
  </si>
  <si>
    <t>R1 | Data extraction 39!AG13</t>
  </si>
  <si>
    <t>R2 | Extraction!AD13</t>
  </si>
  <si>
    <t>Four sensors sewn into elbow and knee pads; pretension procedure not reported</t>
  </si>
  <si>
    <t>R1 | Method quality 39!T13</t>
  </si>
  <si>
    <t>R2 | Extraction!AE13</t>
  </si>
  <si>
    <t>Bluetooth transmission</t>
  </si>
  <si>
    <t>R1 | Method quality 39!U13</t>
  </si>
  <si>
    <t>R2 | Extraction!AF13</t>
  </si>
  <si>
    <t>Supplementary data References Show ful</t>
  </si>
  <si>
    <t>R1 | Method quality 39!V13</t>
  </si>
  <si>
    <t>R2 | Extraction!AG13</t>
  </si>
  <si>
    <t>Gauge factor 63, tensile strength 369 MPa, breaking strain 48.5%, and 3,000 underwater cycles at 20% strain.</t>
  </si>
  <si>
    <t>GF 63 (0-60%); linearity 96-97%; 90 ms; 3000 cyc; ISO 105 wash</t>
  </si>
  <si>
    <t>Woven BWWAJ sensor: GF 63 over 0–60% warp strain (R²=0.96), 90/90 ms response/recovery at 0.5%, and 3,000 cycles both dry (30%, 1 Hz) and underwater (20%, 1 Hz). Constituent TGF-40 fibre separately has breaking stress 369 MPa and breaking strain 48.5%.</t>
  </si>
  <si>
    <t>R1 | Data extraction 39!AH13</t>
  </si>
  <si>
    <t>R2 | Extraction!AH13</t>
  </si>
  <si>
    <t>Figure 1 discussion assigns 369 MPa/48.5% to the TGF-40 fibre; later figures characterize the fabric’s strain response and separate dry/underwater endurance tests. Fibre tensile breaking properties are not the woven sensor’s operating strain range. The 0.97 fit refers to after-wash data, not an interchangeable baseline R².</t>
  </si>
  <si>
    <t>Retained main PDF pp. 5, 6, 7, 9</t>
  </si>
  <si>
    <t>Purpose-built underwater textile sensor with quantified cycling and interference-resistance evidence</t>
  </si>
  <si>
    <t>R1 | Data extraction 39!AI13</t>
  </si>
  <si>
    <t>Participant count, human protocol, comparator validation and exact washing procedure were not identified</t>
  </si>
  <si>
    <t>R1 | Data extraction 39!AJ13</t>
  </si>
  <si>
    <t>Digitally knitted elbow and knee sensing sleeves</t>
  </si>
  <si>
    <t>Knitted sensing sleeve</t>
  </si>
  <si>
    <t>R1 | Data extraction 39!L14</t>
  </si>
  <si>
    <t>R2 | Extraction!I14</t>
  </si>
  <si>
    <t>Sensor includes a spacer-knitted fabric elastic base, conductive graphene coating, TPU defining frame and encapsulation; graphene adheres within the knitted structures. Classifies the demonstrated device; not a new eligibility decision.</t>
  </si>
  <si>
    <t>PDF page(s) 5; §2.1 Sensor characterization; saved PDF pp. 5</t>
  </si>
  <si>
    <t>REC-00633_10.1002_aisy.202400124.pdf</t>
  </si>
  <si>
    <t>d4795fe9226e53530a5f4b9e311e441d35740fbea2ab72eb2ddb121b0691d4c0</t>
  </si>
  <si>
    <t>Resistive graphene-coated textile strain sensing</t>
  </si>
  <si>
    <t>R1 | Data extraction 39!M14</t>
  </si>
  <si>
    <t>R2 | Extraction!J14</t>
  </si>
  <si>
    <t>Strain increases spacing between graphene nanoplatelets on the knit and therefore increases electrical resistance. Classifies the demonstrated device; not a new eligibility decision.</t>
  </si>
  <si>
    <t>PDF page(s) 5; §2.1 Sensing mechanism; saved PDF pp. 5</t>
  </si>
  <si>
    <t>Graphene nanoplatelet conductive coating</t>
  </si>
  <si>
    <t>Graphene-based ink</t>
  </si>
  <si>
    <t>R1 | Data extraction 39!N14</t>
  </si>
  <si>
    <t>R2 | Extraction!K14</t>
  </si>
  <si>
    <t>Spacer-knit textile sensor; acrylic/spandex knitted sleeves</t>
  </si>
  <si>
    <t>Knitted textile (TPU/textile)</t>
  </si>
  <si>
    <t>R1 | Data extraction 39!O14</t>
  </si>
  <si>
    <t>R2 | Extraction!L14</t>
  </si>
  <si>
    <t>Digital knitting plus laser cutting, film coating and thermal transfer; four-layer TPU/textile sensor construction</t>
  </si>
  <si>
    <t>Knitted into sleeve</t>
  </si>
  <si>
    <t>Graphene coating of spacer-knitted base with TPU frame/encapsulation; multisensor knee/elbow sleeve.</t>
  </si>
  <si>
    <t>R1 | Data extraction 39!P14</t>
  </si>
  <si>
    <t>R2 | Extraction!M14</t>
  </si>
  <si>
    <t>Graphene coating of spacer-knitted base with TPU frame/encapsulation; multisensor knee/elbow sleeve. Classifies the demonstrated device; not a new eligibility decision.</t>
  </si>
  <si>
    <t>§2.1 and sleeve evaluation; saved PDF pp. 5, 8</t>
  </si>
  <si>
    <t>Elbow and knee angle monitoring and gesture classification</t>
  </si>
  <si>
    <t>Joint-angle &amp; gesture (home health)</t>
  </si>
  <si>
    <t>R1 | Data extraction 39!Q14</t>
  </si>
  <si>
    <t>R2 | Extraction!N14</t>
  </si>
  <si>
    <t>Knitted knee/elbow sleeves estimate joint angles and classify movements against motion capture; human–computer-interface use is proposed rather than a separate actuated interface test. Classifies the demonstrated device; not a new eligibility decision.</t>
  </si>
  <si>
    <t>§2.3 joint-angle estimation; §2.4 Gesture recognition; saved PDF pp. 8, 9, 10, 11</t>
  </si>
  <si>
    <t>Human sample size: 20 knee participants; 10 elbow participants; Participant details: Knee and elbow cohorts were evaluated separately; complete demographics was not reported in the available full text</t>
  </si>
  <si>
    <t>20 participants</t>
  </si>
  <si>
    <t>Knee evaluation: 20 healthy adults aged at least 18 years without prior knee injury. Elbow gesture evaluation: 10 participants. Cohort overlap not stated; do not report 30 unique participants.</t>
  </si>
  <si>
    <t>R1 | Data extraction 39!S14; R1 | Data extraction 39!T14</t>
  </si>
  <si>
    <t>R2 | Extraction!O14</t>
  </si>
  <si>
    <t>Experimental setup and protocol; Data analysis; Gesture recognition. Recovered unchanged main PDF from the existing verified.zip archive. Separates participant cohorts, bench tests, human repetitions, model training and experimental reference use.</t>
  </si>
  <si>
    <t>Saved main PDF pp. 23, 24, 25, 26</t>
  </si>
  <si>
    <t>Five knee and six elbow gestures were evaluated; the number of independent sessions/donnings was not reported</t>
  </si>
  <si>
    <t>Knee: five exercises, two sets of 10 repetitions each, with 10 repetitions in 55 s. Elbow: six gestures, each repeated 10 times in 60 s. Independent donning/day count not specified.</t>
  </si>
  <si>
    <t>R1 | Method quality 39!K14</t>
  </si>
  <si>
    <t>R2 | Extraction!P14</t>
  </si>
  <si>
    <t>Textile strain characterization and participant-specific/intersubject angle models calibrated against motion capture</t>
  </si>
  <si>
    <t>calibration will be needed</t>
  </si>
  <si>
    <t>Motion-capture-labelled linear and random-forest angle models. Within-participant and held-out-participant evaluations are described separately.</t>
  </si>
  <si>
    <t>R1 | Method quality 39!L14</t>
  </si>
  <si>
    <t>R2 | Extraction!Q14</t>
  </si>
  <si>
    <t>Yes — 12-camera motion-capture system sampled at 100 Hz</t>
  </si>
  <si>
    <t>Camera-based motion capture (MCS)</t>
  </si>
  <si>
    <t>OptiTrack optical motion capture for knee angles; IMU-only and combined-sensor models provide separate gesture-classification comparisons.</t>
  </si>
  <si>
    <t>R1 | Data extraction 39!U14</t>
  </si>
  <si>
    <t>R2 | Extraction!R14</t>
  </si>
  <si>
    <t>0–293%</t>
  </si>
  <si>
    <t>up to 293%</t>
  </si>
  <si>
    <t>0–293%.</t>
  </si>
  <si>
    <t>R1 | Data extraction 39!W14</t>
  </si>
  <si>
    <t>R2 | Extraction!S14</t>
  </si>
  <si>
    <t>The selected GNPCB textile sensor is characterized to 293%. Preserve the author-reported value and its measurement conditions; do not collapse distinct test types.</t>
  </si>
  <si>
    <t>PDF pp. 5, 15</t>
  </si>
  <si>
    <t>28 over 0–174%; 288 over 174–293%</t>
  </si>
  <si>
    <t>288</t>
  </si>
  <si>
    <t>28 over 0–174%; 288 over 174–293%.</t>
  </si>
  <si>
    <t>R1 | Data extraction 39!X14</t>
  </si>
  <si>
    <t>R2 | Extraction!T14</t>
  </si>
  <si>
    <t>The current article repeats the two piecewise-linear GF values. Preserve the author-reported value and its measurement conditions; do not collapse distinct test types.</t>
  </si>
  <si>
    <t>Knee-angle model: R² 99% intrasubject and 94% intersubject</t>
  </si>
  <si>
    <t>R²≈0.99 intrasubject and≈0.94 intersubject describe knee-angle model performance, not intrinsic strain–response linearity.</t>
  </si>
  <si>
    <t>R1 | Data extraction 39!AA14</t>
  </si>
  <si>
    <t>R2 | Extraction!U14</t>
  </si>
  <si>
    <t>The reported R² values evaluate the calibrated/modelled joint-angle output. Move interpretation to reference validation; do not pool these as sensor-linearity measurements.</t>
  </si>
  <si>
    <t>Saved main PDF pp 9–10 model-validation results andpp 16–17 discussion</t>
  </si>
  <si>
    <t>R1 | Data extraction 39!AB14</t>
  </si>
  <si>
    <t>R2 | Extraction!V14</t>
  </si>
  <si>
    <t>Resistance increased by approximately 13% after 10,000 s loading at 30% strain and 0.5 Hz</t>
  </si>
  <si>
    <t>Resistance-response change≈13% after 10,000 s at 30% strain and 0.5 Hz.</t>
  </si>
  <si>
    <t>R1 | Data extraction 39!AC14</t>
  </si>
  <si>
    <t>R2 | Extraction!W14</t>
  </si>
  <si>
    <t>The duration is 10,000 seconds, not 10,000 cycles. Retains exact test duration/strain/frequency; no derived cycle count.</t>
  </si>
  <si>
    <t>Saved main PDF p 6, cyclic test; p 21 discussion</t>
  </si>
  <si>
    <t>R1 | Data extraction 39!Y14; R1 | Data extraction 39!Z14</t>
  </si>
  <si>
    <t>R2 | Extraction!X14</t>
  </si>
  <si>
    <t>10,000-second cyclic-duration test at 30% strain and 0.5 Hz (not 10,000 cycles)</t>
  </si>
  <si>
    <t>500 cycles of the test</t>
  </si>
  <si>
    <t>10,000 s of 0–30% cycling at 0.5 Hz; initial fluctuations over approximately 500 cycles, followed by a reported 13% increase in the resistance-change response after the test.</t>
  </si>
  <si>
    <t>R1 | Data extraction 39!AD14</t>
  </si>
  <si>
    <t>R2 | Extraction!Y14</t>
  </si>
  <si>
    <t>Methods report duration in seconds and the waveform; Results discuss the initial transient and final response change. Do not report 10,000 cycles or reinterpret the response change as baseline-resistance drift. A computed cycle count, if used, must be explicitly derived, not author-reported.</t>
  </si>
  <si>
    <t>PDF pp. 6, 21</t>
  </si>
  <si>
    <t>Multiple sensors positioned in knitted sleeves; exact device-to-device statistics was not reported in the available full text</t>
  </si>
  <si>
    <t>Multiple sensing elements are positioned in sleeves; no independent between-device electrical variability statistic established by the cited passages.</t>
  </si>
  <si>
    <t>R1 | Method quality 39!P14</t>
  </si>
  <si>
    <t>R2 | Extraction!Z14</t>
  </si>
  <si>
    <t>Sensor placement and construction are described. An array element count is not an independent-device replication count.</t>
  </si>
  <si>
    <t>Saved main PDF sleeve construction and methods, pp 4–7</t>
  </si>
  <si>
    <t>10 wash cycles at 40 °C and 800 rpm, followed by air drying, using ISO 6330:2000</t>
  </si>
  <si>
    <t>10 washing cycles, under normal aging</t>
  </si>
  <si>
    <t>10 washes; ISO 6330:2000, 40 °C, 800 rpm, flat air drying. Figure 3d is explicitly reproduced from reference 44.</t>
  </si>
  <si>
    <t>R1 | Data extraction 39!AE14</t>
  </si>
  <si>
    <t>R2 | Extraction!AA14</t>
  </si>
  <si>
    <t>Methods describe washing conditions; Results and the figure credit identify reused evidence. Do not describe reproduced earlier data as an independently repeated new test.</t>
  </si>
  <si>
    <t>PDF pp. 6, 7, 21</t>
  </si>
  <si>
    <t>This is source checking by the assistant, not a second independent rating, new consensus or screening decision. Remaining limitation: Cross-check the credited prior study for the exact source of each reproduced robustness result.</t>
  </si>
  <si>
    <t>UV exposure to ASTM G154 for 168 h; laboratory ageing at 25 °C and 30% RH</t>
  </si>
  <si>
    <t>Laboratory aging at 25 °C and 30% humidity; UV aging 168 h, lamp 280–400 nm, ASTM G154, daily 20-s sensing test at 30% strain / 0.5 Hz. Figure 3d is reproduced from reference 44.</t>
  </si>
  <si>
    <t>R1 | Data extraction 39!AF14</t>
  </si>
  <si>
    <t>R2 | Extraction!AB14</t>
  </si>
  <si>
    <t>The Methods and Results provide conditions while the figure credit identifies reused robustness data. Do not imply that a reproduced result is an independent repeated experiment.</t>
  </si>
  <si>
    <t>R2 | Extraction!AC14</t>
  </si>
  <si>
    <t>Knitted, stretchable sleeve construction with hollow channels; fit influenced baseline response</t>
  </si>
  <si>
    <t>R1 | Data extraction 39!AG14</t>
  </si>
  <si>
    <t>R2 | Extraction!AD14</t>
  </si>
  <si>
    <t>Elbow and knee sleeves with defined sensor spacing; fit affected baseline and intersubject results</t>
  </si>
  <si>
    <t>donning and doffing, red</t>
  </si>
  <si>
    <t>R1 | Method quality 39!T14</t>
  </si>
  <si>
    <t>R2 | Extraction!AE14</t>
  </si>
  <si>
    <t>Custom PCB voltage dividers, MCU, six-axis IMU, pushbutton, conductive-yarn interconnects and magnetic enclosure</t>
  </si>
  <si>
    <t>data acquisition unit</t>
  </si>
  <si>
    <t>R1 | Method quality 39!U14</t>
  </si>
  <si>
    <t>R2 | Extraction!AF14</t>
  </si>
  <si>
    <t>Code Availability The underlying code for</t>
  </si>
  <si>
    <t>R1 | Method quality 39!V14</t>
  </si>
  <si>
    <t>R2 | Extraction!AG14</t>
  </si>
  <si>
    <t>Intrasubject gesture accuracy was 94.1% for the knee and 96.1% for the elbow; intersubject accuracy was 79.9% and 85.5%, respectively. Knee-angle MAE/RMSE were 0.78°/1.63° intrasubject and 4.21°/7.81° intersubject.</t>
  </si>
  <si>
    <t>Angle error 2.34-4.21 deg; gesture acc 79.9-85.5%; 10 washes</t>
  </si>
  <si>
    <t>Graphene-textile+IMU classification: knee/elbow accuracy 94.1%/96.1% within-subject or pooled-split tests versus 79.9%/85.5% inter-subject. Knee-angle regression: overall intra-subject MAE/RMSE 1.17°/2.34° versus inter-subject 4.21°/7.81°; the HC-S-specific five-sensor result is 0.78°/1.63°.</t>
  </si>
  <si>
    <t>R1 | Data extraction 39!AH14</t>
  </si>
  <si>
    <t>R2 | Extraction!AH14</t>
  </si>
  <si>
    <t>Classification figures compare textile alone, IMU alone and combined inputs. The overall Discussion reports intra/inter-subject angle errors; the sensor-placement analysis attributes 0.78°/1.63° specifically to the HC-S network. Do not present combined-modality classification as textile-alone accuracy, mix MAE with RMSE, or use the HC-S-specific result as the overall intra-subject error.</t>
  </si>
  <si>
    <t>Retained main PDF pp. 10, 12, 13, 14, 16, 17</t>
  </si>
  <si>
    <t>Multi-participant garment-level validation with motion capture, intersubject testing, washing and standardized UV exposure</t>
  </si>
  <si>
    <t>R1 | Data extraction 39!AI14</t>
  </si>
  <si>
    <t>Fit-dependent baseline and lower intersubject performance indicate transferability limitations</t>
  </si>
  <si>
    <t>R1 | Data extraction 39!AJ14</t>
  </si>
  <si>
    <t>Graphene-based TPU/knitted-textile composite sensor</t>
  </si>
  <si>
    <t>Graphene TPU/textile composite</t>
  </si>
  <si>
    <t>R1 | Data extraction 39!L15</t>
  </si>
  <si>
    <t>R2 | Extraction!I15</t>
  </si>
  <si>
    <t>Acrylic/spandex weft-knitted fabric is produced on a gauge-10 double-bed machine and coated/encapsulated with GNP/TPU sensing layers. Classifies the demonstrated device; not a new eligibility decision.</t>
  </si>
  <si>
    <t>PDF page(s) 4, 5; §2.2–2.3 Fabrication; saved PDF pp. 4, 5</t>
  </si>
  <si>
    <t>REC-00663_10.1002_pat.5856.pdf</t>
  </si>
  <si>
    <t>9221cec88c09bcd8a00436c000bd614875667844119cc9f3fd5dd42d41550ef6</t>
  </si>
  <si>
    <t>Resistive textile strain sensing</t>
  </si>
  <si>
    <t>R1 | Data extraction 39!M15</t>
  </si>
  <si>
    <t>R2 | Extraction!J15</t>
  </si>
  <si>
    <t>Tensile strain and resistance are recorded in parallel; loading orientation and response-time tests measure resistance change. Classifies the demonstrated device; not a new eligibility decision.</t>
  </si>
  <si>
    <t>PDF page(s) 6, 7; §2.4 Sensor characterization; saved PDF pp. 6, 7</t>
  </si>
  <si>
    <t>Graphene conductive layer</t>
  </si>
  <si>
    <t>Graphene nanoplatelets</t>
  </si>
  <si>
    <t>R1 | Data extraction 39!N15</t>
  </si>
  <si>
    <t>R2 | Extraction!K15</t>
  </si>
  <si>
    <t>Knitted textile with thermoplastic polyurethane</t>
  </si>
  <si>
    <t>TPU/textile knit</t>
  </si>
  <si>
    <t>R1 | Data extraction 39!O15</t>
  </si>
  <si>
    <t>R2 | Extraction!L15</t>
  </si>
  <si>
    <t>Laser cutting, film coating and thermal transfer</t>
  </si>
  <si>
    <t>Knitted into wearables</t>
  </si>
  <si>
    <t>GNP/TPU coating and encapsulation of weft-knit fabric; sensor elements built into clothing or attached to monitoring sites.</t>
  </si>
  <si>
    <t>R1 | Data extraction 39!P15</t>
  </si>
  <si>
    <t>R2 | Extraction!M15</t>
  </si>
  <si>
    <t>GNP/TPU coating and encapsulation of weft-knit fabric; sensor elements built into clothing or attached to monitoring sites. Classifies the demonstrated device; not a new eligibility decision.</t>
  </si>
  <si>
    <t>§2.2–2.3 and §3.9; saved PDF pp. 4, 5, 18</t>
  </si>
  <si>
    <t>Finger, wrist, elbow, knee and respiration monitoring; neck-pulse detection</t>
  </si>
  <si>
    <t>Motion (worn joints)</t>
  </si>
  <si>
    <t>R1 | Data extraction 39!Q15</t>
  </si>
  <si>
    <t>R2 | Extraction!N15</t>
  </si>
  <si>
    <t>Joint movements, mouth/facial movements, carotid pulse, and abdominal breathing were each demonstrated. Classifies the demonstrated device; not a new eligibility decision.</t>
  </si>
  <si>
    <t>§3.9 Sensor application tests; Figs. 12–13; saved PDF pp. 18, 19, 20</t>
  </si>
  <si>
    <t>On-body joint, facial, pulse and respiration demonstrations are reported; total participant number and demographics are not stated in the checked main-text sections.</t>
  </si>
  <si>
    <t>R1 | Data extraction 39!S15; R1 | Data extraction 39!T15</t>
  </si>
  <si>
    <t>R2 | Extraction!O15</t>
  </si>
  <si>
    <t>CONS | V1 consensus!H12</t>
  </si>
  <si>
    <t>The wearable methods and Figures 12–13 application discussion describe sensor placement and motions but do not enumerate a human cohort. Separates participant cohorts, bench tests, human repetitions, model training and actual reference use. Does not infer participant number from a photograph or a non-human n.</t>
  </si>
  <si>
    <t>Saved main PDF pp. 7, 8, 18, 19, 20, 21, 22</t>
  </si>
  <si>
    <t>Repeated body-motion demonstrations reported; session structure not identified</t>
  </si>
  <si>
    <t>Repeated human signal patterns are shown; a formal participant-level repetition or separate-session count is not stated in the checked sections.</t>
  </si>
  <si>
    <t>R1 | Method quality 39!K15</t>
  </si>
  <si>
    <t>R2 | Extraction!P15</t>
  </si>
  <si>
    <t>The one-week aging schedule and tensile-machine cycle/time protocols are sensor tests; they are not repeated human visits. The on-body section shows short movement/physiological demonstrations. Separates participant cohorts, bench tests, human repetitions, model training and actual reference use. Does not infer participant number from a photograph or a non-human n.</t>
  </si>
  <si>
    <t>regression models up to the 4th orde</t>
  </si>
  <si>
    <t>Bench sensitivity fitting uses least-squares linear and polynomial regressions up to fourth order, selecting the lowest-error model. A participant-specific human calibration procedure is not stated.</t>
  </si>
  <si>
    <t>R1 | Method quality 39!L15</t>
  </si>
  <si>
    <t>R2 | Extraction!Q15</t>
  </si>
  <si>
    <t>The testing section uses a tensile machine and DEWE2-F acquisition unit and explicitly describes regression fitting to the sensitivity graph; this is bench calibration, not a human machine-learning protocol. Separates participant cohorts, bench tests, human repetitions, model training and actual reference use. Does not infer participant number from a photograph or a non-human n.</t>
  </si>
  <si>
    <t>Saved main PDF pp. 6, 7, 18, 19, 20, 21</t>
  </si>
  <si>
    <t>Motion capture (referenced)</t>
  </si>
  <si>
    <t>External motion capture is identified as a needed future reference, not as a comparator used in the reported experiments.</t>
  </si>
  <si>
    <t>R1 | Data extraction 39!U15</t>
  </si>
  <si>
    <t>R2 | Extraction!R15</t>
  </si>
  <si>
    <t>The closing application discussion states that a secondary motion-capture system is required for a more precise baseline waveform and calls for further on-body system evaluation. Separates participant cohorts, bench tests, human repetitions, model training and actual reference use. Does not infer participant number from a photograph or a non-human n.</t>
  </si>
  <si>
    <t>Saved main PDF pp. 21, 22</t>
  </si>
  <si>
    <t>Selected 0.1-mm GNP, Y-direction sample: 0–293%.</t>
  </si>
  <si>
    <t>R1 | Data extraction 39!W15</t>
  </si>
  <si>
    <t>R2 | Extraction!S15</t>
  </si>
  <si>
    <t>Table 1 and Results distinguish coating thicknesses and loading directions. Do not substitute the 320% range of a different coating/direction.</t>
  </si>
  <si>
    <t>PDF pp. 13, 14</t>
  </si>
  <si>
    <t>498</t>
  </si>
  <si>
    <t>GF = 498), wide sensing range (0%</t>
  </si>
  <si>
    <t>Selected sample: segment GF 28 (0–174%) and 288 (174–293%). A polynomial-derived local GF reaches 498 at 293%.</t>
  </si>
  <si>
    <t>R1 | Data extraction 39!X15</t>
  </si>
  <si>
    <t>R2 | Extraction!T15</t>
  </si>
  <si>
    <t>The table gives linear-region slopes and the following analysis gives a local, strain-dependent GF. Do not treat local endpoint GF 498 as a constant over 0–293%.</t>
  </si>
  <si>
    <t>R1 | Data extraction 39!AA15</t>
  </si>
  <si>
    <t>R2 | Extraction!U15</t>
  </si>
  <si>
    <t>R1 | Data extraction 39!AB15</t>
  </si>
  <si>
    <t>R2 | Extraction!V15</t>
  </si>
  <si>
    <t>Approximately 5% signal deviation after 10,000 cycles at 5% strain</t>
  </si>
  <si>
    <t>Source conflict: abstract reports≈5% deviation after 10,000 cycles at 5% strain; Results report≈8% change for the 5% test and≈10% for 10% strain. Methods specify 10,000 s at 5/10/30% strain with 1/0.5/0.25 Hz, respectively;30% response changes≈13%.</t>
  </si>
  <si>
    <t>Unresolved internal source discrepancy; no defensible unique 5%-strain value</t>
  </si>
  <si>
    <t>R1 | Data extraction 39!AC15</t>
  </si>
  <si>
    <t>R2 | Extraction!W15</t>
  </si>
  <si>
    <t>Both conflicting 5%-strain summaries are explicitly present; the duration differs from a universal 10,000-cycle interpretation. Retain both author values and conditions; do not silently select one or imply all tests had the same cycle count.</t>
  </si>
  <si>
    <t>Saved main PDF p 1 abstract, p 7 methods andp 15 results</t>
  </si>
  <si>
    <t>response time of 0.18 s</t>
  </si>
  <si>
    <t>Mean strain-response delay 0.18 s across three transition points: approximately 0.15, 0.35 and 0.05 s during a 0 → 15 → 0% ramp, each leg 15 s. Separate pressure response/recovery is 0.28/0.08 s at 24.5 kPa.</t>
  </si>
  <si>
    <t>R1 | Data extraction 39!Y15; R1 | Data extraction 39!Z15</t>
  </si>
  <si>
    <t>R2 | Extraction!X15</t>
  </si>
  <si>
    <t>The strain delay is calculated at ramp-transition points; pressure timing is reported elsewhere. Do not mix pressure timing with strain timing or describe ramp lag as an identically defined step response.</t>
  </si>
  <si>
    <t>PDF pp. 7, 14, 15, 18</t>
  </si>
  <si>
    <t>10,000 cycles at 5% strain</t>
  </si>
  <si>
    <t>10,000 cycles of stretching under 5% strain</t>
  </si>
  <si>
    <t>10,000 s at 5% / 1 Hz, 10% / 0.5 Hz and 30% / 0.25 Hz; Table 2 explicitly lists 10,000 cycles at 5% and 5,000 cycles at 10%</t>
  </si>
  <si>
    <t>R1 | Data extraction 39!AD15</t>
  </si>
  <si>
    <t>R2 | Extraction!Y15</t>
  </si>
  <si>
    <t>PDF p.1 Abstract; p.7 Methods; pp.14–15 Fig.8 and durability discussion; Table2 continuation p.15</t>
  </si>
  <si>
    <t>Methods distinguish three strain/frequency protocols over 10,000 seconds. The Results report 8% and 10% resistance-change differences at 5% and 10% strain, whereas the Abstract reports 5% deviation after 10,000 cycles at 5% strain. Keep time, frequency and cycle count distinct. The 10,000-cycle value at 5% is actually supported; it must not be discarded merely because Methods use seconds. Retain the source inconsistency between Abstract and Results on the deviation value.</t>
  </si>
  <si>
    <t>PDF pp. 1, 7, 14, 15; PDF p.1 Abstract; p.7 Methods; pp.14–15 Fig.8 and durability discussion; Table2 continuation p.15</t>
  </si>
  <si>
    <t>R1 | Method quality 39!P15</t>
  </si>
  <si>
    <t>R2 | Extraction!Z15</t>
  </si>
  <si>
    <t>Ten washing cycles shown; response stabilized after approximately the sixth cycle</t>
  </si>
  <si>
    <t>10 washing cycles; (E) Cyclic test of</t>
  </si>
  <si>
    <t>ISO 6330:2000, 40 °C, 800 rpm, flat air drying.</t>
  </si>
  <si>
    <t>R1 | Data extraction 39!AE15</t>
  </si>
  <si>
    <t>R2 | Extraction!AA15</t>
  </si>
  <si>
    <t>The wash protocol names the standard and conditions. Preserve the author-reported value and its measurement conditions; do not collapse distinct test types.</t>
  </si>
  <si>
    <t>This is source checking by the assistant, not a second independent rating, new consensus or screening decision. Remaining limitation: Total wash count and endpoint outcomes not rechecked in this audit.</t>
  </si>
  <si>
    <t>One-week UV and laboratory exposure reported</t>
  </si>
  <si>
    <t>waterproof ionic liquid-based</t>
  </si>
  <si>
    <t>Normal aging: 24 °C, 35% RH for one week, daily 25-s tests at 30% / 0.25 Hz. UV: 280–400 nm for 168 h, ASTM G154, daily sensing checks.</t>
  </si>
  <si>
    <t>R1 | Data extraction 39!AF15</t>
  </si>
  <si>
    <t>R2 | Extraction!AB15</t>
  </si>
  <si>
    <t>Environmental Methods separately describe normal aging and UV exposure. Preserve the author-reported value and its measurement conditions; do not collapse distinct test types.</t>
  </si>
  <si>
    <t>R2 | Extraction!AC15</t>
  </si>
  <si>
    <t>Flexible knitted-textile construction</t>
  </si>
  <si>
    <t>R1 | Data extraction 39!AG15</t>
  </si>
  <si>
    <t>R2 | Extraction!AD15</t>
  </si>
  <si>
    <t>Attached to clothing/body sites; placement and pretension protocol not reported</t>
  </si>
  <si>
    <t>placement in a garment and are sca</t>
  </si>
  <si>
    <t>R1 | Method quality 39!T15</t>
  </si>
  <si>
    <t>R2 | Extraction!AE15</t>
  </si>
  <si>
    <t>data acquisition unit (DEWETRON Co</t>
  </si>
  <si>
    <t>R1 | Method quality 39!U15</t>
  </si>
  <si>
    <t>R2 | Extraction!AF15</t>
  </si>
  <si>
    <t>DATA AVAILABILITY STATEMENT Research data are not sh</t>
  </si>
  <si>
    <t>R1 | Method quality 39!V15</t>
  </si>
  <si>
    <t>R2 | Extraction!AG15</t>
  </si>
  <si>
    <t>Gauge factor 498 over a 0–293% range and approximately 5% deviation after 10,000 cycles at 5% strain.</t>
  </si>
  <si>
    <t>GF 498 (0-293%); 0.18 s; 10 washes + UV aging</t>
  </si>
  <si>
    <t>Selected sample: segment GF 28 over 0–174% and 288 over 174–293%, with a polynomial-derived local GF reaching 498 at 293%. Durability protocol includes 10,000 s at 5%/1 Hz (described by the authors as 10,000 cycles).</t>
  </si>
  <si>
    <t>R1 | Data extraction 39!AH15</t>
  </si>
  <si>
    <t>R2 | Extraction!AH15</t>
  </si>
  <si>
    <t>The Results separate piecewise slopes from the local differential GF. The durability Methods give duration and rate; the abstract and Results differ on response deviation. GF 498 is not a constant over 0–293%. Do not silently retain an unqualified 5% deviation when Results give different 8%/10% descriptions.</t>
  </si>
  <si>
    <t>Retained main PDF pp. 1, 7, 13, 14, 15</t>
  </si>
  <si>
    <t>Assistant source checking, not new independent human review, a screening decision or changed reviewer consensus. Original R1/R2 values are preserved. Remaining limitation: Abstract approximately 5% deviation versus Results 8%/10% response-change descriptions; retain source-specific wording.</t>
  </si>
  <si>
    <t>Very wide working range with quantified long-cycle stability and wash/UV testing</t>
  </si>
  <si>
    <t>R1 | Data extraction 39!AI15</t>
  </si>
  <si>
    <t>Participant count, wearable protocol, comparator validation and detailed test standards was not reported in the available full text</t>
  </si>
  <si>
    <t>R1 | Data extraction 39!AJ15</t>
  </si>
  <si>
    <t>MXene-patterned nylon fabric sensor</t>
  </si>
  <si>
    <t>Sleeve-shaped MXene fabric</t>
  </si>
  <si>
    <t>Source-checked analyst classification; source-conflicting</t>
  </si>
  <si>
    <t>ScienceDirect full text: Section 4 and Figures 4-5 wearable demonstrations</t>
  </si>
  <si>
    <t>R1 | Data extraction 39!L16</t>
  </si>
  <si>
    <t>R2 | Extraction!I18</t>
  </si>
  <si>
    <t>Construction requires clarification: methods saywoven; Fig.1caption saysbraided</t>
  </si>
  <si>
    <t>PDF pp.3–4, Section2.1 and Fig.1caption</t>
  </si>
  <si>
    <t>Materials calls the fabric woven; Fig. 1 caption calls it braided. The directly inspected embedded SEM Fig. 1b shows loop-like yarn paths, not enough to reconcile contradictory source terminology. Preserve unspecified/source-conflicting rather than force woven, knitted or braided. Missingness or source conflict retained explicitly.</t>
  </si>
  <si>
    <t>§2.1 Materials and Fig. 1b; saved PDF pp. 3, 4</t>
  </si>
  <si>
    <t>REC-00754_10.1016_j.sna.2020.112192.pdf</t>
  </si>
  <si>
    <t>4d6f9877c36b05ecd2a44385eaaa2065e6b706072df5a7a0a64efba69c769192</t>
  </si>
  <si>
    <t>R1 | Data extraction 39!M16</t>
  </si>
  <si>
    <t>R2 | Extraction!J18</t>
  </si>
  <si>
    <t>Extension changes conductive-network contacts and the measured resistance; release restores conductive paths. Classifies the demonstrated device; not a new eligibility decision.</t>
  </si>
  <si>
    <t>Strain-response mechanism; saved PDF pp. 4, 5</t>
  </si>
  <si>
    <t>Ti3C2Tx MXene</t>
  </si>
  <si>
    <t>MXene (Ti3C2Tx)</t>
  </si>
  <si>
    <t>R1 | Data extraction 39!N16</t>
  </si>
  <si>
    <t>R2 | Extraction!K18</t>
  </si>
  <si>
    <t>Flexible, breathable nylon fabric</t>
  </si>
  <si>
    <t>Nylon fabric</t>
  </si>
  <si>
    <t>R1 | Data extraction 39!O16</t>
  </si>
  <si>
    <t>R2 | Extraction!L18</t>
  </si>
  <si>
    <t>Patterned impregnation of MXene into the nylon-fabric network</t>
  </si>
  <si>
    <t>Patterned impregnation into sleeve</t>
  </si>
  <si>
    <t>MXene impregnation/coating of pre-existing stretch fabric; textile sensor attached to body and formed into an arm sleeve.</t>
  </si>
  <si>
    <t>R1 | Data extraction 39!P16</t>
  </si>
  <si>
    <t>R2 | Extraction!M18</t>
  </si>
  <si>
    <t>MXene impregnation/coating of pre-existing stretch fabric; textile sensor attached to body and formed into an arm sleeve. Classifies the demonstrated device; not a new eligibility decision.</t>
  </si>
  <si>
    <t>§2.1 and wearable applications; saved PDF pp. 3, 7, 8</t>
  </si>
  <si>
    <t>Neck, wrist, ankle, palm, arm, forearm and elbow motion monitoring</t>
  </si>
  <si>
    <t>Motion (forearm demo)</t>
  </si>
  <si>
    <t>Movement/posture/gait monitoring; Speech/swallowing/facial motion; Muscle contraction/force monitoring</t>
  </si>
  <si>
    <t>R1 | Data extraction 39!Q16</t>
  </si>
  <si>
    <t>R2 | Extraction!N18</t>
  </si>
  <si>
    <t>The MXene textile records joint movement, mouth opening/closing and arm-muscle contraction; sleeve tests include forearm loading. This supports muscle-deformation sensing, not fatigue validation. Classifies the demonstrated device; not a new eligibility decision.</t>
  </si>
  <si>
    <t>Human-motion monitoring; Fig. 4; saved PDF pp. 7, 8</t>
  </si>
  <si>
    <t>A subject is described for muscle-contraction sensing; total participant number and demographics are not stated in the checked main-text sections.</t>
  </si>
  <si>
    <t>R1 | Data extraction 39!S16; R1 | Data extraction 39!T16</t>
  </si>
  <si>
    <t>R2 | Extraction!O18</t>
  </si>
  <si>
    <t>CONS | V1 consensus!H13</t>
  </si>
  <si>
    <t>Figures 4–5 and the application text describe joint, facial, muscle and garment demonstrations, without a declared cohort size. Separates participant cohorts, bench tests, human repetitions, model training and actual reference use. Does not infer participant number from a photograph or a non-human n.</t>
  </si>
  <si>
    <t>Saved main PDF pp. 7, 8</t>
  </si>
  <si>
    <t>Repeated signals across multiple body placements; session count not identified</t>
  </si>
  <si>
    <t>Repeated joint/facial/muscle response patterns are reported; a formal human trial or separate-session count is not stated in the checked application sections.</t>
  </si>
  <si>
    <t>R1 | Method quality 39!K16</t>
  </si>
  <si>
    <t>R2 | Extraction!P18</t>
  </si>
  <si>
    <t>The application text describes wrist, neck, palm, mouth, fist, ankle and sleeve/arm motion examples, not a participant-level repeated-session design. Separates participant cohorts, bench tests, human repetitions, model training and actual reference use. Does not infer participant number from a photograph or a non-human n.</t>
  </si>
  <si>
    <t>Bench directional strain-response characterization is reported; participant-specific calibration is not stated in the checked on-body section.</t>
  </si>
  <si>
    <t>R1 | Method quality 39!L16</t>
  </si>
  <si>
    <t>R2 | Extraction!Q18</t>
  </si>
  <si>
    <t>The characterization/strain-performance sections compare MXene/nylon electrical response under deformation, while the application section presents body-motion signals without an individual model-fitting protocol. Separates participant cohorts, bench tests, human repetitions, model training and actual reference use. Does not infer participant number from a photograph or a non-human n.</t>
  </si>
  <si>
    <t>Saved main PDF pp. 4, 5, 6, 7, 8</t>
  </si>
  <si>
    <t>No external biomechanical comparator identified</t>
  </si>
  <si>
    <t>R1 | Data extraction 39!U16</t>
  </si>
  <si>
    <t>R2 | Extraction!R18</t>
  </si>
  <si>
    <t>The movement and garment examples present relative resistance signals without a simultaneous external motion or physiological reference. Separates participant cohorts, bench tests, human repetitions, model training and actual reference use. Does not infer participant number from a photograph or a non-human n.</t>
  </si>
  <si>
    <t>0–20%</t>
  </si>
  <si>
    <t>strain range of 20 %</t>
  </si>
  <si>
    <t>Maximum monotonic strain range 20% in each orthogonal direction.</t>
  </si>
  <si>
    <t>R1 | Data extraction 39!W16</t>
  </si>
  <si>
    <t>R2 | Extraction!S18</t>
  </si>
  <si>
    <t>The Results describe the y-direction as also having a maximum monotonic range of 20%. Preserve the author-reported value and its measurement conditions; do not collapse distinct test types.</t>
  </si>
  <si>
    <t>24.35 axial; 5.98 radial over 0–20% strain</t>
  </si>
  <si>
    <t>GF of 24.35.</t>
  </si>
  <si>
    <t>Maximum GF 24.35 in the x-direction and 5.98 in the y-direction; both are direction-specific maxima, not established constant slopes over the full range.</t>
  </si>
  <si>
    <t>R1 | Data extraction 39!X16</t>
  </si>
  <si>
    <t>R2 | Extraction!T18</t>
  </si>
  <si>
    <t>The Results give separate directional maximum GF values. Preserve direction and the word maximum; do not assume linear-interval equivalence.</t>
  </si>
  <si>
    <t>This is source checking by the assistant, not a second independent rating, new consensus or screening decision. Remaining limitation: Exact subinterval corresponding to each maximum needs the original Figure 2d/e.</t>
  </si>
  <si>
    <t>R1 | Data extraction 39!AA16</t>
  </si>
  <si>
    <t>R2 | Extraction!U18</t>
  </si>
  <si>
    <t>Loading–unloading hysteresis curves are shown qualitatively; no numerical hysteresis metric extracted.</t>
  </si>
  <si>
    <t>R1 | Data extraction 39!AB16</t>
  </si>
  <si>
    <t>R2 | Extraction!V18</t>
  </si>
  <si>
    <t>The SI shows loading/unloading response and rate-dependent overshoot. Adds qualitative evidence only; no graph digitization.</t>
  </si>
  <si>
    <t>Supplement PDF p 1, FigS 2 a; p 3 FigS 6</t>
  </si>
  <si>
    <t>REC-00754_10.1016_j.sna.2020.112192.pdf; REC-00754-SI.pdf</t>
  </si>
  <si>
    <t>4d6f9877c36b05ecd2a44385eaaa2065e6b706072df5a7a0a64efba69c769192; 57961ecbb4e928d5c303b0e759573a80685a5d67ce5414e5802016b4c355bf53</t>
  </si>
  <si>
    <t>Stable response reported for more than 500 cycles</t>
  </si>
  <si>
    <t>Stable response is illustrated for 500 cycles; no separate scalar drift estimate extracted.</t>
  </si>
  <si>
    <t>R1 | Data extraction 39!AC16</t>
  </si>
  <si>
    <t>R2 | Extraction!W18</t>
  </si>
  <si>
    <t>The cyclic test is presented over 500 cycles. Uses the tested count rather than more than 500.</t>
  </si>
  <si>
    <t>Saved main PDF pp 6–7, Fig 3 e</t>
  </si>
  <si>
    <t>R1 | Data extraction 39!Y16; R1 | Data extraction 39!Z16</t>
  </si>
  <si>
    <t>R2 | Extraction!X18</t>
  </si>
  <si>
    <t>&gt;500 cycles</t>
  </si>
  <si>
    <t>500 cycles) and good stability after soa</t>
  </si>
  <si>
    <t>500 cycles at 6% strain in the x-direction.</t>
  </si>
  <si>
    <t>R1 | Data extraction 39!AD16</t>
  </si>
  <si>
    <t>R2 | Extraction!Y18</t>
  </si>
  <si>
    <t>The stability discussion specifies 500 cycles and direction. Preserve the author-reported value and its measurement conditions; do not collapse distinct test types.</t>
  </si>
  <si>
    <t>R1 | Method quality 39!P16</t>
  </si>
  <si>
    <t>R2 | Extraction!Z18</t>
  </si>
  <si>
    <t>Washing fastness reported; protocol and cycle count was not reported in the available full text</t>
  </si>
  <si>
    <t>Deionized-water stirring at 500 rpm for 3 h; strain-response comparison at 10% before/after washing.</t>
  </si>
  <si>
    <t>R1 | Data extraction 39!AE16</t>
  </si>
  <si>
    <t>R2 | Extraction!AA18</t>
  </si>
  <si>
    <t>The washing-resistance test uses sustained stirred immersion, not counted household wash cycles. Preserve the author-reported value and its measurement conditions; do not collapse distinct test types.</t>
  </si>
  <si>
    <t>waterproofing</t>
  </si>
  <si>
    <t>R1 | Data extraction 39!AF16</t>
  </si>
  <si>
    <t>R2 | Extraction!AB18</t>
  </si>
  <si>
    <t>R2 | Extraction!AC18</t>
  </si>
  <si>
    <t>Flexible and breathable nylon-fabric network</t>
  </si>
  <si>
    <t>breathable strain sensor with hig</t>
  </si>
  <si>
    <t>R1 | Data extraction 39!AG16</t>
  </si>
  <si>
    <t>R2 | Extraction!AD18</t>
  </si>
  <si>
    <t>Neck, wrist, ankle, palm, arm and sleeve placements; pretension procedure not reported</t>
  </si>
  <si>
    <t>R1 | Method quality 39!T16</t>
  </si>
  <si>
    <t>R2 | Extraction!AE18</t>
  </si>
  <si>
    <t>R1 | Method quality 39!U16</t>
  </si>
  <si>
    <t>R2 | Extraction!AF18</t>
  </si>
  <si>
    <t>R1 | Method quality 39!V16</t>
  </si>
  <si>
    <t>R2 | Extraction!AG18</t>
  </si>
  <si>
    <t>Gauge factors of 24.35 axially and 5.98 radially over 0–20% strain, with stability beyond 500 cycles.</t>
  </si>
  <si>
    <t>GF 24.35/5.98 (20% regimes); 500 cyc at 6% strain</t>
  </si>
  <si>
    <t>Maximum direction-specific GF is 24.35 in x and 5.98 in y; each direction has a maximum monotonic strain range of 20%. Stability is demonstrated over 500 cycles at 6% in x.</t>
  </si>
  <si>
    <t>R1 | Data extraction 39!AH16</t>
  </si>
  <si>
    <t>R2 | Extraction!AH18</t>
  </si>
  <si>
    <t>The sensing section calls the GF values maxima and separately states the directional monotonic ranges and endurance protocol. Do not imply either maximum GF is a constant linear slope over 0–20%, and retain the directional endurance condition.</t>
  </si>
  <si>
    <t>Retained main PDF pp. 5, 6</t>
  </si>
  <si>
    <t>Direction-dependent quantified sensing performance on a breathable textile with multiple on-body placements</t>
  </si>
  <si>
    <t>R1 | Data extraction 39!AI16</t>
  </si>
  <si>
    <t>Participant count, comparator validation and washing-test details were not identified</t>
  </si>
  <si>
    <t>R1 | Data extraction 39!AJ16</t>
  </si>
  <si>
    <t>Multi-size textile sensor glove</t>
  </si>
  <si>
    <t>Stretchable sensor glove (3-layer)</t>
  </si>
  <si>
    <t>Discrete/composite sensor mounted on garment</t>
  </si>
  <si>
    <t>Full text: participant data-acquisition protocol; sensor characterization; activity-classification results</t>
  </si>
  <si>
    <t>R1 | Data extraction 39!L17</t>
  </si>
  <si>
    <t>R2 | Extraction!I20</t>
  </si>
  <si>
    <t>Printed carbon/TPU/fabric laminate attached to a knit glove; active substrate construction unspecified</t>
  </si>
  <si>
    <t>PDF p.4, Section2.1</t>
  </si>
  <si>
    <t>The active carbon layer is printed on TPU, laminated with fabric and glued as four discrete sensor pieces to a knit glove. The host glove is knitted, but that does not make the active sensing unit a knitted strain structure. Classifies the demonstrated device; not a new eligibility decision.</t>
  </si>
  <si>
    <t>§2.1 Sensor/glove construction; saved PDF pp. 4</t>
  </si>
  <si>
    <t>REC-01539_10.37934_sej.14.1.117.pdf</t>
  </si>
  <si>
    <t>28b81e7ec79c3850c88170376fbd085102eb5c0dee3f6e72eb37d73e14be5781</t>
  </si>
  <si>
    <t>Resistive carbon-ink strain sensing</t>
  </si>
  <si>
    <t>R1 | Data extraction 39!M17</t>
  </si>
  <si>
    <t>R2 | Extraction!J20</t>
  </si>
  <si>
    <t>Printed sensor acts as the variable resistor in a voltage-divider circuit. Classifies the demonstrated device; not a new eligibility decision.</t>
  </si>
  <si>
    <t>Sensor data acquisition; saved PDF pp. 5</t>
  </si>
  <si>
    <t>Conductive carbon ink</t>
  </si>
  <si>
    <t>Conductive carbon composite</t>
  </si>
  <si>
    <t>R1 | Data extraction 39!N17</t>
  </si>
  <si>
    <t>R2 | Extraction!K20</t>
  </si>
  <si>
    <t>Cotton/polyester textile with thermoplastic polyurethane</t>
  </si>
  <si>
    <t>Cotton/polyester fabric glove</t>
  </si>
  <si>
    <t>R1 | Data extraction 39!O17</t>
  </si>
  <si>
    <t>R2 | Extraction!L20</t>
  </si>
  <si>
    <t>Three-layer textile sensor integrated into a glove</t>
  </si>
  <si>
    <t>Integrated into glove (sizes)</t>
  </si>
  <si>
    <t>Carbon ink screen-printed on TPU and laminated with cotton/polyester fabric; four discrete composite sensors adhesive-glued onto commercial PVC-dot knit glove.</t>
  </si>
  <si>
    <t>R1 | Data extraction 39!P17</t>
  </si>
  <si>
    <t>R2 | Extraction!M20</t>
  </si>
  <si>
    <t>Carbon ink screen-printed on TPU and laminated with cotton/polyester fabric; four discrete composite sensors adhesive-glued onto commercial PVC-dot knit glove. Classifies the demonstrated device; not a new eligibility decision.</t>
  </si>
  <si>
    <t>§2.1; saved PDF pp. 4, 5</t>
  </si>
  <si>
    <t>Classification of six activities of daily living</t>
  </si>
  <si>
    <t>Hand-pose recognition (ADL)</t>
  </si>
  <si>
    <t>R1 | Data extraction 39!Q17</t>
  </si>
  <si>
    <t>R2 | Extraction!N20</t>
  </si>
  <si>
    <t>Four sensors attached to a glove record hand postures during six daily-living tasks in a participant experiment. Classifies the demonstrated device; not a new eligibility decision.</t>
  </si>
  <si>
    <t>Hand gesture experimental procedure; saved PDF pp. 6, 7</t>
  </si>
  <si>
    <t>Human sample size: 23; Participant details: Twenty-three participants; additional demographics was not reported in the available full text</t>
  </si>
  <si>
    <t>23 participants (3F/20M 27+/-8)</t>
  </si>
  <si>
    <t>23 healthy participants: 3 women and 20 men; mean age 27 +/- 8 years.</t>
  </si>
  <si>
    <t>R1 | Data extraction 39!S17; R1 | Data extraction 39!T17</t>
  </si>
  <si>
    <t>R2 | Extraction!O20</t>
  </si>
  <si>
    <t>Data Acquisition 2.2 and Data Processing 2.3; acquisition circuit and classifier training. Separates participant cohorts, bench tests, human repetitions, model training and experimental reference use.</t>
  </si>
  <si>
    <t>Saved main PDF pp. 5, 6, 7, 9</t>
  </si>
  <si>
    <t>Six activities of daily living, repeated three times each</t>
  </si>
  <si>
    <t>Six activities of daily living, three repetitions of each, with 10-s intervals; a practice/trial session preceded acquisition. No separate-day repeat design stated.</t>
  </si>
  <si>
    <t>R1 | Method quality 39!K17</t>
  </si>
  <si>
    <t>R2 | Extraction!P20</t>
  </si>
  <si>
    <t>Voltage-divider resistance measurement using a 200 kΩ known resistor</t>
  </si>
  <si>
    <t>Random Forest and K-Nearest</t>
  </si>
  <si>
    <t>Voltage-divider acquisition with a 200-kilohm resistor and supervised RF/KNN classification. Classifier training is not a calibrated continuous joint-angle measurement.</t>
  </si>
  <si>
    <t>R1 | Method quality 39!L17</t>
  </si>
  <si>
    <t>R2 | Extraction!Q20</t>
  </si>
  <si>
    <t>No external hand-motion reference identified</t>
  </si>
  <si>
    <t>IMU (concept)</t>
  </si>
  <si>
    <t>Prescribed six-task class labels. No external hand-motion measurement reference in the evaluated system; IMU references concern background work.</t>
  </si>
  <si>
    <t>R1 | Data extraction 39!U17</t>
  </si>
  <si>
    <t>R2 | Extraction!R20</t>
  </si>
  <si>
    <t>R1 | Data extraction 39!W17</t>
  </si>
  <si>
    <t>R2 | Extraction!S20</t>
  </si>
  <si>
    <t>R1 | Data extraction 39!X17</t>
  </si>
  <si>
    <t>R2 | Extraction!T20</t>
  </si>
  <si>
    <t>R1 | Data extraction 39!AA17</t>
  </si>
  <si>
    <t>R2 | Extraction!U20</t>
  </si>
  <si>
    <t>R1 | Data extraction 39!AB17</t>
  </si>
  <si>
    <t>R2 | Extraction!V20</t>
  </si>
  <si>
    <t>Three repetitions per activity were recorded</t>
  </si>
  <si>
    <t>Each activity is performed three times by each participant; these are human task repetitions, not a quantified intrinsic sensor drift/repeatability test.</t>
  </si>
  <si>
    <t>R1 | Data extraction 39!AC17</t>
  </si>
  <si>
    <t>R2 | Extraction!W20</t>
  </si>
  <si>
    <t>The abstract specifies six activities of daily living each performed three times. Removes a task-repeat count from sensor-performance reporting.</t>
  </si>
  <si>
    <t>Saved main PDF p 1 abstract and human data-acquisition methods</t>
  </si>
  <si>
    <t>R1 | Data extraction 39!Y17; R1 | Data extraction 39!Z17</t>
  </si>
  <si>
    <t>R2 | Extraction!X20</t>
  </si>
  <si>
    <t>R1 | Data extraction 39!AD17</t>
  </si>
  <si>
    <t>R2 | Extraction!Y20</t>
  </si>
  <si>
    <t>Multiple glove sizes produced; device-to-device statistics not identified</t>
  </si>
  <si>
    <t>Glove sizes/configurations are described; no independent manufactured-device electrical variability statistic extracted.</t>
  </si>
  <si>
    <t>R1 | Method quality 39!P17</t>
  </si>
  <si>
    <t>R2 | Extraction!Z20</t>
  </si>
  <si>
    <t>Four channels at thumb, index, middle finger and wrist are integrated into the glove system. Array channels or glove sizes do not by themselves quantify device reproducibility.</t>
  </si>
  <si>
    <t>Saved main PDF pp 4–6, system construction</t>
  </si>
  <si>
    <t>R1 | Data extraction 39!AE17</t>
  </si>
  <si>
    <t>R2 | Extraction!AA20</t>
  </si>
  <si>
    <t>R1 | Data extraction 39!AF17</t>
  </si>
  <si>
    <t>R2 | Extraction!AB20</t>
  </si>
  <si>
    <t>R2 | Extraction!AC20</t>
  </si>
  <si>
    <t>Glove produced in multiple sizes; formal comfort testing not identified</t>
  </si>
  <si>
    <t>R1 | Data extraction 39!AG17</t>
  </si>
  <si>
    <t>R2 | Extraction!AD20</t>
  </si>
  <si>
    <t>Multiple glove sizes were used; an explicit fit/pretension protocol was not reported</t>
  </si>
  <si>
    <t>placement and have been extensivel</t>
  </si>
  <si>
    <t>R1 | Method quality 39!T17</t>
  </si>
  <si>
    <t>R2 | Extraction!AE20</t>
  </si>
  <si>
    <t>Arduino Uno, voltage divider and 200 kΩ reference resistor; offline data processing</t>
  </si>
  <si>
    <t>Arduino Uno board system</t>
  </si>
  <si>
    <t>R1 | Method quality 39!U17</t>
  </si>
  <si>
    <t>R2 | Extraction!AF20</t>
  </si>
  <si>
    <t>Available online 28 April 2026 Hand</t>
  </si>
  <si>
    <t>R1 | Method quality 39!V17</t>
  </si>
  <si>
    <t>R2 | Extraction!AG20</t>
  </si>
  <si>
    <t>Mean resistance was 85 ± 12 kΩ when stretched and 25 ± 2.5 kΩ when relaxed; Random Forest accuracy was 82.47% and KNN accuracy 70.31%.</t>
  </si>
  <si>
    <t>Hand-pose classification; 23 participants</t>
  </si>
  <si>
    <t>For six ADL hand-pose classes with a random 80:20 dataset split, the Results/Table 5 report RF accuracy 82.41% and KNN 70.37%; the abstract instead states 82.47%/70.31%. Bench resistance is reported as 85±12 kΩ stretched and 25±2.5 kΩ relaxed.</t>
  </si>
  <si>
    <t>R1 | Data extraction 39!AH17</t>
  </si>
  <si>
    <t>R2 | Extraction!AH20</t>
  </si>
  <si>
    <t>Methods specify random data splitting, Results give k=12 KNN and 150-tree RF validation accuracies, and Table 5 repeats 82.41/70.37. Abstract values differ. Retain the internal numerical discrepancy and do not label the random split as independent-participant validation.</t>
  </si>
  <si>
    <t>Retained main PDF pp. 1, 9, 11, 12, 14</t>
  </si>
  <si>
    <t>Assistant source checking, not new independent human review, a screening decision or changed reviewer consensus. Original R1/R2 values are preserved. Remaining limitation: Abstract versus Results accuracy mismatch (82.47/70.31 versus 82.41/70.37).</t>
  </si>
  <si>
    <t>Twenty-three-participant functional evaluation with repeated activities and uncertainty reported for resistance</t>
  </si>
  <si>
    <t>R1 | Data extraction 39!AI17</t>
  </si>
  <si>
    <t>No external motion comparator or durability/environmental validation was identified</t>
  </si>
  <si>
    <t>R1 | Data extraction 39!AJ17</t>
  </si>
  <si>
    <t>Graphite-coated woven textile electrodes stitched into wearable clothing/glove configurations</t>
  </si>
  <si>
    <t>Graphite-coated textile</t>
  </si>
  <si>
    <t>ScienceDirect full text: Section 3 and Figures 5-6</t>
  </si>
  <si>
    <t>R1 | Data extraction 39!L18</t>
  </si>
  <si>
    <t>R2 | Extraction!I21</t>
  </si>
  <si>
    <t>Results explicitly states that the textile is woven with threads; Fig. 3 caption describes threads with which the textile is woven. This source-reported construction supersedes the earlier methods-only unknown assignment. Classifies the demonstrated device; not a new eligibility decision.</t>
  </si>
  <si>
    <t>Results textile microstructure; Fig. 3 caption; saved PDF pp. 4, 5</t>
  </si>
  <si>
    <t>REC-01593_10.1016_j.jmrt.2023.07.185.pdf</t>
  </si>
  <si>
    <t>0ecce32f1f01f932ea0576ea3f62f189e910639cf55eb406c85d93984ae787f2</t>
  </si>
  <si>
    <t>Resistive multifunctional textile sensing</t>
  </si>
  <si>
    <t>R1 | Data extraction 39!M18</t>
  </si>
  <si>
    <t>R2 | Extraction!J21</t>
  </si>
  <si>
    <t>Resistance is measured before/after prestrain release and during applied strain; copper wires contact opposite edges of graphite-coated textile. Classifies the demonstrated device; not a new eligibility decision.</t>
  </si>
  <si>
    <t>PDF page(s) 2, 4, 5; §3 and strain-response results; saved PDF pp. 2, 4, 5</t>
  </si>
  <si>
    <t>Pencil-deposited graphite</t>
  </si>
  <si>
    <t>Pencil graphite coating</t>
  </si>
  <si>
    <t>R1 | Data extraction 39!N18</t>
  </si>
  <si>
    <t>R2 | Extraction!K21</t>
  </si>
  <si>
    <t>Commercial flexible and stretchable woven textile</t>
  </si>
  <si>
    <t>Commercial textile (glove/shirt)</t>
  </si>
  <si>
    <t>R1 | Data extraction 39!O18</t>
  </si>
  <si>
    <t>R2 | Extraction!L21</t>
  </si>
  <si>
    <t>Pencil drawing on textile, stitched electrodes and a pre-strain strategy</t>
  </si>
  <si>
    <t>Coated on glove and clothes</t>
  </si>
  <si>
    <t>Pencil-drawn graphite functionalisation under multiaxial prestrain on commercial woven textile; elements attached to glove/clothing.</t>
  </si>
  <si>
    <t>R1 | Data extraction 39!P18</t>
  </si>
  <si>
    <t>R2 | Extraction!M21</t>
  </si>
  <si>
    <t>Pencil-drawn graphite functionalisation under multiaxial prestrain on commercial woven textile; elements attached to glove/clothing. Classifies the demonstrated device; not a new eligibility decision.</t>
  </si>
  <si>
    <t>§2–3 and Fig. 5; saved PDF pp. 2, 4, 5, 6</t>
  </si>
  <si>
    <t>Finger, elbow and knee motion plus humidity, sweat, temperature and light sensing</t>
  </si>
  <si>
    <t>Motion (finger demo)</t>
  </si>
  <si>
    <t>R1 | Data extraction 39!Q18</t>
  </si>
  <si>
    <t>R2 | Extraction!N21</t>
  </si>
  <si>
    <t>Glove/clothing-mounted textile sensors record finger/elbow/knee motion. Humidity, sweat, temperature and illumination responses are auxiliary functions and not additional human strain-monitoring outcomes. Classifies the demonstrated device; not a new eligibility decision.</t>
  </si>
  <si>
    <t>Human-motion tests; Fig. 5; humidity/temperature tests; saved PDF pp. 6, 7, 8</t>
  </si>
  <si>
    <t>Human sample size: At least one volunteer; exact number not reported in the reviewed source; Participant details: Not reported</t>
  </si>
  <si>
    <t>The sensor is described as integrated into the glove and clothes of a volunteer; study-wide participant number and demographics are not stated.</t>
  </si>
  <si>
    <t>R1 | Data extraction 39!S18; R1 | Data extraction 39!T18</t>
  </si>
  <si>
    <t>R2 | Extraction!O21</t>
  </si>
  <si>
    <t>CONS | V1 consensus!H14</t>
  </si>
  <si>
    <t>The Figure 5 application discussion explicitly mentions a volunteer for finger, elbow and knee movements but does not define total cohort n. Separates participant cohorts, bench tests, human repetitions, model training and actual reference use. Does not infer participant number from a photograph or a non-human n.</t>
  </si>
  <si>
    <t>Saved main PDF pp. 6</t>
  </si>
  <si>
    <t>Repeated finger, elbow and knee demonstrations; session count not identified</t>
  </si>
  <si>
    <t>Repeated finger/elbow/knee signal patterns are described; a formal per-participant repetition or separate-session count is not stated in the checked section.</t>
  </si>
  <si>
    <t>R1 | Method quality 39!K18</t>
  </si>
  <si>
    <t>R2 | Extraction!P21</t>
  </si>
  <si>
    <t>Figure 5 and its discussion demonstrate movement sensitivity without an enumerated human repeat protocol. Separates participant cohorts, bench tests, human repetitions, model training and actual reference use. Does not infer participant number from a photograph or a non-human n.</t>
  </si>
  <si>
    <t>calibrated for further measurements, it may</t>
  </si>
  <si>
    <t>Bench strain-response characterization is reported. Recalibration after an initial wash is suggested conditionally, not established as a performed participant-specific calibration protocol.</t>
  </si>
  <si>
    <t>R1 | Method quality 39!L18</t>
  </si>
  <si>
    <t>R2 | Extraction!Q21</t>
  </si>
  <si>
    <t>The washing discussion states that if a sensor is washed once and then calibrated it may offer washability. This recommendation must not be recorded as a completed human calibration experiment. Separates participant cohorts, bench tests, human repetitions, model training and actual reference use. Does not infer participant number from a photograph or a non-human n.</t>
  </si>
  <si>
    <t>Saved main PDF pp. 4, 5, 6, 8</t>
  </si>
  <si>
    <t>No external biomechanical or physiological comparator identified</t>
  </si>
  <si>
    <t>R1 | Data extraction 39!U18</t>
  </si>
  <si>
    <t>R2 | Extraction!R21</t>
  </si>
  <si>
    <t>The Figure 5 human demonstrations present sensor response during joint bending without a paired reference instrument. Separates participant cohorts, bench tests, human repetitions, model training and actual reference use. Does not infer participant number from a photograph or a non-human n.</t>
  </si>
  <si>
    <t>Uniaxial strain to 50%; multiaxial testing to 50% × 50%</t>
  </si>
  <si>
    <t>up to 50%</t>
  </si>
  <si>
    <t>Strain response characterized up to 50%.</t>
  </si>
  <si>
    <t>R1 | Data extraction 39!W18</t>
  </si>
  <si>
    <t>R2 | Extraction!S21</t>
  </si>
  <si>
    <t>The GF/strain discussion includes response at 50%. Preserve the author-reported value and its measurement conditions; do not collapse distinct test types.</t>
  </si>
  <si>
    <t>Endpoint GF 633 at 30% and 3,247 at 50%.</t>
  </si>
  <si>
    <t>R1 | Data extraction 39!X18</t>
  </si>
  <si>
    <t>R2 | Extraction!T21</t>
  </si>
  <si>
    <t>GF 633 at 30%; GF 3247 at 50%</t>
  </si>
  <si>
    <t>PDF page(s) 6; GF equation; Fig.4f description</t>
  </si>
  <si>
    <t>The two sensitivities are reported at particular strain levels. Do not assign GF 3,247 as a linear slope over 0–50%.</t>
  </si>
  <si>
    <t>R1 | Data extraction 39!AA18</t>
  </si>
  <si>
    <t>R2 | Extraction!U21</t>
  </si>
  <si>
    <t>R1 | Data extraction 39!AB18</t>
  </si>
  <si>
    <t>R2 | Extraction!V21</t>
  </si>
  <si>
    <t>Stable response reported over 5,000 cycles</t>
  </si>
  <si>
    <t>5,000-cycle test at 20% strain: response gradually increases during roughly the first 100 cycles and then stabilizes.</t>
  </si>
  <si>
    <t>R1 | Data extraction 39!AC18</t>
  </si>
  <si>
    <t>R2 | Extraction!W21</t>
  </si>
  <si>
    <t>Initial conditioning behavior precedes the later stable response. Avoids describing all 5,000 cycles as uniformly stable.</t>
  </si>
  <si>
    <t>Saved main PDF p 7, cycling results</t>
  </si>
  <si>
    <t>Response time: 0.11 s; Recovery time: Not reported</t>
  </si>
  <si>
    <t>response time of 0.11 s</t>
  </si>
  <si>
    <t>Response 0.11 s; recovery 0.12 s.</t>
  </si>
  <si>
    <t>R1 | Data extraction 39!Y18; R1 | Data extraction 39!Z18</t>
  </si>
  <si>
    <t>R2 | Extraction!X21</t>
  </si>
  <si>
    <t>Figure 4g discussion explicitly states both timing values. Preserve the author-reported value and its measurement conditions; do not collapse distinct test types.</t>
  </si>
  <si>
    <t>This is source checking by the assistant, not a second independent rating, new consensus or screening decision. Remaining limitation: Step amplitude and timing definition are not stated in the inspected paragraph.</t>
  </si>
  <si>
    <t>5,000 cycles</t>
  </si>
  <si>
    <t>100 cycles, it becomes pretty stable for</t>
  </si>
  <si>
    <t>5,000 cycles at 20%; response increases during roughly the first 100 cycles, then stabilizes.</t>
  </si>
  <si>
    <t>R1 | Data extraction 39!AD18</t>
  </si>
  <si>
    <t>R2 | Extraction!Y21</t>
  </si>
  <si>
    <t>5,000 cycles at 20% strain; initial conditioning over about 100 cycles</t>
  </si>
  <si>
    <t>PDF page(s) 7; Fig.5g discussion</t>
  </si>
  <si>
    <t>The endurance discussion describes both the total count and initial transient. Preserve the author-reported value and its measurement conditions; do not collapse distinct test types.</t>
  </si>
  <si>
    <t>This is source checking by the assistant, not a second independent rating, new consensus or screening decision. Remaining limitation: Cycle frequency not established in inspected passage.</t>
  </si>
  <si>
    <t>R1 | Method quality 39!P18</t>
  </si>
  <si>
    <t>R2 | Extraction!Z21</t>
  </si>
  <si>
    <t>Washability reported; exact protocol and cycle count was not reported in the available full text</t>
  </si>
  <si>
    <t>R1 | Data extraction 39!AE18</t>
  </si>
  <si>
    <t>R2 | Extraction!AA21</t>
  </si>
  <si>
    <t>Humidity, sweat, temperature and light response evaluated</t>
  </si>
  <si>
    <t>waterproof properties toward w</t>
  </si>
  <si>
    <t>R1 | Data extraction 39!AF18</t>
  </si>
  <si>
    <t>R2 | Extraction!AB21</t>
  </si>
  <si>
    <t>R2 | Extraction!AC21</t>
  </si>
  <si>
    <t>R1 | Data extraction 39!AG18</t>
  </si>
  <si>
    <t>R2 | Extraction!AD21</t>
  </si>
  <si>
    <t>Glove and clothing placement with stated pre-strain; a complete wearable pretension protocol was not reported</t>
  </si>
  <si>
    <t>pre-strain strategy is used fo</t>
  </si>
  <si>
    <t>R1 | Method quality 39!T18</t>
  </si>
  <si>
    <t>R2 | Extraction!AE21</t>
  </si>
  <si>
    <t>R1 | Method quality 39!U18</t>
  </si>
  <si>
    <t>R2 | Extraction!AF21</t>
  </si>
  <si>
    <t>Supplementary Information Fig</t>
  </si>
  <si>
    <t>R1 | Method quality 39!V18</t>
  </si>
  <si>
    <t>R2 | Extraction!AG21</t>
  </si>
  <si>
    <t>Gauge factor 3,247 at 50% strain, 0.11 s response time and 5,000-cycle stability, including multiaxial strain testing.</t>
  </si>
  <si>
    <t>Up to 50%; 0.11/0.12 s response; 5000 cyc; humidity</t>
  </si>
  <si>
    <t>Strain-dependent endpoint GF 633 at 30% and 3,247 at 50%; 0.11/0.12 s response/recovery; 5,000 cycles at 20%, after an early transient of approximately 100 cycles.</t>
  </si>
  <si>
    <t>R1 | Data extraction 39!AH18</t>
  </si>
  <si>
    <t>R2 | Extraction!AH21</t>
  </si>
  <si>
    <t>The sensitivity and dynamic/endurance Results assign GF to particular strains and describe the early-cycle response change. Do not treat endpoint GF 3,247 as a constant linear slope or imply a drift-free entire endurance record.</t>
  </si>
  <si>
    <t>Retained main PDF pp. 6, 7</t>
  </si>
  <si>
    <t>Low-cost fabrication with high gauge factor, multiaxial testing and multiple environmental modalities</t>
  </si>
  <si>
    <t>R1 | Data extraction 39!AI18</t>
  </si>
  <si>
    <t>Participant count, reference validation, recovery/hysteresis and washing details were not identified</t>
  </si>
  <si>
    <t>R1 | Data extraction 39!AJ18</t>
  </si>
  <si>
    <t>Smart T-shirt containing two flexible piezoresistive textile sensors</t>
  </si>
  <si>
    <t>Smart t-shirt (embedded sensors)</t>
  </si>
  <si>
    <t>R1 | Data extraction 39!L19</t>
  </si>
  <si>
    <t>R2 | Extraction!I22</t>
  </si>
  <si>
    <t>Conductive textile patch encapsulated inEcoflex and integrated intoT-shirt; textile construction not established</t>
  </si>
  <si>
    <t>PDF p.5, Section3.1</t>
  </si>
  <si>
    <t>MedTexP130 conductive textile and Ecoflex/T-shirt integration are specified, but active knit/weave construction is not. Do not infer construction from a trade name or the host T-shirt. Missingness or source conflict retained explicitly.</t>
  </si>
  <si>
    <t>§3.1; saved PDF pp. 5</t>
  </si>
  <si>
    <t>REC-01719_10.3390_s24062018.pdf</t>
  </si>
  <si>
    <t>5cfa244e84d8e18eae25ac4866142f1a07dfc61d6a95ff563bc8212d0eb863c7</t>
  </si>
  <si>
    <t>Piezoresistive respiratory strain sensing</t>
  </si>
  <si>
    <t>R1 | Data extraction 39!M19</t>
  </si>
  <si>
    <t>R2 | Extraction!J22</t>
  </si>
  <si>
    <t>Rib-cage expansion strains the piezoresistive MedTex textile and increases resistance. Classifies the demonstrated device; not a new eligibility decision.</t>
  </si>
  <si>
    <t>MedTex P130 conductive piezoresistive textile (sheet resistance 0.15 Ω/square)</t>
  </si>
  <si>
    <t>Conductive textile sensor</t>
  </si>
  <si>
    <t>R1 | Data extraction 39!N19</t>
  </si>
  <si>
    <t>R2 | Extraction!K22</t>
  </si>
  <si>
    <t>T-shirt with polymer-matrix-embedded textile sensors</t>
  </si>
  <si>
    <t>T-shirt garment</t>
  </si>
  <si>
    <t>R1 | Data extraction 39!O19</t>
  </si>
  <si>
    <t>R2 | Extraction!L22</t>
  </si>
  <si>
    <t>Two sensors embedded at chest locations selected using motion-capture analysis</t>
  </si>
  <si>
    <t>Embedded into t-shirt</t>
  </si>
  <si>
    <t>Cut MedTexP130 textile patches encapsulated in cast Ecoflex directly on a sports T-shirt using a 3D-printed mould.</t>
  </si>
  <si>
    <t>R1 | Data extraction 39!P19</t>
  </si>
  <si>
    <t>R2 | Extraction!M22</t>
  </si>
  <si>
    <t>Cut MedTexP130 textile patches encapsulated in cast Ecoflex directly on a sports T-shirt using a 3D-printed mould. Classifies the demonstrated device; not a new eligibility decision.</t>
  </si>
  <si>
    <t>Respiratory-rate monitoring during sitting, standing, walking, running and stair activity</t>
  </si>
  <si>
    <t>Respiratory-rate monitoring</t>
  </si>
  <si>
    <t>Respiration</t>
  </si>
  <si>
    <t>R1 | Data extraction 39!Q19</t>
  </si>
  <si>
    <t>R2 | Extraction!N22</t>
  </si>
  <si>
    <t>Piezoresistive textile elements in a T-shirt track rib-cage expansion and respiratory activity. Physical activity is a test condition, not an independently reported movement outcome. Classifies the demonstrated device; not a new eligibility decision.</t>
  </si>
  <si>
    <t>§3.1 Smart T-shirt; respiratory protocol; saved PDF pp. 5, 6, 7</t>
  </si>
  <si>
    <t>Human sample size: 8; Participant details: Eight healthy participants: 2 men and 6 women; height 169 ± 7 cm and mass 62 ± 9 kg</t>
  </si>
  <si>
    <t>Participants (89 markers)</t>
  </si>
  <si>
    <t>Wearable feasibility cohort: 8 healthy volunteers (2 men, 6 women; height 169 +/- 7 cm, mass 62 +/- 9 kg). Separate placement-design cohort: 5 trained men (31 +/- 4 years). Overlap not stated.</t>
  </si>
  <si>
    <t>R1 | Data extraction 39!S19; R1 | Data extraction 39!T19</t>
  </si>
  <si>
    <t>R2 | Extraction!O22</t>
  </si>
  <si>
    <t>8 in wearable validation; separate 5-person placement-development cohort</t>
  </si>
  <si>
    <t>PDF p.3, Section2.1; p.8, Section4.1</t>
  </si>
  <si>
    <t>Sections 2.1, 3 and 4.1-4.2. Design and feasibility cohorts and reference purposes must remain separate. Separates participant cohorts, bench tests, human repetitions, model training and experimental reference use.</t>
  </si>
  <si>
    <t>Saved main PDF pp. 3, 6, 8, 9, 10</t>
  </si>
  <si>
    <t>Sitting/standing quiet and tachypnoea, walking, running and stair stages; 10-s apnoea used for synchronization</t>
  </si>
  <si>
    <t>Placement phase: 30-s seated quiet breathing. Wearable phase: 10-s synchronization apnea; four 60-s sitting/standing breathing tasks, 60-s walking, 50-s running and 50-s stairs. No separate-day repeats specified.</t>
  </si>
  <si>
    <t>R1 | Method quality 39!K19</t>
  </si>
  <si>
    <t>R2 | Extraction!P22</t>
  </si>
  <si>
    <t>Static/cyclic textile-sensor calibration after integration; sensor placement optimized by motion capture</t>
  </si>
  <si>
    <t>calibration curve and dynamic behavior of t</t>
  </si>
  <si>
    <t>Quasi-static and cyclic calibration after garment integration; motion capture informs placement. Respiratory frequency estimated from synchronized, filtered waveforms.</t>
  </si>
  <si>
    <t>R1 | Method quality 39!L19</t>
  </si>
  <si>
    <t>R2 | Extraction!Q22</t>
  </si>
  <si>
    <t>Yes — Zephyr BioHarness 3 chest strap; placement optimization also used a 10-camera, 89-marker motion-capture system</t>
  </si>
  <si>
    <t>Qualisys motion capture (10 cameras)</t>
  </si>
  <si>
    <t>Zephyr BioHarness 3.0 supplies the wearable respiratory reference. A separate 10-camera Qualisys/89-marker setup informs placement; 89 is not a participant count.</t>
  </si>
  <si>
    <t>R1 | Data extraction 39!U19</t>
  </si>
  <si>
    <t>R2 | Extraction!R22</t>
  </si>
  <si>
    <t>up to 10%</t>
  </si>
  <si>
    <t>0–10% quasi-static; dynamic/hysteresis tests at5%</t>
  </si>
  <si>
    <t>R1 | Data extraction 39!W19</t>
  </si>
  <si>
    <t>R2 | Extraction!S22</t>
  </si>
  <si>
    <t>PDF p.6, Section3.2; p.8, Tables1–2</t>
  </si>
  <si>
    <t>Five quasi-static tensile tests up to10% at5mm/min; cyclic testing uses a5% maximum strain. Keep quasi-static and dynamic test intervals distinct.</t>
  </si>
  <si>
    <t>PDF pp. 6, 8; PDF p.6, Section3.2; p.8, Tables1–2</t>
  </si>
  <si>
    <t>Author-reported Table 1: sensor A GF 6.0 at 5% and 4.7 at 10%; sensor B GF 5.8 at 5% and 3.2 at 10%.</t>
  </si>
  <si>
    <t>R1 | Data extraction 39!X19</t>
  </si>
  <si>
    <t>R2 | Extraction!T22</t>
  </si>
  <si>
    <t>Author-reported: sensor A, 6.0 at 5% and 4.7 at 10%; sensor B, 5.8 at 5% and 3.2 at 10%</t>
  </si>
  <si>
    <t>PDF p.8, Table1; p.7, Equation3</t>
  </si>
  <si>
    <t>The paper reports GF by sensor and maximum extension. Values are retained as published. The tabulated sensitivity, nominal R0 and GF equation do not straightforwardly reconcile arithmetically; do not recompute GF silently.</t>
  </si>
  <si>
    <t>PDF pp. 5, 7, 8</t>
  </si>
  <si>
    <t>This is source checking by the assistant, not a second independent rating, new consensus or screening decision. Remaining limitation: Check the table units and baseline used in the GF calculation before pooled numerical comparison.</t>
  </si>
  <si>
    <t>R1 | Data extraction 39!AA19</t>
  </si>
  <si>
    <t>R2 | Extraction!U22</t>
  </si>
  <si>
    <t>Minimum hysteresis span 20.4% at 36 breaths/min; all reported spans below 25.3%</t>
  </si>
  <si>
    <t>hysteresis span 20.4%</t>
  </si>
  <si>
    <t>Hysteresis span 20.4–25.3% across sensorsA/B and 6/12/24/36 breaths/min at 5% strain. SensorA:24.9/23.0/20.8/20.4%; sensorB:25.3/25.1/21.4/21.2%.</t>
  </si>
  <si>
    <t>R1 | Data extraction 39!AB19</t>
  </si>
  <si>
    <t>R2 | Extraction!V22</t>
  </si>
  <si>
    <t>Thirty-cycle respiratory-rate bench tests report the sensor-specific spans. Corrects below 25.3% to inclusive maximum 25.3%; preserves rate dependence.</t>
  </si>
  <si>
    <t>Saved main PDF pp 7–8, Table 2</t>
  </si>
  <si>
    <t>Individual and pooled activity results reported; separate long-term drift test not identified</t>
  </si>
  <si>
    <t>Individual/pooled human activity outcomes are reported; no separate scalar sensor drift/repeatability result extracted from those passages.</t>
  </si>
  <si>
    <t>R1 | Data extraction 39!AC19</t>
  </si>
  <si>
    <t>R2 | Extraction!W22</t>
  </si>
  <si>
    <t>The cited outcomes concern volunteer respiration/activity performance. Human validation is not an intrinsic drift measurement.</t>
  </si>
  <si>
    <t>Saved main PDF pp 8–10, human evaluation</t>
  </si>
  <si>
    <t>R1 | Data extraction 39!Y19; R1 | Data extraction 39!Z19</t>
  </si>
  <si>
    <t>R2 | Extraction!X22</t>
  </si>
  <si>
    <t>30 loading–unloading cycles with 5% maximum strain; dynamic rates tested at 6, 12, 24 and 36 breaths/min.</t>
  </si>
  <si>
    <t>R1 | Data extraction 39!AD19</t>
  </si>
  <si>
    <t>R2 | Extraction!Y22</t>
  </si>
  <si>
    <t>30 loading–unloading cycles at5% for dynamic/hysteresis characterization; long-term durability not established</t>
  </si>
  <si>
    <t>PDF p.8, Section3.2 and Table2</t>
  </si>
  <si>
    <t>The dynamic hysteresis protocol specifies amplitude, cycles and respiration-equivalent rates. This is short dynamic characterization, not long-term durability; do not sum across rates without evidence.</t>
  </si>
  <si>
    <t>Two textile sensors evaluated separately and in combination; device-to-device manufacturing reproducibility not reported</t>
  </si>
  <si>
    <t>Two sensor designs are compared individually and together; this does not establish repeat manufacture of the same design.</t>
  </si>
  <si>
    <t>R1 | Method quality 39!P19</t>
  </si>
  <si>
    <t>R2 | Extraction!Z22</t>
  </si>
  <si>
    <t>The two textile sensing configurations are evaluated. Design comparison is not device-to-device manufacturing variability.</t>
  </si>
  <si>
    <t>Saved main PDF pp 7–8, sensorsA/B and Table 2</t>
  </si>
  <si>
    <t>R1 | Data extraction 39!AE19</t>
  </si>
  <si>
    <t>R2 | Extraction!AA22</t>
  </si>
  <si>
    <t>R1 | Data extraction 39!AF19</t>
  </si>
  <si>
    <t>R2 | Extraction!AB22</t>
  </si>
  <si>
    <t>R2 | Extraction!AC22</t>
  </si>
  <si>
    <t>Garment fit and anthropometric variability affected baseline; T-shirt adjustment was required</t>
  </si>
  <si>
    <t>R1 | Data extraction 39!AG19</t>
  </si>
  <si>
    <t>R2 | Extraction!AD22</t>
  </si>
  <si>
    <t>Chest sites selected using motion capture; fit/anthropometric effects and need for T-shirt adjustment discussed</t>
  </si>
  <si>
    <t>placement evaluation, as well as t</t>
  </si>
  <si>
    <t>R1 | Method quality 39!T19</t>
  </si>
  <si>
    <t>R2 | Extraction!AE22</t>
  </si>
  <si>
    <t>Feather M0 Adalogger at 25 Hz, custom signal board, microSD, flexible cables and 3D-printed enclosure</t>
  </si>
  <si>
    <t>R1 | Method quality 39!U19</t>
  </si>
  <si>
    <t>R2 | Extraction!AF22</t>
  </si>
  <si>
    <t>Data Availability Statement: The data presented in t</t>
  </si>
  <si>
    <t>R1 | Method quality 39!V19</t>
  </si>
  <si>
    <t>R2 | Extraction!AG22</t>
  </si>
  <si>
    <t>Against the BioHarness reference, the combined-sensor respiratory-rate MAE was 0.32 breaths/min versus 0.53 and 0.78 breaths/min for sensors A and B separately.</t>
  </si>
  <si>
    <t>Respiratory MAE 0.32 bpm; motion-capture guided</t>
  </si>
  <si>
    <t>Against the BioHarness respiratory-rate reference, combining the two textile sensors gave mean absolute error 0.32 breaths/min, versus 0.53 and 0.78 breaths/min for sensors A and B alone.</t>
  </si>
  <si>
    <t>R1 | Data extraction 39!AH19</t>
  </si>
  <si>
    <t>R2 | Extraction!AH22</t>
  </si>
  <si>
    <t>The validation Methods identify the BioHarness reference; the respiratory Results compare mean absolute errors for the two separate sensors and their combination. Optical motion capture informed sensor positioning in a separate development stage; it is not the comparator for these respiratory-rate MAEs.</t>
  </si>
  <si>
    <t>Retained main PDF pp. 8, 9, 13</t>
  </si>
  <si>
    <t>Multi-participant, multi-activity garment validation against a commercial respiratory reference with quantitative error reporting</t>
  </si>
  <si>
    <t>R1 | Data extraction 39!AI19</t>
  </si>
  <si>
    <t>No laundering, durability or environmental testing was reported; fit-dependent transferability remains a limitation</t>
  </si>
  <si>
    <t>R1 | Data extraction 39!AJ19</t>
  </si>
  <si>
    <t>Inductive sensor patches stitched onto tight-fitting sports shorts</t>
  </si>
  <si>
    <t>Inductive textile shorts</t>
  </si>
  <si>
    <t>Publisher full text, sensor fabrication and hip-angle application sections</t>
  </si>
  <si>
    <t>R1 | Data extraction 39!L20</t>
  </si>
  <si>
    <t>R2 | Extraction!I23</t>
  </si>
  <si>
    <t>Copper wire is wound around elastic thread; the resulting CCET is arranged as three rectangular loops per sensor and secured to elastic textile by zigzag sewing. Classifies the demonstrated device; not a new eligibility decision.</t>
  </si>
  <si>
    <t>PDF page(s) 3, 4; §2.1.1 CCET fabrication; §2.1.2 Sport shorts; saved PDF pp. 3, 4</t>
  </si>
  <si>
    <t>REC-01137_10.1002_aisy.201900165.pdf</t>
  </si>
  <si>
    <t>bfe21817c83d9c64ff7e4dbc0bf097153656717e958982e6956ba0a7e3a7dc08</t>
  </si>
  <si>
    <t>Inductive soft strain sensing</t>
  </si>
  <si>
    <t>Inductive</t>
  </si>
  <si>
    <t>R1 | Data extraction 39!M20</t>
  </si>
  <si>
    <t>R2 | Extraction!J23</t>
  </si>
  <si>
    <t>The sensor's inductance depends on loop perimeter/area and the copper-wound thread geometry. Readout uses inductive sensing. Classifies the demonstrated device; not a new eligibility decision.</t>
  </si>
  <si>
    <t>PDF page(s) 10; §3.1 Principle of operation; saved PDF pp. 10</t>
  </si>
  <si>
    <t>Copper wire wound around nonconductive elastic thread</t>
  </si>
  <si>
    <t>Conductive inductive coil</t>
  </si>
  <si>
    <t>R1 | Data extraction 39!N20</t>
  </si>
  <si>
    <t>R2 | Extraction!K23</t>
  </si>
  <si>
    <t>Elastic textile sports shorts</t>
  </si>
  <si>
    <t>Textile sport shorts</t>
  </si>
  <si>
    <t>R1 | Data extraction 39!O20</t>
  </si>
  <si>
    <t>R2 | Extraction!L23</t>
  </si>
  <si>
    <t>Copper-coiled elastic thread formed into three-loop rectangular patches and attached with zigzag stitching</t>
  </si>
  <si>
    <t>Coils integrated into shorts</t>
  </si>
  <si>
    <t>Copper wire wound around elastic thread; three-loop sensing paths fixed by zigzag sewing to elastic fabric and compression shorts.</t>
  </si>
  <si>
    <t>R1 | Data extraction 39!P20</t>
  </si>
  <si>
    <t>R2 | Extraction!M23</t>
  </si>
  <si>
    <t>Copper wire wound around elastic thread; three-loop sensing paths fixed by zigzag sewing to elastic fabric and compression shorts. Classifies the demonstrated device; not a new eligibility decision.</t>
  </si>
  <si>
    <t>§2.1.1–2.1.2; saved PDF pp. 3, 4</t>
  </si>
  <si>
    <t>Three-plane hip-joint angle estimation during treadmill running</t>
  </si>
  <si>
    <t>Hip-angle running</t>
  </si>
  <si>
    <t>R1 | Data extraction 39!Q20</t>
  </si>
  <si>
    <t>R2 | Extraction!N23</t>
  </si>
  <si>
    <t>Inductive sensors on compression shorts measure multiaxial hip angles during running in a 12-participant cohort. Classifies the demonstrated device; not a new eligibility decision.</t>
  </si>
  <si>
    <t>§2.2.3 Participants; §3.8 Cohort kinematic tracking; saved PDF pp. 9, 15</t>
  </si>
  <si>
    <t>Human sample size: 12; Participant details: 12 participants (2 women, 10 men), age 22–31 years; mean age 25 ± 2.6 years, height 176 ± 8.6 cm and mass 75 ± 10.25 kg</t>
  </si>
  <si>
    <t>12 participants (2F/10M 22-31)</t>
  </si>
  <si>
    <t>12 participants: 2 women and 10 men, aged 22-31 years; mean age 25 +/- 2.6 years.</t>
  </si>
  <si>
    <t>R1 | Data extraction 39!S20; R1 | Data extraction 39!T20</t>
  </si>
  <si>
    <t>R2 | Extraction!O23</t>
  </si>
  <si>
    <t>Sections 2.2.1-2.2.5; Table 1. Do not count cross-validation folds as sessions. Separates participant cohorts, bench tests, human repetitions, model training and experimental reference use.</t>
  </si>
  <si>
    <t>One 10-min treadmill-running trial per participant; tenfold and forward-chaining validation</t>
  </si>
  <si>
    <t>One 10-min treadmill-running trial at 2.0 m/s per participant. Tenfold and forward-chaining validation are analysis partitions, not additional sessions.</t>
  </si>
  <si>
    <t>R1 | Method quality 39!K20</t>
  </si>
  <si>
    <t>R2 | Extraction!P23</t>
  </si>
  <si>
    <t>Static optical calibration, application-strain-range determination and participant-specific machine-learning calibration</t>
  </si>
  <si>
    <t>machine learning is presented</t>
  </si>
  <si>
    <t>Static optical calibration constructs participant segment models; participant-specific random-forest training uses synchronized optical angle labels.</t>
  </si>
  <si>
    <t>R1 | Method quality 39!L20</t>
  </si>
  <si>
    <t>R2 | Extraction!Q23</t>
  </si>
  <si>
    <t>Yes — six-camera optical motion-capture system at 100 Hz</t>
  </si>
  <si>
    <t>Gold-standard optical motion capture</t>
  </si>
  <si>
    <t>Six-camera optical motion capture at 100 Hz; wearable acquisition at 125 Hz resampled to 100 Hz.</t>
  </si>
  <si>
    <t>R1 | Data extraction 39!U20</t>
  </si>
  <si>
    <t>R2 | Extraction!R23</t>
  </si>
  <si>
    <t>Application range &lt;30%; up to 10% garment prestrain plus &lt;18% additional strain during running</t>
  </si>
  <si>
    <t>Application range below 30%; separate bench inductance-versus-extension characterization extends to 100%.</t>
  </si>
  <si>
    <t>R1 | Data extraction 39!W20</t>
  </si>
  <si>
    <t>R2 | Extraction!S23</t>
  </si>
  <si>
    <t>The application-design range and bench characterization serve different purposes. Preserve the author-reported value and its measurement conditions; do not collapse distinct test types.</t>
  </si>
  <si>
    <t>PDF pp. 6, 11</t>
  </si>
  <si>
    <t>−0.055 ± 0.002 over 0–30% strain</t>
  </si>
  <si>
    <t>Reported over 0-30% strain (inductive)</t>
  </si>
  <si>
    <t>Frequency-based GF −0.055 ± 0.002 over 0–30%, defined as (Δf/f0)/(Δl/l0).</t>
  </si>
  <si>
    <t>R1 | Data extraction 39!X20</t>
  </si>
  <si>
    <t>R2 | Extraction!T23</t>
  </si>
  <si>
    <t>The Methods define a frequency-normalized GF and the Results give its mean and uncertainty. Do not label this as resistance-based or inductance-based GF; preserve the electrical output definition.</t>
  </si>
  <si>
    <t>PDF pp. 7, 12</t>
  </si>
  <si>
    <t>Normalized calculated-versus-measured relation R² = 0.985; step-test NRMSE 2.83% and triangular-wave NRMSE 1.43%</t>
  </si>
  <si>
    <t>The normalized predicted-versus-measured response has R²=0.985; this is agreement with the inductance model, not a simple intrinsic linearity coefficient. A linear frequency-change response is described over 0–30% strain.</t>
  </si>
  <si>
    <t>R1 | Data extraction 39!AA20</t>
  </si>
  <si>
    <t>R2 | Extraction!U23</t>
  </si>
  <si>
    <t>The inductance model is nonlinear; the frequency response is separately described as approximately/pseudo-linear over a restricted region. Step/triangle tracking NRMSE 2.83%/1.43% are tracking errors, not linearity statistics.</t>
  </si>
  <si>
    <t>Saved main PDF pp 11–12, Figs 3 B and 5 C; p 17 discussion</t>
  </si>
  <si>
    <t>No discernible hysteresis to 4 Hz; hysteresis increased above 4 Hz</t>
  </si>
  <si>
    <t>Hysteresis plot between 0–10–0%</t>
  </si>
  <si>
    <t>No discernible hysteresis is described for low-rate 0–30% strain cycling; hysteresis increases above 4 Hz.</t>
  </si>
  <si>
    <t>R1 | Data extraction 39!AB20</t>
  </si>
  <si>
    <t>R2 | Extraction!V23</t>
  </si>
  <si>
    <t>Loading/unloading response depends on cycling rate. Does not represent the low-rate observation as zero hysteresis at all frequencies.</t>
  </si>
  <si>
    <t>Saved main PDF pp 12–14, dynamic response</t>
  </si>
  <si>
    <t>Maximum drift 0.48% over 10,000 s at 0.1% strain; approximately 0.05% noise</t>
  </si>
  <si>
    <t>Maximum drift is reported as 0.48% over 10,000 s at 0.1% strain, with approximately 0.05% noise.</t>
  </si>
  <si>
    <t>R1 | Data extraction 39!AC20</t>
  </si>
  <si>
    <t>R2 | Extraction!W23</t>
  </si>
  <si>
    <t>The article gives these normalized drift/noise values. Retains the author-reported normalization without recomputation from frequency units.</t>
  </si>
  <si>
    <t>Saved main PDF p 13, static stability test</t>
  </si>
  <si>
    <t>Response time: Dynamic tracking demonstrated up to 20 Hz; no conventional millisecond response time reported; Recovery time: Not reported</t>
  </si>
  <si>
    <t>Frequency-sweep tracking to 20 Hz, with 15–22% strain used for the highest-frequency test; small peak/valley discrepancies appear at 20 Hz.</t>
  </si>
  <si>
    <t>R1 | Data extraction 39!Y20; R1 | Data extraction 39!Z20</t>
  </si>
  <si>
    <t>R2 | Extraction!X23</t>
  </si>
  <si>
    <t>Dynamic tests assess tracking over a frequency sweep rather than a conventional response-time step. 20 Hz must not be converted to a claimed 50-ms sensor response without a defined timing analysis.</t>
  </si>
  <si>
    <t>PDF pp. 13, 14, 18</t>
  </si>
  <si>
    <t>300 trapezoidal cycles from 5% to 30% strain at 10% s⁻¹</t>
  </si>
  <si>
    <t>300 cycles from 5 to 30% strain at 10% s</t>
  </si>
  <si>
    <t>300 trapezoidal cycles over 5–30% strain at 10% strain/s.</t>
  </si>
  <si>
    <t>R1 | Data extraction 39!AD20</t>
  </si>
  <si>
    <t>R2 | Extraction!Y23</t>
  </si>
  <si>
    <t>The repeated trapezoidal protocol reports bounds, rate and count. Preserve the author-reported value and its measurement conditions; do not collapse distinct test types.</t>
  </si>
  <si>
    <t>PDF pp. 14, 15</t>
  </si>
  <si>
    <t>Four installed sensors; device-to-device statistics not reported</t>
  </si>
  <si>
    <t>Four installed sensors form a system; no independent-device variability statistic extracted.</t>
  </si>
  <si>
    <t>R1 | Method quality 39!P20</t>
  </si>
  <si>
    <t>R2 | Extraction!Z23</t>
  </si>
  <si>
    <t>Multiple elements are positioned for human movement measurements. Installed element count is not replication of the full sensor/device.</t>
  </si>
  <si>
    <t>Saved main PDF pp 15–16, wearable integration</t>
  </si>
  <si>
    <t>Repeated machine washing was identified as future work, not performed</t>
  </si>
  <si>
    <t>R1 | Data extraction 39!AE20</t>
  </si>
  <si>
    <t>R2 | Extraction!AA23</t>
  </si>
  <si>
    <t>Sweat did not adversely affect performance; susceptibility to electromagnetic fields within approximately 5 cm was reported</t>
  </si>
  <si>
    <t>External electromagnetic interference starts at approximately 5 cm from a phone/circuit board and increases with proximity. Sweat had no adverse effect during reported use; controlled temperature, humidity and machine-washing studies are proposed as further work.</t>
  </si>
  <si>
    <t>R1 | Data extraction 39!AF20</t>
  </si>
  <si>
    <t>R2 | Extraction!AB23</t>
  </si>
  <si>
    <t>The source distinguishes a proximity interference experiment from qualitative sweating observations. Do not label the sweat statement as a fully specified standardized exposure test.</t>
  </si>
  <si>
    <t>PDF pp. 16, 17, 20</t>
  </si>
  <si>
    <t>R2 | Extraction!AC23</t>
  </si>
  <si>
    <t>Tight-fitting, size-adjustable sports-shorts prototype</t>
  </si>
  <si>
    <t>R1 | Data extraction 39!AG20</t>
  </si>
  <si>
    <t>R2 | Extraction!AD23</t>
  </si>
  <si>
    <t>Tight-fitting shorts; four defined sensor placements; prestrain measured up to 10%</t>
  </si>
  <si>
    <t>placement, and marker movement dur</t>
  </si>
  <si>
    <t>R1 | Method quality 39!T20</t>
  </si>
  <si>
    <t>R2 | Extraction!AE23</t>
  </si>
  <si>
    <t>LDC1614, STM Nucleo-F401RE, I²C and 125-Hz sensor acquisition</t>
  </si>
  <si>
    <t>PCBs) allows a decrease in s</t>
  </si>
  <si>
    <t>R1 | Method quality 39!U20</t>
  </si>
  <si>
    <t>R2 | Extraction!AF23</t>
  </si>
  <si>
    <t>R1 | Method quality 39!V20</t>
  </si>
  <si>
    <t>R2 | Extraction!AG23</t>
  </si>
  <si>
    <t>Across 12 runners, sagittal-plane estimates achieved R² 0.98 ± 0.01 and RMSE 1.63 ± 0.32°; frontal and transverse RMSEs were 1.09 ± 0.22° and 1.17 ± 0.25°.</t>
  </si>
  <si>
    <t>GF -0.055 (0-30%); hip angle R=0.98; NRMSE 1.43%</t>
  </si>
  <si>
    <t>In 12 runners, participant-specific RF angle estimation versus optical motion capture gave R² 0.98±0.01 and RMSE 1.63±0.32° sagittally; RMSE was 1.09±0.22° frontal and 1.17±0.25° transverse. Corresponding NRMSEs were 3.45±0.56%, 5.31±0.96% and 7.35±1.20%.</t>
  </si>
  <si>
    <t>R1 | Data extraction 39!AH20</t>
  </si>
  <si>
    <t>R2 | Extraction!AH23</t>
  </si>
  <si>
    <t>Methods describe participant-specific supervised models, tenfold/forward-chaining analyses and optical ground truth; Results/Table 2 distinguish three planes and error types. Use R², not R, and do not retain R2’s unsupported 1.43% NRMSE. These are participant-specific estimates, not demonstrated transfer to new users.</t>
  </si>
  <si>
    <t>Retained main PDF pp. 8, 9, 10, 15, 16</t>
  </si>
  <si>
    <t>Multi-participant, 10-min running validation against optical motion capture with quantified dynamic response, drift and uncertainty</t>
  </si>
  <si>
    <t>R1 | Data extraction 39!AI20</t>
  </si>
  <si>
    <t>Models were participant-specific; laundering and broader temperature/humidity testing were not performed</t>
  </si>
  <si>
    <t>R1 | Data extraction 39!AJ20</t>
  </si>
  <si>
    <t>Instrumented knee sleeve carrying an array of sixteen stretch sensors</t>
  </si>
  <si>
    <t>Knee sleeve (16-sensor array)</t>
  </si>
  <si>
    <t>Open-access full text, Sections 2.1-2.2 and Results</t>
  </si>
  <si>
    <t>R1 | Data extraction 39!L21</t>
  </si>
  <si>
    <t>R2 | Extraction!I24</t>
  </si>
  <si>
    <t>Active sensors are triphasic silicone/nickel composites (Ni nanostrands and nickel-coated carbon fibres), mounted as an array on a commercial nylon/spandex knee sleeve. Classifies the demonstrated device; not a new eligibility decision.</t>
  </si>
  <si>
    <t>PDF page(s) 2, 3; Device description; §2.1 Data collection; saved PDF pp. 2, 3</t>
  </si>
  <si>
    <t>REC-01921_10.3390_s22072499.pdf</t>
  </si>
  <si>
    <t>89516dcc8d455abeab0d48e5ed903886cc24bd69bd2652ba364c702ae5234b91</t>
  </si>
  <si>
    <t>Inverse piezoresistive nanocomposite strain sensing</t>
  </si>
  <si>
    <t>R1 | Data extraction 39!M21</t>
  </si>
  <si>
    <t>R2 | Extraction!J24</t>
  </si>
  <si>
    <t>Article explicitly identifies inverse piezoresistive response and reads the sixteen sensors with a multiplexer/Wheatstone bridge. Classifies the demonstrated device; not a new eligibility decision.</t>
  </si>
  <si>
    <t>PDF page(s) 2, 3; Device description and readout; saved PDF pp. 2, 3</t>
  </si>
  <si>
    <t>Nickel nanostrands and nickel-coated carbon fibres in a silicone matrix</t>
  </si>
  <si>
    <t>Nickel nanostrands/carbon in Ecoflex</t>
  </si>
  <si>
    <t>R1 | Data extraction 39!N21</t>
  </si>
  <si>
    <t>R2 | Extraction!K24</t>
  </si>
  <si>
    <t>Elastic knee sleeve</t>
  </si>
  <si>
    <t>Nylon/spandex knee sleeve</t>
  </si>
  <si>
    <t>R1 | Data extraction 39!O21</t>
  </si>
  <si>
    <t>R2 | Extraction!L24</t>
  </si>
  <si>
    <t>Sixteen skin-conforming nanocomposite sensors mounted across the anterior knee sleeve</t>
  </si>
  <si>
    <t>Sensors adhered to knee sleeve + PCB</t>
  </si>
  <si>
    <t>Moulded silicone/Ni nanostrand/carbon-fibre composite sensors adhered to silicone footings on a commercial sleeve; embroidered wires provide interconnection only.</t>
  </si>
  <si>
    <t>R1 | Data extraction 39!P21</t>
  </si>
  <si>
    <t>R2 | Extraction!M24</t>
  </si>
  <si>
    <t>Moulded silicone/Ni nanostrand/carbon-fibre composite sensors adhered to silicone footings on a commercial sleeve; embroidered wires provide interconnection only. Classifies the demonstrated device; not a new eligibility decision.</t>
  </si>
  <si>
    <t>§2.1; saved PDF pp. 3, 4</t>
  </si>
  <si>
    <t>Flexion/extension and internal/external knee-angle prediction for rehabilitation exercises</t>
  </si>
  <si>
    <t>Knee-angle rehab</t>
  </si>
  <si>
    <t>R1 | Data extraction 39!Q21</t>
  </si>
  <si>
    <t>R2 | Extraction!N24</t>
  </si>
  <si>
    <t>A 16-element sensor array on a knee sleeve measures flexion/extension and internal/external rotation in healthy participants; post-arthroplasty rehabilitation is future intended use. Classifies the demonstrated device; not a new eligibility decision.</t>
  </si>
  <si>
    <t>§2.1 Data collection; saved PDF pp. 3, 4, 5</t>
  </si>
  <si>
    <t>Human sample size: 18; Participant details: 18 healthy participants; complete demographics was not reported in the available full text</t>
  </si>
  <si>
    <t>18 subjects (9M/9F 20-47)</t>
  </si>
  <si>
    <t>18 healthy participants: 9 men and 9 women, aged 20-47 years (27.4 +/- 7.1 years).</t>
  </si>
  <si>
    <t>R1 | Data extraction 39!S21; R1 | Data extraction 39!T21</t>
  </si>
  <si>
    <t>R2 | Extraction!O24</t>
  </si>
  <si>
    <t>Sections 2.1-2.2 and 3.1; Table 1. Distinguish device count, marker count and human cohort. Separates participant cohorts, bench tests, human repetitions, model training and experimental reference use.</t>
  </si>
  <si>
    <t>Saved main PDF pp. 4, 5, 6</t>
  </si>
  <si>
    <t>Open-chain knee flexion was repeated continuously for 60 s at two seconds up/two seconds down; participants averaged 14 movements</t>
  </si>
  <si>
    <t>Open-chain knee flexion for 60 s at two seconds up/two seconds down; average 14 movements. Tenfold model validation is not ten human sessions.</t>
  </si>
  <si>
    <t>R1 | Method quality 39!K21</t>
  </si>
  <si>
    <t>R2 | Extraction!P24</t>
  </si>
  <si>
    <t>Subject-specific and device-specific machine-learning regression calibrated to motion-capture knee angles</t>
  </si>
  <si>
    <t>machine learning regressor</t>
  </si>
  <si>
    <t>Subject-specific and device-specific regression against motion-capture knee angles; three knee-sleeve devices were evaluated.</t>
  </si>
  <si>
    <t>R1 | Method quality 39!L21</t>
  </si>
  <si>
    <t>R2 | Extraction!Q24</t>
  </si>
  <si>
    <t>Yes — optical motion-capture reference</t>
  </si>
  <si>
    <t>Optical tracking (Visual3D)</t>
  </si>
  <si>
    <t>Optical marker tracking with Visual3D-derived knee angles; 21 markers, not 21 participants.</t>
  </si>
  <si>
    <t>R1 | Data extraction 39!U21</t>
  </si>
  <si>
    <t>R2 | Extraction!R24</t>
  </si>
  <si>
    <t>R1 | Data extraction 39!W21</t>
  </si>
  <si>
    <t>R2 | Extraction!S24</t>
  </si>
  <si>
    <t>R1 | Data extraction 39!X21</t>
  </si>
  <si>
    <t>R2 | Extraction!T24</t>
  </si>
  <si>
    <t>Model performance reported using RMSE and R²</t>
  </si>
  <si>
    <t>RMSE/R² values quantify learned knee-angle model accuracy, not intrinsic strain–response linearity.</t>
  </si>
  <si>
    <t>R1 | Data extraction 39!AA21</t>
  </si>
  <si>
    <t>R2 | Extraction!U24</t>
  </si>
  <si>
    <t>The reported regressions compare estimated and reference joint angles. Model performance should remain in validation fields, not pooled sensor-linearity outcomes.</t>
  </si>
  <si>
    <t>Saved main PDF pp 5–6 and model-evaluation results</t>
  </si>
  <si>
    <t>R1 | Data extraction 39!AB21</t>
  </si>
  <si>
    <t>R2 | Extraction!V24</t>
  </si>
  <si>
    <t>Three sleeve devices and subject-specific/device-specific models assessed repeatability and reuse</t>
  </si>
  <si>
    <t>repeatability of a 16</t>
  </si>
  <si>
    <t>Three 16-channel sleeves and subject/device-specific models are evaluated; this is device/model validation, not a separately quantified intrinsic drift test.</t>
  </si>
  <si>
    <t>R1 | Data extraction 39!AC21</t>
  </si>
  <si>
    <t>R2 | Extraction!W24</t>
  </si>
  <si>
    <t>The paper identifies three sensorized sleeves and examines device-specific models. Separates device/model reuse from drift of an individual sensing element.</t>
  </si>
  <si>
    <t>Saved main PDF p 6 and model-evaluation results</t>
  </si>
  <si>
    <t>R1 | Data extraction 39!Y21; R1 | Data extraction 39!Z21</t>
  </si>
  <si>
    <t>R2 | Extraction!X24</t>
  </si>
  <si>
    <t>R1 | Data extraction 39!AD21</t>
  </si>
  <si>
    <t>R2 | Extraction!Y24</t>
  </si>
  <si>
    <t>Three devices and device-specific models evaluated</t>
  </si>
  <si>
    <t>device-specific models are analyzed</t>
  </si>
  <si>
    <t>Three independently instrumented 16-channel sleeves are assessed with device-specific models; no isolated manufacturing-variability statistic extracted from the cited passages.</t>
  </si>
  <si>
    <t>R1 | Method quality 39!P21</t>
  </si>
  <si>
    <t>R2 | Extraction!Z24</t>
  </si>
  <si>
    <t>Three devices enter the analysis; model dependence on the device is examined. Retains genuine multiple-device evaluation without converting model accuracy into pure fabrication variability.</t>
  </si>
  <si>
    <t>Saved main PDF p 6 and device-specific model analysis</t>
  </si>
  <si>
    <t>R1 | Data extraction 39!AE21</t>
  </si>
  <si>
    <t>R2 | Extraction!AA24</t>
  </si>
  <si>
    <t>R1 | Data extraction 39!AF21</t>
  </si>
  <si>
    <t>R2 | Extraction!AB24</t>
  </si>
  <si>
    <t>R2 | Extraction!AC24</t>
  </si>
  <si>
    <t>Wearable elastic knee sleeve; formal comfort or breathability measurement not identified</t>
  </si>
  <si>
    <t>Nylon/spandex knee sleeve fitted to avoid squeezing while resisting migration; design allows direct donning/doffing and avoids adhering to skin.</t>
  </si>
  <si>
    <t>R1 | Data extraction 39!AG21</t>
  </si>
  <si>
    <t>R2 | Extraction!AD24</t>
  </si>
  <si>
    <t>Methods specify fit principles and an added loose wiring layer intended not to inhibit sleeve motion. This is a design description, not a quantitative comfort/permeability outcome.</t>
  </si>
  <si>
    <t>This is source checking by the assistant, not a second independent rating, new consensus or screening decision. Remaining limitation: Formal comfort or permeability testing is not reverified by these design passages.</t>
  </si>
  <si>
    <t>Sixteen sensors mounted across the anterior knee; fit/pretension details was not reported in the available full text</t>
  </si>
  <si>
    <t>donned and doffed by the</t>
  </si>
  <si>
    <t>R1 | Method quality 39!T21</t>
  </si>
  <si>
    <t>R2 | Extraction!AE24</t>
  </si>
  <si>
    <t>Multi-channel sensor array and machine-learning regression; complete electronics details was not reported in the available full text</t>
  </si>
  <si>
    <t>Wheatstone bridge circuit that</t>
  </si>
  <si>
    <t>R1 | Method quality 39!U21</t>
  </si>
  <si>
    <t>R2 | Extraction!AF24</t>
  </si>
  <si>
    <t>R1 | Method quality 39!V21</t>
  </si>
  <si>
    <t>R2 | Extraction!AG24</t>
  </si>
  <si>
    <t>Subject-specific RMSE averaged 7.6° for flexion/extension and 1.8° for internal/external rotation; device-specific RMSE averaged 12.6° and 3.5°, respectively.</t>
  </si>
  <si>
    <t>RMSE 7.6/1.8 deg; 18 subjects; 16-sensor PCB array</t>
  </si>
  <si>
    <t>With subject-specific models and tenfold within-subject validation, mean RMSE was 7.6° flexion/extension and 1.8° internal/external rotation. The abstract’s device-specific averages are 12.6°/3.5°; Table 2 provides separate results for three unequally sized device cohorts.</t>
  </si>
  <si>
    <t>R1 | Data extraction 39!AH21</t>
  </si>
  <si>
    <t>R2 | Extraction!AH24</t>
  </si>
  <si>
    <t>Methods define subject-specific training/testing and 90:10 time-preserving folds. Table 2 reports device A/B/C results with n=14/3/1; the abstract summarizes 12.6°/3.5°. Do not treat device-specific averages as a pooled 18-participant RMSE or evidence of an untouched external participant cohort.</t>
  </si>
  <si>
    <t>Retained main PDF pp. 1, 5, 6, 7</t>
  </si>
  <si>
    <t>Eighteen-participant rehabilitation-oriented validation against motion capture with explicit subject- and device-specific analyses</t>
  </si>
  <si>
    <t>R1 | Data extraction 39!AI21</t>
  </si>
  <si>
    <t>Prediction for previously unmeasured users and long-term durability/laundering were not established</t>
  </si>
  <si>
    <t>R1 | Data extraction 39!AJ21</t>
  </si>
  <si>
    <t>Knitted-fabric strain-sensor belt worn around the upper arm</t>
  </si>
  <si>
    <t>Fabric strain sensor belt (S-shape)</t>
  </si>
  <si>
    <t>Complete accepted manuscript; system design, calibration and human-subject experiment</t>
  </si>
  <si>
    <t>R1 | Data extraction 39!L22</t>
  </si>
  <si>
    <t>R2 | Extraction!I25</t>
  </si>
  <si>
    <t>Commercial fabric strain sensors are fabricated by printing carbon nanocomposites on knitted fabric; multiple elements form a limb-gauge sensing belt. Classifies the demonstrated device; not a new eligibility decision.</t>
  </si>
  <si>
    <t>PDF page(s) 9; §2.3 Fabric strain sensors and sensing belt; saved PDF pp. 9</t>
  </si>
  <si>
    <t>REC-01051_10.1088_0964-1726_25_12_125022.pdf</t>
  </si>
  <si>
    <t>0eb76b0a765a05eb80e103ae2c73cadbc38113d2c8912f58f90cb55876dbed93</t>
  </si>
  <si>
    <t>Resistive fabric strain sensing</t>
  </si>
  <si>
    <t>R1 | Data extraction 39!M22</t>
  </si>
  <si>
    <t>R2 | Extraction!J25</t>
  </si>
  <si>
    <t>The sensing signal is resistance change of the fabric strain sensors during elongation. Classifies the demonstrated device; not a new eligibility decision.</t>
  </si>
  <si>
    <t>PDF page(s) 10, 11; §2.3 Mechanical-electrical behaviour; saved PDF pp. 10, 11</t>
  </si>
  <si>
    <t>Carbon nanocomposite printed on knitted fabric</t>
  </si>
  <si>
    <t>Fabric conductive sensor (FSS)</t>
  </si>
  <si>
    <t>R1 | Data extraction 39!N22</t>
  </si>
  <si>
    <t>R2 | Extraction!K25</t>
  </si>
  <si>
    <t>Elastic upper-arm sensing belt</t>
  </si>
  <si>
    <t>Elastic fabric belt</t>
  </si>
  <si>
    <t>R1 | Data extraction 39!O22</t>
  </si>
  <si>
    <t>R2 | Extraction!L25</t>
  </si>
  <si>
    <t>Fabric strain sensors incorporated into a wearable circumferential belt</t>
  </si>
  <si>
    <t>Assembled on fabric belt (upper arm)</t>
  </si>
  <si>
    <t>Carbon-nanocomposite printing on knit; commercial sensors silicone-protected and assembled with pretension on an elastic fabric upper-arm belt.</t>
  </si>
  <si>
    <t>R1 | Data extraction 39!P22</t>
  </si>
  <si>
    <t>R2 | Extraction!M25</t>
  </si>
  <si>
    <t>Carbon-nanocomposite printing on knit; commercial sensors silicone-protected and assembled with pretension on an elastic fabric upper-arm belt. Classifies the demonstrated device; not a new eligibility decision.</t>
  </si>
  <si>
    <t>§2.3; saved PDF pp. 9, 11, 12</t>
  </si>
  <si>
    <t>Monitoring elbow-flexor isometric contraction through upper-arm circumferential strain</t>
  </si>
  <si>
    <t>Muscle contraction (isometric)</t>
  </si>
  <si>
    <t>Muscle contraction/force monitoring</t>
  </si>
  <si>
    <t>R1 | Data extraction 39!Q22</t>
  </si>
  <si>
    <t>R2 | Extraction!N25</t>
  </si>
  <si>
    <t>An upper-arm fabric sensing belt measures muscle-related circumference strain during elbow isometric contraction against a Biodex torque measurement; this is muscle contraction/force-related monitoring, not a demonstrated fatigue biomarker. Classifies the demonstrated device; not a new eligibility decision.</t>
  </si>
  <si>
    <t>§3 Experimental; Fig. 8; saved PDF pp. 19, 20, 21</t>
  </si>
  <si>
    <t>Human sample size: 10; Participant details: Ten participants; complete demographics was not reported in the available full text</t>
  </si>
  <si>
    <t>10 recruited people: 8 ordinary healthy participants plus 2 professional canoeists. Main limb-strain/torque analysis explicitly uses subjects 1-8; the two canoeists underwent a separate EMG comparison. Table 4 demographics and narrative age range conflict, so no pooled age range is imposed.</t>
  </si>
  <si>
    <t>R1 | Data extraction 39!S22; R1 | Data extraction 39!T22</t>
  </si>
  <si>
    <t>R2 | Extraction!O25</t>
  </si>
  <si>
    <t>Sections 2.5 and 3.1-3.2; Table 4; Discussion. Main analyzed sample is eight, not all ten recruited people. Separates participant cohorts, bench tests, human repetitions, model training and experimental reference use.</t>
  </si>
  <si>
    <t>Saved main PDF pp. 17, 20, 21, 22, 34</t>
  </si>
  <si>
    <t>Five elbow positions (30°, 60°, 75°, 90° and 120°), two trials each, with 1-min rests</t>
  </si>
  <si>
    <t>Five elbow angles (30, 60, 75, 90 and 120 degrees), two maximal-contraction trials per angle, 2-s hold and 1-min rest. Separate-day sessions not stated.</t>
  </si>
  <si>
    <t>R1 | Method quality 39!K22</t>
  </si>
  <si>
    <t>R2 | Extraction!P25</t>
  </si>
  <si>
    <t>Fabric belt calibrated to circumferential change; suitable belt size selected for each participant</t>
  </si>
  <si>
    <t>calibration of the device are presented</t>
  </si>
  <si>
    <t>Before wearing, the belt was calibrated on a custom jig at 5% and 15% strain to obtain each sensing element sensitivity. The Discussion explicitly states calibration for each subject before each test.</t>
  </si>
  <si>
    <t>R1 | Method quality 39!L22</t>
  </si>
  <si>
    <t>R2 | Extraction!Q25</t>
  </si>
  <si>
    <t>Yes — Biodex 3 isokinetic testing system measuring elbow torque</t>
  </si>
  <si>
    <t>Isokinetic Biodex3</t>
  </si>
  <si>
    <t>Biodex 3 isokinetic system in isometric mode supplies elbow torque and position; a separate two-canoeist comparison involves EMG.</t>
  </si>
  <si>
    <t>R1 | Data extraction 39!U22</t>
  </si>
  <si>
    <t>R2 | Extraction!R25</t>
  </si>
  <si>
    <t>0-60%</t>
  </si>
  <si>
    <t>up to 60%</t>
  </si>
  <si>
    <t>Table 1 sensor-element specification: 0–60% strain measurement range.</t>
  </si>
  <si>
    <t>R1 | Data extraction 39!W22</t>
  </si>
  <si>
    <t>R2 | Extraction!S25</t>
  </si>
  <si>
    <t>The performance-specification table states 0–60%. Retain the specification label rather than implying a full newly measured calibration curve.</t>
  </si>
  <si>
    <t>Table 1 lists a tunable/specification GF range of 1–100; no one value is assigned to a strain interval in that table.</t>
  </si>
  <si>
    <t>R1 | Data extraction 39!X22</t>
  </si>
  <si>
    <t>R2 | Extraction!T25</t>
  </si>
  <si>
    <t>Measured calibration: strain = 0.3361 × resistance ratio + 0.015161, plotted over 0–60% strain</t>
  </si>
  <si>
    <t>PDF page(s) 10, 15; Fig.3b and Eq.4</t>
  </si>
  <si>
    <t>The table lists GF 1–100 alongside general FSS specifications. Do not use 100 as the measured GF of the selected on-body sensor.</t>
  </si>
  <si>
    <t>This is source checking by the assistant, not a second independent rating, new consensus or screening decision. Remaining limitation: A particular device GF and corresponding strain interval require the linked calibration or original sensor work.</t>
  </si>
  <si>
    <t>Representative calibration R² = 0.996; specification ±5%</t>
  </si>
  <si>
    <t>linearity of 0.996</t>
  </si>
  <si>
    <t>Representative ten-cycle calibration has reported “linearity 0.996”; Table 1 lists a±5% linearity specification. The coefficient is not relabelled R² without a defined fit statistic.</t>
  </si>
  <si>
    <t>R1 | Data extraction 39!AA22</t>
  </si>
  <si>
    <t>R2 | Extraction!U25</t>
  </si>
  <si>
    <t>The article gives both the nominal specification and a particular calibration result. Distinguishes a specification bound from an observed coefficient.</t>
  </si>
  <si>
    <t>Saved main PDF p 11, Table 1 and calibration paragraph</t>
  </si>
  <si>
    <t>±3.16% in representative calibration; specification ±5%</t>
  </si>
  <si>
    <t>hysteresis of ±3.5%</t>
  </si>
  <si>
    <t>Representative ten-cycle calibration:±3.16%; general device description:±3.5%; Table 1 specification:±5%. These are differently scoped statements, not one interchangeable value.</t>
  </si>
  <si>
    <t>R1 | Data extraction 39!AB22</t>
  </si>
  <si>
    <t>R2 | Extraction!V25</t>
  </si>
  <si>
    <t>All three values occur in the source, under description, specification and example calibration. Reconciles the reviewer extraction difference by preserving the test context.</t>
  </si>
  <si>
    <t>Saved main PDF p 5 description andp 11, Table 1/calibration</t>
  </si>
  <si>
    <t>Two trials were performed at each elbow position</t>
  </si>
  <si>
    <t>Repeatability ±5</t>
  </si>
  <si>
    <t>Table 1 specifications: repeatability±5%, relaxation±5%/30 min, zero drift±5%/h. These are reported specification bounds, not a newly measured independent-session result.</t>
  </si>
  <si>
    <t>R1 | Data extraction 39!AC22</t>
  </si>
  <si>
    <t>R2 | Extraction!W25</t>
  </si>
  <si>
    <t>The table lists repeatability, relaxation and zero-drift limits. Two human trials at an elbow position are not the origin of these device specifications.</t>
  </si>
  <si>
    <t>Saved main PDF p 11, Table 1</t>
  </si>
  <si>
    <t>R1 | Data extraction 39!Y22; R1 | Data extraction 39!Z22</t>
  </si>
  <si>
    <t>R2 | Extraction!X25</t>
  </si>
  <si>
    <t>&gt;100,000 cycles</t>
  </si>
  <si>
    <t>100,000 cycles as well as reliable with a me</t>
  </si>
  <si>
    <t>A fatigue life of 100,000 cycles is stated for the FSS technology; the inspected passage does not establish this as an endurance test newly performed in the current limb-monitoring study.</t>
  </si>
  <si>
    <t>R1 | Data extraction 39!AD22</t>
  </si>
  <si>
    <t>R2 | Extraction!Y25</t>
  </si>
  <si>
    <t>The system description summarizes FSS properties and invokes previous sensor work. Label the provenance as a technology/property claim, not a newly verified study-specific durability experiment.</t>
  </si>
  <si>
    <t>PDF pp. 5, 11</t>
  </si>
  <si>
    <t>This is source checking by the assistant, not a second independent rating, new consensus or screening decision. Remaining limitation: Locate the original supporting endurance experiment before including in current-study endurance counts.</t>
  </si>
  <si>
    <t>R1 | Method quality 39!P22</t>
  </si>
  <si>
    <t>R2 | Extraction!Z25</t>
  </si>
  <si>
    <t>R1 | Data extraction 39!AE22</t>
  </si>
  <si>
    <t>R2 | Extraction!AA25</t>
  </si>
  <si>
    <t>R1 | Data extraction 39!AF22</t>
  </si>
  <si>
    <t>R2 | Extraction!AB25</t>
  </si>
  <si>
    <t>R2 | Extraction!AC25</t>
  </si>
  <si>
    <t>Soft fabric wearable designed to minimize interference with activity</t>
  </si>
  <si>
    <t>R1 | Data extraction 39!AG22</t>
  </si>
  <si>
    <t>R2 | Extraction!AD25</t>
  </si>
  <si>
    <t>Participant-specific belt sizing and fixed upper-arm placement</t>
  </si>
  <si>
    <t>pre-tension on an elastic carri</t>
  </si>
  <si>
    <t>R1 | Method quality 39!T22</t>
  </si>
  <si>
    <t>R2 | Extraction!AE25</t>
  </si>
  <si>
    <t>Bluetooth wireless limb-monitoring system sampled at 32 Hz</t>
  </si>
  <si>
    <t>R1 | Method quality 39!U22</t>
  </si>
  <si>
    <t>R2 | Extraction!AF25</t>
  </si>
  <si>
    <t>R1 | Method quality 39!V22</t>
  </si>
  <si>
    <t>R2 | Extraction!AG25</t>
  </si>
  <si>
    <t>Across 10 participants, limb circumferential strain and normalized torque showed a mean correlation coefficient of 0.938 ± 0.050.</t>
  </si>
  <si>
    <t>Linearity 0.996; hysteresis 3.16%; correlation 0.938; 100k cyc</t>
  </si>
  <si>
    <t>For subjects 1–8, normalized torque and limb circumferential strain had mean correlation coefficient R=0.938±0.050; the ten-person study also included two subsequent prediction-validation participants.</t>
  </si>
  <si>
    <t>R1 | Data extraction 39!AH22</t>
  </si>
  <si>
    <t>R2 | Extraction!AH25</t>
  </si>
  <si>
    <t>The paragraph before Table 7 explicitly identifies subjects 1–8; Table 7 gives the mean/SD correlation and Table 8 describes subjects 9 and 10 separately. Correct the denominator for the correlation from ten to eight. R is an association statistic, not R² or predictive joint-angle accuracy. General FSS specifications should not be presented as newly measured on-body validation.</t>
  </si>
  <si>
    <t>Retained main PDF pp. 29, 30</t>
  </si>
  <si>
    <t>Multi-participant physiological-mechanics validation against a Biodex reference with repeated trials and uncertainty</t>
  </si>
  <si>
    <t>R1 | Data extraction 39!AI22</t>
  </si>
  <si>
    <t>Durability, laundering, environmental robustness and device-to-device reproducibility were not reported</t>
  </si>
  <si>
    <t>R1 | Data extraction 39!AJ22</t>
  </si>
  <si>
    <t>Smart garment instrumented with six piezoresistive textile sensors</t>
  </si>
  <si>
    <t>Smart garment (6 sensors)</t>
  </si>
  <si>
    <t>Complete IEEE article; participant smart-garment study</t>
  </si>
  <si>
    <t>R1 | Data extraction 39!L23</t>
  </si>
  <si>
    <t>R2 | Extraction!I26</t>
  </si>
  <si>
    <t>Rectangular sensing elements are cut from silver-plated knitted fabric (Shieldex Technik-tex P130+B) and hand-sewn on respiratory bands. Classifies the demonstrated device; not a new eligibility decision.</t>
  </si>
  <si>
    <t>PDF page(s) 2; Wearable sensor system; saved PDF pp. 2</t>
  </si>
  <si>
    <t>REC-01775_10.1109_jsen.2020.3043140.pdf</t>
  </si>
  <si>
    <t>fd9faccc471034e8ed65ac315e8f5cb553ea7779a4573ab7c8f4cfdd8e73d686</t>
  </si>
  <si>
    <t>R1 | Data extraction 39!M23</t>
  </si>
  <si>
    <t>R2 | Extraction!J26</t>
  </si>
  <si>
    <t>The wearable is explicitly piezoresistive; six resistive textile elements track thorax/abdomen expansion. Classifies the demonstrated device; not a new eligibility decision.</t>
  </si>
  <si>
    <t>PDF page(s) 1, 2; System description; saved PDF pp. 1, 2</t>
  </si>
  <si>
    <t>Silver-plated knitted fabric (STATEX)</t>
  </si>
  <si>
    <t>Piezoresistive conductive sensor</t>
  </si>
  <si>
    <t>R1 | Data extraction 39!N23</t>
  </si>
  <si>
    <t>R2 | Extraction!K26</t>
  </si>
  <si>
    <t>Garment with sensors at upper thorax, lower thorax and abdomen</t>
  </si>
  <si>
    <t>Elastic bands/garment</t>
  </si>
  <si>
    <t>R1 | Data extraction 39!O23</t>
  </si>
  <si>
    <t>R2 | Extraction!L26</t>
  </si>
  <si>
    <t>Six sensors integrated bilaterally into defined thoracic and abdominal garment locations</t>
  </si>
  <si>
    <t>Sewn/embedded into garment</t>
  </si>
  <si>
    <t>Silver-plated knitted sheet laser-cut into rectangular elements and hand-sewn onto three adjustable respiratory bands.</t>
  </si>
  <si>
    <t>R1 | Data extraction 39!P23</t>
  </si>
  <si>
    <t>R2 | Extraction!M26</t>
  </si>
  <si>
    <t>Silver-plated knitted sheet laser-cut into rectangular elements and hand-sewn onto three adjustable respiratory bands. Classifies the demonstrated device; not a new eligibility decision.</t>
  </si>
  <si>
    <t>Smart garment; saved PDF pp. 2</t>
  </si>
  <si>
    <t>Respiratory-rate monitoring at rest, during walking and during low-speed running</t>
  </si>
  <si>
    <t>Respiratory-rate (treadmill)</t>
  </si>
  <si>
    <t>R1 | Data extraction 39!Q23</t>
  </si>
  <si>
    <t>R2 | Extraction!N26</t>
  </si>
  <si>
    <t>Six piezoresistive elements on respiratory bands estimate respiratory rate at rest, walking and running. Walking/running are motion-artifact conditions, not separate gait outcomes. Classifies the demonstrated device; not a new eligibility decision.</t>
  </si>
  <si>
    <t>Smart garment and Experimental setup; saved PDF pp. 2, 3</t>
  </si>
  <si>
    <t>Human sample size: 10; Participant details: Ten healthy male participants</t>
  </si>
  <si>
    <t>10 subjects (male)</t>
  </si>
  <si>
    <t>10 healthy male volunteers. Further demographics are referred to supplementary material.</t>
  </si>
  <si>
    <t>R1 | Data extraction 39!S23; R1 | Data extraction 39!T23</t>
  </si>
  <si>
    <t>R2 | Extraction!O26</t>
  </si>
  <si>
    <t>Experimental Setup, Proposed Algorithm and Data Analysis. Reference flow, not a generic unspecified comparator. Separates participant cohorts, bench tests, human repetitions, model training and experimental reference use.</t>
  </si>
  <si>
    <t>Saved main PDF pp. 2, 3, 4</t>
  </si>
  <si>
    <t>Six treadmill trials: rest, four walking speeds and one running speed</t>
  </si>
  <si>
    <t>Six 60-s treadmill trials: standing, walking at 1.6/3.0/5.0/6.6 km/h and running at 8.0 km/h. No separate-day session design stated.</t>
  </si>
  <si>
    <t>R1 | Method quality 39!K23</t>
  </si>
  <si>
    <t>R2 | Extraction!P26</t>
  </si>
  <si>
    <t>PCA-based sensor-location selection and breath-by-breath comparison with reference flow</t>
  </si>
  <si>
    <t>PCA-based sensor selection, waveform filtering and respiratory-frequency estimation. No separate amplitude-to-volume calibration is established in these sections.</t>
  </si>
  <si>
    <t>R1 | Method quality 39!L23</t>
  </si>
  <si>
    <t>R2 | Extraction!Q26</t>
  </si>
  <si>
    <t>Yes — respiratory flowmeter used as the reference signal</t>
  </si>
  <si>
    <t>Flowmeter (Bland-Altman)</t>
  </si>
  <si>
    <t>SpiroQuant P respiratory flowmeter, differential pressure sensor and NI acquisition provide the mouth-airflow reference.</t>
  </si>
  <si>
    <t>R1 | Data extraction 39!U23</t>
  </si>
  <si>
    <t>R2 | Extraction!R26</t>
  </si>
  <si>
    <t>up to 80%</t>
  </si>
  <si>
    <t>R2 value “up to 80%” is not verified as a strain range. Keep the strain range pending a direct source location.</t>
  </si>
  <si>
    <t>R1 | Data extraction 39!W23</t>
  </si>
  <si>
    <t>R2 | Extraction!S26</t>
  </si>
  <si>
    <t>The inspected 80% values concern a correlation/redundancy criterion and sensor-selection frequency. Reject unsupported attribution, not the study.</t>
  </si>
  <si>
    <t>This is source checking by the assistant, not a second independent rating, new consensus or screening decision. Remaining limitation: Check remaining sensor-characterization material for a genuine strain range.</t>
  </si>
  <si>
    <t>R1 | Data extraction 39!X23</t>
  </si>
  <si>
    <t>R2 | Extraction!T26</t>
  </si>
  <si>
    <t>R1 | Data extraction 39!AA23</t>
  </si>
  <si>
    <t>R2 | Extraction!U26</t>
  </si>
  <si>
    <t>R1 | Data extraction 39!AB23</t>
  </si>
  <si>
    <t>R2 | Extraction!V26</t>
  </si>
  <si>
    <t>Six treadmill conditions evaluated within each participant</t>
  </si>
  <si>
    <t>Six treadmill conditions are tested within each participant; no intrinsic sensor drift/repeatability scalar extracted from that protocol.</t>
  </si>
  <si>
    <t>R1 | Data extraction 39!AC23</t>
  </si>
  <si>
    <t>R2 | Extraction!W26</t>
  </si>
  <si>
    <t>The conditions vary locomotion task, rather than replicate sensor fabrication or a dedicated baseline drift measurement. Keeps task diversity separate from a device stability statistic.</t>
  </si>
  <si>
    <t>Saved main PDF pp 3–4, experimental protocol</t>
  </si>
  <si>
    <t>R1 | Data extraction 39!Y23; R1 | Data extraction 39!Z23</t>
  </si>
  <si>
    <t>R2 | Extraction!X26</t>
  </si>
  <si>
    <t>R1 | Data extraction 39!AD23</t>
  </si>
  <si>
    <t>R2 | Extraction!Y26</t>
  </si>
  <si>
    <t>R1 | Method quality 39!P23</t>
  </si>
  <si>
    <t>R2 | Extraction!Z26</t>
  </si>
  <si>
    <t>R1 | Data extraction 39!AE23</t>
  </si>
  <si>
    <t>R2 | Extraction!AA26</t>
  </si>
  <si>
    <t>waterproof for increasing the</t>
  </si>
  <si>
    <t>R1 | Data extraction 39!AF23</t>
  </si>
  <si>
    <t>R2 | Extraction!AB26</t>
  </si>
  <si>
    <t>R2 | Extraction!AC26</t>
  </si>
  <si>
    <t>Garment-based respiratory monitoring; formal comfort assessment not identified</t>
  </si>
  <si>
    <t>R1 | Data extraction 39!AG23</t>
  </si>
  <si>
    <t>R2 | Extraction!AD26</t>
  </si>
  <si>
    <t>Six defined positions across upper/lower thorax and abdomen</t>
  </si>
  <si>
    <t>placements</t>
  </si>
  <si>
    <t>R1 | Method quality 39!T23</t>
  </si>
  <si>
    <t>R2 | Extraction!AE26</t>
  </si>
  <si>
    <t>Wearable multi-sensor acquisition followed by PCA-based sensor selection; hardware details was not reported in the available full text</t>
  </si>
  <si>
    <t>PCB) has been developed</t>
  </si>
  <si>
    <t>R1 | Method quality 39!U23</t>
  </si>
  <si>
    <t>R2 | Extraction!AF26</t>
  </si>
  <si>
    <t>supplementary material</t>
  </si>
  <si>
    <t>R1 | Method quality 39!V23</t>
  </si>
  <si>
    <t>R2 | Extraction!AG26</t>
  </si>
  <si>
    <t>One lower-thorax sensor was sufficient at rest, three sensors were selected for low-speed walking, and four sensors were selected for high-speed walking/running and general-purpose monitoring.</t>
  </si>
  <si>
    <t>RR vs flowmeter; Bland-Altman; 10 subjects</t>
  </si>
  <si>
    <t>Sensor-selection analysis favoured one lower-thorax sensor at rest, three torso sensors during lower-speed walking, and four during higher-speed walking/running or general-purpose monitoring.</t>
  </si>
  <si>
    <t>R1 | Data extraction 39!AH23</t>
  </si>
  <si>
    <t>R2 | Extraction!AH26</t>
  </si>
  <si>
    <t>The selection Results associate recommended sensor counts with activity intensity and evaluate respiratory-rate agreement against the flowmeter. These are configuration-selection findings; do not turn sensor-selection percentages into respiratory accuracy or strain-range values.</t>
  </si>
  <si>
    <t>Retained main PDF pp. 5, 6, 7</t>
  </si>
  <si>
    <t>Ten-participant, multi-intensity respiratory validation against a flowmeter with an explicit sensor-selection method</t>
  </si>
  <si>
    <t>R1 | Data extraction 39!AI23</t>
  </si>
  <si>
    <t>All participants were male; laundering, durability and between-session transfer were not reported</t>
  </si>
  <si>
    <t>R1 | Data extraction 39!AJ23</t>
  </si>
  <si>
    <t>Conductive polyester weft-knitted fabric strain sensor</t>
  </si>
  <si>
    <t>Weft-knitted (ALD-coated)</t>
  </si>
  <si>
    <t>Results: Detection of the full-range human body movements; Figs. 6-7</t>
  </si>
  <si>
    <t>R1 | Data extraction 39!L24</t>
  </si>
  <si>
    <t>R2 | Extraction!I27</t>
  </si>
  <si>
    <t>Polyester fabrics with weft-knitted structure receive air plasma treatment and ALD Al-doped ZnO conductive coating. Classifies the demonstrated device; not a new eligibility decision.</t>
  </si>
  <si>
    <t>PDF page(s) 3, 4; Experimental: Preparation of CPF; saved PDF pp. 3, 4</t>
  </si>
  <si>
    <t>REC-00316_10.1007_s10853-019-04189-x.pdf</t>
  </si>
  <si>
    <t>14b047eab86bd2591433f638cc71f4aebedf02239caa156b1262413e01b23baf</t>
  </si>
  <si>
    <t>Resistive textile strain sensor with negative resistance variation</t>
  </si>
  <si>
    <t>Resistive (negative GF)</t>
  </si>
  <si>
    <t>R1 | Data extraction 39!M24</t>
  </si>
  <si>
    <t>R2 | Extraction!J27</t>
  </si>
  <si>
    <t>Relative resistance changes with applied strain; negative GF/resistance variation is a resistive response. Classifies the demonstrated device; not a new eligibility decision.</t>
  </si>
  <si>
    <t>PDF page(s) 6; Strain-response results; saved PDF pp. 6</t>
  </si>
  <si>
    <t>Al-doped ZnO (AZO) films</t>
  </si>
  <si>
    <t>Al-doped ZnO (AZO) by ALD</t>
  </si>
  <si>
    <t>R1 | Data extraction 39!N24</t>
  </si>
  <si>
    <t>R2 | Extraction!K27</t>
  </si>
  <si>
    <t>Weft-knitted polyester fabric</t>
  </si>
  <si>
    <t>Conductive polyester knit fabric</t>
  </si>
  <si>
    <t>R1 | Data extraction 39!O24</t>
  </si>
  <si>
    <t>R2 | Extraction!L27</t>
  </si>
  <si>
    <t>Atomic layer deposition of AZO films onto polyester fabric without elastomer encapsulation</t>
  </si>
  <si>
    <t>ALD growth on knit fabric</t>
  </si>
  <si>
    <t>Air plasma and ALD Al-doped ZnO on polyester weft-knit fabric; active sensor attached at body sites, with textile sewing compatibility.</t>
  </si>
  <si>
    <t>R1 | Data extraction 39!P24</t>
  </si>
  <si>
    <t>R2 | Extraction!M27</t>
  </si>
  <si>
    <t>Air plasma and ALD Al-doped ZnO on polyester weft-knit fabric; active sensor attached at body sites, with textile sewing compatibility. Classifies the demonstrated device; not a new eligibility decision.</t>
  </si>
  <si>
    <t>Preparation of CPF and Figs. 6–7; saved PDF pp. 3, 4, 10, 11</t>
  </si>
  <si>
    <t>Wearable electronics, joint motion, facial expressions, phonation</t>
  </si>
  <si>
    <t>R1 | Data extraction 39!Q24</t>
  </si>
  <si>
    <t>R2 | Extraction!N27</t>
  </si>
  <si>
    <t>Joint bending, facial/phonation/swallowing movements and a breathing trace (Fig. 7g) are demonstrated. Classifies the demonstrated device; not a new eligibility decision.</t>
  </si>
  <si>
    <t>Detection of full-range human body movements; Figs. 6–7; saved PDF pp. 10, 11, 12</t>
  </si>
  <si>
    <t>A tester is described in joint, facial, throat and breathing demonstrations; total participant number and demographics are not stated in the checked main-text sections.</t>
  </si>
  <si>
    <t>R1 | Data extraction 39!S24; R1 | Data extraction 39!T24</t>
  </si>
  <si>
    <t>R2 | Extraction!O27</t>
  </si>
  <si>
    <t>The human-movement section and Figures 6–7 describe body-site demonstrations without an enumerated participant cohort. Separates participant cohorts, bench tests, human repetitions, model training and actual reference use. Does not infer participant number from a photograph or a non-human n.</t>
  </si>
  <si>
    <t>Saved main PDF pp. 10, 11, 12</t>
  </si>
  <si>
    <t>7 days), thus allowing the fabr</t>
  </si>
  <si>
    <t>Repeated on-body movements are shown, but a formal human trial/session count is not stated. The reported seven days concern lightfastness testing, not seven days of participant sessions.</t>
  </si>
  <si>
    <t>R1 | Method quality 39!K24</t>
  </si>
  <si>
    <t>R2 | Extraction!P27</t>
  </si>
  <si>
    <t>The methods expose fabric in a sunlight climate tester according to ISO 105-B02 for seven days; the human-motion section describes repeated bending and speech/facial signals separately. Separates participant cohorts, bench tests, human repetitions, model training and actual reference use. Does not infer participant number from a photograph or a non-human n.</t>
  </si>
  <si>
    <t>Saved main PDF pp. 4, 8, 10, 11, 12</t>
  </si>
  <si>
    <t>Bench resistance–strain characterization used a PT305 tensile tester and Keysight multimeter; a participant-specific calibration protocol is not stated in the checked human application section.</t>
  </si>
  <si>
    <t>R1 | Method quality 39!L24</t>
  </si>
  <si>
    <t>R2 | Extraction!Q27</t>
  </si>
  <si>
    <t>The testing methods synchronize tensile deformation and resistance, and the results define piecewise strain sensitivity. The human demonstrations do not provide a separate individual calibration procedure. Separates participant cohorts, bench tests, human repetitions, model training and actual reference use. Does not infer participant number from a photograph or a non-human n.</t>
  </si>
  <si>
    <t>Saved main PDF pp. 4, 5, 6, 10, 11, 12</t>
  </si>
  <si>
    <t>An independent on-body reference or comparator is not described in the checked human-movement section.</t>
  </si>
  <si>
    <t>R1 | Data extraction 39!U24</t>
  </si>
  <si>
    <t>R2 | Extraction!R27</t>
  </si>
  <si>
    <t>Figures 6–7 show sensor traces for joint/facial/throat activities without a paired biomechanical or physiological reference. Separates participant cohorts, bench tests, human repetitions, model training and actual reference use. Does not infer participant number from a photograph or a non-human n.</t>
  </si>
  <si>
    <t>Up to 130%</t>
  </si>
  <si>
    <t>up to 130%</t>
  </si>
  <si>
    <t>0–130%.</t>
  </si>
  <si>
    <t>R1 | Data extraction 39!W24</t>
  </si>
  <si>
    <t>R2 | Extraction!S27</t>
  </si>
  <si>
    <t>The current AZO/PDMS textile has three negative-sensitivity intervals through 130%. Preserve the author-reported value and its measurement conditions; do not collapse distinct test types.</t>
  </si>
  <si>
    <t>PDF pp. 3, 7</t>
  </si>
  <si>
    <t>Negative GF values: -2.12 (0–20%), -0.41 (20–80%), -0.06 (80–130%)</t>
  </si>
  <si>
    <t>-2.12 (0-20% strain); -0.41 (20-80%)</t>
  </si>
  <si>
    <t>−2.12 (0–20%); −0.41 (20–80%); −0.06 (80–130%).</t>
  </si>
  <si>
    <t>R1 | Data extraction 39!X24</t>
  </si>
  <si>
    <t>R2 | Extraction!T27</t>
  </si>
  <si>
    <t>The strain-response Results report negative GF in three intervals. Keep the sign; negative resistance response is not an absolute positive GF.</t>
  </si>
  <si>
    <t>Distinct negative resistance variation with increasing strain due to weft-knitted structure</t>
  </si>
  <si>
    <t>Negative resistance change has three sensitivity regimes; its direction does not itself establish linearity. No numerical fit coefficient extracted from the cited passages.</t>
  </si>
  <si>
    <t>R1 | Data extraction 39!AA24</t>
  </si>
  <si>
    <t>R2 | Extraction!U27</t>
  </si>
  <si>
    <t>GF changes across the 0–20%,20–80% and 80–130% intervals. Monotonic negative response is not a linearity coefficient.</t>
  </si>
  <si>
    <t>No numerical electrical hysteresis metric extracted from the inspected sensing-results passages.</t>
  </si>
  <si>
    <t>R1 | Data extraction 39!AB24</t>
  </si>
  <si>
    <t>R2 | Extraction!V27</t>
  </si>
  <si>
    <t>The inspected graphs/text describe resistance–strain and cyclic response. Bounded absence check only; no global SI absence certification.</t>
  </si>
  <si>
    <t>Saved main PDF pp 6–7, Fig 3</t>
  </si>
  <si>
    <t>Long-term stability reported</t>
  </si>
  <si>
    <t>3,000 cycles at 20% strain and 1 Hz show long-term response stability with explicitly acknowledged slight signal drift.</t>
  </si>
  <si>
    <t>R1 | Data extraction 39!AC24</t>
  </si>
  <si>
    <t>R2 | Extraction!W27</t>
  </si>
  <si>
    <t>The authors attribute slight drift during the cyclic test to crack formation in AZO layers. Preserves the observed drift rather than repeating only the stability claim.</t>
  </si>
  <si>
    <t>Saved main PDF p 7, Fig 3 e</t>
  </si>
  <si>
    <t>R1 | Data extraction 39!Y24; R1 | Data extraction 39!Z24</t>
  </si>
  <si>
    <t>R2 | Extraction!X27</t>
  </si>
  <si>
    <t>3000 cycles), as well as a distinct negat</t>
  </si>
  <si>
    <t>3,000 cycles, with slight response drift.</t>
  </si>
  <si>
    <t>R1 | Data extraction 39!AD24</t>
  </si>
  <si>
    <t>R2 | Extraction!Y27</t>
  </si>
  <si>
    <t>The durability discussion reports 3,000 cycles. Preserve the author-reported value and its measurement conditions; do not collapse distinct test types.</t>
  </si>
  <si>
    <t>This is source checking by the assistant, not a second independent rating, new consensus or screening decision. Remaining limitation: Long-term-test strain amplitude and rate not established; the 20% / 0.25–2 Hz sweep is a separate test.</t>
  </si>
  <si>
    <t>R1 | Method quality 39!P24</t>
  </si>
  <si>
    <t>R2 | Extraction!Z27</t>
  </si>
  <si>
    <t>Yes; washing at 500 r/min for 10 cycles (200 min) plus laundering durability emphasized</t>
  </si>
  <si>
    <t>10 wash cycles, 20 min each, in 200 mL water plus 0.2 mL commercial detergent, stirring at 500 rpm.</t>
  </si>
  <si>
    <t>R1 | Data extraction 39!AE24</t>
  </si>
  <si>
    <t>R2 | Extraction!AA27</t>
  </si>
  <si>
    <t>The Experimental and robustness sections specify the washing regimen. Preserve the author-reported value and its measurement conditions; do not collapse distinct test types.</t>
  </si>
  <si>
    <t>PDF pp. 4, 8</t>
  </si>
  <si>
    <t>Mechanical rubbing (50 kPa, 30 cycles), washing, and 7-day accelerated light aging; strong breathability discussion</t>
  </si>
  <si>
    <t>humidity of 61%</t>
  </si>
  <si>
    <t>Lightfastness exposure for 7 days, ISO 105-B02, in a 40 °C chamber.</t>
  </si>
  <si>
    <t>R1 | Data extraction 39!AF24</t>
  </si>
  <si>
    <t>R2 | Extraction!AB27</t>
  </si>
  <si>
    <t>The 7-day period belongs to lightfastness exposure. Do not misclassify the exposure duration as repeated human sessions.</t>
  </si>
  <si>
    <t>R2 | Extraction!AC27</t>
  </si>
  <si>
    <t>Very strong; breathable sensor without elastomer encapsulation</t>
  </si>
  <si>
    <t>breathable and negative resistanc</t>
  </si>
  <si>
    <t>R1 | Data extraction 39!AG24</t>
  </si>
  <si>
    <t>R2 | Extraction!AD27</t>
  </si>
  <si>
    <t>R1 | Method quality 39!T24</t>
  </si>
  <si>
    <t>R2 | Extraction!AE27</t>
  </si>
  <si>
    <t>R1 | Method quality 39!U24</t>
  </si>
  <si>
    <t>R2 | Extraction!AF27</t>
  </si>
  <si>
    <t>supplementary material: The online version</t>
  </si>
  <si>
    <t>R1 | Method quality 39!V24</t>
  </si>
  <si>
    <t>R2 | Extraction!AG27</t>
  </si>
  <si>
    <t>The complete Springer article reports a conductive porous-fabric strain sensor worn on the finger, wrist, knee, elbow and neck and used for facial, eye and throat motion sensing. Quantitative resistance responses, strain ranges and gauge factors are reported.</t>
  </si>
  <si>
    <t>GF -2.12/-0.41/-0.06 over 0-20/20-80/80-130%; 3000 cyc</t>
  </si>
  <si>
    <t>Negative piecewise GF: −2.12 over 0–20%, −0.41 over 20–80%, and −0.06 over 80–130%; stability demonstrated across 3,000 mechanical cycles.</t>
  </si>
  <si>
    <t>R1 | Data extraction 39!AH24</t>
  </si>
  <si>
    <t>R2 | Extraction!AH27</t>
  </si>
  <si>
    <t>The AZO/PDMS textile Results give three negative-sensitivity regions and repeated-cycle sensing. Replace full-text eligibility boilerplate with the actual quantitative sensor result; preserve GF sign.</t>
  </si>
  <si>
    <t>Retained main PDF pp. 3, 7</t>
  </si>
  <si>
    <t>Excellent deployment-relevant paper because it directly tackles breathability, rubbing durability, laundering, and no-encapsulation comfort</t>
  </si>
  <si>
    <t>R1 | Data extraction 39!AI24</t>
  </si>
  <si>
    <t>The negative-resistance mechanism makes direct comparison with conventional positive-GF resistive sensors less intuitive</t>
  </si>
  <si>
    <t>R1 | Data extraction 39!AJ24</t>
  </si>
  <si>
    <t>Flexible interdigital capacitive sensor stitched onto a cotton glove</t>
  </si>
  <si>
    <t>Interdigital capacitive (stitched)</t>
  </si>
  <si>
    <t>Section 5, Finger Movement Sensing; Fig. 6; Sections 4.7-4.9</t>
  </si>
  <si>
    <t>R1 | Data extraction 39!L25</t>
  </si>
  <si>
    <t>R2 | Extraction!I28</t>
  </si>
  <si>
    <t>The active sensor comprises moulded Ecoflex/BTO dielectric and carbon-black/Ecoflex interdigital electrodes. Conductive threads form contact terminals. Classifies the demonstrated device; not a new eligibility decision.</t>
  </si>
  <si>
    <t>PDF page(s) 6, 7; §2.2 Materials; §3 Stitched contacts; saved PDF pp. 6, 7</t>
  </si>
  <si>
    <t>REC-00345_10.1002_admt.202200410.pdf</t>
  </si>
  <si>
    <t>ab75c7e3ee2831d2ab2e1247434ade5d19479fc99c95945095385848be08013f</t>
  </si>
  <si>
    <t>R1 | Data extraction 39!M25</t>
  </si>
  <si>
    <t>R2 | Extraction!J28</t>
  </si>
  <si>
    <t>Elongation changes interdigital capacitance via electrode spacing/geometry; the sensor is capacitive. Classifies the demonstrated device; not a new eligibility decision.</t>
  </si>
  <si>
    <t>PDF page(s) 3, 6; §2.1 Design and capacitance model; saved PDF pp. 3, 6</t>
  </si>
  <si>
    <t>Carbon-black conductive silicone electrodes and silver-coated polyamide conductive thread</t>
  </si>
  <si>
    <t>Stitched conductive threads</t>
  </si>
  <si>
    <t>R1 | Data extraction 39!N25</t>
  </si>
  <si>
    <t>R2 | Extraction!K28</t>
  </si>
  <si>
    <t>Ecoflex 00-20 silicone with barium-titanate dielectric additive; cotton glove</t>
  </si>
  <si>
    <t>Elastomer + glove</t>
  </si>
  <si>
    <t>R1 | Data extraction 39!O25</t>
  </si>
  <si>
    <t>R2 | Extraction!L28</t>
  </si>
  <si>
    <t>Moulded, cuttable sensor with zigzag-stitched conductive-thread terminals; stitched onto the middle finger</t>
  </si>
  <si>
    <t>Stitched onto glove</t>
  </si>
  <si>
    <t>Moulded Ecoflex/BTO dielectric and carbon-black/Ecoflex interdigital electrodes; stitched conductive terminals electrically connect and anchor the discrete sensor to a glove.</t>
  </si>
  <si>
    <t>R1 | Data extraction 39!P25</t>
  </si>
  <si>
    <t>R2 | Extraction!M28</t>
  </si>
  <si>
    <t>Moulded Ecoflex/BTO dielectric and carbon-black/Ecoflex interdigital electrodes; stitched conductive terminals electrically connect and anchor the discrete sensor to a glove. Classifies the demonstrated device; not a new eligibility decision.</t>
  </si>
  <si>
    <t>§2.2–3 and Fig. 6; saved PDF pp. 6, 7, 16, 17</t>
  </si>
  <si>
    <t>Three-state finger-position sensing</t>
  </si>
  <si>
    <t>Finger-movement (demo)</t>
  </si>
  <si>
    <t>R1 | Data extraction 39!Q25</t>
  </si>
  <si>
    <t>R2 | Extraction!N28</t>
  </si>
  <si>
    <t>A stitched-on capacitive sensor distinguishes rest, partially closed and fully closed finger positions. Classifies the demonstrated device; not a new eligibility decision.</t>
  </si>
  <si>
    <t>On-glove demonstration; Fig. 6; saved PDF pp. 16, 17</t>
  </si>
  <si>
    <t>Human sample size: Not reported; Participant details: Glove demonstration reported; participant information not reported</t>
  </si>
  <si>
    <t>A single-finger glove demonstration is described; total human participant number and demographics are not stated in the checked main-text application section.</t>
  </si>
  <si>
    <t>R1 | Data extraction 39!S25; R1 | Data extraction 39!T25</t>
  </si>
  <si>
    <t>R2 | Extraction!O28</t>
  </si>
  <si>
    <t>CONS | V1 consensus!H15</t>
  </si>
  <si>
    <t>The application uses the middle finger of a left-hand glove in open, partially closed and fully closed positions. A single sensor/finger does not establish total participant n. Separates participant cohorts, bench tests, human repetitions, model training and actual reference use. Does not infer participant number from a photograph or a non-human n.</t>
  </si>
  <si>
    <t>Saved main PDF pp. 16, 17</t>
  </si>
  <si>
    <t>Three finger states demonstrated; benchtop tests included up to 1,000 mechanical cycles and ten wash cycles</t>
  </si>
  <si>
    <t>100 trials</t>
  </si>
  <si>
    <t>Human separate-session/repetition counts are not stated in the checked glove section. The two sets of 100 trials are bench capacitance–strain tests, not human trials.</t>
  </si>
  <si>
    <t>R1 | Method quality 39!K25</t>
  </si>
  <si>
    <t>R2 | Extraction!P28</t>
  </si>
  <si>
    <t>Section 4 uses Analog Discovery 2 at approximately 20°C. Set I and Set II each contain 100 trials over 0–60% strain in 2% steps, with 180 s and 5 s relaxation intervals respectively. The glove application is presented separately. Separates participant cohorts, bench tests, human repetitions, model training and actual reference use. Does not infer participant number from a photograph or a non-human n.</t>
  </si>
  <si>
    <t>Saved main PDF pp. 10, 11, 16, 17</t>
  </si>
  <si>
    <t>Bench calibration derives a linear fit from the first 70 data series and checks the remaining 30. Glove positions are assessed through normalized capacitance; a separately described personalized human calibration model is not established.</t>
  </si>
  <si>
    <t>R1 | Method quality 39!L25</t>
  </si>
  <si>
    <t>R2 | Extraction!Q28</t>
  </si>
  <si>
    <t>Section 4.1 identifies the 70/30 fit/verification split for sensor elongation data. Figure 6 describes normalized capacitance for open/partially/fully closed finger positions. Separates participant cohorts, bench tests, human repetitions, model training and actual reference use. Does not infer participant number from a photograph or a non-human n.</t>
  </si>
  <si>
    <t>Approximate 90° middle-knuckle position described; no external angle reference identified</t>
  </si>
  <si>
    <t>An independent on-body angle reference is not specified in the checked glove section; approximately 90° is a described finger posture, not a quantified reference-agreement test.</t>
  </si>
  <si>
    <t>R1 | Data extraction 39!U25</t>
  </si>
  <si>
    <t>R2 | Extraction!R28</t>
  </si>
  <si>
    <t>The application text describes a partially closed middle knuckle at approximately 90° and sensor capacitance values, without specifying goniometry or another independent motion instrument. Separates participant cohorts, bench tests, human repetitions, model training and actual reference use. Does not infer participant number from a photograph or a non-human n.</t>
  </si>
  <si>
    <t>Linear sensing range 0–60%; mechanically stretchable to 160% of original length</t>
  </si>
  <si>
    <t>up to 160%</t>
  </si>
  <si>
    <t>To 160% of original length, equivalent to 60% engineering elongation; Table 2 lists 60%.</t>
  </si>
  <si>
    <t>R1 | Data extraction 39!W25</t>
  </si>
  <si>
    <t>R2 | Extraction!S28</t>
  </si>
  <si>
    <t>The paper mixes wording about 160% length with an explicit 60% elongation range. Do not convert 160% of original length into 160% engineering strain.</t>
  </si>
  <si>
    <t>PDF pp. 1, 14</t>
  </si>
  <si>
    <t>Normalized sensitivity 0.335 in the abstract; Table 2 gives 0.355 (pF/pF)/(mm/mm).</t>
  </si>
  <si>
    <t>R1 | Data extraction 39!X25</t>
  </si>
  <si>
    <t>R2 | Extraction!T28</t>
  </si>
  <si>
    <t>Normalized capacitive sensitivity 0.355 over 0–60% in Table 2; abstract says 0.335</t>
  </si>
  <si>
    <t>PDF page(s) 1, 14; Abstract and Table 2</t>
  </si>
  <si>
    <t>Both values appear in the source, with Table 2 identifying normalization units. Keep the internal inconsistency; do not silently merge 0.335 and 0.355.</t>
  </si>
  <si>
    <t>R² = 0.996 and 0.28% nonlinearity error over 0–60%</t>
  </si>
  <si>
    <t>R²=0.996 with 0.28% nonlinearity error over 0–60%; fit falls toR²=0.961 when extended to 100% strain.</t>
  </si>
  <si>
    <t>R1 | Data extraction 39!AA25</t>
  </si>
  <si>
    <t>R2 | Extraction!U28</t>
  </si>
  <si>
    <t>The article distinguishes the fitted strain ranges. Linearity is range dependent; do not extrapolate 0.996 to 100%.</t>
  </si>
  <si>
    <t>Saved main PDF pp 11–12, calibration/linearity tests</t>
  </si>
  <si>
    <t>Worst-case 3.3% at the 100th cycle; 0.2%, 1% and 2.1% error at 10%, 20% and 40% elongation</t>
  </si>
  <si>
    <t>hysteresis error of 2.1%</t>
  </si>
  <si>
    <t>Worst-case hysteresis 3.3% at cycle 100 (2.1% at cycle 50). At cycle 100, errors at 10/20/40% elongation are&lt;0.2%/1%/2.1%.</t>
  </si>
  <si>
    <t>R1 | Data extraction 39!AB25</t>
  </si>
  <si>
    <t>R2 | Extraction!V28</t>
  </si>
  <si>
    <t>The text provides both maximum cycle-based and strain-specific errors. Retains the less-than sign at 10% strain and resolves the isolated 2.1% extraction.</t>
  </si>
  <si>
    <t>Saved main PDF p 12, hysteresis tests</t>
  </si>
  <si>
    <t>Worst-case drift 0.4% below 50% elongation and 2.0% at 100% strain</t>
  </si>
  <si>
    <t>Worst-case reported drift 0.4% below 50% elongation and 2.0% at 100%, using ten-minute strain holds with 180 s recovery.</t>
  </si>
  <si>
    <t>R1 | Data extraction 39!AC25</t>
  </si>
  <si>
    <t>R2 | Extraction!W28</t>
  </si>
  <si>
    <t>Static strain is incremented with hold and rest periods; drift depends on elongation. Do not interpret 2% as a predefined failure threshold or general device quality.</t>
  </si>
  <si>
    <t>Saved main PDF pp 13–14, static tests</t>
  </si>
  <si>
    <t>Response time: 226 ms at 60% elongation; Recovery time: 9 s below 30% elongation and up to 30 s below 60% elongation</t>
  </si>
  <si>
    <t>Table 2: response 226 ms; relaxation 9 s.</t>
  </si>
  <si>
    <t>R1 | Data extraction 39!Y25; R1 | Data extraction 39!Z25</t>
  </si>
  <si>
    <t>R2 | Extraction!X28</t>
  </si>
  <si>
    <t>The performance-comparison table attributes these values to the current work. Preserve the author-reported value and its measurement conditions; do not collapse distinct test types.</t>
  </si>
  <si>
    <t>PDF pp. 14</t>
  </si>
  <si>
    <t>This is source checking by the assistant, not a second independent rating, new consensus or screening decision. Remaining limitation: Applied step amplitude and operational definitions need the specific transient-test passage.</t>
  </si>
  <si>
    <t>1,000 mechanical-deformation cycles; capacitance decreased 3.21% and stabilized after approximately 400 cycles</t>
  </si>
  <si>
    <t>1000 cycles of mechanical deformation</t>
  </si>
  <si>
    <t>1,000 mechanical deformation cycles: initial-capacitance decrease 3.21%, settling after about 400 cycles within 1.5%. Separate hysteresis testing uses 100 continuous cycles.</t>
  </si>
  <si>
    <t>R1 | Data extraction 39!AD25</t>
  </si>
  <si>
    <t>R2 | Extraction!Y28</t>
  </si>
  <si>
    <t>The stability and hysteresis tests have different counts and outcomes. Preserve the author-reported value and its measurement conditions; do not collapse distinct test types.</t>
  </si>
  <si>
    <t>PDF pp. 12, 15</t>
  </si>
  <si>
    <t>This is source checking by the assistant, not a second independent rating, new consensus or screening decision. Remaining limitation: 1,000-cycle strain amplitude and rate require protocol verification.</t>
  </si>
  <si>
    <t>Multiple material/test samples mentioned; device-to-device sensor statistics not clearly reported</t>
  </si>
  <si>
    <t>Multiple test/material samples are mentioned, but the cited large “sample sizes” refer to repeated observations; no independent sensor-device variability statistic extracted.</t>
  </si>
  <si>
    <t>R1 | Method quality 39!P25</t>
  </si>
  <si>
    <t>R2 | Extraction!Z28</t>
  </si>
  <si>
    <t>The numeric observation counts vary with sampling and test duration. Distinguishes time-series observation count from independently fabricated sensors.</t>
  </si>
  <si>
    <t>Saved main PDF pp 11–14, characterization tests</t>
  </si>
  <si>
    <t>Ten room-temperature hand-wash cycles with water and detergent; 1.2% deviation after wash/mechanical tests</t>
  </si>
  <si>
    <t>Ten room-temperature hand washes with water and detergent, dried before measurements. A separate 100-cycle test extends to 150% of original length; combined before/after characterization deviates 1.2%, with retained linearity over 0–60%.</t>
  </si>
  <si>
    <t>R1 | Data extraction 39!AE25</t>
  </si>
  <si>
    <t>R2 | Extraction!AA28</t>
  </si>
  <si>
    <t>The washing paragraph also includes a mechanical check and reports a combined after-test deviation. Do not attribute the full 1.2% specifically to washing alone; 150% original length is not 150% engineering strain.</t>
  </si>
  <si>
    <t>PDF pp. 16</t>
  </si>
  <si>
    <t>This is source checking by the assistant, not a second independent rating, new consensus or screening decision. Remaining limitation: Wash duration, detergent formulation and drying method not specified in inspected passage.</t>
  </si>
  <si>
    <t>0–50 °C thermal cycle and 64%, 72% and 94% ambient-humidity tests</t>
  </si>
  <si>
    <t>Waterproofing and Washing The</t>
  </si>
  <si>
    <t>Thermal cycle from 0 to 50 °C in 10-°C increments, through room temperature 20 °C; humidity checks at 64%, 72% and 94%.</t>
  </si>
  <si>
    <t>R1 | Data extraction 39!AF25</t>
  </si>
  <si>
    <t>R2 | Extraction!AB28</t>
  </si>
  <si>
    <t>Environmental sections name the imposed temperature and humidity conditions. Keep thermal and humidity experiments separate from washing.</t>
  </si>
  <si>
    <t>PDF pp. 15, 16</t>
  </si>
  <si>
    <t>R2 | Extraction!AC28</t>
  </si>
  <si>
    <t>Stitchable glove integration; formal breathability/comfort test not reported</t>
  </si>
  <si>
    <t>R1 | Data extraction 39!AG25</t>
  </si>
  <si>
    <t>R2 | Extraction!AD28</t>
  </si>
  <si>
    <t>Sensor stitched to the middle finger of a cotton glove; fit/pretension protocol not reported</t>
  </si>
  <si>
    <t>Donno, M</t>
  </si>
  <si>
    <t>R1 | Method quality 39!T25</t>
  </si>
  <si>
    <t>R2 | Extraction!AE28</t>
  </si>
  <si>
    <t>Capacitance acquisition with parasitic rejection; AD7746 converter used/discussed</t>
  </si>
  <si>
    <t>R1 | Method quality 39!U25</t>
  </si>
  <si>
    <t>R2 | Extraction!AF28</t>
  </si>
  <si>
    <t>Data Availability Statement The data that support th</t>
  </si>
  <si>
    <t>R1 | Method quality 39!V25</t>
  </si>
  <si>
    <t>R2 | Extraction!AG28</t>
  </si>
  <si>
    <t>The sensor was linear to 60% strain (R² 0.996), responded in 226 ms, retained performance after 1,000 cycles and ten hand washes, and distinguished open, partly bent and fully bent finger states.</t>
  </si>
  <si>
    <t>Up to 160%; nonlinearity 0.28% (R 0.996); hysteresis 2.1%</t>
  </si>
  <si>
    <t>Linear strain response to 60% engineering strain (160% of original length), fitted R² approximately 0.996; response 226 ms; 1,000 mechanical cycles and ten hand washes.</t>
  </si>
  <si>
    <t>R1 | Data extraction 39!AH25</t>
  </si>
  <si>
    <t>R2 | Extraction!AH28</t>
  </si>
  <si>
    <t>The original text uses stretched length/original length while describing 60% strain. Dynamic and durability paragraphs report 226 ms, 1,000 cycles and ten washes. Do not report 160% engineering strain. The 2.1% hysteresis figure depends on cycling stage and should not replace later 3.3% without its condition.</t>
  </si>
  <si>
    <t>Retained main PDF pp. 1, 3, 4, 5, 6, 12, 14, 15, 16</t>
  </si>
  <si>
    <t>Exceptionally complete bench characterization covering linearity, hysteresis, drift, cycling, washing, temperature and humidity</t>
  </si>
  <si>
    <t>R1 | Data extraction 39!AI25</t>
  </si>
  <si>
    <t>The human demonstration lacked participant details and quantitative validation against an external finger-angle reference</t>
  </si>
  <si>
    <t>R1 | Data extraction 39!AJ25</t>
  </si>
  <si>
    <t>Knot-based conductive-thread sensor integrated into a full-body compression garment</t>
  </si>
  <si>
    <t>Garment-integrated knot-based</t>
  </si>
  <si>
    <t>Publisher article: garment integration, participant protocol and classification results</t>
  </si>
  <si>
    <t>R1 | Data extraction 39!L26</t>
  </si>
  <si>
    <t>R2 | Extraction!I29</t>
  </si>
  <si>
    <t>PVC flat lacing is manually tied into four-strand crown-sinnet knots; three-ply braided silver-coated polyamide thread follows one strand, producing a standalone looped sensing cable. Classifies the demonstrated device; not a new eligibility decision.</t>
  </si>
  <si>
    <t>PDF page(s) 4; §II.A Sensor design and fabrication; saved PDF pp. 4</t>
  </si>
  <si>
    <t>REC-00357_10.1109_jsen.2025.3622919.pdf</t>
  </si>
  <si>
    <t>33b88b582ff708e425bd1280b20dfc87b784172b871706122dcddbbe44360c57</t>
  </si>
  <si>
    <t>Resistive knot-geometry strain sensing</t>
  </si>
  <si>
    <t>R1 | Data extraction 39!M26</t>
  </si>
  <si>
    <t>R2 | Extraction!J29</t>
  </si>
  <si>
    <t>Contact/separation of conductive thread loops changes resistance under tension/compression/bending. Classifies the demonstrated device; not a new eligibility decision.</t>
  </si>
  <si>
    <t>PDF page(s) 4; §II.B Sensor mechanism; saved PDF pp. 4</t>
  </si>
  <si>
    <t>Silver-coated polyamide continuous-filament thread (Silver-Tech+), braided with PVC plastic lacing</t>
  </si>
  <si>
    <t>Conductive stitch/knot yarn</t>
  </si>
  <si>
    <t>R1 | Data extraction 39!N26</t>
  </si>
  <si>
    <t>R2 | Extraction!K29</t>
  </si>
  <si>
    <t>Gravity Loading Countermeasure Skinsuit</t>
  </si>
  <si>
    <t>Knit garment</t>
  </si>
  <si>
    <t>R1 | Data extraction 39!O26</t>
  </si>
  <si>
    <t>R2 | Extraction!L29</t>
  </si>
  <si>
    <t>Single knot-based sensor and IMU positioned at the anterior lower leg/ankle of the garment</t>
  </si>
  <si>
    <t>Knot integrated into garment</t>
  </si>
  <si>
    <t>Crown-sinnet knotting of PVC lacing with conductive braided thread; standalone knot-based cable hand-stitched to a GLCS garment and enclosed in a fabric sleeve.</t>
  </si>
  <si>
    <t>R1 | Data extraction 39!P26</t>
  </si>
  <si>
    <t>R2 | Extraction!M29</t>
  </si>
  <si>
    <t>Crown-sinnet knotting of PVC lacing with conductive braided thread; standalone knot-based cable hand-stitched to a GLCS garment and enclosed in a fabric sleeve. Classifies the demonstrated device; not a new eligibility decision.</t>
  </si>
  <si>
    <t>§II.A and §IV.A; saved PDF pp. 4, 6</t>
  </si>
  <si>
    <t>Classification of ankle, knee, hip and torso movements during an ISS exercise protocol</t>
  </si>
  <si>
    <t>Human-movement classification (ISS)</t>
  </si>
  <si>
    <t>R1 | Data extraction 39!Q26</t>
  </si>
  <si>
    <t>R2 | Extraction!N29</t>
  </si>
  <si>
    <t>One ISS participant performed static torso positions and dynamic lower-body exercises during three sessions using a sensor secured to the GLCS garment. Classifies the demonstrated device; not a new eligibility decision.</t>
  </si>
  <si>
    <t>§IV Human Movement Classification; saved PDF pp. 6, 7</t>
  </si>
  <si>
    <t>Human sample size: 1; Participant details: One astronaut/participant completed the International Space Station protocol</t>
  </si>
  <si>
    <t>1 participant (ISS)</t>
  </si>
  <si>
    <t>1 participant on the International Space Station.</t>
  </si>
  <si>
    <t>R1 | Data extraction 39!S26; R1 | Data extraction 39!T26</t>
  </si>
  <si>
    <t>R2 | Extraction!O29</t>
  </si>
  <si>
    <t>Study #2 Methods, Experimental Protocol and model-ablation analysis. Separates participant cohorts, bench tests, human repetitions, model training and experimental reference use.</t>
  </si>
  <si>
    <t>Saved main PDF pp. 6, 7, 10, 14</t>
  </si>
  <si>
    <t>Eight movement classes in a prescribed protocol; repetition counts was not reported in the available full text</t>
  </si>
  <si>
    <t>8 days on the ISS and wore the</t>
  </si>
  <si>
    <t>Three exercise sessions on ISS flight days 6, 7 and 8. Each session includes three torso positions held 1.5-8 cumulative minutes and five unilateral leg movements with 45-90 repetitions each. Eight days is the reported ISS-stay duration, not eight sessions.</t>
  </si>
  <si>
    <t>R1 | Method quality 39!K26</t>
  </si>
  <si>
    <t>R2 | Extraction!P29</t>
  </si>
  <si>
    <t>Benchtop strain–resistance/cycle/hysteresis characterization followed by supervised classifier training</t>
  </si>
  <si>
    <t>Machine-learning techniques were use</t>
  </si>
  <si>
    <t>Benchtop strain-response characterization and supervised movement-classifier training. No separate externally calibrated continuous joint-angle estimate.</t>
  </si>
  <si>
    <t>R1 | Method quality 39!L26</t>
  </si>
  <si>
    <t>R2 | Extraction!Q29</t>
  </si>
  <si>
    <t>No external joint-angle reference identified; IMU/gyroscope signals were used as additional classifier inputs</t>
  </si>
  <si>
    <t>IMU (angular velocity)</t>
  </si>
  <si>
    <t>Recorded video synchronized by a button indicator was manually labelled to define activity start/end times. Gyroscope-only and combined models are additional comparisons; no external continuous joint-angle reference was used.</t>
  </si>
  <si>
    <t>R1 | Data extraction 39!U26</t>
  </si>
  <si>
    <t>R2 | Extraction!R29</t>
  </si>
  <si>
    <t>Known working range from -20% to +20%; 30% maximum strain was judged beyond the reliable range</t>
  </si>
  <si>
    <t>20% strain range</t>
  </si>
  <si>
    <t>GF analyzed over −20 to 10%, −20 to 20%, and −20 to 30%; 30% exceeds the suitable working range according to the Discussion.</t>
  </si>
  <si>
    <t>R1 | Data extraction 39!W26</t>
  </si>
  <si>
    <t>R2 | Extraction!S29</t>
  </si>
  <si>
    <t>The paper distinguishes the imposed profiles from an acceptable working interval. A tested upper bound is not automatically a validated operating bound.</t>
  </si>
  <si>
    <t>PDF pp. 5, 9, 12</t>
  </si>
  <si>
    <t>3.77 ± 1.47 (-20% to 10%); 2.62 ± 1.08 (-20% to 20%)</t>
  </si>
  <si>
    <t>GF of 5.16</t>
  </si>
  <si>
    <t>GF means ± SD: 3.77 ± 1.47 (−20 to 10%); 2.62 ± 1.08 (−20 to 20%); 1.89 ± 0.84 (−20 to 30%).</t>
  </si>
  <si>
    <t>R1 | Data extraction 39!X26</t>
  </si>
  <si>
    <t>R2 | Extraction!T29</t>
  </si>
  <si>
    <t>The Results report GF by the tested strain-profile bounds. Do not replace profile-specific means with a single maximum.</t>
  </si>
  <si>
    <t>Multiple-regression R² = 0.95 for loading and 0.92 for unloading</t>
  </si>
  <si>
    <t>Multivariable log-resistance regression R²=0.95 loading and 0.92 unloading includes strain, cycle number and strain range; this is not simple linear strain–resistance behavior. Authors explicitly state the sensors were not highly linear.</t>
  </si>
  <si>
    <t>R1 | Data extraction 39!AA26</t>
  </si>
  <si>
    <t>R2 | Extraction!U29</t>
  </si>
  <si>
    <t>A log transformation and multiple predictors are used, and the discussion identifies poor linearity. Avoids treating model fit as intrinsic sensor linearity.</t>
  </si>
  <si>
    <t>Saved main PDF pp 6 and 9, regression; p 12 discussion</t>
  </si>
  <si>
    <t>Resistance hysteresis 0.80 ± 0.07 and 0.68 ± 0.06; strain hysteresis 0.51 ± 0.07 and 0.61 ± 0.22 for the two retained profiles</t>
  </si>
  <si>
    <t>For test profiles−20→10% and−20→20%, H_R=0.80±0.07/0.68±0.06 and H_ε=0.51±0.07/0.61±0.22. The−20→30% profile gives 0.56±0.10/0.56±0.15 but is beyond the recommended working range. Values are normalized ratios, not percentages.</t>
  </si>
  <si>
    <t>R1 | Data extraction 39!AB26</t>
  </si>
  <si>
    <t>R2 | Extraction!V29</t>
  </si>
  <si>
    <t>Resistance and strain hysteresis are normalized separately and averaged across sensor specimens. Keeps all tested profiles separate from retained operating profiles; does not relabel ratios as percent.</t>
  </si>
  <si>
    <t>Saved main PDF p 6 definitions, p 9 results andp 12 working-range discussion</t>
  </si>
  <si>
    <t>Cycle number significantly affected loading resistance; unloading was more consistent</t>
  </si>
  <si>
    <t>Loading resistance increases across repeated cycles; unloading shows smaller/less frequent significant cycle effects. Only ten cycles per profile are tested, with the first treated as conditioning.</t>
  </si>
  <si>
    <t>R1 | Data extraction 39!AC26</t>
  </si>
  <si>
    <t>R2 | Extraction!W29</t>
  </si>
  <si>
    <t>The regression discussion describes the direction and significance of cycle effects and calls for future hundreds-to-thousands-cycle testing. A short repeat test is not long-duration cyclic durability.</t>
  </si>
  <si>
    <t>Saved main PDF p 6 protocol andp 12 discussion</t>
  </si>
  <si>
    <t>R1 | Data extraction 39!Y26; R1 | Data extraction 39!Z26</t>
  </si>
  <si>
    <t>R2 | Extraction!X29</t>
  </si>
  <si>
    <t>Three profiles of 10 cycles each per sample (30 total cycles); authors recommend longer durability testing</t>
  </si>
  <si>
    <t>10 cycles for each of three strain profiles per sensor; incomplete tenth cycles in three samples were omitted from analysis.</t>
  </si>
  <si>
    <t>R1 | Data extraction 39!AD26</t>
  </si>
  <si>
    <t>R2 | Extraction!Y29</t>
  </si>
  <si>
    <t>The short characterization protocol specifies profiles and the missing-final-cycle handling. Do not label 30 pooled cycles per device as one fixed-amplitude endurance test.</t>
  </si>
  <si>
    <t>Eight specimens were fabricated; two high-baseline-resistance samples and one synchronization-error sample were omitted, leaving five. Across-specimen GF is 3.77±1.47/2.62±1.08/1.89±0.84 for the three test profiles; visual between-specimen variability is explicitly discussed.</t>
  </si>
  <si>
    <t>R1 | Method quality 39!P26</t>
  </si>
  <si>
    <t>R2 | Extraction!Z29</t>
  </si>
  <si>
    <t>The five sensors provide independent specimen-level results rather than repeated cycles on one specimen. Adds previously missed between-specimen evidence while retaining exclusions and profile dependence; ± type is not relabelled.</t>
  </si>
  <si>
    <t>Saved main PDF p 5 specimen exclusions; pp 6 and 9 averages; pp 11–12 fabrication variability</t>
  </si>
  <si>
    <t>R1 | Data extraction 39!AE26</t>
  </si>
  <si>
    <t>R2 | Extraction!AA29</t>
  </si>
  <si>
    <t>Operational proof-of-concept data collected in microgravity aboard the ISS</t>
  </si>
  <si>
    <t>R1 | Data extraction 39!AF26</t>
  </si>
  <si>
    <t>R2 | Extraction!AB29</t>
  </si>
  <si>
    <t>R2 | Extraction!AC29</t>
  </si>
  <si>
    <t>Integrated into an existing full-body passive-tension garment</t>
  </si>
  <si>
    <t>R1 | Data extraction 39!AG26</t>
  </si>
  <si>
    <t>R2 | Extraction!AD29</t>
  </si>
  <si>
    <t>Sensor at anterior lower leg/ankle in a passive-tension Skinsuit</t>
  </si>
  <si>
    <t>placement and operations [5]</t>
  </si>
  <si>
    <t>R1 | Method quality 39!T26</t>
  </si>
  <si>
    <t>R2 | Extraction!AE29</t>
  </si>
  <si>
    <t>Strain sensor with ankle-mounted IMU/gyroscope; full power/interconnect details was not reported in the available full text</t>
  </si>
  <si>
    <t>Arduino Nano 33 BLE (including an onb</t>
  </si>
  <si>
    <t>R1 | Method quality 39!U26</t>
  </si>
  <si>
    <t>R2 | Extraction!AF29</t>
  </si>
  <si>
    <t>R1 | Method quality 39!V26</t>
  </si>
  <si>
    <t>R2 | Extraction!AG29</t>
  </si>
  <si>
    <t>The recommended combined strain/IMU configuration achieved mean recall above 70% across eight movements; strain alone achieved 56.3%, with knee flexion recall 98.8%.</t>
  </si>
  <si>
    <t>GF 3.77/2.62; hysteresis H_R 0.80/0.68; ML classification</t>
  </si>
  <si>
    <t>The recommended strain-plus-gyroscope multinomial logistic-regression configuration achieved mean recall &gt;70% across eight movement classes. Table II reports training-subset fivefold-CV macro recall 56.3±2.7% for strain-only Model 1 (3-s observations, four strain features, zero gyro features), not final held-out-test recall. Held-out one-versus-rest macro AUC was 88.6% strain-only, 90.3% gyro-only and 96.3% combined.</t>
  </si>
  <si>
    <t>R1 | Data extraction 39!AH26</t>
  </si>
  <si>
    <t>R2 | Extraction!AH29</t>
  </si>
  <si>
    <t>The complete recovered native Table II image (PDF p.7, X262) directly shows Model 1 CV recall 56.3±2.7%. Its caption specifies fivefold CV on the training dataset and unweighted averaging across activities. The abstract/Discussion support the combined-model mean recall; Table IV on p.10 explicitly labels macro one-versus-rest AUC. Table V on p.11 is clipped below the initial activity rows in the retained capture. AUC is not accuracy or recall. The verified 56.3±2.7% is training-subset cross-validation, not the final held-out Table V result. Do not retain unverified knee-flexion recall 98.8% from the cropped table.</t>
  </si>
  <si>
    <t>Retained main PDF pp. 1, 7, 8, 10, 11, 13, 14</t>
  </si>
  <si>
    <t>REC-00357_10.1109_jsen.2025.3622919.pdf; page7_X262.png</t>
  </si>
  <si>
    <t>Assistant source checking, not new independent human review, a screening decision or changed reviewer consensus. Original R1/R2 values are preserved. Remaining limitation: Complete Table V image needed to verify the existing 98.8% knee-flexion recall; the retained embedded image is cropped/black below its initial rows.</t>
  </si>
  <si>
    <t>33b88b582ff708e425bd1280b20dfc87b784172b871706122dcddbbe44360c57; 4cee6e66d46aa3d4ce98656c2753e4ed474149f97fd24cae290009b472b146f6</t>
  </si>
  <si>
    <t>Real operational garment deployment in the ISS environment with multimodal movement classification</t>
  </si>
  <si>
    <t>R1 | Data extraction 39!AI26</t>
  </si>
  <si>
    <t>Single-participant proof of concept without an external biomechanical comparator or cross-user validation</t>
  </si>
  <si>
    <t>R1 | Data extraction 39!AJ26</t>
  </si>
  <si>
    <t>Breathable woven silk fabric strain sensor integrated into a smart glove</t>
  </si>
  <si>
    <t>Silk/MXene fabric (glove)</t>
  </si>
  <si>
    <t>Publisher article: wearable joint/gesture results</t>
  </si>
  <si>
    <t>R1 | Data extraction 39!L27</t>
  </si>
  <si>
    <t>R2 | Extraction!I30</t>
  </si>
  <si>
    <t>Raw substrate is degummed silk fabric with specified weft (60 threads/cm) and warp (120 threads/cm) density; MXene is deposited onto plasma-treated fabric. Classifies the demonstrated device; not a new eligibility decision.</t>
  </si>
  <si>
    <t>PDF page(s) 9; §4.1 Experimental materials; §4.3 preparation; saved PDF pp. 9</t>
  </si>
  <si>
    <t>REC-00683_10.1016_j.sna.2026.118233.pdf</t>
  </si>
  <si>
    <t>a3ab4f9201ae12edc6b8028f4fc296ccb71b6f520788d51a6d68e3291ef8b5e5</t>
  </si>
  <si>
    <t>Resistive microcrack/island-bridge strain sensing</t>
  </si>
  <si>
    <t>Resistive (microcrack)</t>
  </si>
  <si>
    <t>R1 | Data extraction 39!M27</t>
  </si>
  <si>
    <t>R2 | Extraction!J30</t>
  </si>
  <si>
    <t>The text evaluates GF and relative electrical resistance changes under strain; motion generates corresponding resistance waveforms. Classifies the demonstrated device; not a new eligibility decision.</t>
  </si>
  <si>
    <t>PDF page(s) 6, 7; Electromechanical performance and wearable response; saved PDF pp. 6, 7</t>
  </si>
  <si>
    <t>Ti3C2Tx MXene nanosheets</t>
  </si>
  <si>
    <t>R1 | Data extraction 39!N27</t>
  </si>
  <si>
    <t>R2 | Extraction!K30</t>
  </si>
  <si>
    <t>Natural silk fibroin fabric</t>
  </si>
  <si>
    <t>Woven silk fabric</t>
  </si>
  <si>
    <t>R1 | Data extraction 39!O27</t>
  </si>
  <si>
    <t>R2 | Extraction!L30</t>
  </si>
  <si>
    <t>Hydrogen-bond-assisted scalable dip coating that conformally coats silk fibres while retaining porosity</t>
  </si>
  <si>
    <t>Integrated into smart glove</t>
  </si>
  <si>
    <t>Plasma pretreatment and MXene dip-coating of woven silk; sensor patches attached to glove finger joints for robotic control.</t>
  </si>
  <si>
    <t>R1 | Data extraction 39!P27</t>
  </si>
  <si>
    <t>R2 | Extraction!M30</t>
  </si>
  <si>
    <t>Plasma pretreatment and MXene dip-coating of woven silk; sensor patches attached to glove finger joints for robotic control. Classifies the demonstrated device; not a new eligibility decision.</t>
  </si>
  <si>
    <t>§2.6 and §4.1–4.3; saved PDF pp. 7, 8, 9</t>
  </si>
  <si>
    <t>Human joint and gesture monitoring with robotic-hand teleoperation</t>
  </si>
  <si>
    <t>Gesture recognition / teleoperation</t>
  </si>
  <si>
    <t>Movement/posture/gait monitoring; Robotic-hand/HMI interaction</t>
  </si>
  <si>
    <t>R1 | Data extraction 39!Q27</t>
  </si>
  <si>
    <t>R2 | Extraction!N30</t>
  </si>
  <si>
    <t>Finger/wrist/elbow/knee motions were recorded, and a sensor glove drove synchronized robotic-hand gestures for numerals 1–5. Classifies the demonstrated device; not a new eligibility decision.</t>
  </si>
  <si>
    <t>§2.5–2.6; Figs. 4–5; saved PDF pp. 7, 8</t>
  </si>
  <si>
    <t>None (glove demo)</t>
  </si>
  <si>
    <t>Joint and smart-glove demonstrations are reported; total participant number and demographics are not stated in the checked main-text sections.</t>
  </si>
  <si>
    <t>R1 | Data extraction 39!S27; R1 | Data extraction 39!T27</t>
  </si>
  <si>
    <t>R2 | Extraction!O30</t>
  </si>
  <si>
    <t>CONS | V1 consensus!H16</t>
  </si>
  <si>
    <t>The application section describes joint signals and a glove controlling a remote robotic manipulator; the Experimental section documents materials, fabrication and device/electrical testing rather than a participant cohort. Separates participant cohorts, bench tests, human repetitions, model training and actual reference use. Does not infer participant number from a photograph or a non-human n.</t>
  </si>
  <si>
    <t>Saved main PDF pp. 7, 8, 9, 10</t>
  </si>
  <si>
    <t>Repeated gesture/robotic-hand demonstrations and 1,500 benchtop cycles</t>
  </si>
  <si>
    <t>Repeated motion and numeral-gesture examples are reported; formal participant-level trial/session counts are not stated in the checked sections.</t>
  </si>
  <si>
    <t>R1 | Method quality 39!K27</t>
  </si>
  <si>
    <t>R2 | Extraction!P30</t>
  </si>
  <si>
    <t>The smart-glove/HMI demonstration uses gesture responses for control. Ten random conductivity measurement points in Section 4.4 are material measurement locations, not ten human participants or sessions. Separates participant cohorts, bench tests, human repetitions, model training and actual reference use. Does not infer participant number from a photograph or a non-human n.</t>
  </si>
  <si>
    <t>Machine learning facilitated gesture</t>
  </si>
  <si>
    <t>Bench resistance–strain characterization/GF calculation is reported; an implemented human machine-learning training or personal calibration protocol is not established in the checked methods/results.</t>
  </si>
  <si>
    <t>R1 | Method quality 39!L27</t>
  </si>
  <si>
    <t>R2 | Extraction!Q30</t>
  </si>
  <si>
    <t>Section 4.4 uses Instron 3367 with an LCR meter. The cited title Machine learning facilitated gesture recognition belongs to a referenced paper, while this study describes its own glove-control demonstration without that training protocol. Separates participant cohorts, bench tests, human repetitions, model training and actual reference use. Does not infer participant number from a photograph or a non-human n.</t>
  </si>
  <si>
    <t>Saved main PDF pp. 6, 7, 8, 9, 10, 15</t>
  </si>
  <si>
    <t>Motion capture (HMI demo)</t>
  </si>
  <si>
    <t>An independent motion-capture comparator is not specified in the checked demonstration. The robotic manipulator is an HMI output, not a reference-measurement instrument.</t>
  </si>
  <si>
    <t>R1 | Data extraction 39!U27</t>
  </si>
  <si>
    <t>R2 | Extraction!R30</t>
  </si>
  <si>
    <t>The glove transfers detected motions to a remote manipulator; the Experimental section does not specify optical capture, goniometry or a paired external motion-reference validation. Separates participant cohorts, bench tests, human repetitions, model training and actual reference use. Does not infer participant number from a photograph or a non-human n.</t>
  </si>
  <si>
    <t>0–32% (0–18% and 18–32% response regimes)</t>
  </si>
  <si>
    <t>0–18%</t>
  </si>
  <si>
    <t>0–32%.</t>
  </si>
  <si>
    <t>R1 | Data extraction 39!W27</t>
  </si>
  <si>
    <t>R2 | Extraction!S30</t>
  </si>
  <si>
    <t>The electromechanical Results specify a 32% working range. Preserve the author-reported value and its measurement conditions; do not collapse distinct test types.</t>
  </si>
  <si>
    <t>PDF pp. 7, 8</t>
  </si>
  <si>
    <t>149.31 over 0–18%; 24.57 over 18–32%</t>
  </si>
  <si>
    <t>GF of 149.31.</t>
  </si>
  <si>
    <t>149.31 over 0–18%; 24.57 over 18–32%, using the tangent/local slope of ΔR/R0 versus dimensionless strain.</t>
  </si>
  <si>
    <t>R1 | Data extraction 39!X27</t>
  </si>
  <si>
    <t>R2 | Extraction!T30</t>
  </si>
  <si>
    <t>The Results specify both intervals and the derivative definition. Preserve the authors’ slope convention, not an unqualified maximum GF.</t>
  </si>
  <si>
    <t>Dual-regime response; exact R² values was not reported in the available full text</t>
  </si>
  <si>
    <t>Dual-regime sensitivity is reported; no numerical strain–response linearity coefficient extracted from the cited passages.</t>
  </si>
  <si>
    <t>R1 | Data extraction 39!AA27</t>
  </si>
  <si>
    <t>R2 | Extraction!U30</t>
  </si>
  <si>
    <t>The article reports different GF values in two strain intervals. Piecewise sensitivity is not itself a goodness-of-fit statistic.</t>
  </si>
  <si>
    <t>Saved main PDF p 7, sensor-response results</t>
  </si>
  <si>
    <t>R1 | Data extraction 39!AB27</t>
  </si>
  <si>
    <t>R2 | Extraction!V30</t>
  </si>
  <si>
    <t>Repeatable output reported over 1,500 cycles</t>
  </si>
  <si>
    <t>1,500-cycle test at 20% strain shows repeatable output with slight baseline fluctuations.</t>
  </si>
  <si>
    <t>R1 | Data extraction 39!AC27</t>
  </si>
  <si>
    <t>R2 | Extraction!W30</t>
  </si>
  <si>
    <t>The response remains repeatable while baseline variation is acknowledged. Does not claim perfect/no-drift behavior.</t>
  </si>
  <si>
    <t>Saved main PDF p 7, cyclic tests</t>
  </si>
  <si>
    <t>Response time: 171 ms at 20% strain; Recovery time: 185 ms at 20% strain</t>
  </si>
  <si>
    <t>response (171 ms</t>
  </si>
  <si>
    <t>Response 171 ms; recovery 185 ms at 20% strain (Supporting Figure S13).</t>
  </si>
  <si>
    <t>R1 | Data extraction 39!Y27; R1 | Data extraction 39!Z27</t>
  </si>
  <si>
    <t>R2 | Extraction!X30</t>
  </si>
  <si>
    <t>The Results associate both transient times with 20% strain. Preserve the author-reported value and its measurement conditions; do not collapse distinct test types.</t>
  </si>
  <si>
    <t>1,500 cycles</t>
  </si>
  <si>
    <t>1500 cycles</t>
  </si>
  <si>
    <t>1,500 stretching–releasing cycles at 20% strain; slight baseline fluctuation.</t>
  </si>
  <si>
    <t>R1 | Data extraction 39!AD27</t>
  </si>
  <si>
    <t>R2 | Extraction!Y30</t>
  </si>
  <si>
    <t>The durability paragraph states the amplitude and observation. Preserve the author-reported value and its measurement conditions; do not collapse distinct test types.</t>
  </si>
  <si>
    <t>This is source checking by the assistant, not a second independent rating, new consensus or screening decision. Remaining limitation: Cycle frequency not established in this audit.</t>
  </si>
  <si>
    <t>R1 | Method quality 39!P27</t>
  </si>
  <si>
    <t>R2 | Extraction!Z30</t>
  </si>
  <si>
    <t>R1 | Data extraction 39!AE27</t>
  </si>
  <si>
    <t>R2 | Extraction!AA30</t>
  </si>
  <si>
    <t>R1 | Data extraction 39!AF27</t>
  </si>
  <si>
    <t>R2 | Extraction!AB30</t>
  </si>
  <si>
    <t>R2 | Extraction!AC30</t>
  </si>
  <si>
    <t>Air permeability &gt;2,000 mm/s at 300 Pa</t>
  </si>
  <si>
    <t>breathable Silk/MXene fabric wear</t>
  </si>
  <si>
    <t>Air permeability greater than 2,000 mm/s at 300 Pa.</t>
  </si>
  <si>
    <t>R1 | Data extraction 39!AG27</t>
  </si>
  <si>
    <t>R2 | Extraction!AD30</t>
  </si>
  <si>
    <t>The comfort/breathability discussion supplies permeability and pressure difference. Preserve the author-reported value and its measurement conditions; do not collapse distinct test types.</t>
  </si>
  <si>
    <t>This is source checking by the assistant, not a second independent rating, new consensus or screening decision. Remaining limitation: Standard and sample-conditioning details not rechecked.</t>
  </si>
  <si>
    <t>Smart-glove integration; an explicit placement/pretension protocol was not reported</t>
  </si>
  <si>
    <t>R1 | Method quality 39!T27</t>
  </si>
  <si>
    <t>R2 | Extraction!AE30</t>
  </si>
  <si>
    <t>Gesture-recognition and robotic-control system reported; hardware details was not reported in the available full text</t>
  </si>
  <si>
    <t>microcontroller-based decisionmaking, an</t>
  </si>
  <si>
    <t>R1 | Method quality 39!U27</t>
  </si>
  <si>
    <t>R2 | Extraction!AF30</t>
  </si>
  <si>
    <t>Supplementary material Data availability R</t>
  </si>
  <si>
    <t>R1 | Method quality 39!V27</t>
  </si>
  <si>
    <t>R2 | Extraction!AG30</t>
  </si>
  <si>
    <t>Gauge factor 149.31 at 0–18% strain and 24.57 at 18–32%, response/recovery 171/185 ms, &gt;2,000 mm/s air permeability and 1,500-cycle repeatability.</t>
  </si>
  <si>
    <t>GF 149.31/24.57 (0-18/18-32%); 171/185 ms; 1500 cyc</t>
  </si>
  <si>
    <t>GF 149.31 over 0–18% and 24.57 over 18–32%; response/recovery 171/185 ms at 20%; 1,500 cycles at 20%; air permeability &gt;2,000 mm/s under a 300 Pa pressure difference.</t>
  </si>
  <si>
    <t>R1 | Data extraction 39!AH27</t>
  </si>
  <si>
    <t>R2 | Extraction!AH30</t>
  </si>
  <si>
    <t>The Results provide two calibration intervals, the dynamic step condition, endurance amplitude and air-flow test pressure. Keep metric definition, tested variant and experimental context attached to the numerical result.</t>
  </si>
  <si>
    <t>Retained main PDF pp. 5, 6, 7, 8</t>
  </si>
  <si>
    <t>Quantified sensitivity, dynamics, cycling and breathability with glove-level human–machine-interface demonstration</t>
  </si>
  <si>
    <t>R1 | Data extraction 39!AI27</t>
  </si>
  <si>
    <t>Participant number, comparator validation, washing and environmental robustness were not reported</t>
  </si>
  <si>
    <t>R1 | Data extraction 39!AJ27</t>
  </si>
  <si>
    <t>Sheath–core liquid-metal strain-sensing fibre woven into cotton textile</t>
  </si>
  <si>
    <t>LM sheath-core fibre (woven)</t>
  </si>
  <si>
    <t>Section 5 Human Movement Monitoring; Figs. 5-6; complete Springer article</t>
  </si>
  <si>
    <t>R1 | Data extraction 39!L28</t>
  </si>
  <si>
    <t>R2 | Extraction!I31</t>
  </si>
  <si>
    <t>Wet spinning produces SA/liquid-metal/CNT core fibre; WPU dip coating creates sheath/core sensing fibre. Classifies the demonstrated device; not a new eligibility decision.</t>
  </si>
  <si>
    <t>PDF page(s) 5; §2 Fabrication of SA@LM-CNT composite fibre; saved PDF pp. 5</t>
  </si>
  <si>
    <t>REC-00775_10.1007_s12221-025-01009-9.pdf</t>
  </si>
  <si>
    <t>118558e8c624c0aa953763bbc0d0eadee05602d0e1c8ea965ad14e436ad161d8</t>
  </si>
  <si>
    <t>Resistive liquid-metal/CNT fibre strain sensing</t>
  </si>
  <si>
    <t>R1 | Data extraction 39!M28</t>
  </si>
  <si>
    <t>R2 | Extraction!J31</t>
  </si>
  <si>
    <t>Strain changes conductive-particle spacing and resistance; LM/CNT island-bridge pathways maintain conduction at large strain. Classifies the demonstrated device; not a new eligibility decision.</t>
  </si>
  <si>
    <t>PDF page(s) 5, 6; §3 Mechanical properties and sensing performance; saved PDF pp. 5, 6</t>
  </si>
  <si>
    <t>Gallium-based liquid metal islands bridged by carboxylated carbon nanotubes</t>
  </si>
  <si>
    <t>Liquid metal + CNT (SA@LM-CNTs)</t>
  </si>
  <si>
    <t>R1 | Data extraction 39!N28</t>
  </si>
  <si>
    <t>R2 | Extraction!K31</t>
  </si>
  <si>
    <t>Microporous sheath–core fibre woven as weft into plain-weave cotton fabric</t>
  </si>
  <si>
    <t>WPU fibre woven to fabric</t>
  </si>
  <si>
    <t>R1 | Data extraction 39!O28</t>
  </si>
  <si>
    <t>R2 | Extraction!L31</t>
  </si>
  <si>
    <t>Composite fibre fabrication followed by semi-automated loom integration</t>
  </si>
  <si>
    <t>Woven into fabric via loom</t>
  </si>
  <si>
    <t>Wet-spun SA/LM/CNT core with WPU sheath; intrinsic sensing fibres used as weft in a plain-weave cotton-warp host fabric.</t>
  </si>
  <si>
    <t>R1 | Data extraction 39!P28</t>
  </si>
  <si>
    <t>R2 | Extraction!M31</t>
  </si>
  <si>
    <t>Wet-spun SA/LM/CNT core with WPU sheath; intrinsic sensing fibres used as weft in a plain-weave cotton-warp host fabric. Classifies the demonstrated device; not a new eligibility decision.</t>
  </si>
  <si>
    <t>§2 and §5; saved PDF pp. 5, 14</t>
  </si>
  <si>
    <t>Hand, elbow, knee and neck/swallowing monitoring</t>
  </si>
  <si>
    <t>Motion &amp; throat (demo)</t>
  </si>
  <si>
    <t>Movement/posture/gait monitoring; Speech/swallowing/facial motion</t>
  </si>
  <si>
    <t>R1 | Data extraction 39!Q28</t>
  </si>
  <si>
    <t>R2 | Extraction!N31</t>
  </si>
  <si>
    <t>Sensing fibres woven into fabric record hand/elbow/knee motion and neck swallowing. Intelligent robotics is a prospective claim, not a demonstrated interface. Classifies the demonstrated device; not a new eligibility decision.</t>
  </si>
  <si>
    <t>§5 Human Movement Monitoring; Fig. 5; saved PDF pp. 14, 15</t>
  </si>
  <si>
    <t>A volunteer is described for throat/swallow sensing; total participant number and demographics are not stated in the checked main-text sections.</t>
  </si>
  <si>
    <t>R1 | Data extraction 39!S28; R1 | Data extraction 39!T28</t>
  </si>
  <si>
    <t>R2 | Extraction!O31</t>
  </si>
  <si>
    <t>CONS | V1 consensus!H17</t>
  </si>
  <si>
    <t>Section 5/Figure 5 presents hand, elbow, knee and throat measurements; the text refers to the volunteer neck but does not enumerate a cohort. Separates participant cohorts, bench tests, human repetitions, model training and actual reference use. Does not infer participant number from a photograph or a non-human n.</t>
  </si>
  <si>
    <t>Saved main PDF pp. 14, 15</t>
  </si>
  <si>
    <t>Repeated hand, elbow, knee and swallowing demonstrations; exact sessions not reported</t>
  </si>
  <si>
    <t>5 days and subjected to 7000 cy</t>
  </si>
  <si>
    <t>Periodic human motion traces are reported; human session/trial counts are not stated in the checked section. Five days refers to freezing at −90°C, and the reported thousands of cycles concern material durability.</t>
  </si>
  <si>
    <t>R1 | Method quality 39!K28</t>
  </si>
  <si>
    <t>R2 | Extraction!P31</t>
  </si>
  <si>
    <t>The mechanism discussion reports five-day cold storage followed by room-temperature testing. Human demonstrations are in Section 5; Section 6 separately discusses material durability. Separates participant cohorts, bench tests, human repetitions, model training and actual reference use. Does not infer participant number from a photograph or a non-human n.</t>
  </si>
  <si>
    <t>Saved main PDF pp. 13, 14, 15, 16</t>
  </si>
  <si>
    <t>Bench electrical/strain-response characterization is reported; a performed machine-learning or participant-specific human calibration protocol is not established in the checked main-text methods/results.</t>
  </si>
  <si>
    <t>R1 | Method quality 39!L28</t>
  </si>
  <si>
    <t>R2 | Extraction!Q31</t>
  </si>
  <si>
    <t>The material/sensing sections quantify strain response. Section 5 identifies body movement from resistance traces, without a described training dataset or individual calibration model. Separates participant cohorts, bench tests, human repetitions, model training and actual reference use. Does not infer participant number from a photograph or a non-human n.</t>
  </si>
  <si>
    <t>Saved main PDF pp. 5, 6, 7, 8, 9, 10, 14, 15</t>
  </si>
  <si>
    <t>No external biomechanical or swallowing reference identified</t>
  </si>
  <si>
    <t>R1 | Data extraction 39!U28</t>
  </si>
  <si>
    <t>R2 | Extraction!R31</t>
  </si>
  <si>
    <t>Section 5/Figure 5 reports sensor waveforms during hand/elbow/knee/swallow motions without a paired external measurement system. Separates participant cohorts, bench tests, human repetitions, model training and actual reference use. Does not infer participant number from a photograph or a non-human n.</t>
  </si>
  <si>
    <t>0-190%</t>
  </si>
  <si>
    <t>up to 190%</t>
  </si>
  <si>
    <t>0–190%.</t>
  </si>
  <si>
    <t>R1 | Data extraction 39!W28</t>
  </si>
  <si>
    <t>R2 | Extraction!S31</t>
  </si>
  <si>
    <t>The strain-response section reports a wide linear sensing interval. Preserve the author-reported value and its measurement conditions; do not collapse distinct test types.</t>
  </si>
  <si>
    <t>6.4 over 0–190%.</t>
  </si>
  <si>
    <t>R1 | Data extraction 39!X28</t>
  </si>
  <si>
    <t>R2 | Extraction!T31</t>
  </si>
  <si>
    <t>GF 6.4 over 0–190% strain</t>
  </si>
  <si>
    <t>PDF page(s) 9; Section 3.2</t>
  </si>
  <si>
    <t>The GF and linear range are stated together. Preserve the author-reported value and its measurement conditions; do not collapse distinct test types.</t>
  </si>
  <si>
    <t>R1 | Data extraction 39!AA28</t>
  </si>
  <si>
    <t>R2 | Extraction!U31</t>
  </si>
  <si>
    <t>R1 | Data extraction 39!AB28</t>
  </si>
  <si>
    <t>R2 | Extraction!V31</t>
  </si>
  <si>
    <t>Stable performance reported beyond 10,000 cycles</t>
  </si>
  <si>
    <t>Stable response is shown for 10,000 cycles at 90% strain (room temperature≈25°C). A separate SI test shows 7,000 cycles at 50% after five days at−90°C.</t>
  </si>
  <si>
    <t>R1 | Data extraction 39!AC28</t>
  </si>
  <si>
    <t>R2 | Extraction!W31</t>
  </si>
  <si>
    <t>The main and cold-storage tests use different strains, counts and conditioning. Separates tests rather than combining their most favorable numbers.</t>
  </si>
  <si>
    <t>Saved main PDF pp 8–9, Fig 2 g; SI p 3</t>
  </si>
  <si>
    <t>REC-00775_10.1007_s12221-025-01009-9.pdf; REC-00775-SI.pdf</t>
  </si>
  <si>
    <t>118558e8c624c0aa953763bbc0d0eadee05602d0e1c8ea965ad14e436ad161d8; bb3d9593caa367cb9616d5bd7278256ee95017c2b3150388575602fa2484b390</t>
  </si>
  <si>
    <t>Response time: &lt;220 ms; Recovery time: &lt;430 ms</t>
  </si>
  <si>
    <t>Response &lt;220 ms; recovery &lt;430 ms from one stretch–release cycle.</t>
  </si>
  <si>
    <t>R1 | Data extraction 39!Y28; R1 | Data extraction 39!Z28</t>
  </si>
  <si>
    <t>R2 | Extraction!X31</t>
  </si>
  <si>
    <t>The current-study Results give upper bounds, not exact timing point estimates. Preserve the author-reported value and its measurement conditions; do not collapse distinct test types.</t>
  </si>
  <si>
    <t>This is source checking by the assistant, not a second independent rating, new consensus or screening decision. Remaining limitation: Applied amplitude and rate should be retained from the complete Fig.2f protocol if used for comparisons.</t>
  </si>
  <si>
    <t>10,000 cycles at 90% strain and 25 °C; 7,000 cycles after storage at -90 °C</t>
  </si>
  <si>
    <t>10,000 cycles at 90% strain and 25 °C; a separate frozen-storage test reports 7,000 cycles at 50% after −90 °C storage.</t>
  </si>
  <si>
    <t>R1 | Data extraction 39!AD28</t>
  </si>
  <si>
    <t>R2 | Extraction!Y31</t>
  </si>
  <si>
    <t>10,000 cycles at 90% strain at 25°C; separate 7,000-cycle test after −90°C storage for five days</t>
  </si>
  <si>
    <t>PDF page(s) 8, 9; Fig.2 caption and Section 3.2</t>
  </si>
  <si>
    <t>Main text gives the room-temperature test; Supporting Note S5 separately documents cold-conditioned cycling. Keep room-temperature and cold-conditioned endurance distinct.</t>
  </si>
  <si>
    <t>PDF pp. 9, 10; retained supplementary PDF pp. 3</t>
  </si>
  <si>
    <t>This is source checking by the assistant, not a second independent rating, new consensus or screening decision. Remaining limitation: Cold storage duration and cycle rates require exact protocol verification; SI confirms post-freezing testing, not continuous operation at −90 °C.</t>
  </si>
  <si>
    <t>Semi-automated manufacture reported; device-to-device statistics not identified</t>
  </si>
  <si>
    <t>Semi-automated weaving is reported; no independent between-device electrical variability statistic extracted from the cited results.</t>
  </si>
  <si>
    <t>R1 | Method quality 39!P28</t>
  </si>
  <si>
    <t>R2 | Extraction!Z31</t>
  </si>
  <si>
    <t>Scale-up method and cyclic performance are described. Manufacturing automation is not measured fabrication reproducibility.</t>
  </si>
  <si>
    <t>Saved main PDF pp 7–9 and manufacturing description</t>
  </si>
  <si>
    <t>R1 | Data extraction 39!AE28</t>
  </si>
  <si>
    <t>R2 | Extraction!AA31</t>
  </si>
  <si>
    <t>Sweat resistance and abrasion evaluated; exact protocols was not reported in the available full text</t>
  </si>
  <si>
    <t>artificial sweat was tested as shown in Fig</t>
  </si>
  <si>
    <t>R1 | Data extraction 39!AF28</t>
  </si>
  <si>
    <t>R2 | Extraction!AB31</t>
  </si>
  <si>
    <t>Sandpaper rubbing: ordinary cotton fully ruptures at 90 rubs; sensing fabric shows major rupture at 170 rubs while sensing yarns remain unbroken.</t>
  </si>
  <si>
    <t>R2 | Extraction!AC31</t>
  </si>
  <si>
    <t>Supporting Note S13 provides the count-linked comparison and describes failure of the fabric versus survival of sensing yarns. Physical survival is not the same as retained electrical strain calibration.</t>
  </si>
  <si>
    <t>Retained supplementary PDF pp. 6, 7</t>
  </si>
  <si>
    <t>REC-00775-SI.pdf; REC-00775-SI.pdf</t>
  </si>
  <si>
    <t>This is source checking by the assistant, not a second independent rating, new consensus or screening decision. Remaining limitation: Grit, load, sliding stroke and electrical retention under abrasion not established in inspected SI.</t>
  </si>
  <si>
    <t>bb3d9593caa367cb9616d5bd7278256ee95017c2b3150388575602fa2484b390; bb3d9593caa367cb9616d5bd7278256ee95017c2b3150388575602fa2484b390</t>
  </si>
  <si>
    <t>Air permeability 191.3 mm/s, compared with 157.0 mm/s for cotton and 148.2 mm/s for commercial synthetic fabric</t>
  </si>
  <si>
    <t>breathability, which enhance both</t>
  </si>
  <si>
    <t>Fabric air permeability 191.3 mm/s through a 20-cm² tested area; cotton 157.0 mm/s and commercial synthetic fabric 148.2 mm/s.</t>
  </si>
  <si>
    <t>R1 | Data extraction 39!AG28</t>
  </si>
  <si>
    <t>R2 | Extraction!AD31</t>
  </si>
  <si>
    <t>The comparison includes the test area and notes differing fabric construction/density. Do not interpret the cross-fabric comparison as controlled solely for sensing material.</t>
  </si>
  <si>
    <t>This is source checking by the assistant, not a second independent rating, new consensus or screening decision. Remaining limitation: Applied pressure differential not verified in this passage.</t>
  </si>
  <si>
    <t>Woven fabric worn at hand, elbow, knee and neck; pretension protocol not reported</t>
  </si>
  <si>
    <t>R1 | Method quality 39!T28</t>
  </si>
  <si>
    <t>R2 | Extraction!AE31</t>
  </si>
  <si>
    <t>R1 | Method quality 39!U28</t>
  </si>
  <si>
    <t>R2 | Extraction!AF31</t>
  </si>
  <si>
    <t>Data available from the corresponding author on reasonable request</t>
  </si>
  <si>
    <t>Data Availability Additional supplementary materials</t>
  </si>
  <si>
    <t>R1 | Method quality 39!V28</t>
  </si>
  <si>
    <t>R2 | Extraction!AG31</t>
  </si>
  <si>
    <t>Detection range to 190%, conductivity 3,333.3 S/m, Young’s modulus 0.94 MPa and stability beyond 10,000 cycles.</t>
  </si>
  <si>
    <t>Up to 670%; 220/430 ms; 7000 cyc; sweat/abrasion</t>
  </si>
  <si>
    <t>Electrical sensing range 0–190% with GF approximately 6.4; activated conductivity 3,333.3 S/m and modulus 0.94 MPa. Room-temperature endurance exceeds 10,000 cycles at 90%; a separate 7,000-cycle/50% test follows −90°C storage. Mechanical extensibility &gt;670% is not the sensing range.</t>
  </si>
  <si>
    <t>R1 | Data extraction 39!AH28</t>
  </si>
  <si>
    <t>R2 | Extraction!AH31</t>
  </si>
  <si>
    <t>Mechanical-property, electrical sensing, durability and low-temperature sections describe different properties/protocols. The conductivity increases from 78.5 to 3,333.3 S/m after freeze–stretch activation. Do not substitute mechanical breaking strain for calibrated electrical operating range, or claim continuous −90°C endurance from a post-storage test.</t>
  </si>
  <si>
    <t>Retained main PDF pp. 6, 7, 9, 10, 13, 17</t>
  </si>
  <si>
    <t>Leak-resistant, loom-integrated fibre with very wide range, long-cycle stability and wearable environmental tests</t>
  </si>
  <si>
    <t>R1 | Data extraction 39!AI28</t>
  </si>
  <si>
    <t>Participant count, comparator validation, and independent repeat-session design were not reported</t>
  </si>
  <si>
    <t>R1 | Data extraction 39!AJ28</t>
  </si>
  <si>
    <t>Garment-integrated zigzag stitch strain sensor</t>
  </si>
  <si>
    <t>Stitch-based (garment-integrated)</t>
  </si>
  <si>
    <t>Sections 2.2, 4 and 5; Figs. 2 and 6-8; complete publisher PDF in Heriot-Watt repository</t>
  </si>
  <si>
    <t>R1 | Data extraction 39!L29</t>
  </si>
  <si>
    <t>R2 | Extraction!I32</t>
  </si>
  <si>
    <t>Conductive silver-plated yarn is sewn in a prescribed path with an industrial lockstitch machine into stretch fabric; the stitch-based sensing path is integrated with gym tights. Classifies the demonstrated device; not a new eligibility decision.</t>
  </si>
  <si>
    <t>PDF page(s) 3, 6; §2 Materials/methods; §4 Garment integration; saved PDF pp. 3, 6</t>
  </si>
  <si>
    <t>REC-00858_10.1016_j.rineng.2024.102794.pdf</t>
  </si>
  <si>
    <t>a38a5fe31cde7bc10ff0f568a6d941abaa63f4307f3f25f79c5973898f35b238</t>
  </si>
  <si>
    <t>Resistive stitch-extension sensing</t>
  </si>
  <si>
    <t>R1 | Data extraction 39!M29</t>
  </si>
  <si>
    <t>R2 | Extraction!J32</t>
  </si>
  <si>
    <t>Multimeter records resistance during extension/recovery; voltage-divider acquisition monitors that resistance. The article's occasional 'impedimetric' terminology does not establish a capacitive strain mechanism. Classifies the demonstrated device; not a new eligibility decision.</t>
  </si>
  <si>
    <t>PDF page(s) 3, 6, 7; Fabrication/testing and electronic readout; saved PDF pp. 3, 6, 7</t>
  </si>
  <si>
    <t>Conductive sewing thread/yarn</t>
  </si>
  <si>
    <t>Conductive sewing thread</t>
  </si>
  <si>
    <t>R1 | Data extraction 39!N29</t>
  </si>
  <si>
    <t>R2 | Extraction!K32</t>
  </si>
  <si>
    <t>Single-jersey nylon/spandex sportswear fabric</t>
  </si>
  <si>
    <t>Sportswear fabric</t>
  </si>
  <si>
    <t>R1 | Data extraction 39!O29</t>
  </si>
  <si>
    <t>R2 | Extraction!L32</t>
  </si>
  <si>
    <t>Conductive yarn sewn in zigzag geometries and incorporated into wearable sportswear</t>
  </si>
  <si>
    <t>Sewn into sportswear (IoT)</t>
  </si>
  <si>
    <t>Conductive yarn industrial lockstitch path on stretch fabric; stitch sensor integrated along gym tights with detachable snap terminals.</t>
  </si>
  <si>
    <t>R1 | Data extraction 39!P29</t>
  </si>
  <si>
    <t>R2 | Extraction!M32</t>
  </si>
  <si>
    <t>Conductive yarn industrial lockstitch path on stretch fabric; stitch sensor integrated along gym tights with detachable snap terminals. Classifies the demonstrated device; not a new eligibility decision.</t>
  </si>
  <si>
    <t>§2 and §4; saved PDF pp. 3, 6, 7</t>
  </si>
  <si>
    <t>Knee flexion and body-movement feedback during cycling, treadmill, rowing and weight-training activities</t>
  </si>
  <si>
    <t>Athletic monitoring</t>
  </si>
  <si>
    <t>R1 | Data extraction 39!Q29</t>
  </si>
  <si>
    <t>R2 | Extraction!N32</t>
  </si>
  <si>
    <t>Stitch sensors integrated with gym tights provide real-time strain and body-flexing counts during exercise. Classifies the demonstrated device; not a new eligibility decision.</t>
  </si>
  <si>
    <t>§4 Integration into sportswear; Figs. 6–7; saved PDF pp. 6, 7, 8</t>
  </si>
  <si>
    <t>Human sample size: Not reported; Participant details: Gym wearer demonstrations reported; participant count/demographics not reported</t>
  </si>
  <si>
    <t>None (worn demo)</t>
  </si>
  <si>
    <t>Gym/user demonstrations are reported; total participant number and demographics are not stated in the checked main-text sections.</t>
  </si>
  <si>
    <t>R1 | Data extraction 39!S29; R1 | Data extraction 39!T29</t>
  </si>
  <si>
    <t>R2 | Extraction!O32</t>
  </si>
  <si>
    <t>CONS | V1 consensus!H18</t>
  </si>
  <si>
    <t>Section 5 describes real-world trials at Tri Fitness Center in Galashiels across treadmill, leg press, rowing, cycling and weightlifting activities without a declared cohort size. Separates participant cohorts, bench tests, human repetitions, model training and actual reference use. Does not infer participant number from a photograph or a non-human n.</t>
  </si>
  <si>
    <t>Saved main PDF pp. 7, 8, 9</t>
  </si>
  <si>
    <t>Cycling, treadmill, rowing and weight-training garment demonstrations; session count not reported</t>
  </si>
  <si>
    <t>Activity demonstrations are reported, but human session/trial counts are not stated. The reported 100 cycles at 20% strain describe controlled sensor cycling, not 100 human sessions.</t>
  </si>
  <si>
    <t>R1 | Method quality 39!K29</t>
  </si>
  <si>
    <t>R2 | Extraction!P32</t>
  </si>
  <si>
    <t>Section 5 separates controlled cycling tests from real-world user trials; it supplies no per-person or separate-day counts for the gym trials. Separates participant cohorts, bench tests, human repetitions, model training and actual reference use. Does not infer participant number from a photograph or a non-human n.</t>
  </si>
  <si>
    <t>Saved main PDF pp. 9</t>
  </si>
  <si>
    <t>calibration tests revealed strong linear re</t>
  </si>
  <si>
    <t>Resistance–extension calibration is reported; the system converts voltage-divider resistance to displacement and applies bend/step thresholds. Participant-specific calibration and external step-length measurement are not described in the checked sections.</t>
  </si>
  <si>
    <t>R1 | Method quality 39!L29</t>
  </si>
  <si>
    <t>R2 | Extraction!Q32</t>
  </si>
  <si>
    <t>The calibration sections report fitted resistance/strain relations. The operation section describes displacement mapping, debouncing, bend thresholds and a predefined step length. Separates participant cohorts, bench tests, human repetitions, model training and actual reference use. Does not infer participant number from a photograph or a non-human n.</t>
  </si>
  <si>
    <t>Saved main PDF pp. 5, 6, 7, 8</t>
  </si>
  <si>
    <t>None (correlation only)</t>
  </si>
  <si>
    <t>An independent on-body comparator is not described in the checked gym sections; Pearson/R² calibration statistics must not be treated as reference agreement for human monitoring.</t>
  </si>
  <si>
    <t>R1 | Data extraction 39!U29</t>
  </si>
  <si>
    <t>R2 | Extraction!R32</t>
  </si>
  <si>
    <t>The high correlation statistics refer to calibration data. Sections 4–5 show sensor/app activity outputs without a concurrent reference-instrument comparison. Separates participant cohorts, bench tests, human repetitions, model training and actual reference use. Does not infer participant number from a photograph or a non-human n.</t>
  </si>
  <si>
    <t>strain range of 0–20 %</t>
  </si>
  <si>
    <t>Mechanical characterization includes 50% extension; separate resistance-stability testing uses 20%.</t>
  </si>
  <si>
    <t>R1 | Data extraction 39!W29</t>
  </si>
  <si>
    <t>R2 | Extraction!S32</t>
  </si>
  <si>
    <t>Current tests to 50% extension; separate 5%, 10%, 20% sensing tests</t>
  </si>
  <si>
    <t>PDF page(s) 3, 6; Section 2.2 and sensor-response tests</t>
  </si>
  <si>
    <t>The paper uses different bounds for mechanical and electrical repeated tests. Do not treat the 20% endurance amplitude as the full characterization range.</t>
  </si>
  <si>
    <t>PDF pp. 3, 9</t>
  </si>
  <si>
    <t>16-cm device sensitivity: 2.08818 Ω/mm loading and 2.72727 Ω/mm unloading. Separately, SI Table S2 reports GF 1.60 at cycle 2 and 1.56 at cycle 99, difference −0.04 and reported −2.54%, calculated across the entire extension.</t>
  </si>
  <si>
    <t>R1 | Data extraction 39!X29</t>
  </si>
  <si>
    <t>R2 | Extraction!T32</t>
  </si>
  <si>
    <t>The main text reports dimensional displacement sensitivity; supplementary Table S2 additionally provides normalized GF by cycle. Both quantities exist and must remain distinct; the SI GF interval is not explicitly numerical in that table.</t>
  </si>
  <si>
    <t>PDF pp. 1, 2, 6; retained supplementary PDF pp. 2</t>
  </si>
  <si>
    <t>REC-00858_10.1016_j.rineng.2024.102794.pdf; REC-00858-SI.pdf</t>
  </si>
  <si>
    <t>This is source checking by the assistant, not a second independent rating, new consensus or screening decision. Remaining limitation: Resolve the exact numeric strain interval/device length for SI GF before a GF–range scatterplot; do not assume it equals the 16-cm device or 20% endurance amplitude.</t>
  </si>
  <si>
    <t>a38a5fe31cde7bc10ff0f568a6d941abaa63f4307f3f25f79c5973898f35b238; 1a67008a7ab503f3e792e7880c60c4f8bd1742d15266ae9a33f174276b0bb7b1</t>
  </si>
  <si>
    <t>Correlation coefficients 0.90928-0.99699; R² values 0.82779-0.99398 across sensor lengths and loading/unloading phases</t>
  </si>
  <si>
    <t>Pearson r=0.90928–0.99699 andR²=0.82779–0.99398 across 4/8/16 cm sensors and loading/unloading phases.</t>
  </si>
  <si>
    <t>R1 | Data extraction 39!AA29</t>
  </si>
  <si>
    <t>R2 | Extraction!U32</t>
  </si>
  <si>
    <t>The values vary with sensor length and extension direction. Preserves r versus R² and does not report the best fit as universal.</t>
  </si>
  <si>
    <t>Saved main PDF p 6, fit comparison</t>
  </si>
  <si>
    <t>Minimal hysteresis reported, with better performance at shorter sensor lengths; exact values was not reported in the available full text</t>
  </si>
  <si>
    <t>Loading–unloading hysteresis is shown, with better behavior for shorter sensors; no single numerical hysteresis percentage extracted.</t>
  </si>
  <si>
    <t>R1 | Data extraction 39!AB29</t>
  </si>
  <si>
    <t>R2 | Extraction!V32</t>
  </si>
  <si>
    <t>The response curves and different slopes show hysteresis dependence on length. Slope differences and R² do not substitute for a defined hysteresis metric.</t>
  </si>
  <si>
    <t>Saved main PDF pp 5–6, loading/unloading length comparisons</t>
  </si>
  <si>
    <t>Repeatable response during 100 cycles at 20% strain</t>
  </si>
  <si>
    <t>100-cycle test at 20% strain: SI reports GF 1.60 at cycle 2 and 1.56 at cycle 99, GF drift−2.54%, and baseline resistance change−3.25%.</t>
  </si>
  <si>
    <t>R1 | Data extraction 39!AC29</t>
  </si>
  <si>
    <t>R2 | Extraction!W32</t>
  </si>
  <si>
    <t>The supplementary table gives cycle-specific and normalized change values. Uses printed tabulated values, not graph digitization; baseline drift and GF drift remain distinct.</t>
  </si>
  <si>
    <t>Saved main PDF p 6 cyclic test; SI p 2 TablesS 2–S3</t>
  </si>
  <si>
    <t>response time of 10 ms</t>
  </si>
  <si>
    <t>Reported response times 10, 15 and 18 ms at 5%, 10% and 20% strain; stabilization 20, 25 and 30 ms. Main text also states 100-ms recording intervals.</t>
  </si>
  <si>
    <t>R1 | Data extraction 39!Y29; R1 | Data extraction 39!Z29</t>
  </si>
  <si>
    <t>R2 | Extraction!X32</t>
  </si>
  <si>
    <t>Main text and SI Table S4 report the same timing values, but the main-text acquisition interval is coarser than those values. Retain as author-reported timing with an unresolved sampling-resolution concern; do not present it as rigorously verified transient timing.</t>
  </si>
  <si>
    <t>PDF pp. 6; retained supplementary PDF pp. 3</t>
  </si>
  <si>
    <t>This is source checking by the assistant, not a second independent rating, new consensus or screening decision. Remaining limitation: Resolve how 10–18-ms response was established with stated 100-ms acquisition intervals; source text does not resolve this.</t>
  </si>
  <si>
    <t>100 cycles at 20% strain</t>
  </si>
  <si>
    <t>10 cycles</t>
  </si>
  <si>
    <t>100 cycles at 20%: resistance within ±2% of initial. Separate 10-cycle mechanical extension to 50% at 200 mm/min.</t>
  </si>
  <si>
    <t>R1 | Data extraction 39!AD29</t>
  </si>
  <si>
    <t>R2 | Extraction!Y32</t>
  </si>
  <si>
    <t>100 cycles at 20% strain with approximately ±2% resistance variation; separate ten-cycle 50% characterization</t>
  </si>
  <si>
    <t>PDF page(s) 3, 9; Methods and durability discussion</t>
  </si>
  <si>
    <t>The 100-cycle resistance test and 10-cycle mechanical test are described separately. Preserve the author-reported value and its measurement conditions; do not collapse distinct test types.</t>
  </si>
  <si>
    <t>Multiple sensor lengths/configurations compared; device-to-device statistics not reported</t>
  </si>
  <si>
    <t>Different sensor lengths/configurations are compared; no same-design independent-device variability statistic extracted.</t>
  </si>
  <si>
    <t>R1 | Method quality 39!P29</t>
  </si>
  <si>
    <t>R2 | Extraction!Z32</t>
  </si>
  <si>
    <t>The comparisons change sensor geometry. Geometry-dependent results do not establish manufacturing reproducibility of a fixed design.</t>
  </si>
  <si>
    <t>Saved main PDF pp 5–6,4/8/16 cm sensors</t>
  </si>
  <si>
    <t>Soap-water full wetting for 1 h under 500-rpm stirring in standard atmosphere; SI reports unchanged sensing performance.</t>
  </si>
  <si>
    <t>R1 | Data extraction 39!AE29</t>
  </si>
  <si>
    <t>R2 | Extraction!AA32</t>
  </si>
  <si>
    <t>Supplementary washing protocol and Figure S1 provide time, medium and stirring speed. Report as a timed stirred-immersion test, not repeated standardized laundering cycles.</t>
  </si>
  <si>
    <t>Retained supplementary PDF pp. 1, 2</t>
  </si>
  <si>
    <t>REC-00858-SI.pdf; REC-00858-SI.pdf</t>
  </si>
  <si>
    <t>1a67008a7ab503f3e792e7880c60c4f8bd1742d15266ae9a33f174276b0bb7b1; 1a67008a7ab503f3e792e7880c60c4f8bd1742d15266ae9a33f174276b0bb7b1</t>
  </si>
  <si>
    <t>Real-use testing in a gym environment</t>
  </si>
  <si>
    <t>humidity of 65 % ± 2 %</t>
  </si>
  <si>
    <t>Laboratory conditioning for 24 h at 20 ± 2 °C and 65 ± 2% RH; gym demonstrations are a separate use context.</t>
  </si>
  <si>
    <t>R1 | Data extraction 39!AF29</t>
  </si>
  <si>
    <t>R2 | Extraction!AB32</t>
  </si>
  <si>
    <t>The Methods describe standard-atmosphere conditioning before characterization. Conditioning at one ambient state is not an environmental robustness sweep.</t>
  </si>
  <si>
    <t>R2 | Extraction!AC32</t>
  </si>
  <si>
    <t>Flexible stitch integrated into stretch sportswear; formal comfort testing not identified</t>
  </si>
  <si>
    <t>R1 | Data extraction 39!AG29</t>
  </si>
  <si>
    <t>R2 | Extraction!AD32</t>
  </si>
  <si>
    <t>Garment-integrated knee/body sensor; fit and pretension protocol not reported</t>
  </si>
  <si>
    <t>placement, and force from both lar</t>
  </si>
  <si>
    <t>R1 | Method quality 39!T29</t>
  </si>
  <si>
    <t>R2 | Extraction!AE32</t>
  </si>
  <si>
    <t>ESP8266 microcontroller with ThingSpeak cloud transmission</t>
  </si>
  <si>
    <t>microcontroller and Thing Speak platform</t>
  </si>
  <si>
    <t>R1 | Method quality 39!U29</t>
  </si>
  <si>
    <t>R2 | Extraction!AF32</t>
  </si>
  <si>
    <t>supplementary materials as Table S4</t>
  </si>
  <si>
    <t>R1 | Method quality 39!V29</t>
  </si>
  <si>
    <t>R2 | Extraction!AG32</t>
  </si>
  <si>
    <t>Maximum loading/unloading sensitivities were 2.08 and 2.72 Ω/mm; the garment produced real-time exercise feedback through an ESP8266/ThingSpeak system.</t>
  </si>
  <si>
    <t>0-20%; Pearson 0.909; 100 cyc; ESP8266 IoT</t>
  </si>
  <si>
    <t>The 16-cm sensor’s loading/unloading resistance–extension slopes were 2.08818/2.72727 Ω/mm. Across tested lengths, Pearson r was 0.90928–0.99699 (R² 0.82779–0.99398). The garment supplied ESP8266/ThingSpeak exercise feedback.</t>
  </si>
  <si>
    <t>R1 | Data extraction 39!AH29</t>
  </si>
  <si>
    <t>R2 | Extraction!AH32</t>
  </si>
  <si>
    <t>The calibration Results identify the 16-cm sample for the largest slopes and give correlation and R² ranges across lengths. Ω/mm is dimensional extension sensitivity, not gauge factor. These calibration correlations are not accuracy of measured human joint angles.</t>
  </si>
  <si>
    <t>Retained main PDF pp. 1, 2, 6</t>
  </si>
  <si>
    <t>Complete garment-to-cloud prototype with calibration and exercise-environment demonstrations</t>
  </si>
  <si>
    <t>R1 | Data extraction 39!AI29</t>
  </si>
  <si>
    <t>Participant count, external reference validation, laundering and extended durability were not reported</t>
  </si>
  <si>
    <t>R1 | Data extraction 39!AJ29</t>
  </si>
  <si>
    <t>MXene/WPU-coated elastic fibre sewn into a glove and fitted sweater</t>
  </si>
  <si>
    <t>MXene/WPU coated fibre (data glove)</t>
  </si>
  <si>
    <t>Sections 3.2-3.6; Figs. 4-8; complete MDPI article</t>
  </si>
  <si>
    <t>R1 | Data extraction 39!L30</t>
  </si>
  <si>
    <t>R2 | Extraction!I33</t>
  </si>
  <si>
    <t>PU elastic fibres receive plasma treatment and MXene/WPU dip coating, then are cut to sensing lengths with end electrodes. Classifies the demonstrated device; not a new eligibility decision.</t>
  </si>
  <si>
    <t>PDF page(s) 3; §2.3 Preparation of MXene/WPU composite-coated fibre; saved PDF pp. 3</t>
  </si>
  <si>
    <t>REC-00929_10.3390_s24010271.pdf</t>
  </si>
  <si>
    <t>c18aaa86b9469263a41ef80e1ad0609d7d99d8304257322f8287328749c5a57d</t>
  </si>
  <si>
    <t>R1 | Data extraction 39!M30</t>
  </si>
  <si>
    <t>R2 | Extraction!J33</t>
  </si>
  <si>
    <t>Microcracks in the conductive shell lengthen electron pathways and increase resistance during elongation; release closes cracks and decreases resistance. Classifies the demonstrated device; not a new eligibility decision.</t>
  </si>
  <si>
    <t>PDF page(s) 7; §3.4 Strain sensing mechanism; saved PDF pp. 7</t>
  </si>
  <si>
    <t>Ti3C2Tx MXene dispersed in waterborne polyurethane</t>
  </si>
  <si>
    <t>MXene/WPU composite</t>
  </si>
  <si>
    <t>R1 | Data extraction 39!N30</t>
  </si>
  <si>
    <t>R2 | Extraction!K33</t>
  </si>
  <si>
    <t>Polyurethane elastic fibre; cotton glove and sweater garments</t>
  </si>
  <si>
    <t>PU fibre woven into glove</t>
  </si>
  <si>
    <t>R1 | Data extraction 39!O30</t>
  </si>
  <si>
    <t>R2 | Extraction!L33</t>
  </si>
  <si>
    <t>Dip coating of PU fibre followed by sewing five sensors into a glove and two sensors into a fitted sweater</t>
  </si>
  <si>
    <t>Woven into data glove</t>
  </si>
  <si>
    <t>MXene/WPU dip-coated PU fibres; discrete fibres sewn onto glove/sweater. Fig. 8 caption says woven, but the procedural text explicitly says sewn.</t>
  </si>
  <si>
    <t>R1 | Data extraction 39!P30</t>
  </si>
  <si>
    <t>R2 | Extraction!M33</t>
  </si>
  <si>
    <t>MXene/WPU dip-coated PU fibres; discrete fibres sewn onto glove/sweater. Fig. 8 caption says woven, but the procedural text explicitly says sewn. Classifies the demonstrated device; not a new eligibility decision.</t>
  </si>
  <si>
    <t>§2.3 and §3.6; saved PDF pp. 3, 8, 9</t>
  </si>
  <si>
    <t>Finger angle, hand gesture, full-body movement and posture/kyphosis monitoring</t>
  </si>
  <si>
    <t>Finger-bending &amp; gesture</t>
  </si>
  <si>
    <t>R1 | Data extraction 39!Q30</t>
  </si>
  <si>
    <t>R2 | Extraction!N33</t>
  </si>
  <si>
    <t>Sensors demonstrate wrist/knee bending, smiling and wrist pulse; sewn-on glove and sweater sensors monitor fingers and seated posture with feedback. Classifies the demonstrated device; not a new eligibility decision.</t>
  </si>
  <si>
    <t>§3.5–3.6; Figs. 7–8; saved PDF pp. 8, 9</t>
  </si>
  <si>
    <t>A volunteer is described for on-body demonstrations; total participant number and demographics are not stated in the checked main-text sections.</t>
  </si>
  <si>
    <t>R1 | Data extraction 39!S30; R1 | Data extraction 39!T30</t>
  </si>
  <si>
    <t>R2 | Extraction!O33</t>
  </si>
  <si>
    <t>CONS | V1 consensus!H19</t>
  </si>
  <si>
    <t>The human-monitoring section/Figures 7–8 describes joint/facial/pulse and glove/posture examples without enumerating a cohort. Separates participant cohorts, bench tests, human repetitions, model training and actual reference use. Does not infer participant number from a photograph or a non-human n.</t>
  </si>
  <si>
    <t>Repeated glove gestures and posture demonstrations; exact session count not reported</t>
  </si>
  <si>
    <t>Repeated joint and physiological patterns are reported; a formal per-participant repetition or separate-session count is not stated in the checked sections.</t>
  </si>
  <si>
    <t>R1 | Method quality 39!K30</t>
  </si>
  <si>
    <t>R2 | Extraction!P33</t>
  </si>
  <si>
    <t>Figures 7–8 show bending, walking/running, finger gestures and posture signals. These traces do not define an independent session count. Separates participant cohorts, bench tests, human repetitions, model training and actual reference use. Does not infer participant number from a photograph or a non-human n.</t>
  </si>
  <si>
    <t>Bench strain-response characterization and finger-angle signal examples at 10°, 30°, 60° and 90° are reported; a personalized calibration/model-fitting protocol is not stated in the checked application text.</t>
  </si>
  <si>
    <t>R1 | Method quality 39!L30</t>
  </si>
  <si>
    <t>R2 | Extraction!Q33</t>
  </si>
  <si>
    <t>The sensing characterization quantifies fiber electrical response, while Figure 8 demonstrates distinguishable angle-dependent signals rather than specifying individual model training. Separates participant cohorts, bench tests, human repetitions, model training and actual reference use. Does not infer participant number from a photograph or a non-human n.</t>
  </si>
  <si>
    <t>Saved main PDF pp. 4, 5, 8, 9</t>
  </si>
  <si>
    <t>No external finger-angle or posture reference identified</t>
  </si>
  <si>
    <t>An independent human reference instrument is not specified in the checked glove/posture sections; angle labels alone do not establish comparator-based accuracy.</t>
  </si>
  <si>
    <t>R1 | Data extraction 39!U30</t>
  </si>
  <si>
    <t>R2 | Extraction!R33</t>
  </si>
  <si>
    <t>Figure 8 shows nominal finger angles and posture feedback but does not state how an external instrument measured those angles or report reference-agreement statistics. Separates participant cohorts, bench tests, human repetitions, model training and actual reference use. Does not infer participant number from a photograph or a non-human n.</t>
  </si>
  <si>
    <t>Saved main PDF pp. 8, 9</t>
  </si>
  <si>
    <t>&gt;90%; detection limit 0.5% strain</t>
  </si>
  <si>
    <t>0–40%</t>
  </si>
  <si>
    <t>Characterized over 0–90%; abstract describes stretchability as over 90%.</t>
  </si>
  <si>
    <t>R1 | Data extraction 39!W30</t>
  </si>
  <si>
    <t>R2 | Extraction!S33</t>
  </si>
  <si>
    <t>Three quantitative GF intervals terminate at 90%. Use 0–90% for linked quantitative comparisons rather than an unspecified value above 90%.</t>
  </si>
  <si>
    <t>PDF pp. 1, 4, 5</t>
  </si>
  <si>
    <t>Up to 960.8</t>
  </si>
  <si>
    <t>~960.8</t>
  </si>
  <si>
    <t>10.9 (0–40%); 236.8 (40–65%); 960.8 (65–90%).</t>
  </si>
  <si>
    <t>R1 | Data extraction 39!X30</t>
  </si>
  <si>
    <t>R2 | Extraction!T33</t>
  </si>
  <si>
    <t>The strain-response Results report three piecewise GF values. Preserve the author-reported value and its measurement conditions; do not collapse distinct test types.</t>
  </si>
  <si>
    <t>Multiple sensitivity regimes reported; exact linearity statistics was not reported in the available full text</t>
  </si>
  <si>
    <t>Multiple sensitivity regimes are reported; no numerical linearity-fit statistic extracted from the cited response passages.</t>
  </si>
  <si>
    <t>R1 | Data extraction 39!AA30</t>
  </si>
  <si>
    <t>R2 | Extraction!U33</t>
  </si>
  <si>
    <t>GF is strain-regime dependent. Sensitivity intervals are not a substitute for quantified linearity.</t>
  </si>
  <si>
    <t>Saved main PDF pp 5–6, electromechanical results</t>
  </si>
  <si>
    <t>R1 | Data extraction 39!AB30</t>
  </si>
  <si>
    <t>R2 | Extraction!V33</t>
  </si>
  <si>
    <t>Durability beyond 2,500 stretch–release cycles</t>
  </si>
  <si>
    <t>Stable response is reported beyond 2,500 stretch–release cycles at 20% strain.</t>
  </si>
  <si>
    <t>R1 | Data extraction 39!AC30</t>
  </si>
  <si>
    <t>R2 | Extraction!W33</t>
  </si>
  <si>
    <t>Repeated strain response supports the durability claim. Separate environmental resistance changes are not combined with cyclic drift.</t>
  </si>
  <si>
    <t>Saved main PDF p 6, durability test</t>
  </si>
  <si>
    <t>Response time: 150 ms; Recovery time: Not reported</t>
  </si>
  <si>
    <t>response time of 150 ms</t>
  </si>
  <si>
    <t>Response 150 ms to a 10% quasi-transient strain step.</t>
  </si>
  <si>
    <t>R1 | Data extraction 39!Y30; R1 | Data extraction 39!Z30</t>
  </si>
  <si>
    <t>R2 | Extraction!X33</t>
  </si>
  <si>
    <t>Figure 4f description ties the response time to an imposed 10% step. Preserve the author-reported value and its measurement conditions; do not collapse distinct test types.</t>
  </si>
  <si>
    <t>&gt;2,500 cycles</t>
  </si>
  <si>
    <t>2500 cycles) under 20% fixed strain, as s</t>
  </si>
  <si>
    <t>More than 2,500 cycles at 20%.</t>
  </si>
  <si>
    <t>R1 | Data extraction 39!AD30</t>
  </si>
  <si>
    <t>R2 | Extraction!Y33</t>
  </si>
  <si>
    <t>The durability paragraph specifies 20% constant-amplitude cycling. Preserve the author-reported value and its measurement conditions; do not collapse distinct test types.</t>
  </si>
  <si>
    <t>This is source checking by the assistant, not a second independent rating, new consensus or screening decision. Remaining limitation: Endurance frequency not established in inspected passage.</t>
  </si>
  <si>
    <t>Five glove sensors and two sweater sensors used; device-to-device statistics not identified</t>
  </si>
  <si>
    <t>Five glove sensing elements and two sweater sensing elements are used; no same-design independent-device variability statistic extracted.</t>
  </si>
  <si>
    <t>R1 | Method quality 39!P30</t>
  </si>
  <si>
    <t>R2 | Extraction!Z33</t>
  </si>
  <si>
    <t>The counts describe array placement on garments. Sensing-element count is not independently manufactured device replication.</t>
  </si>
  <si>
    <t>Saved main PDF pp 8–9, wearable-system demonstration andFig 8</t>
  </si>
  <si>
    <t>Washing resistance reported; protocol and cycle count was not reported in the available full text</t>
  </si>
  <si>
    <t>R1 | Data extraction 39!AE30</t>
  </si>
  <si>
    <t>R2 | Extraction!AA33</t>
  </si>
  <si>
    <t>Peeling/rubbing resistance and washing resistance reported</t>
  </si>
  <si>
    <t>R1 | Data extraction 39!AF30</t>
  </si>
  <si>
    <t>R2 | Extraction!AB33</t>
  </si>
  <si>
    <t>R2 | Extraction!AC33</t>
  </si>
  <si>
    <t>Lightweight fibre sensor embedded into common garments; formal breathability/comfort test not reported</t>
  </si>
  <si>
    <t>R1 | Data extraction 39!AG30</t>
  </si>
  <si>
    <t>R2 | Extraction!AD33</t>
  </si>
  <si>
    <t>Five sensors sewn onto a cotton glove and two into a fitted sweater; pretension protocol not reported</t>
  </si>
  <si>
    <t>pre-strain strategy</t>
  </si>
  <si>
    <t>R1 | Method quality 39!T30</t>
  </si>
  <si>
    <t>R2 | Extraction!AE33</t>
  </si>
  <si>
    <t>Posture-analysis/correction prototype reported; complete power and interconnect specifications were not reported</t>
  </si>
  <si>
    <t>Arduino microcontroller for further p</t>
  </si>
  <si>
    <t>R1 | Method quality 39!U30</t>
  </si>
  <si>
    <t>R2 | Extraction!AF33</t>
  </si>
  <si>
    <t>Supplementary Materials, Videos S1 and S2)</t>
  </si>
  <si>
    <t>R1 | Method quality 39!V30</t>
  </si>
  <si>
    <t>R2 | Extraction!AG33</t>
  </si>
  <si>
    <t>Gauge factor up to 960.8, sensing range above 90%, 0.5% detection limit, 150 ms response and durability beyond 2,500 cycles.</t>
  </si>
  <si>
    <t>GF 10.9/236.8/960.8 (0-40/40-65/65-90%); 150 ms response</t>
  </si>
  <si>
    <t>GF 10.9 over 0–40%, 236.8 over 40–65%, and 960.8 over 65–90%; detection limit 0.5%; response 150 ms at 10%; &gt;2,500 cycles at 20%.</t>
  </si>
  <si>
    <t>R1 | Data extraction 39!AH30</t>
  </si>
  <si>
    <t>R2 | Extraction!AH33</t>
  </si>
  <si>
    <t>The main Results assign GF to three intervals up to 90%; the abstract more generally says range &gt;90%. The dynamic/endurance tests provide stimulus conditions. Use the demonstrated calibrated 0–90% intervals rather than attaching GF 960.8 to the full range.</t>
  </si>
  <si>
    <t>Retained main PDF pp. 1, 4, 5, 6</t>
  </si>
  <si>
    <t>Broad quantified performance with glove and posture-correction garment prototypes</t>
  </si>
  <si>
    <t>R1 | Data extraction 39!AI30</t>
  </si>
  <si>
    <t>Participant count and gold-standard validation were not reported; wash/peel protocols need exact extraction</t>
  </si>
  <si>
    <t>R1 | Data extraction 39!AJ30</t>
  </si>
  <si>
    <t>Core–sheath fibre sensors stitched into a tight-fitting sleeveless shirt</t>
  </si>
  <si>
    <t>Core-sheath fibre (MoCap shirt)</t>
  </si>
  <si>
    <t>Methods (sensor integration and motion experiments) and Results; complete PubMed Central article</t>
  </si>
  <si>
    <t>R1 | Data extraction 39!L31</t>
  </si>
  <si>
    <t>R2 | Extraction!I34</t>
  </si>
  <si>
    <t>Extruded H3078 or PEU filament receives an H3078/carbon-black sheath, producing a core–sheath fibre strain sensor. Classifies the demonstrated device; not a new eligibility decision.</t>
  </si>
  <si>
    <t>PDF page(s) 4; §2.3 Sensor production; saved PDF pp. 4</t>
  </si>
  <si>
    <t>REC-01064_10.3390_s19194288.pdf</t>
  </si>
  <si>
    <t>45d89f7bbcd7ec2e43b5fd3c3ea1ab133d35bfa7c401f2b814e348c0453dc836</t>
  </si>
  <si>
    <t>Piezoresistive core–sheath fibre strain sensing</t>
  </si>
  <si>
    <t>R1 | Data extraction 39!M31</t>
  </si>
  <si>
    <t>R2 | Extraction!J34</t>
  </si>
  <si>
    <t>The linear-stage protocol records tensile strain and resistance; normalized resistance is the sensing signal. Classifies the demonstrated device; not a new eligibility decision.</t>
  </si>
  <si>
    <t>PDF page(s) 4; §2.4 Tensile/electronic setup; saved PDF pp. 4</t>
  </si>
  <si>
    <t>50 wt% carbon black in Hytrel 3078 thermoplastic elastomer sheath</t>
  </si>
  <si>
    <t>H3078/carbon-black composite</t>
  </si>
  <si>
    <t>R1 | Data extraction 39!N31</t>
  </si>
  <si>
    <t>R2 | Extraction!K34</t>
  </si>
  <si>
    <t>Hytrel 3078 monofilament or polyether urethane-urea elastic core; commercial sleeveless garment</t>
  </si>
  <si>
    <t>Core-sheath fibre in shirt</t>
  </si>
  <si>
    <t>R1 | Data extraction 39!O31</t>
  </si>
  <si>
    <t>R2 | Extraction!L34</t>
  </si>
  <si>
    <t>One-step dip coating produced the fibre sensors; 18 conditioned sensors were stitched into a two-piece shirt/shorts garment</t>
  </si>
  <si>
    <t>Sewn into smart shirt</t>
  </si>
  <si>
    <t>Extruded elastomer filament with carbon-black/elastomer sheath; 18 discrete fibre sensors secured by stitches to a sleeveless shirt.</t>
  </si>
  <si>
    <t>R1 | Data extraction 39!P31</t>
  </si>
  <si>
    <t>R2 | Extraction!M34</t>
  </si>
  <si>
    <t>Extruded elastomer filament with carbon-black/elastomer sheath; 18 discrete fibre sensors secured by stitches to a sleeveless shirt. Classifies the demonstrated device; not a new eligibility decision.</t>
  </si>
  <si>
    <t>§2.3 and §2.6.2; saved PDF pp. 4, 7</t>
  </si>
  <si>
    <t>Tri-axial trunk-angle estimation during uniaxial and multiaxial movements</t>
  </si>
  <si>
    <t>Trunk kinematics</t>
  </si>
  <si>
    <t>R1 | Data extraction 39!Q31</t>
  </si>
  <si>
    <t>R2 | Extraction!N34</t>
  </si>
  <si>
    <t>Eighteen fibre sensors stitched to a shirt measure three-dimensional trunk kinematics relative to the pelvis. Classifies the demonstrated device; not a new eligibility decision.</t>
  </si>
  <si>
    <t>§2.6 Smart Sensor Integrated Sleeveless Shirt; Fig. 2; saved PDF pp. 6, 7</t>
  </si>
  <si>
    <t>Human sample size: 12; Participant details: Twelve participants performed eight uniaxial and multiaxial trunk movements</t>
  </si>
  <si>
    <t>12 participants (male 25-35)</t>
  </si>
  <si>
    <t>12 healthy men aged 25-35 years; mean age 28 +/- 3.3 years.</t>
  </si>
  <si>
    <t>R1 | Data extraction 39!S31; R1 | Data extraction 39!T31</t>
  </si>
  <si>
    <t>R2 | Extraction!O34</t>
  </si>
  <si>
    <t>Sections 2.6.3-2.6.6 and 3.2; Table 1. Distinguish bench blocks from human trials. Separates participant cohorts, bench tests, human repetitions, model training and experimental reference use.</t>
  </si>
  <si>
    <t>Saved main PDF pp. 8, 9, 10, 14</t>
  </si>
  <si>
    <t>Eight consecutive 30-min random-wave blocks on the same sensor; eight movement types in the participant protocol</t>
  </si>
  <si>
    <t>Eight movement conditions, with slow/moderate/fast trials; repeated movements generally 10 times per trial, with a 60-s random-combination condition. Approximately one hour of motion data and 24 trials per participant. Eight 30-min blocks refer to bench testing, not human sessions.</t>
  </si>
  <si>
    <t>R1 | Method quality 39!K31</t>
  </si>
  <si>
    <t>R2 | Extraction!P34</t>
  </si>
  <si>
    <t>Application-range characterization, 100-cycle preconditioning to 40% strain and random-forest calibration to motion-capture angles</t>
  </si>
  <si>
    <t>machine learning algorithm, we were</t>
  </si>
  <si>
    <t>Ten-second upright reference posture; application-range characterization and random-forest fitting to optical angles. Sensor preconditioning is distinct from human calibration.</t>
  </si>
  <si>
    <t>R1 | Method quality 39!L31</t>
  </si>
  <si>
    <t>R2 | Extraction!Q34</t>
  </si>
  <si>
    <t>Motion-capture shirt</t>
  </si>
  <si>
    <t>Six-camera Vicon system with marker clusters at C7/S1; synchronized at 100 Hz.</t>
  </si>
  <si>
    <t>R1 | Data extraction 39!U31</t>
  </si>
  <si>
    <t>R2 | Extraction!R34</t>
  </si>
  <si>
    <t>0–30% characterization; 5–20% application-mimicking random-wave test</t>
  </si>
  <si>
    <t>working range to be less than 30%</t>
  </si>
  <si>
    <t>Selected operating characterization 0–30%; larger extensions belong to separately tested material variants.</t>
  </si>
  <si>
    <t>R1 | Data extraction 39!W31</t>
  </si>
  <si>
    <t>R2 | Extraction!S34</t>
  </si>
  <si>
    <t>The optimized sensor discussion uses 0–30% and GF 5. Preserve the author-reported value and its measurement conditions; do not collapse distinct test types.</t>
  </si>
  <si>
    <t>PDF pp. 12, 18</t>
  </si>
  <si>
    <t>5 over 0–30% strain for the optimized 50 wt% carbon-black sheath</t>
  </si>
  <si>
    <t>gauge factor of the H3078:CB sheath at 30, 40, and 50 wt%</t>
  </si>
  <si>
    <t>Optimized reported sensing yarn: GF 5 over 0–30%. A different material configuration reaches GF 500 at very high strain.</t>
  </si>
  <si>
    <t>R1 | Data extraction 39!X31</t>
  </si>
  <si>
    <t>R2 | Extraction!T34</t>
  </si>
  <si>
    <t>The article compares materials and architectures before selecting an optimized sensor. Do not pair the high-strain comparison-variant GF with the selected application sensor.</t>
  </si>
  <si>
    <t>Linear resistance–strain relation reported to 30%; trunk-angle R² exceeded 0.91 for all three axes</t>
  </si>
  <si>
    <t>R2 = 0.94</t>
  </si>
  <si>
    <t>An approximately linear resistance–strain response to 30% is described after conditioning. R²≈0.94 and other&gt;0.91 values concern trunk-angle model prediction, not the intrinsic resistance–strain fit.</t>
  </si>
  <si>
    <t>R1 | Data extraction 39!AA31</t>
  </si>
  <si>
    <t>R2 | Extraction!U34</t>
  </si>
  <si>
    <t>Conditioned sensor behavior and calibrated angle prediction are different result types. Removes model R² from sensor-linearity evidence.</t>
  </si>
  <si>
    <t>Saved main PDF p 13 characterization andp 14 prediction results</t>
  </si>
  <si>
    <t>First-cycle hysteresis was reduced by 100 conditioning cycles to 40% strain</t>
  </si>
  <si>
    <t>hysteresis test in 10%</t>
  </si>
  <si>
    <t>Initial loading–unloading hysteresis is reduced by 100 conditioning cycles to 40% strain at 10% strain/s; no single electrical hysteresis percentage extracted.</t>
  </si>
  <si>
    <t>R1 | Data extraction 39!AB31</t>
  </si>
  <si>
    <t>R2 | Extraction!V34</t>
  </si>
  <si>
    <t>Material stress–strain hysteresis and sensor electrical hysteresis are separate observations. Do not transfer mechanical hysteresis values to electrical output.</t>
  </si>
  <si>
    <t>Saved main PDF pp 11–12, conditioning tests</t>
  </si>
  <si>
    <t>Conditioned sensors maintained a stable signal during eight consecutive 30-min random-wave blocks; machine-learning strain NRMSE was 1.6%</t>
  </si>
  <si>
    <t>drift upon straining to 30%</t>
  </si>
  <si>
    <t>Conditioned sensors show no observable drift during four hours of random-wave loading (eight 30 min blocks,5–20% strain); pristine sensors drift. NRMSE 6.4%/6.3% with four-hour normalization and 1.6%/2.6% with machine learning are tracking errors, not drift percentages.</t>
  </si>
  <si>
    <t>R1 | Data extraction 39!AC31</t>
  </si>
  <si>
    <t>R2 | Extraction!W34</t>
  </si>
  <si>
    <t>Conditioned H 3078/PEU sensors are compared, and strain-estimation methods give separate errors. Preserves the distinct stability observation and model/normalization accuracy.</t>
  </si>
  <si>
    <t>Saved main PDF pp 13–14, random-wave tests and Table 3</t>
  </si>
  <si>
    <t>R1 | Data extraction 39!Y31; R1 | Data extraction 39!Z31</t>
  </si>
  <si>
    <t>R2 | Extraction!X34</t>
  </si>
  <si>
    <t>100 cycles at 30% strain; separate conditioning used 100 cycles at 40% strain</t>
  </si>
  <si>
    <t>100 cycles at 30% strain (Figure 4c, bot</t>
  </si>
  <si>
    <t>100 cycles over 0–30%.</t>
  </si>
  <si>
    <t>R1 | Data extraction 39!AD31</t>
  </si>
  <si>
    <t>R2 | Extraction!Y34</t>
  </si>
  <si>
    <t>The cyclic electromechanical tests report 100 cycles. Preserve the author-reported value and its measurement conditions; do not collapse distinct test types.</t>
  </si>
  <si>
    <t>PDF pp. 13, 17</t>
  </si>
  <si>
    <t>This is source checking by the assistant, not a second independent rating, new consensus or screening decision. Remaining limitation: Preconditioning at a different amplitude must remain distinct; exact cycle rate not rechecked.</t>
  </si>
  <si>
    <t>Two core materials and conditioned/unconditioned variants compared; formal between-device statistics not reported</t>
  </si>
  <si>
    <t>Two core materials and conditioned/unconditioned variants are compared; no isolated fixed-design independent-device variability statistic extracted.</t>
  </si>
  <si>
    <t>R1 | Method quality 39!P31</t>
  </si>
  <si>
    <t>R2 | Extraction!Z34</t>
  </si>
  <si>
    <t>The groups differ in material or conditioning. Design-factor comparisons do not by themselves quantify manufacturing reproducibility.</t>
  </si>
  <si>
    <t>Saved main PDF pp 11–14</t>
  </si>
  <si>
    <t>R1 | Data extraction 39!AE31</t>
  </si>
  <si>
    <t>R2 | Extraction!AA34</t>
  </si>
  <si>
    <t>Waterproof Ionic Liquid-Based</t>
  </si>
  <si>
    <t>R1 | Data extraction 39!AF31</t>
  </si>
  <si>
    <t>R2 | Extraction!AB34</t>
  </si>
  <si>
    <t>R2 | Extraction!AC34</t>
  </si>
  <si>
    <t>Tight-fitting sleeveless shirt anchored to matching shorts; formal comfort or breathability testing was not reported</t>
  </si>
  <si>
    <t>R1 | Data extraction 39!AG31</t>
  </si>
  <si>
    <t>R2 | Extraction!AD34</t>
  </si>
  <si>
    <t>Tight shirt anchored to shorts with 18 defined sensor locations; garment fit was controlled</t>
  </si>
  <si>
    <t>placement, the number of sensors r</t>
  </si>
  <si>
    <t>R1 | Method quality 39!T31</t>
  </si>
  <si>
    <t>R2 | Extraction!AE34</t>
  </si>
  <si>
    <t>Eighteen-channel sensor acquisition and random-forest processing; power/wireless details not reported</t>
  </si>
  <si>
    <t>R1 | Method quality 39!U31</t>
  </si>
  <si>
    <t>R2 | Extraction!AF34</t>
  </si>
  <si>
    <t>Supplementary Materials: The following are</t>
  </si>
  <si>
    <t>R1 | Method quality 39!V31</t>
  </si>
  <si>
    <t>R2 | Extraction!AG34</t>
  </si>
  <si>
    <t>Across 12 participants, trunk-angle RMSE was 4.26° for flexion, 3.53° for lateral bending and 3.44° for rotation; random-wave strain NRMSE was 1.6% after machine learning.</t>
  </si>
  <si>
    <t>GF 3/4/5 up to 30%; hysteresis 7-55%; NRMSE 5-7.7%</t>
  </si>
  <si>
    <t>Across 12 participants, the Results report trunk-angle RMSE 4.26±0.73° roll, 3.53±0.52° pitch and 3.44±0.52° yaw. Anatomical direction mapping is inconsistent between abstract and Discussion. The 1.6% random-wave strain NRMSE is a separate benchtop RF-model result for cH3078.</t>
  </si>
  <si>
    <t>R1 | Data extraction 39!AH31</t>
  </si>
  <si>
    <t>R2 | Extraction!AH34</t>
  </si>
  <si>
    <t>Results/Table 4 give roll/pitch/yaw errors. The abstract maps 3.53/3.44 to lateral/rotation, whereas Discussion assigns rotation/lateral. The random-wave Discussion concerns a separate sensor bench protocol. Preserve coordinate labels until the anatomical mapping is resolved; do not combine bench NRMSE and human angle RMSE.</t>
  </si>
  <si>
    <t>Retained main PDF pp. 1, 14, 15, 19, 20</t>
  </si>
  <si>
    <t>Assistant source checking, not new independent human review, a screening decision or changed reviewer consensus. Original R1/R2 values are preserved. Remaining limitation: Source-internal anatomical mapping disagreement for 3.53° versus 3.44°; retain roll/pitch/yaw labels or inspect coordinate definitions before anatomical relabelling.</t>
  </si>
  <si>
    <t>Application-led sensor conditioning followed by multi-participant, multiplanar validation against optical motion capture</t>
  </si>
  <si>
    <t>R1 | Data extraction 39!AI31</t>
  </si>
  <si>
    <t>Laundering, environmental robustness, long-term field wear and independent-user model transfer were not established</t>
  </si>
  <si>
    <t>R1 | Data extraction 39!AJ31</t>
  </si>
  <si>
    <t>All-textile capacitive sensors and embroidered inductor integrated into tight-fitting sport leggings</t>
  </si>
  <si>
    <t>Fully-textile passive wireless</t>
  </si>
  <si>
    <t>Materials and Methods, participant protocol, Results, and sensorized-leggings experiments; complete PMC/Frontiers article</t>
  </si>
  <si>
    <t>R1 | Data extraction 39!L32</t>
  </si>
  <si>
    <t>R2 | Extraction!I35</t>
  </si>
  <si>
    <t>Parallel-plate textile laminate; knit/weave construction not specified in checked methods</t>
  </si>
  <si>
    <t>PDF p.5, Section2.1.2</t>
  </si>
  <si>
    <t>Conductive spandex electrodes and spandex dielectric are specified; their knit/weave construction is not. Assembly stitching and the separate embroidered inductor do not establish an embroidered active strain sensor. Missingness or source conflict retained explicitly.</t>
  </si>
  <si>
    <t>§2.1.2; saved PDF pp. 5</t>
  </si>
  <si>
    <t>REC-01315_10.3389_fbioe.2026.1724364.pdf</t>
  </si>
  <si>
    <t>192eff9ebfc09452eb4cbad88ff27fc8e6427f257f18635158471d299941a998</t>
  </si>
  <si>
    <t>Capacitive strain sensing in passive LC resonant circuits</t>
  </si>
  <si>
    <t>R1 | Data extraction 39!M32</t>
  </si>
  <si>
    <t>R2 | Extraction!J35</t>
  </si>
  <si>
    <t>Conductive spandex parallel plates separated by dielectric form a capacitive sensor; strain changes geometry and capacitance. Classifies the demonstrated device; not a new eligibility decision.</t>
  </si>
  <si>
    <t>§2.1.2 and response results; saved PDF pp. 5, 9</t>
  </si>
  <si>
    <t>Electrolycra conductive spandex electrodes and silver-plated Vectran conductive yarn</t>
  </si>
  <si>
    <t>Conductive spandex (ElectroLycra)</t>
  </si>
  <si>
    <t>R1 | Data extraction 39!N32</t>
  </si>
  <si>
    <t>R2 | Extraction!K35</t>
  </si>
  <si>
    <t>Non-conductive spandex dielectric and garment substrate</t>
  </si>
  <si>
    <t>Sport leggings</t>
  </si>
  <si>
    <t>R1 | Data extraction 39!O32</t>
  </si>
  <si>
    <t>R2 | Extraction!L35</t>
  </si>
  <si>
    <t>Laser-cut conductive spandex was heat-pressed and stitched to spandex; two sensors were connected to one embroidered spiral inductor</t>
  </si>
  <si>
    <t>Sewn into leggings (wireless)</t>
  </si>
  <si>
    <t>Conductive/nonconductive spandex layers laser-cut, heat-pressed with adhesive web and stitched into capacitive laminates; incorporated in leggings. Embroidered inductor belongs to readout, not strain transduction.</t>
  </si>
  <si>
    <t>R1 | Data extraction 39!P32</t>
  </si>
  <si>
    <t>R2 | Extraction!M35</t>
  </si>
  <si>
    <t>Conductive/nonconductive spandex layers laser-cut, heat-pressed with adhesive web and stitched into capacitive laminates; incorporated in leggings. Embroidered inductor belongs to readout, not strain transduction. Classifies the demonstrated device; not a new eligibility decision.</t>
  </si>
  <si>
    <t>§2.1.2 and wearable assembly; saved PDF pp. 5, 7, 8</t>
  </si>
  <si>
    <t>Static and dynamic lower-body activity classification</t>
  </si>
  <si>
    <t>Activity classification</t>
  </si>
  <si>
    <t>R1 | Data extraction 39!Q32</t>
  </si>
  <si>
    <t>R2 | Extraction!N35</t>
  </si>
  <si>
    <t>Garment-mounted capacitive sensors on knee/gluteal regions classify static/dynamic postures and activities, including standing, squatting, walking and running. Classifies the demonstrated device; not a new eligibility decision.</t>
  </si>
  <si>
    <t>Wearable experimental protocol and activity results; saved PDF pp. 7, 8, 9</t>
  </si>
  <si>
    <t>Human sample size: 1; Participant details: One participant completed the protocol on three different days with independent donning and doffing</t>
  </si>
  <si>
    <t>1 participant, 3 sessions</t>
  </si>
  <si>
    <t>1 participant. The same person completed three sessions on different days.</t>
  </si>
  <si>
    <t>R1 | Data extraction 39!S32; R1 | Data extraction 39!T32</t>
  </si>
  <si>
    <t>R2 | Extraction!O35</t>
  </si>
  <si>
    <t>Sections 2.2-2.4 and multi-session analysis. Do not turn referenced OMC into an experimental comparator. Separates participant cohorts, bench tests, human repetitions, model training and experimental reference use.</t>
  </si>
  <si>
    <t>Saved main PDF pp. 6, 7, 8, 13</t>
  </si>
  <si>
    <t>Ten activities; three independent don/doff sessions on three days; 10 cycles per activity and 20 steps for walking/jogging</t>
  </si>
  <si>
    <t>three independent sessions</t>
  </si>
  <si>
    <t>Three independent don/doff sessions on three days. Static poses: 10 cycles with about 4-s hold/4-s standing; dynamic poses: 10 cycles; walking/jogging: 20 steps each.</t>
  </si>
  <si>
    <t>R1 | Method quality 39!K32</t>
  </si>
  <si>
    <t>R2 | Extraction!P35</t>
  </si>
  <si>
    <t>Ten 100%-strain preconditioning cycles; 5–30% cyclic calibration, step-hold testing and circuit tuning</t>
  </si>
  <si>
    <t>calibration (El-Rajab et al</t>
  </si>
  <si>
    <t>Bench capacitance and resonant-frequency characterization, including preconditioning; feature normalization and classifier training. No external angle calibration was used for the human activity classification.</t>
  </si>
  <si>
    <t>R1 | Method quality 39!L32</t>
  </si>
  <si>
    <t>R2 | Extraction!Q35</t>
  </si>
  <si>
    <t>No external biomechanical reference; activities were labelled from the prescribed protocol</t>
  </si>
  <si>
    <t>OMC gold-standard (referenced)</t>
  </si>
  <si>
    <t>Prescribed activity labels with signal-threshold phase labelling. Optical motion capture is discussed as background, not used as the human reference in this experiment.</t>
  </si>
  <si>
    <t>R1 | Data extraction 39!U32</t>
  </si>
  <si>
    <t>R2 | Extraction!R35</t>
  </si>
  <si>
    <t>0–30% garment-relevant characterization after 100% preconditioning</t>
  </si>
  <si>
    <t>0–30% characterization; 100% used for preconditioning</t>
  </si>
  <si>
    <t>R1 | Data extraction 39!W32</t>
  </si>
  <si>
    <t>R2 | Extraction!S35</t>
  </si>
  <si>
    <t>PDF p.6, Section2.1.2; pp.9–10, Section3.1.2</t>
  </si>
  <si>
    <t>Ten preconditioning cycles at100% precede ten cycles at each of5,10,15,20,30% at5mm/s. Substrate stretchability and preconditioning are not the evaluated working range.</t>
  </si>
  <si>
    <t>PDF pp. 6, 10; PDF p.6, Section2.1.2; pp.9–10, Section3.1.2</t>
  </si>
  <si>
    <t>Approximately 1 over 0–30% strain</t>
  </si>
  <si>
    <t>~1 (capacitive, 0-30% strain)</t>
  </si>
  <si>
    <t>Approximately1 over0–30%</t>
  </si>
  <si>
    <t>R1 | Data extraction 39!X32</t>
  </si>
  <si>
    <t>R2 | Extraction!T35</t>
  </si>
  <si>
    <t>PDF p.10, Section3.1.2; Fig.2B</t>
  </si>
  <si>
    <t>The authors describe a linear strain response up to30% and sensitivity around1. The two original extractions align once the interval is kept.</t>
  </si>
  <si>
    <t>PDF pp. 10; PDF p.10, Section3.1.2; Fig.2B</t>
  </si>
  <si>
    <t>R² = 0.99 to 30% strain</t>
  </si>
  <si>
    <t>Linear fit y=0.96 x+0.01, R²=0.99 over 0–30% strain.</t>
  </si>
  <si>
    <t>R1 | Data extraction 39!AA32</t>
  </si>
  <si>
    <t>R2 | Extraction!U35</t>
  </si>
  <si>
    <t>The actual graph labels the equation, coefficient and strain range. Printed annotation read directly; no curve digitization.</t>
  </si>
  <si>
    <t>Saved main PDF p 9, Fig 2 B (printed annotations visually inspected)</t>
  </si>
  <si>
    <t>Stretch/release hysteresis observed in step-hold tests because of textile viscoelasticity</t>
  </si>
  <si>
    <t>Stretch/release hysteresis is shown qualitatively in step-hold tests and attributed to textile viscoelasticity; no numerical hysteresis metric extracted.</t>
  </si>
  <si>
    <t>R1 | Data extraction 39!AB32</t>
  </si>
  <si>
    <t>R2 | Extraction!V35</t>
  </si>
  <si>
    <t>Capacitance does not retrace instantaneously during release/relaxation. Retains the reported result with its specific test, range and construct; does not extend it to untested conditions.</t>
  </si>
  <si>
    <t>Saved main PDF p 10, step-hold results</t>
  </si>
  <si>
    <t>Baseline drift was observed during release; controlled two-sensor response was repeatable across three step-hold cycles</t>
  </si>
  <si>
    <t>Release produces baseline drift/relaxation; repeated step-hold responses are illustrated over three cycles without a quantified drift percentage.</t>
  </si>
  <si>
    <t>R1 | Data extraction 39!AC32</t>
  </si>
  <si>
    <t>R2 | Extraction!W35</t>
  </si>
  <si>
    <t>The two-sensor setup shows qualitatively repeatable responses and release-related baseline movement. Does not convert repeated human don/doff trials into intrinsic device drift statistics.</t>
  </si>
  <si>
    <t>R1 | Data extraction 39!Y32; R1 | Data extraction 39!Z32</t>
  </si>
  <si>
    <t>R2 | Extraction!X35</t>
  </si>
  <si>
    <t>Ten cycles at each of 5%, 10%, 15%, 20% and 30% strain after ten 100%-strain preconditioning cycles</t>
  </si>
  <si>
    <t>10 cycles of stretch-release were repea</t>
  </si>
  <si>
    <t>10 cycles at each of 5%, 10%, 15%, 20% and 30%, at 5 mm/s, after 10 preconditioning cycles at 100%.</t>
  </si>
  <si>
    <t>R1 | Data extraction 39!AD32</t>
  </si>
  <si>
    <t>R2 | Extraction!Y35</t>
  </si>
  <si>
    <t>Short-cycle characterization:10 cycles at each of5,10,15,20,30%; not a demonstrated long-term durability endpoint</t>
  </si>
  <si>
    <t>PDF p.6, Section2.1.2; p.9, Fig.2 caption</t>
  </si>
  <si>
    <t>Methods separate cyclic characterization from high-extension preconditioning; the step-hold protocol/caption also uses differing levels. Do not label 10 cycles as a long-term fatigue test; keep preconditioning separate.</t>
  </si>
  <si>
    <t>PDF pp. 6, 9</t>
  </si>
  <si>
    <t>This is source checking by the assistant, not a second independent rating, new consensus or screening decision. Remaining limitation: Step-hold Methods/Figure 2 level mismatch should be retained if those results are extracted.</t>
  </si>
  <si>
    <t>Same prototype repeated across three don/doff sessions; device-to-device manufacturing reproducibility not assessed</t>
  </si>
  <si>
    <t>The prototype is repeated across three don/doff sessions; no independent manufactured-device comparison is established by that test.</t>
  </si>
  <si>
    <t>R1 | Method quality 39!P32</t>
  </si>
  <si>
    <t>R2 | Extraction!Z35</t>
  </si>
  <si>
    <t>Repeated fitting concerns reuse of the same system rather than fresh devices. Session repeatability and manufacturing reproducibility are distinct.</t>
  </si>
  <si>
    <t>Saved main PDF pp 11–13, repeated-session protocol</t>
  </si>
  <si>
    <t>No washing performed in this study; prior work was cited</t>
  </si>
  <si>
    <t>10 washes and almost no change with t</t>
  </si>
  <si>
    <t>The cited result of less than 0.5-MHz shift variation after 10 washes is attributed to Galli2023, not a new washing experiment in this study.</t>
  </si>
  <si>
    <t>R1 | Data extraction 39!AE32</t>
  </si>
  <si>
    <t>R2 | Extraction!AA35</t>
  </si>
  <si>
    <t>The Discussion attributes the wash result to prior single-sensor work. Preserve contextual evidence without counting it as current-study washing data.</t>
  </si>
  <si>
    <t>No environmental exposure performed in this study; prior work was cited</t>
  </si>
  <si>
    <t>humidity between 20% and 75%</t>
  </si>
  <si>
    <t>The Discussion cites earlier Galli2023 tests at 15–40 °C and 20–75% RH, and earlier Galli2024 artificial-sweat testing; these are not current-study environmental experiments.</t>
  </si>
  <si>
    <t>R1 | Data extraction 39!AF32</t>
  </si>
  <si>
    <t>R2 | Extraction!AB35</t>
  </si>
  <si>
    <t>The paragraph explicitly says these tests were previously conducted and gives the prior references. Do not assign those numerical conditions to the current 2026 multi-sensor study.</t>
  </si>
  <si>
    <t>R2 | Extraction!AC35</t>
  </si>
  <si>
    <t>Fully textile, passive garment system without rigid electronics on the leggings; formal comfort testing was not reported</t>
  </si>
  <si>
    <t>breathability, as well as complic</t>
  </si>
  <si>
    <t>R1 | Data extraction 39!AG32</t>
  </si>
  <si>
    <t>R2 | Extraction!AD35</t>
  </si>
  <si>
    <t>Tight-fitting leggings; sensors at kneecap and glute; inductor held taut in waistband pocket; fit varied after don/doff</t>
  </si>
  <si>
    <t>donning and doffing the</t>
  </si>
  <si>
    <t>R1 | Method quality 39!T32</t>
  </si>
  <si>
    <t>R2 | Extraction!AE35</t>
  </si>
  <si>
    <t>Passive LC circuit read through inductive coupling by an external vector network analyser</t>
  </si>
  <si>
    <t>PCB)</t>
  </si>
  <si>
    <t>R1 | Method quality 39!U32</t>
  </si>
  <si>
    <t>R2 | Extraction!AF35</t>
  </si>
  <si>
    <t>Raw data available from authors without undue reservation</t>
  </si>
  <si>
    <t>Data availability statement The raw data supporting</t>
  </si>
  <si>
    <t>R1 | Method quality 39!V32</t>
  </si>
  <si>
    <t>R2 | Extraction!AG35</t>
  </si>
  <si>
    <t>Best F1-score was 0.98 for static and 0.96 for dynamic activities; across three independent sessions accuracy was 0.86 and F1-score 0.87.</t>
  </si>
  <si>
    <t>GF ~1 (0-30%); F1 0.98/0.96; multi-session</t>
  </si>
  <si>
    <t>For one participant, best weighted F1 was 0.98 for static and 0.96 for dynamic activities; the three-session dataset gave best accuracy 0.86 and weighted F1 0.87. Single-session data were split by whole movement cycles (80/10/10), with fourfold tuning on training/validation data.</t>
  </si>
  <si>
    <t>R1 | Data extraction 39!AH32</t>
  </si>
  <si>
    <t>R2 | Extraction!AH35</t>
  </si>
  <si>
    <t>Methods 2.4 describe one participant, cycle-based splits and three sessions. Tables 1 and 2 separate weighted F1 from accuracy and single- from multi-session results. Three-session data do not by themselves establish leave-one-session-out validation. Do not relabel F1 as accuracy; Table 1 static SVM accuracy is 0.99 while its F1 is 0.98.</t>
  </si>
  <si>
    <t>Retained main PDF pp. 7, 8, 12, 13</t>
  </si>
  <si>
    <t>Fully textile passive wireless multi-sensor garment with an explicit three-day don/doff repeatability test</t>
  </si>
  <si>
    <t>R1 | Data extraction 39!AI32</t>
  </si>
  <si>
    <t>Only one participant was tested and no external movement reference was used; garment-position variability reduced cross-session performance</t>
  </si>
  <si>
    <t>R1 | Data extraction 39!AJ32</t>
  </si>
  <si>
    <t>Seamlessly CNC-knitted smart crop top with four integrated sensors and knitted interconnects</t>
  </si>
  <si>
    <t>CNC-knitted multi-sensor shirt</t>
  </si>
  <si>
    <t>Knitting Smart Garment, Motion Capture System, participant protocol, Results, and complete Wiley article</t>
  </si>
  <si>
    <t>R1 | Data extraction 39!L33</t>
  </si>
  <si>
    <t>R2 | Extraction!I36</t>
  </si>
  <si>
    <t>Sensors are knitted from alternating courses of nonconductive spandex/polyester and silver-plated polyamide in a rib1×1 stitch; garment and interconnects are machine knitted. Classifies the demonstrated device; not a new eligibility decision.</t>
  </si>
  <si>
    <t>PDF page(s) 16; Experimental: digital knitting process; saved PDF pp. 16</t>
  </si>
  <si>
    <t>REC-01371_10.1002_adsr.202500067.pdf</t>
  </si>
  <si>
    <t>1d1d86cc974679388bf8389b127016ee93da6c566528acdc2eeb50bf4397285b</t>
  </si>
  <si>
    <t>Piezoresistive knitted strain sensing</t>
  </si>
  <si>
    <t>R1 | Data extraction 39!M33</t>
  </si>
  <si>
    <t>R2 | Extraction!J36</t>
  </si>
  <si>
    <t>Stretch separates conductive loops, reducing contact points and increasing resistance. Article distinguishes low-resistance knitted interconnects from the strain sensors. Classifies the demonstrated device; not a new eligibility decision.</t>
  </si>
  <si>
    <t>PDF page(s) 16; Sensor operation within knitting methods; saved PDF pp. 16</t>
  </si>
  <si>
    <t>Silver-plated polyamide sensing yarn and silver-cladded Zylon/PBO interconnect yarn</t>
  </si>
  <si>
    <t>Conductive + dielectric yarns</t>
  </si>
  <si>
    <t>R1 | Data extraction 39!N33</t>
  </si>
  <si>
    <t>R2 | Extraction!K36</t>
  </si>
  <si>
    <t>Spandex with DTY polyester air-covered non-conductive yarn</t>
  </si>
  <si>
    <t>Machine-knit smart shirt</t>
  </si>
  <si>
    <t>R1 | Data extraction 39!O33</t>
  </si>
  <si>
    <t>R2 | Extraction!L36</t>
  </si>
  <si>
    <t>Three-yarn CNC knitting formed the body-hugging garment, four strain sensors, interconnect network and electronics pocket in one manufacturing step</t>
  </si>
  <si>
    <t>CNC-knitted into shirt</t>
  </si>
  <si>
    <t>Seamless machine knitting of rib 1×1 resistive sensor zones, knitted interconnects and garment body.</t>
  </si>
  <si>
    <t>R1 | Data extraction 39!P33</t>
  </si>
  <si>
    <t>R2 | Extraction!M36</t>
  </si>
  <si>
    <t>Seamless machine knitting of rib 1×1 resistive sensor zones, knitted interconnects and garment body. Classifies the demonstrated device; not a new eligibility decision.</t>
  </si>
  <si>
    <t>Experimental: knitting and sensor operation; saved PDF pp. 16</t>
  </si>
  <si>
    <t>Shoulder/elbow joint-angle estimation and ergonomic muscle-fatigue assessment during upper-body movement</t>
  </si>
  <si>
    <t>Shoulder kinematics</t>
  </si>
  <si>
    <t>Movement/posture/gait monitoring; Ergonomic fatigue prediction (model-derived)</t>
  </si>
  <si>
    <t>R1 | Data extraction 39!Q33</t>
  </si>
  <si>
    <t>R2 | Extraction!N36</t>
  </si>
  <si>
    <t>Shoulder/elbow joint angles are obtained from knitted sensors and compared with Vicon. 3DSSPP uses these angles, anthropometry and assumed hand loads to predict %DC/%MVC; these are software-derived ergonomic estimates, not direct physiological muscle-fatigue measurements. Classifies the demonstrated device; not a new eligibility decision.</t>
  </si>
  <si>
    <t>§3 joint-angle model; §4 Predicting Muscle Fatigue from Joint Angles; saved PDF pp. 10, 11, 12, 13</t>
  </si>
  <si>
    <t>Human sample size: 1; Participant details: One healthy male subject was used for garment design and proof-of-concept motion testing</t>
  </si>
  <si>
    <t>1 user (customised)</t>
  </si>
  <si>
    <t>1 healthy male participant used for garment design and motion testing; reported height 174 cm and mass 62.5 kg.</t>
  </si>
  <si>
    <t>R1 | Data extraction 39!S33; R1 | Data extraction 39!T33</t>
  </si>
  <si>
    <t>R2 | Extraction!O36</t>
  </si>
  <si>
    <t>CONS | V1 consensus!H20</t>
  </si>
  <si>
    <t>Experimental Section; Regression Model Datasets and Training; Generating Muscle Fatigue Markers. Separates participant cohorts, bench tests, human repetitions, model training and experimental reference use.</t>
  </si>
  <si>
    <t>Saved main PDF pp. 6, 7, 15, 17, 18, 19, 20, 21</t>
  </si>
  <si>
    <t>Four full-range training actions followed by an unseen pick-and-hold validation task; exact repetition count was not reported in the available full text</t>
  </si>
  <si>
    <t>Four range-of-motion actions, five repetitions per action and three sets. First repetitions were removed during model preparation. An unseen pick-and-hold task is used for evaluation; separate-day sessions are not established.</t>
  </si>
  <si>
    <t>R1 | Method quality 39!K33</t>
  </si>
  <si>
    <t>R2 | Extraction!P36</t>
  </si>
  <si>
    <t>Four sensor signals synchronized with Vicon joint angles, denoised by 1D wavelet decomposition and used to train a regression model</t>
  </si>
  <si>
    <t>regression model, trained on several</t>
  </si>
  <si>
    <t>Sensor signals were remapped to Vicon's 100-Hz timeline, synchronized and fitted with optimized regression coefficients; this is not evidence of native 100-Hz sensor acquisition. The 150-cycle stop rule is optimization, not mechanical durability or human repetitions.</t>
  </si>
  <si>
    <t>R1 | Method quality 39!L33</t>
  </si>
  <si>
    <t>R2 | Extraction!Q36</t>
  </si>
  <si>
    <t>Yes — eight-camera Vicon optical motion-capture system with 12 reflective markers</t>
  </si>
  <si>
    <t>Vicon motion capture</t>
  </si>
  <si>
    <t>Eight-camera Vicon optical motion capture with 12 markers for joint angles. Ergonomics-software fatigue markers are model outputs, not direct physiological fatigue measurements.</t>
  </si>
  <si>
    <t>R1 | Data extraction 39!U33</t>
  </si>
  <si>
    <t>R2 | Extraction!R36</t>
  </si>
  <si>
    <t>Sensing yarn characterized to 2.2 times original length (120% engineering extension by conversion); the main article separately mentions ≥100% for interconnects.</t>
  </si>
  <si>
    <t>R1 | Data extraction 39!W33</t>
  </si>
  <si>
    <t>R2 | Extraction!S36</t>
  </si>
  <si>
    <t>Current sensor characterized to 2.2× initial length (120% engineering strain); garment pretension 40%</t>
  </si>
  <si>
    <t>PDF page(s) 7, 16; Design and fabrication sections</t>
  </si>
  <si>
    <t>The 2.2× statement refers to sensing-element resistance; the up-to-100% wording in the following section concerns interconnects. Keep the measured object and conversion explicit; do not treat interconnect stretch as the sensing range.</t>
  </si>
  <si>
    <t>PDF pp. 16, 17</t>
  </si>
  <si>
    <t>R1 | Data extraction 39!X33</t>
  </si>
  <si>
    <t>R2 | Extraction!T36</t>
  </si>
  <si>
    <t>Second-order regression converted four sensor signals to joint angles; unseen-task RMSEs were 12.78°, 3.27°, 15.38°, and 10.72° for the four joint-angle outputs</t>
  </si>
  <si>
    <t>Second-order sensor-to-joint-angle regression and unseen-task angular RMSEs are calibration/validation results, not intrinsic linear strain–response statistics.</t>
  </si>
  <si>
    <t>R1 | Data extraction 39!AA33</t>
  </si>
  <si>
    <t>R2 | Extraction!U36</t>
  </si>
  <si>
    <t>Four sensor signals are mapped to joint-angle outputs using second-order models. Retains nonlinear model performance in validation rather than labelling it sensor linearity.</t>
  </si>
  <si>
    <t>Saved main PDF p 10 Equation 3; pp 19–20 parameter fitting and evaluation</t>
  </si>
  <si>
    <t>Supporting FigS 5 shows loading–unloading behavior qualitatively; no numerical hysteresis metric is reported in that figure.</t>
  </si>
  <si>
    <t>R1 | Data extraction 39!AB33</t>
  </si>
  <si>
    <t>R2 | Extraction!V36</t>
  </si>
  <si>
    <t>Normalized resistance–strain curves show loading/unloading response. Approved E2=0/E3=1 remain unchanged; no sensitivity or hysteresis percentage digitized.</t>
  </si>
  <si>
    <t>Supplement PDF p 4, FigS 5</t>
  </si>
  <si>
    <t>REC-01371_10.1002_adsr.202500067.pdf; adsr70075-sup-0001-suppmat.pdf</t>
  </si>
  <si>
    <t>1d1d86cc974679388bf8389b127016ee93da6c566528acdc2eeb50bf4397285b; 2875ab17b7adf35006a82aa8bf628b0e16705da41cdb63b66e61eeca186b66e7</t>
  </si>
  <si>
    <t>Repeated full-range actions produced consistent signal sets; formal long-term drift was not reported</t>
  </si>
  <si>
    <t>Supporting FigS 9 shows qualitative consistency across repeated full-range actions (five repetitions in three sets); no numerical drift or repeatability metric extracted.</t>
  </si>
  <si>
    <t>R1 | Data extraction 39!AC33</t>
  </si>
  <si>
    <t>R2 | Extraction!W36</t>
  </si>
  <si>
    <t>Repeated action traces are shown with consistent patterns. Approved E3=1 remains unchanged; qualitative evidence is not quantified repeatability.</t>
  </si>
  <si>
    <t>Supplement PDF p 6, FigS 9</t>
  </si>
  <si>
    <t>R1 | Data extraction 39!Y33; R1 | Data extraction 39!Z33</t>
  </si>
  <si>
    <t>R2 | Extraction!X36</t>
  </si>
  <si>
    <t>Repeated-strain continuity demonstrated; cycle count not reported in the reviewed article</t>
  </si>
  <si>
    <t>150 cycles if no improvements are made a</t>
  </si>
  <si>
    <t>Repeated-strain continuity is shown in Supporting Figure S5b; the main-text value of 150 cycles is optimizer stopping, not mechanical durability.</t>
  </si>
  <si>
    <t>R1 | Data extraction 39!AD33</t>
  </si>
  <si>
    <t>R2 | Extraction!Y36</t>
  </si>
  <si>
    <t>The experimental section places 150 cycles within coefficient optimization with no-improvement stopping. Remove the optimizer iteration count from mechanical endurance.</t>
  </si>
  <si>
    <t>PDF pp. 16, 19</t>
  </si>
  <si>
    <t>This is source checking by the assistant, not a second independent rating, new consensus or screening decision. Remaining limitation: No numerical mechanical-cycle count is established by the inspected main-text passages; SI must be checked separately.</t>
  </si>
  <si>
    <t>Four sensors in one garment; manufacturing repeatability across garments not reported</t>
  </si>
  <si>
    <t>Four sensors are integrated into one garment; no independently replicated garment comparison is established by the cited demonstrations.</t>
  </si>
  <si>
    <t>R1 | Method quality 39!P33</t>
  </si>
  <si>
    <t>R2 | Extraction!Z36</t>
  </si>
  <si>
    <t>Four elements support multi-joint motion measurement. An element count is not manufacturing repeatability of the integrated garment.</t>
  </si>
  <si>
    <t>Saved main PDF pp 7–8, garment design andvalidation; p 21 single-user limitation</t>
  </si>
  <si>
    <t>R1 | Data extraction 39!AE33</t>
  </si>
  <si>
    <t>R2 | Extraction!AA36</t>
  </si>
  <si>
    <t>R1 | Data extraction 39!AF33</t>
  </si>
  <si>
    <t>R2 | Extraction!AB36</t>
  </si>
  <si>
    <t>R2 | Extraction!AC36</t>
  </si>
  <si>
    <t>Body-hugging, lightweight knitted undershirt; comfort/breathability were discussed but not formally measured</t>
  </si>
  <si>
    <t>breathable, and stretchable under</t>
  </si>
  <si>
    <t>R1 | Data extraction 39!AG33</t>
  </si>
  <si>
    <t>R2 | Extraction!AD36</t>
  </si>
  <si>
    <t>Body-hugging crop top; sensor locations selected from skin-strain mapping and placed at three shoulder sites and one elbow site</t>
  </si>
  <si>
    <t>placement and bending, brackets se</t>
  </si>
  <si>
    <t>R1 | Method quality 39!T33</t>
  </si>
  <si>
    <t>R2 | Extraction!AE36</t>
  </si>
  <si>
    <t>Arduino MKRZero custom PCB, snap-button contacts and onboard SD-card logging</t>
  </si>
  <si>
    <t>PCB) to the smart crop top u</t>
  </si>
  <si>
    <t>R1 | Method quality 39!U33</t>
  </si>
  <si>
    <t>R2 | Extraction!AF36</t>
  </si>
  <si>
    <t>R1 | Method quality 39!V33</t>
  </si>
  <si>
    <t>R2 | Extraction!AG36</t>
  </si>
  <si>
    <t>For an unseen pick-and-hold task, joint-angle RMSE ranged from 3.26° to 15.38°; ergonomics-output RMSE reached 0.787% MVC and 1.896% duty-cycle limit.</t>
  </si>
  <si>
    <t>Joint angle vs Vicon; RMSE 0.787%</t>
  </si>
  <si>
    <t>On a pick-and-hold task withheld from the four-ROM calibration, Vicon-referenced joint-angle RMSEs were 12.78° shoulder vertical, 3.27° shoulder horizontal, 15.38° elbow vertical and 10.72° elbow horizontal. Separate 3DSSPP-output RMSE maxima were 0.787 percentage points MVC and 1.896 percentage points duty-cycle limit.</t>
  </si>
  <si>
    <t>R1 | Data extraction 39!AH33</t>
  </si>
  <si>
    <t>R2 | Extraction!AH36</t>
  </si>
  <si>
    <t>Figure 5/Results assign the four angle RMSEs. The subsequent section feeds garment- or Vicon-derived angles into the same ergonomics software, comparing predicted %MVC and %DC outputs across hand loads. Correct the earlier minimum 3.26° to 3.27° from the inspected text. The 0.787 figure is not joint-angle error or direct physiological muscle-fatigue validation; percentage-valued outputs yield percentage-point absolute errors.</t>
  </si>
  <si>
    <t>Retained main PDF pp. 11, 12, 13, 14</t>
  </si>
  <si>
    <t>Seamless garment-level manufacture with an external Vicon reference and validation on an activity outside the training set</t>
  </si>
  <si>
    <t>R1 | Data extraction 39!AI33</t>
  </si>
  <si>
    <t>Single-subject proof of concept without laundering, durability or inter-user transfer testing</t>
  </si>
  <si>
    <t>R1 | Data extraction 39!AJ33</t>
  </si>
  <si>
    <t>Electrospun porous thermoplastic-polyurethane fibre-mat sensor</t>
  </si>
  <si>
    <t>CLPT fibre (data glove)</t>
  </si>
  <si>
    <t>Methods (forearm irritation), Fig. 5 human monitoring, Fig. 6 data glove/insole, and complete open-access Springer article</t>
  </si>
  <si>
    <t>R1 | Data extraction 39!L34</t>
  </si>
  <si>
    <t>R2 | Extraction!I37</t>
  </si>
  <si>
    <t>Electrospinning on a collector produces a TPU fibrous membrane/mat. PDA treatment, liquid metal deposition and CNT loading functionalize this mat. Classifies the demonstrated device; not a new eligibility decision.</t>
  </si>
  <si>
    <t>PDF page(s) 5, 6; §2.2 TPU fibre mat; §2.3 CLPT strain sensor; saved PDF pp. 5, 6</t>
  </si>
  <si>
    <t>REC-01389_10.1007_s42114-026-01978-2.pdf</t>
  </si>
  <si>
    <t>300282bec24a8be9d33ddf780e9a06b59ac8e9726c7a79fc9d68b19b8562f668</t>
  </si>
  <si>
    <t>Resistive composite-network strain sensing</t>
  </si>
  <si>
    <t>R1 | Data extraction 39!M34</t>
  </si>
  <si>
    <t>R2 | Extraction!J37</t>
  </si>
  <si>
    <t>Relative resistance and GF are explicitly computed from resistance readings during tensile strain. Classifies the demonstrated device; not a new eligibility decision.</t>
  </si>
  <si>
    <t>PDF page(s) 6, 7; §2.5 Testing sensing performance; saved PDF pp. 6, 7</t>
  </si>
  <si>
    <t>Carbon nanotubes and Ga75In25 liquid metal immobilized by polydopamine</t>
  </si>
  <si>
    <t>CNT + liquid metal (CLPT)</t>
  </si>
  <si>
    <t>R1 | Data extraction 39!N34</t>
  </si>
  <si>
    <t>R2 | Extraction!K37</t>
  </si>
  <si>
    <t>Electrospun thermoplastic polyurethane fibre mat</t>
  </si>
  <si>
    <t>TPU fibre mat</t>
  </si>
  <si>
    <t>R1 | Data extraction 39!O34</t>
  </si>
  <si>
    <t>R2 | Extraction!L37</t>
  </si>
  <si>
    <t>PDA coating followed by ultrasonic liquid-metal and CNT loading; sensor attached on body and integrated into a glove and insole</t>
  </si>
  <si>
    <t>Integrated into data glove</t>
  </si>
  <si>
    <t>Electrospun TPU mat functionalised with PDA/liquid metal/CNTs; cut sensor elements attached to body, mask, glove or insole.</t>
  </si>
  <si>
    <t>R1 | Data extraction 39!P34</t>
  </si>
  <si>
    <t>R2 | Extraction!M37</t>
  </si>
  <si>
    <t>Electrospun TPU mat functionalised with PDA/liquid metal/CNTs; cut sensor elements attached to body, mask, glove or insole. Classifies the demonstrated device; not a new eligibility decision.</t>
  </si>
  <si>
    <t>§2.2–2.3 and Figs. 5–6; saved PDF pp. 5, 6, 21, 23, 25</t>
  </si>
  <si>
    <t>Physiological signals, joint motion, gesture-controlled robotic hand and gait recognition</t>
  </si>
  <si>
    <t>Pulse &amp; HMI hand gesture</t>
  </si>
  <si>
    <t>Movement/posture/gait monitoring; Respiration; Pulse/heartbeat; Speech/swallowing/facial motion; Robotic-hand/HMI interaction</t>
  </si>
  <si>
    <t>R1 | Data extraction 39!Q34</t>
  </si>
  <si>
    <t>R2 | Extraction!N37</t>
  </si>
  <si>
    <t>Pulse, mask-based breathing, eye/facial movement and joint motion were recorded; a data glove controls a robotic hand and an insole supports gait recognition. Classifies the demonstrated device; not a new eligibility decision.</t>
  </si>
  <si>
    <t>Wearable testing; Figs. 5–6; saved PDF pp. 21, 22, 23, 25</t>
  </si>
  <si>
    <t>Human sample size: 3 for the five-day skin-compatibility test; participant count for motion demonstrations was not reported; Participant details: One healthy 24-year-old man and two healthy 25-year-old male staff members completed the forearm skin-compatibility test</t>
  </si>
  <si>
    <t>Skin-compatibility study: 3 men (one aged 24 and two aged 25 years). Participant count for motion/physiological sensing demonstrations is not stated in the checked main text.</t>
  </si>
  <si>
    <t>R1 | Data extraction 39!S34; R1 | Data extraction 39!T34</t>
  </si>
  <si>
    <t>R2 | Extraction!O37</t>
  </si>
  <si>
    <t>CONS | V1 consensus!H21</t>
  </si>
  <si>
    <t>Section 2.6; Figures 2, 5 and 6. Comfort-test volunteers are not automatically the motion-validation sample. Separates participant cohorts, bench tests, human repetitions, model training and experimental reference use.</t>
  </si>
  <si>
    <t>Saved main PDF pp. 7, 15, 21, 22, 23</t>
  </si>
  <si>
    <t>Five-day continuous wear test; repeated joint/physiological demonstrations and 3,000-cycle benchtop tests</t>
  </si>
  <si>
    <t>Five-day skin-compatibility exposure. This is not five independent motion-validation sessions. Repeated motion traces are shown, but human session count is not specified.</t>
  </si>
  <si>
    <t>R1 | Method quality 39!K34</t>
  </si>
  <si>
    <t>R2 | Extraction!P37</t>
  </si>
  <si>
    <t>Bench resistance-strain characterization using a tensile tester and electrometer with 15-mm gauge length. No participant-specific biomechanical calibration identified in the checked sections.</t>
  </si>
  <si>
    <t>R1 | Method quality 39!L34</t>
  </si>
  <si>
    <t>R2 | Extraction!Q37</t>
  </si>
  <si>
    <t>No external biomechanical or physiological reference identified</t>
  </si>
  <si>
    <t>On-body and robotic-hand demonstrations; no external biomechanical/physiological reference identified in the checked main-text application sections.</t>
  </si>
  <si>
    <t>R1 | Data extraction 39!U34</t>
  </si>
  <si>
    <t>R2 | Extraction!R37</t>
  </si>
  <si>
    <t>0–359% linear sensing range; 0.1% detection limit</t>
  </si>
  <si>
    <t>strain range of up to 359%</t>
  </si>
  <si>
    <t>Representative characterization to approximately 359%; device-average linear range 357.56 ± 8.12%.</t>
  </si>
  <si>
    <t>R1 | Data extraction 39!W34</t>
  </si>
  <si>
    <t>R2 | Extraction!S37</t>
  </si>
  <si>
    <t>The discussion reports a representative range and a separate sample-average range. Do not conflate a representative curve with a mean and uncertainty.</t>
  </si>
  <si>
    <t>Mean 1.75 ± 0.095 over an average linear range of 357.56 ± 8.12%</t>
  </si>
  <si>
    <t>GF of 1.75</t>
  </si>
  <si>
    <t>Average GF 1.75 ± 0.095; associated mean linear range 357.56 ± 8.12%, mean linearity 0.9996 ± 0.00015.</t>
  </si>
  <si>
    <t>R1 | Data extraction 39!X34</t>
  </si>
  <si>
    <t>R2 | Extraction!T37</t>
  </si>
  <si>
    <t>The text transcribes the multi-sample Supporting Figure S8 summary. Keep the GF and range as device-mean summaries; do not pretend that 357.56% is a common imposed endpoint in every specimen.</t>
  </si>
  <si>
    <t>R² = 0.9999 to 359% strain; replicate mean 0.9996 ± 0.00015</t>
  </si>
  <si>
    <t>linearity of 0.9999</t>
  </si>
  <si>
    <t>Reported optimized-sensor linearity 0.9999 to 359% strain; replicate mean 0.9996±0.00015. The cited text does not define the ± statistic or give the replicate count.</t>
  </si>
  <si>
    <t>R1 | Data extraction 39!AA34</t>
  </si>
  <si>
    <t>R2 | Extraction!U37</t>
  </si>
  <si>
    <t>The sensor is described as highly linear across the full range and subranges. Retains reported linearity without silently inventing sample size or uncertainty type.</t>
  </si>
  <si>
    <t>Saved main PDF p 16, Fig 3 and discussion of FigsS 7–S8</t>
  </si>
  <si>
    <t>Hysteresis intensity 13% at 50% strain</t>
  </si>
  <si>
    <t>hysteresis intensity of 13%</t>
  </si>
  <si>
    <t>Reported hysteresis intensity 13% at 50% strain.</t>
  </si>
  <si>
    <t>R1 | Data extraction 39!AB34</t>
  </si>
  <si>
    <t>R2 | Extraction!V37</t>
  </si>
  <si>
    <t>The scalar hysteresis intensity and strain condition are explicitly reported in the main text. Main-text numerical report; the underlying SI graph was not independently digitized.</t>
  </si>
  <si>
    <t>Saved main PDF p 18, discussion of FigS 10</t>
  </si>
  <si>
    <t>Initial resistance changed by less than 0.5% after 14 days of ambient storage; multiple samples showed similar linear range and GF</t>
  </si>
  <si>
    <t>Initial resistance changes&lt;0.5% after 14 days ambient storage;3,000-cycle tests at 10% and 50% strain are described as stable.</t>
  </si>
  <si>
    <t>R1 | Data extraction 39!AC34</t>
  </si>
  <si>
    <t>R2 | Extraction!W37</t>
  </si>
  <si>
    <t>Storage-related baseline change and cyclic response are separate tests. Does not conflate storage drift with between-device variation.</t>
  </si>
  <si>
    <t>Saved main PDF p 18, stability results</t>
  </si>
  <si>
    <t>Response time: 80 ms at 0.5% strain; Recovery time: 170 ms at 0.5% strain</t>
  </si>
  <si>
    <t>response and recovery times of 80 ms</t>
  </si>
  <si>
    <t>Response 80 ms; recovery 170 ms at 0.5% strain.</t>
  </si>
  <si>
    <t>R1 | Data extraction 39!Y34; R1 | Data extraction 39!Z34</t>
  </si>
  <si>
    <t>R2 | Extraction!X37</t>
  </si>
  <si>
    <t>The Results explicitly associate both values with the same step amplitude. Preserve the author-reported value and its measurement conditions; do not collapse distinct test types.</t>
  </si>
  <si>
    <t>PDF pp. 18</t>
  </si>
  <si>
    <t>3,000 stretch–release cycles at 10% and 50% strain</t>
  </si>
  <si>
    <t>3,000 cycles at 10% and 3,000 cycles at 50% in separate tests.</t>
  </si>
  <si>
    <t>R1 | Data extraction 39!AD34</t>
  </si>
  <si>
    <t>R2 | Extraction!Y37</t>
  </si>
  <si>
    <t>The fatigue discussion describes two strain amplitudes separately. Preserve the author-reported value and its measurement conditions; do not collapse distinct test types.</t>
  </si>
  <si>
    <t>PDF pp. 17, 18</t>
  </si>
  <si>
    <t>This is source checking by the assistant, not a second independent rating, new consensus or screening decision. Remaining limitation: Cycle frequencies not verified in inspected passages.</t>
  </si>
  <si>
    <t>Replicate linear range 357.56 ± 8.12%, GF 1.75 ± 0.095 and linearity 0.9996 ± 0.00015</t>
  </si>
  <si>
    <t>Replicate linear range 357.56±8.12%, GF 1.75±0.095 and linearity 0.9996±0.00015. Exact replicate n and meaning of ± are not specified in the inspected main-text passage.</t>
  </si>
  <si>
    <t>R1 | Method quality 39!P34</t>
  </si>
  <si>
    <t>R2 | Extraction!Z37</t>
  </si>
  <si>
    <t>Different specimens are explicitly compared and mean±variation is reported. Retains genuine replication evidence, while preserving missing sample-size/uncertainty details.</t>
  </si>
  <si>
    <t>Saved main PDF p 16, discussion of FigS 8</t>
  </si>
  <si>
    <t>R1 | Data extraction 39!AE34</t>
  </si>
  <si>
    <t>R2 | Extraction!AA37</t>
  </si>
  <si>
    <t>Artificial-sweat immersion, water-vapour permeability and 35–70 °C resistance testing; resistance change below 2% at 35–40 °C</t>
  </si>
  <si>
    <t>artificial sweat and subsequently dried before</t>
  </si>
  <si>
    <t>Artificial-sweat immersion followed by drying; negligible reported resistance/morphology change. Thermal tests over 35–70 °C; resistance variation &lt;2% over 35–40 °C.</t>
  </si>
  <si>
    <t>R1 | Data extraction 39!AF34</t>
  </si>
  <si>
    <t>R2 | Extraction!AB37</t>
  </si>
  <si>
    <t>Sweat and temperature sections distinguish dried post-exposure measurements from the thermal sweep. Preserve the author-reported value and its measurement conditions; do not collapse distinct test types.</t>
  </si>
  <si>
    <t>PDF pp. 15, 28</t>
  </si>
  <si>
    <t>This is source checking by the assistant, not a second independent rating, new consensus or screening decision. Remaining limitation: Sweat formulation and exposure duration are not established in these passages.</t>
  </si>
  <si>
    <t>R2 | Extraction!AC37</t>
  </si>
  <si>
    <t>Water-vapour permeability 1,530 ± 22.1 g m−2 day−1; three-person continuous five-day forearm test showed no visible redness or discomfort</t>
  </si>
  <si>
    <t>breathability and moisture permea</t>
  </si>
  <si>
    <t>Water-vapour permeability 1,530 ± 22.1 g m⁻² day⁻¹; three volunteers wore samples on their forearms for five consecutive days, with no visible redness/discomfort for the CLPT mat.</t>
  </si>
  <si>
    <t>R1 | Data extraction 39!AG34</t>
  </si>
  <si>
    <t>R2 | Extraction!AD37</t>
  </si>
  <si>
    <t>The source provides a numerical transmission rate and a separate short skin-compatibility comparison. Do not equate a small visual skin check with clinical long-term safety or broad comfort validation.</t>
  </si>
  <si>
    <t>PDF pp. 7, 11, 15</t>
  </si>
  <si>
    <t>Sensors attached at several anatomical sites and incorporated into glove/insole demonstrators; pretension protocol not reported</t>
  </si>
  <si>
    <t>R1 | Method quality 39!T34</t>
  </si>
  <si>
    <t>R2 | Extraction!AE37</t>
  </si>
  <si>
    <t>Wireless microcontroller used for robotic-hand/gait demonstrations; complete component and power details was not reported in the available full text</t>
  </si>
  <si>
    <t>ADC module of MCU-1, an</t>
  </si>
  <si>
    <t>R1 | Method quality 39!U34</t>
  </si>
  <si>
    <t>R2 | Extraction!AF37</t>
  </si>
  <si>
    <t>Data availability The data that support the findings</t>
  </si>
  <si>
    <t>R1 | Method quality 39!V34</t>
  </si>
  <si>
    <t>R2 | Extraction!AG37</t>
  </si>
  <si>
    <t>Linear response to 359% strain (R² 0.9999), mean GF 1.75 ± 0.095, 80/170 ms response/recovery, 13% hysteresis and stability over 3,000 cycles.</t>
  </si>
  <si>
    <t>Linearity 0.9999; range 359%; GF 1.75; 3000 cyc; sweat</t>
  </si>
  <si>
    <t>Representative linear range 359% with R²=0.9999; mean GF 1.75±0.095; response/recovery 80/170 ms at 0.5%; hysteresis intensity 13% at 50%; 3,000-cycle tests at 10% and 50% strain.</t>
  </si>
  <si>
    <t>R1 | Data extraction 39!AH34</t>
  </si>
  <si>
    <t>R2 | Extraction!AH37</t>
  </si>
  <si>
    <t>The linearity/reproducibility sections distinguish representative range from device-mean GF; dynamic, hysteresis and durability Results specify the associated strains. Retain test-specific strain amplitudes rather than attributing all metrics to the 359% endpoint.</t>
  </si>
  <si>
    <t>Retained main PDF pp. 15, 16, 17, 18, 19</t>
  </si>
  <si>
    <t>Broad quantitative characterization including replicate consistency, sweat, temperature, permeability, storage stability and a five-day skin test</t>
  </si>
  <si>
    <t>R1 | Data extraction 39!AI34</t>
  </si>
  <si>
    <t>Human motion demonstrations lacked participant counts and external reference validation; washing and extended garment-use studies were not reported</t>
  </si>
  <si>
    <t>R1 | Data extraction 39!AJ34</t>
  </si>
  <si>
    <t>Textile capacitive soft strain sensors attached to knee pads</t>
  </si>
  <si>
    <t>Textile capacitive on knee pads</t>
  </si>
  <si>
    <t>Publisher article: knee-pad gait protocol and IMU comparison</t>
  </si>
  <si>
    <t>R1 | Data extraction 39!L35</t>
  </si>
  <si>
    <t>R2 | Extraction!I38</t>
  </si>
  <si>
    <t>Two conductive knit plates made from Shieldex Technik-tex P130+B sandwich an Ecoflex00-30 dielectric; layers are laser cut and bonded. Classifies the demonstrated device; not a new eligibility decision.</t>
  </si>
  <si>
    <t>PDF page(s) 4; §III.A Hardware details; saved PDF pp. 4</t>
  </si>
  <si>
    <t>REC-01695_10.1109_tim.2023.3334347.pdf</t>
  </si>
  <si>
    <t>9266c5d633d081aca6a339a03717c60b9d9bc7a5f97d00ab65dd6a7105537481</t>
  </si>
  <si>
    <t>Capacitive textile strain sensing</t>
  </si>
  <si>
    <t>R1 | Data extraction 39!M35</t>
  </si>
  <si>
    <t>R2 | Extraction!J38</t>
  </si>
  <si>
    <t>Stretch increases electrode area and decreases dielectric separation, raising capacitance; the measured strain signal is capacitance. Classifies the demonstrated device; not a new eligibility decision.</t>
  </si>
  <si>
    <t>PDF page(s) 4, 5; §III.A capacitance equation and acquisition; saved PDF pp. 4, 5</t>
  </si>
  <si>
    <t>Conductive-fabric electrodes; exact composition not reported in the reviewed source</t>
  </si>
  <si>
    <t>Conductive plates + dielectric</t>
  </si>
  <si>
    <t>R1 | Data extraction 39!N35</t>
  </si>
  <si>
    <t>R2 | Extraction!K38</t>
  </si>
  <si>
    <t>Technik-tex P130+B silver-nanowire/elastomer conductive knit electrodes with Ecoflex 00-30 silicone dielectric, attached to knee pads</t>
  </si>
  <si>
    <t>Knee-pad textile</t>
  </si>
  <si>
    <t>R1 | Data extraction 39!O35</t>
  </si>
  <si>
    <t>R2 | Extraction!L38</t>
  </si>
  <si>
    <t>Soft capacitive sensors mounted over the knees in wearable pads</t>
  </si>
  <si>
    <t>Attached to knee pads</t>
  </si>
  <si>
    <t>Laser-cut conductive knitted plates bonded around Ecoflex dielectric; capacitive laminate integrated at the knee for gait sensing.</t>
  </si>
  <si>
    <t>R1 | Data extraction 39!P35</t>
  </si>
  <si>
    <t>R2 | Extraction!M38</t>
  </si>
  <si>
    <t>Laser-cut conductive knitted plates bonded around Ecoflex dielectric; capacitive laminate integrated at the knee for gait sensing. Classifies the demonstrated device; not a new eligibility decision.</t>
  </si>
  <si>
    <t>§III.A and §IV; saved PDF pp. 4, 9, 10</t>
  </si>
  <si>
    <t>Real-time stride-length estimation for pedestrian dead reckoning</t>
  </si>
  <si>
    <t>Stride-length estimation</t>
  </si>
  <si>
    <t>R1 | Data extraction 39!Q35</t>
  </si>
  <si>
    <t>R2 | Extraction!N38</t>
  </si>
  <si>
    <t>Knee-mounted capacitive textile sensors estimate stride length during walking; smartphone IMU data provide an additional measurement stream. Classifies the demonstrated device; not a new eligibility decision.</t>
  </si>
  <si>
    <t>§IV Data acquisition; stride-length results; saved PDF pp. 9, 10, 11</t>
  </si>
  <si>
    <t>Human sample size: not reported; Participant details: 16 volunteers (11 male, 5 female), 20-33 years, height 160-190 cm</t>
  </si>
  <si>
    <t>16 volunteers: 11 men and 5 women, aged 20-33 years, heights 160-190 cm. One participant contributes the extended real-time dataset; not an additional unique participant.</t>
  </si>
  <si>
    <t>R1 | Data extraction 39!S35; R1 | Data extraction 39!T35</t>
  </si>
  <si>
    <t>R2 | Extraction!O38</t>
  </si>
  <si>
    <t>Sections III/IV; Calibration and dataset acquisition. Correct the internally inconsistent original sample-size entry. Separates participant cohorts, bench tests, human repetitions, model training and experimental reference use.</t>
  </si>
  <si>
    <t>Each participant completed six right strides on each of five labelled paths; one subject contributed approximately 10 min per path for the real-time dataset</t>
  </si>
  <si>
    <t>Six right strides along each of five predefined paths. Extended acquisition from one participant lasts about 10 min per path (about 50 min total).</t>
  </si>
  <si>
    <t>R1 | Method quality 39!K35</t>
  </si>
  <si>
    <t>R2 | Extraction!P38</t>
  </si>
  <si>
    <t>Supervised stride-length model with adaptive stride detection and gait-phase features</t>
  </si>
  <si>
    <t>calibration of UWB data and a noise varianc</t>
  </si>
  <si>
    <t>Initial standing and approximately 100-degree knee flexion establish sensor limits. Approximately 10 s of individual walking data provide feature calibration before real-time use.</t>
  </si>
  <si>
    <t>R1 | Method quality 39!L35</t>
  </si>
  <si>
    <t>R2 | Extraction!Q38</t>
  </si>
  <si>
    <t>Yes — predetermined path stride lengths supplied labels; performance was compared with smartphone IMUs</t>
  </si>
  <si>
    <t>Smartphone IMU</t>
  </si>
  <si>
    <t>Paths with predefined stride intervals (40, 60, 80, 100 and 120 cm) supply labels; smartphone IMU estimates are a comparison method, not direct optical ground truth.</t>
  </si>
  <si>
    <t>R1 | Data extraction 39!U35</t>
  </si>
  <si>
    <t>R2 | Extraction!R38</t>
  </si>
  <si>
    <t>Sensor/design described as tolerating up to 50% stretch; a calibrated strain interval is not established in this inspected description.</t>
  </si>
  <si>
    <t>R1 | Data extraction 39!W35</t>
  </si>
  <si>
    <t>R2 | Extraction!S38</t>
  </si>
  <si>
    <t>The design paragraph attributes 50% stretchability without surface deterioration to the soft sensing structure. A design stretchability statement is not equivalent to a metrologically validated operating range.</t>
  </si>
  <si>
    <t>This is source checking by the assistant, not a second independent rating, new consensus or screening decision. Remaining limitation: Confirm a study-specific strain calibration range, if reported elsewhere.</t>
  </si>
  <si>
    <t>R1 | Data extraction 39!X35</t>
  </si>
  <si>
    <t>R2 | Extraction!T38</t>
  </si>
  <si>
    <t>R1 | Data extraction 39!AA35</t>
  </si>
  <si>
    <t>R2 | Extraction!U38</t>
  </si>
  <si>
    <t>R1 | Data extraction 39!AB35</t>
  </si>
  <si>
    <t>R2 | Extraction!V38</t>
  </si>
  <si>
    <t>R1 | Data extraction 39!AC35</t>
  </si>
  <si>
    <t>R2 | Extraction!W38</t>
  </si>
  <si>
    <t>response time, hysteresis, etc. S</t>
  </si>
  <si>
    <t>R1 | Data extraction 39!Y35; R1 | Data extraction 39!Z35</t>
  </si>
  <si>
    <t>R2 | Extraction!X38</t>
  </si>
  <si>
    <t>R1 | Data extraction 39!AD35</t>
  </si>
  <si>
    <t>R2 | Extraction!Y38</t>
  </si>
  <si>
    <t>not reported</t>
  </si>
  <si>
    <t>R1 | Method quality 39!P35</t>
  </si>
  <si>
    <t>R2 | Extraction!Z38</t>
  </si>
  <si>
    <t>R1 | Data extraction 39!AE35</t>
  </si>
  <si>
    <t>R2 | Extraction!AA38</t>
  </si>
  <si>
    <t>R1 | Data extraction 39!AF35</t>
  </si>
  <si>
    <t>R2 | Extraction!AB38</t>
  </si>
  <si>
    <t>R2 | Extraction!AC38</t>
  </si>
  <si>
    <t>Knee-pad wearable configuration; formal comfort or breathability assessment was not reported in the reviewed source</t>
  </si>
  <si>
    <t>R1 | Data extraction 39!AG35</t>
  </si>
  <si>
    <t>R2 | Extraction!AD38</t>
  </si>
  <si>
    <t>Sensor attached to the right knee pad with Velcro; standing and approximately 100° knee flexion defined participant-specific normalization</t>
  </si>
  <si>
    <t>placement, rather than directly se</t>
  </si>
  <si>
    <t>R1 | Method quality 39!T35</t>
  </si>
  <si>
    <t>R2 | Extraction!AE38</t>
  </si>
  <si>
    <t>DFRobot Beetle BLE (Arduino Uno plus BLE), 3.7 V Li-Po battery, smartphone Bluetooth acquisition, and Android application</t>
  </si>
  <si>
    <t>Bluetooth, ultra-wideband (UW</t>
  </si>
  <si>
    <t>R1 | Method quality 39!U35</t>
  </si>
  <si>
    <t>R2 | Extraction!AF38</t>
  </si>
  <si>
    <t>R1 | Method quality 39!V35</t>
  </si>
  <si>
    <t>R2 | Extraction!AG38</t>
  </si>
  <si>
    <t>The proposed textile-sensor stride-length model achieved a mean absolute error of 8.73 cm and was compared with smartphone-IMU estimates.</t>
  </si>
  <si>
    <t>Stride-length MAE 8.73 cm; IMU comparator</t>
  </si>
  <si>
    <t>Real-time SVR stride-length estimation achieved MAE 8.735 cm (rounded 8.73 cm) and R²=0.841. Preset stride-interval paths supplied labels; smartphone-IMU estimates were a separate comparison method.</t>
  </si>
  <si>
    <t>R1 | Data extraction 39!AH35</t>
  </si>
  <si>
    <t>R2 | Extraction!AH38</t>
  </si>
  <si>
    <t>Methods define predefined 40/60/80/100/120-cm stride paths and individual calibration. The real-time Results give SVR MAE/R²; offline random-forest analysis is separate. Do not call the smartphone IMU optical ground truth or attribute real-time SVR performance to the offline random-forest model.</t>
  </si>
  <si>
    <t>Retained main PDF pp. 7, 8, 9, 10, 12</t>
  </si>
  <si>
    <t>Real-time application study using labelled walking paths and an IMU comparison</t>
  </si>
  <si>
    <t>R1 | Data extraction 39!AI35</t>
  </si>
  <si>
    <t>The accessible source did not provide participant count, sensor-construction detail, durability, laundering or uncertainty beyond MAE</t>
  </si>
  <si>
    <t>R1 | Data extraction 39!AJ35</t>
  </si>
  <si>
    <t>Six elastic piezoresistive textile elements arranged as a respiratory-monitoring smart textile</t>
  </si>
  <si>
    <t>Smart textile (knitted silver yarns)</t>
  </si>
  <si>
    <t>Publisher article: volunteer respiration study and motion-capture reference</t>
  </si>
  <si>
    <t>R1 | Data extraction 39!L36</t>
  </si>
  <si>
    <t>R2 | Extraction!I39</t>
  </si>
  <si>
    <t>The sensing elements are explicitly silver-plated knitted fabric, laser cut to dimensions; conductive intermeshed zones form the active sensor. Classifies the demonstrated device; not a new eligibility decision.</t>
  </si>
  <si>
    <t>PDF page(s) 2, 3; §II.A Principle of work; manufacturing; saved PDF pp. 2, 3</t>
  </si>
  <si>
    <t>REC-01736_10.1109_jsen.2019.2917617.pdf</t>
  </si>
  <si>
    <t>ae13ea1d0b821295beffab9468113cab8d5561f4271459114256f391be3c9c56</t>
  </si>
  <si>
    <t>Piezoresistive textile strain sensing</t>
  </si>
  <si>
    <t>R1 | Data extraction 39!M36</t>
  </si>
  <si>
    <t>R2 | Extraction!J39</t>
  </si>
  <si>
    <t>Stretch changes the resistance of knitted conductive contacts, interpreted through contact-resistance behaviour. Classifies the demonstrated device; not a new eligibility decision.</t>
  </si>
  <si>
    <t>PDF page(s) 2; §II.A Principle of work; saved PDF pp. 2</t>
  </si>
  <si>
    <t>Piezoresistive silver-plated knitted fabric: 89% silver and 11% spandex</t>
  </si>
  <si>
    <t>Silver conductive yarns</t>
  </si>
  <si>
    <t>R1 | Data extraction 39!N36</t>
  </si>
  <si>
    <t>R2 | Extraction!K39</t>
  </si>
  <si>
    <t>Elastic wearable textile support</t>
  </si>
  <si>
    <t>Knitted base structure</t>
  </si>
  <si>
    <t>R1 | Data extraction 39!O36</t>
  </si>
  <si>
    <t>R2 | Extraction!L39</t>
  </si>
  <si>
    <t>Six sensing elements of varied length and width were positioned around the thorax</t>
  </si>
  <si>
    <t>Knitted into smart textile</t>
  </si>
  <si>
    <t>Silver-plated knit sheet laser-cut into resistive strips; six sensing elements integrated on respiratory textile bands.</t>
  </si>
  <si>
    <t>R1 | Data extraction 39!P36</t>
  </si>
  <si>
    <t>R2 | Extraction!M39</t>
  </si>
  <si>
    <t>Silver-plated knit sheet laser-cut into resistive strips; six sensing elements integrated on respiratory textile bands. Classifies the demonstrated device; not a new eligibility decision.</t>
  </si>
  <si>
    <t>§II and smart-textile experiment; saved PDF pp. 2, 3, 5</t>
  </si>
  <si>
    <t>Respiratory-frequency monitoring during quiet breathing and tachypnoea</t>
  </si>
  <si>
    <t>Respiratory-frequency</t>
  </si>
  <si>
    <t>R1 | Data extraction 39!Q36</t>
  </si>
  <si>
    <t>R2 | Extraction!N39</t>
  </si>
  <si>
    <t>Six knitted piezoresistive elements monitor quiet breathing and tachypnea, compared with motion capture. Classifies the demonstrated device; not a new eligibility decision.</t>
  </si>
  <si>
    <t>Respiratory monitoring experiment; saved PDF pp. 2, 5, 6</t>
  </si>
  <si>
    <t>Human sample size: 4; Participant details: Four healthy volunteers</t>
  </si>
  <si>
    <t>4 volunteers</t>
  </si>
  <si>
    <t>4 healthy volunteers, aged 18-37 years; body mass 62-82 kg and height 163-193 cm.</t>
  </si>
  <si>
    <t>R1 | Data extraction 39!S36; R1 | Data extraction 39!T36</t>
  </si>
  <si>
    <t>R2 | Extraction!O39</t>
  </si>
  <si>
    <t>Sensing-element characterization and feasibility assessment. Marker count is not sample size. Separates participant cohorts, bench tests, human repetitions, model training and experimental reference use.</t>
  </si>
  <si>
    <t>Saved main PDF pp. 4, 8, 9</t>
  </si>
  <si>
    <t>Each of four volunteers completed approximately 120 s of quiet breathing and 60 s of simulated tachypnoea</t>
  </si>
  <si>
    <t>Approximately 120 s quiet breathing and 60 s simulated tachypnea per volunteer, each with brief apnea for synchronization. Separate-day sessions not specified.</t>
  </si>
  <si>
    <t>R1 | Method quality 39!K36</t>
  </si>
  <si>
    <t>R2 | Extraction!P39</t>
  </si>
  <si>
    <t>Static calibration and hysteresis analysis across sensor lengths and widths</t>
  </si>
  <si>
    <t>calibration and the hysteresis analysis wer</t>
  </si>
  <si>
    <t>Static sensor calibration with repeated controlled strain trials and hysteresis assessment. Human respiratory frequency is estimated from synchronized waveforms, not a volume calibration.</t>
  </si>
  <si>
    <t>R1 | Method quality 39!L36</t>
  </si>
  <si>
    <t>R2 | Extraction!Q39</t>
  </si>
  <si>
    <t>Yes — optical motion-capture reference system</t>
  </si>
  <si>
    <t>Motion-capture reference</t>
  </si>
  <si>
    <t>BTS Smart-D optical motion capture with 89 markers and OEP-Smart-derived chest volumes for reference respiratory timing.</t>
  </si>
  <si>
    <t>R1 | Data extraction 39!U36</t>
  </si>
  <si>
    <t>R2 | Extraction!R39</t>
  </si>
  <si>
    <t>Quasistatic characterization from resting length to 5% strain, at 1.5 mm/min; five trials per sensing element.</t>
  </si>
  <si>
    <t>R1 | Data extraction 39!W36</t>
  </si>
  <si>
    <t>R2 | Extraction!S39</t>
  </si>
  <si>
    <t>The sensitivity definition explicitly names 5% as the maximum applied strain; Methods report speed and repeated trials. The browser capture omits some inline mathematical symbols, but the maximum 5% appears in prose.</t>
  </si>
  <si>
    <t>PDF pp. 3, 4, 5</t>
  </si>
  <si>
    <t>Sensitivity assessed as a function of element length and width; a single conventional GF was not reported</t>
  </si>
  <si>
    <t>Voltage sensitivity magnitudes over 0–5%: 0.13, 0.26 and 0.58 V/% at width 0.5 cm and lengths 3, 5 and 7 cm; 0.05, 0.10 and 0.25 V/% at width 1 cm and the same lengths.</t>
  </si>
  <si>
    <t>R1 | Data extraction 39!X36</t>
  </si>
  <si>
    <t>R2 | Extraction!T39</t>
  </si>
  <si>
    <t>Equation 3 uses the change in output voltage divided by applied percentage strain. The text and retained math identify the units as V·%⁻¹, and specify both widths. These are voltage sensitivities, not conventional dimensionless resistance gauge factors; retain magnitude rather than assuming sign.</t>
  </si>
  <si>
    <t>Static calibration performed; numerical linearity statistic not reported</t>
  </si>
  <si>
    <t>Static calibration uses a quadratic polynomial withR²&gt;0.99; this is a nonlinear calibration fit, not a linearity coefficient.</t>
  </si>
  <si>
    <t>R1 | Data extraction 39!AA36</t>
  </si>
  <si>
    <t>R2 | Extraction!U39</t>
  </si>
  <si>
    <t>The calibration function and its fit quality are described. Corrects the vague NR entry while preventing a high nonlinear-fit R² from becoming a linearity claim.</t>
  </si>
  <si>
    <t>Saved main PDF pp 4–5, static calibration</t>
  </si>
  <si>
    <t>Average and maximum hysteresis errors calculated over 12 cycles at 0.2, 0.4, and 0.533 Hz; element-specific values are reported in Table II</t>
  </si>
  <si>
    <t>Mean and maximum full-scale-normalized hysteresis errors are calculated over 12 cycles at 0–5% strain and 0.2/0.4/0.533 Hz; element-specific values are in TableII, not transcribed here.</t>
  </si>
  <si>
    <t>R1 | Data extraction 39!AB36</t>
  </si>
  <si>
    <t>R2 | Extraction!V39</t>
  </si>
  <si>
    <t>The test design and error calculation are supplied. The table is evidence for a defined metric; no image-derived numeric values are fabricated.</t>
  </si>
  <si>
    <t>Saved main PDF p 6, dynamic characterization and TableII</t>
  </si>
  <si>
    <t>R1 | Data extraction 39!AC36</t>
  </si>
  <si>
    <t>R2 | Extraction!W39</t>
  </si>
  <si>
    <t>R1 | Data extraction 39!Y36; R1 | Data extraction 39!Z36</t>
  </si>
  <si>
    <t>R2 | Extraction!X39</t>
  </si>
  <si>
    <t>R1 | Data extraction 39!AD36</t>
  </si>
  <si>
    <t>R2 | Extraction!Y39</t>
  </si>
  <si>
    <t>Six elements compared; device-to-device manufacturing statistics not reported</t>
  </si>
  <si>
    <t>Six sensor elements/configurations are compared; no same-design independent-manufacture variability statistic extracted.</t>
  </si>
  <si>
    <t>R1 | Method quality 39!P36</t>
  </si>
  <si>
    <t>R2 | Extraction!Z39</t>
  </si>
  <si>
    <t>Elements differ by geometry/placement. A six-element assembly/design comparison is not an independent-device replication study.</t>
  </si>
  <si>
    <t>Saved main PDF pp 4–7, element characterization and system integration</t>
  </si>
  <si>
    <t>R1 | Data extraction 39!AE36</t>
  </si>
  <si>
    <t>R2 | Extraction!AA39</t>
  </si>
  <si>
    <t>R1 | Data extraction 39!AF36</t>
  </si>
  <si>
    <t>R2 | Extraction!AB39</t>
  </si>
  <si>
    <t>R2 | Extraction!AC39</t>
  </si>
  <si>
    <t>Unobtrusive smart-textile configuration; no formal comfort/breathability measurement reported</t>
  </si>
  <si>
    <t>R1 | Data extraction 39!AG36</t>
  </si>
  <si>
    <t>R2 | Extraction!AD39</t>
  </si>
  <si>
    <t>Three adjustable elastic bands positioned six elements around pulmonary rib cage, abdominal rib cage, and abdomen; Velcro adjusted circumference and band spacing</t>
  </si>
  <si>
    <t>R1 | Method quality 39!T36</t>
  </si>
  <si>
    <t>R2 | Extraction!AE39</t>
  </si>
  <si>
    <t>Wheatstone bridge and AD8426 amplifier; MAX1237 ADC, PIC18F46J50 microcontroller, SPBT2632C2A Bluetooth module, and battery</t>
  </si>
  <si>
    <t>Wheatstone bridge and an instr</t>
  </si>
  <si>
    <t>R1 | Method quality 39!U36</t>
  </si>
  <si>
    <t>R2 | Extraction!AF39</t>
  </si>
  <si>
    <t>R1 | Method quality 39!V36</t>
  </si>
  <si>
    <t>R2 | Extraction!AG39</t>
  </si>
  <si>
    <t>Compared with motion capture, average respiratory-frequency differences were below 1% during quiet breathing and below 4% during tachypnoea.</t>
  </si>
  <si>
    <t>Correlation (quadratic model); breath-by-breath vs MCS</t>
  </si>
  <si>
    <t>Against motion capture, average respiratory-frequency differences were &lt;1% during quiet breathing and &lt;4% during tachypnoea; combining all four sensing channels reduced the difference to &lt;0.4% in both conditions.</t>
  </si>
  <si>
    <t>R1 | Data extraction 39!AH36</t>
  </si>
  <si>
    <t>R2 | Extraction!AH39</t>
  </si>
  <si>
    <t>The respiratory-frequency Results distinguish individual/combined sensor comparisons and the two breathing conditions. These are respiratory-frequency percentage differences, not classification accuracy or calibrated volume error.</t>
  </si>
  <si>
    <t>Four-person physiological validation against an optical reference under two breathing conditions</t>
  </si>
  <si>
    <t>R1 | Data extraction 39!AI36</t>
  </si>
  <si>
    <t>Small cohort and no laundering, durability, environmental, multi-session or device-reproducibility evidence</t>
  </si>
  <si>
    <t>R1 | Data extraction 39!AJ36</t>
  </si>
  <si>
    <t>Knitted textile strain sensor integrated into sample and elbow sleeve</t>
  </si>
  <si>
    <t>Knitted smart sleeve</t>
  </si>
  <si>
    <t>Experimental design; knitted conductive sleeve; washing, testing and data-processing procedures; Results; Conclusion in the complete SAGE article</t>
  </si>
  <si>
    <t>R1 | Data extraction 39!L37</t>
  </si>
  <si>
    <t>R2 | Extraction!I40</t>
  </si>
  <si>
    <t>Santoni single-cylinder intarsia machine produces a conductive knit sensing area and sleeve. Sensor uses silver-plated nylon with single-jersey/miss/tuck stitches. Classifies the demonstrated device; not a new eligibility decision.</t>
  </si>
  <si>
    <t>PDF page(s) 4, 5; Specimen manufacturing: conductive sample/sleeve; saved PDF pp. 4, 5</t>
  </si>
  <si>
    <t>REC-01765_10.1177_15280837211059210.pdf</t>
  </si>
  <si>
    <t>374bb80059967af5de08cc0708335174ad9162fc9bc5514c94cfba5e6a891f3f</t>
  </si>
  <si>
    <t>Resistive knitted textile strain sensor</t>
  </si>
  <si>
    <t>R1 | Data extraction 39!M37</t>
  </si>
  <si>
    <t>R2 | Extraction!J40</t>
  </si>
  <si>
    <t>Sensor electrical resistance is recorded during mechanical cycling and sleeve movement; wearable acquisition reads the resistive sensor. Classifies the demonstrated device; not a new eligibility decision.</t>
  </si>
  <si>
    <t>PDF page(s) 8, 9; Data acquisition and sensing tests; saved PDF pp. 8, 9</t>
  </si>
  <si>
    <t>Silver-plated nylon yarn (Shieldex)</t>
  </si>
  <si>
    <t>Silver-plated knitted electrodes</t>
  </si>
  <si>
    <t>R1 | Data extraction 39!N37</t>
  </si>
  <si>
    <t>R2 | Extraction!K40</t>
  </si>
  <si>
    <t>Knitted sensor area integrated into elbow sleeve garment</t>
  </si>
  <si>
    <t>Knitted elbow sleeve</t>
  </si>
  <si>
    <t>R1 | Data extraction 39!O37</t>
  </si>
  <si>
    <t>R2 | Extraction!L40</t>
  </si>
  <si>
    <t>Santoni X-machine knitting of conductive area into sample and smart sleeve for elbow motion monitoring</t>
  </si>
  <si>
    <t>Intarsia knitting produces conductive sensing zone in sleeve; electronics read resistance via garment connection.</t>
  </si>
  <si>
    <t>R1 | Data extraction 39!P37</t>
  </si>
  <si>
    <t>R2 | Extraction!M40</t>
  </si>
  <si>
    <t>Intarsia knitting produces conductive sensing zone in sleeve; electronics read resistance via garment connection. Classifies the demonstrated device; not a new eligibility decision.</t>
  </si>
  <si>
    <t>Materials/manufacturing and acquisition; saved PDF pp. 4, 5, 8</t>
  </si>
  <si>
    <t>Joint-motion quantification, rehabilitation/strength-conditioning style elbow monitoring</t>
  </si>
  <si>
    <t>Elbow flexion (rehab)</t>
  </si>
  <si>
    <t>R1 | Data extraction 39!Q37</t>
  </si>
  <si>
    <t>R2 | Extraction!N40</t>
  </si>
  <si>
    <t>A knitted elbow sleeve detects movement type, repetition count and motion characteristics across washing conditions. Classifies the demonstrated device; not a new eligibility decision.</t>
  </si>
  <si>
    <t>Knitted conductive sleeve tests and wash-cycle results; saved PDF pp. 9, 12, 16, 17</t>
  </si>
  <si>
    <t>Human sample size: Simulated training/clinical setting; exact participant count NR; Participant details: Not reported</t>
  </si>
  <si>
    <t>1 volunteer</t>
  </si>
  <si>
    <t>1 healthy volunteer in the worn-sleeve test; demographics not specified in the checked main text.</t>
  </si>
  <si>
    <t>R1 | Data extraction 39!S37; R1 | Data extraction 39!T37</t>
  </si>
  <si>
    <t>R2 | Extraction!O40</t>
  </si>
  <si>
    <t>Testing procedure and Conclusions. The paper explicitly reports a volunteer, not only a simulated setting. Separates participant cohorts, bench tests, human repetitions, model training and experimental reference use.</t>
  </si>
  <si>
    <t>Saved main PDF pp. 8, 9, 16, 19</t>
  </si>
  <si>
    <t>50 elbow flexion-extension cycles after each of 1, 5, 15, 25, 50 and 75 washes. This is repeated post-wash human testing, separate from 1500 bench cycles.</t>
  </si>
  <si>
    <t>R1 | Method quality 39!K37</t>
  </si>
  <si>
    <t>R2 | Extraction!P40</t>
  </si>
  <si>
    <t>calibration/compensation after each wash (e</t>
  </si>
  <si>
    <t>Bench electromechanical characterization. Recalibration or compensation after washing is recommended, but a performed human joint-angle calibration is not established.</t>
  </si>
  <si>
    <t>R1 | Method quality 39!L37</t>
  </si>
  <si>
    <t>R2 | Extraction!Q40</t>
  </si>
  <si>
    <t>Biometrics gold-standard (referenced)</t>
  </si>
  <si>
    <t>No simultaneous external joint-angle reference in the reported worn tests. Biometrics goniometers are explicitly proposed for future work.</t>
  </si>
  <si>
    <t>R1 | Data extraction 39!U37</t>
  </si>
  <si>
    <t>R2 | Extraction!R40</t>
  </si>
  <si>
    <t>Elongation testing over repetitive cycles; exact strain range not explicit in accessible text</t>
  </si>
  <si>
    <t>Bench cyclic characterization over a 12-mm displacement amplitude with 100-mm initial length (12% engineering strain, explicitly derived); not a measured maximum operating range.</t>
  </si>
  <si>
    <t>R1 | Data extraction 39!W37</t>
  </si>
  <si>
    <t>R2 | Extraction!S40</t>
  </si>
  <si>
    <t>The test setup specifies a 100-mm initial gauge length and 12-mm triangular amplitude. A durability-test amplitude is not the sensor’s maximum strain capacity.</t>
  </si>
  <si>
    <t>R1 | Data extraction 39!X37</t>
  </si>
  <si>
    <t>R2 | Extraction!T40</t>
  </si>
  <si>
    <t>Repeatable motion pattern maintained across washes; predictable resistance growth with wash count</t>
  </si>
  <si>
    <t>R2 = 0.992</t>
  </si>
  <si>
    <t>R²=0.992 (maximum flexion) and 0.989 (maximum extension) fit resistance versus wash count, not resistance versus strain. Other polynomial/cubic fits concern time/cycle or wash effects.</t>
  </si>
  <si>
    <t>R1 | Data extraction 39!AA37</t>
  </si>
  <si>
    <t>R2 | Extraction!U40</t>
  </si>
  <si>
    <t>The independent variable of the fitted relationship is washing, not applied strain. Removes a wash-trend fit from intrinsic linearity reporting.</t>
  </si>
  <si>
    <t>Saved main PDF pp 11–12 and 16, wash analysis</t>
  </si>
  <si>
    <t>Repeatable reliable response under elongation discussed; explicit hysteresis number NR</t>
  </si>
  <si>
    <t>Loading–unloading response loops are shown qualitatively; no numerical electrical hysteresis metric extracted from the cited passages.</t>
  </si>
  <si>
    <t>R1 | Data extraction 39!AB37</t>
  </si>
  <si>
    <t>R2 | Extraction!V40</t>
  </si>
  <si>
    <t>Repeated extension and recovery traces are presented. Stable movement recognition does not imply zero hysteresis.</t>
  </si>
  <si>
    <t>Saved main PDF p 12, cyclic response curves</t>
  </si>
  <si>
    <t>Resistance increases predictably with washing; within-trial repeatability ≤2% at max flexion and ≤3% at max extension</t>
  </si>
  <si>
    <t>Within a 50-motion-cycle trial, variation is≤2% at maximum flexion and≤3% at maximum extension; resistance baseline increases with cumulative washing.</t>
  </si>
  <si>
    <t>R1 | Data extraction 39!AC37</t>
  </si>
  <si>
    <t>R2 | Extraction!W40</t>
  </si>
  <si>
    <t>Trials after 1/5/15/25/50/75 washes evaluate the motion pattern and its changing resistance. Within-trial repeatability is distinct from wash-induced baseline drift.</t>
  </si>
  <si>
    <t>Saved main PDF pp 9 and 16, wearer trials and wash results</t>
  </si>
  <si>
    <t>Response time: Prompt response reported; exact numeric value NR; Recovery time: Not reported</t>
  </si>
  <si>
    <t>R1 | Data extraction 39!Y37; R1 | Data extraction 39!Z37</t>
  </si>
  <si>
    <t>R2 | Extraction!X40</t>
  </si>
  <si>
    <t>1500 elongation cycles on sample; 50 flexion-extension cycles at each wash checkpoint on sleeve</t>
  </si>
  <si>
    <t>1500 cycles of repetitive elongation</t>
  </si>
  <si>
    <t>Bench knitted-sensor test: 1,500 triangular cycles, 12 mm elongation from a 100-mm initial clamp length, 0.3 Hz, before/after five washes; 21 ± 1 °C, 65 ± 5% RH. Sleeve evaluations separately use 50 elbow flexion–extension cycles per wash checkpoint.</t>
  </si>
  <si>
    <t>R1 | Data extraction 39!AD37</t>
  </si>
  <si>
    <t>R2 | Extraction!Y40</t>
  </si>
  <si>
    <t>Methods specify original length, waveform, frequency and conditioning; Results distinguish bench and human movement tests. 12% engineering amplitude is derivable as 12/100; label it as derived if used. Do not pool human movements and bench cycles.</t>
  </si>
  <si>
    <t>PDF pp. 8, 12, 13, 14, 15</t>
  </si>
  <si>
    <t>between devices were exchanged by</t>
  </si>
  <si>
    <t>The phrase “between devices” refers to exchanged communication data, not fabrication reproducibility; no independent sensing-device variability statistic extracted.</t>
  </si>
  <si>
    <t>R1 | Method quality 39!P37</t>
  </si>
  <si>
    <t>R2 | Extraction!Z40</t>
  </si>
  <si>
    <t>The cited phrase describes the network protocol. Corrects a keyword-extraction false positive.</t>
  </si>
  <si>
    <t>Saved main PDF pp 7–8, network/data communication; pp 9–16 testing</t>
  </si>
  <si>
    <t>Strong: 5-wash study on sample and up to 75 washes on smart sleeve</t>
  </si>
  <si>
    <t>5 washing cycles on the electrical p</t>
  </si>
  <si>
    <t>BS EN ISO 6330:2012 procedure 8; synthetic 30 °C, 700 rpm, 17.2 g detergent. Sleeve checkpoints: 1, 5, 15, 25, 50 and 75 washes.</t>
  </si>
  <si>
    <t>R1 | Data extraction 39!AE37</t>
  </si>
  <si>
    <t>R2 | Extraction!AA40</t>
  </si>
  <si>
    <t>The laundering method and repeated checkpoint measurements are explicitly described. Preserve the author-reported value and its measurement conditions; do not collapse distinct test types.</t>
  </si>
  <si>
    <t>PDF pp. 6, 12, 13, 14, 15</t>
  </si>
  <si>
    <t>Washing is the central environmental durability factor; discussion grounded in laundering standards and detergent/mechanical stress effects</t>
  </si>
  <si>
    <t>humidity: 65 ± 5%</t>
  </si>
  <si>
    <t>Bench characterization at 21 ± 1 °C and 65 ± 5% RH, after at least 20 h tension-free storage; washing is a separate exposure.</t>
  </si>
  <si>
    <t>R1 | Data extraction 39!AF37</t>
  </si>
  <si>
    <t>R2 | Extraction!AB40</t>
  </si>
  <si>
    <t>The testing procedure gives conditioning and measurement atmosphere. A specified ambient test condition should not be counted as a humidity-robustness exposure sweep.</t>
  </si>
  <si>
    <t>R2 | Extraction!AC40</t>
  </si>
  <si>
    <t>Garment-integrated smart sleeve aimed at practical reuse</t>
  </si>
  <si>
    <t>R1 | Data extraction 39!AG37</t>
  </si>
  <si>
    <t>R2 | Extraction!AD40</t>
  </si>
  <si>
    <t>R1 | Method quality 39!T37</t>
  </si>
  <si>
    <t>R2 | Extraction!AE40</t>
  </si>
  <si>
    <t>R1 | Method quality 39!U37</t>
  </si>
  <si>
    <t>R2 | Extraction!AF40</t>
  </si>
  <si>
    <t>R1 | Method quality 39!V37</t>
  </si>
  <si>
    <t>R2 | Extraction!AG40</t>
  </si>
  <si>
    <t>R2 0.992/0.989; 1500 cyc; 5-75 washes (BS EN ISO 6330)</t>
  </si>
  <si>
    <t>A sensorized sleeve retained identifiable responses during 50 elbow cycles after 1, 5, 15, 25, 50 and 75 washes. Within-trial resistance variation was ≤2% at maximum flexion and ≤3% at maximum extension; resistance-versus-wash-count fits gave R²=0.992/0.989.</t>
  </si>
  <si>
    <t>R1 | Data extraction 39!AH37</t>
  </si>
  <si>
    <t>R2 | Extraction!AH40</t>
  </si>
  <si>
    <t>Figures 9–12 and Table 2 describe each 50-cycle trial, within-trial variability, and linear electrical-response trends with increasing washes. The R² values concern wash-count trends, not joint-angle calibration or external human-motion validation. Remove screening-criteria boilerplate.</t>
  </si>
  <si>
    <t>Retained main PDF pp. 14, 15, 16</t>
  </si>
  <si>
    <t>One of the strongest real-world deployment papers because it explicitly studies washability and garment-level repeated-use motion sensing</t>
  </si>
  <si>
    <t>R1 | Data extraction 39!AI37</t>
  </si>
  <si>
    <t>More application/garment validation oriented than materials-performance oriented; some classical sensor metrics are not emphasized</t>
  </si>
  <si>
    <t>R1 | Data extraction 39!AJ37</t>
  </si>
  <si>
    <t>Soft capacitive fabric strain sensors attached to the lumbar region</t>
  </si>
  <si>
    <t>Elastic garment (capacitive)</t>
  </si>
  <si>
    <t>Introduction and sensor description, Subjects, experimental methods, Results, Discussion and complete ScienceDirect article text</t>
  </si>
  <si>
    <t>R1 | Data extraction 39!L38</t>
  </si>
  <si>
    <t>R2 | Extraction!I41</t>
  </si>
  <si>
    <t>Soft capacitive fabric sensor; textile construction not established</t>
  </si>
  <si>
    <t>PDF p.4, Section2.2</t>
  </si>
  <si>
    <t>The StretchSense unit is described as a capacitive sensing unit within elastic garment material; internal knit/weave construction is not provided. Missingness or source conflict retained explicitly.</t>
  </si>
  <si>
    <t>§2.2; saved PDF pp. 4</t>
  </si>
  <si>
    <t>REC-01854_10.1016_j.ergon.2018.11.007.pdf</t>
  </si>
  <si>
    <t>b41d841d9bafc14c5ccf487708f44c1622a92d8153c62782a909f34b6f9754dc</t>
  </si>
  <si>
    <t>Capacitive fabric strain sensing</t>
  </si>
  <si>
    <t>R1 | Data extraction 39!M38</t>
  </si>
  <si>
    <t>R2 | Extraction!J41</t>
  </si>
  <si>
    <t>The article explicitly describes a commercial capacitive sensing unit and strain-dependent capacitance. Classifies the demonstrated device; not a new eligibility decision.</t>
  </si>
  <si>
    <t>Compliant conductive electrodes in commercial flexible fabric sensors; exact composition not reported</t>
  </si>
  <si>
    <t>StretchSense capacitive unit</t>
  </si>
  <si>
    <t>R1 | Data extraction 39!N38</t>
  </si>
  <si>
    <t>R2 | Extraction!K41</t>
  </si>
  <si>
    <t>Elastic fabric sensor body</t>
  </si>
  <si>
    <t>Elastic garment material</t>
  </si>
  <si>
    <t>R1 | Data extraction 39!O38</t>
  </si>
  <si>
    <t>R2 | Extraction!L41</t>
  </si>
  <si>
    <t>Two low-profile sensors were attached vertically over the lumbar spine and lateral left hip</t>
  </si>
  <si>
    <t>Sensors in elastic garment</t>
  </si>
  <si>
    <t>Commercial capacitive fabric-sensor strips attached over lumbar region and held using kinesiology tape; internal textile construction not specified.</t>
  </si>
  <si>
    <t>R1 | Data extraction 39!P38</t>
  </si>
  <si>
    <t>R2 | Extraction!M41</t>
  </si>
  <si>
    <t>Commercial capacitive fabric-sensor strips attached over lumbar region and held using kinesiology tape; internal textile construction not specified. Classifies the demonstrated device; not a new eligibility decision.</t>
  </si>
  <si>
    <t>§2.2 and sensor attachment; saved PDF pp. 4, 5</t>
  </si>
  <si>
    <t>Lumbar sagittal-flexion and lateral-bending angle estimation</t>
  </si>
  <si>
    <t>Lumbar motion (spacesuit)</t>
  </si>
  <si>
    <t>R1 | Data extraction 39!Q38</t>
  </si>
  <si>
    <t>R2 | Extraction!N41</t>
  </si>
  <si>
    <t>Commercial capacitive fabric sensors track lumbar flexion and lateral bending, with a three-dimensional body scanner reference. Classifies the demonstrated device; not a new eligibility decision.</t>
  </si>
  <si>
    <t>§2.2–2.3; lumbar postural experiment; saved PDF pp. 4, 5, 6</t>
  </si>
  <si>
    <t>Human sample size: 12; Participant details: Twelve male volunteers</t>
  </si>
  <si>
    <t>12 subjects (age 36+/-11)</t>
  </si>
  <si>
    <t>12 male volunteers; mean age 36 +/- 11 years.</t>
  </si>
  <si>
    <t>R1 | Data extraction 39!S38; R1 | Data extraction 39!T38</t>
  </si>
  <si>
    <t>R2 | Extraction!O41</t>
  </si>
  <si>
    <t>Sections 2.1-2.4. Static pose repetitions and static 3D-scan comparator. Separates participant cohorts, bench tests, human repetitions, model training and experimental reference use.</t>
  </si>
  <si>
    <t>Saved main PDF pp. 3, 4, 5, 6</t>
  </si>
  <si>
    <t>Unloaded sagittal-flexion and lateral-bending static postures; exact repeat count not reported</t>
  </si>
  <si>
    <t>Five static posture conditions repeated twice, giving 10 static postures per participant. Separate-day sessions not specified.</t>
  </si>
  <si>
    <t>R1 | Method quality 39!K38</t>
  </si>
  <si>
    <t>R2 | Extraction!P41</t>
  </si>
  <si>
    <t>Sensor readings related to lumbar angles measured from concurrent 3D body scans</t>
  </si>
  <si>
    <t>regression model</t>
  </si>
  <si>
    <t>Sensor outputs regressed against concurrently measured static lumbar angles; no dynamic calibration validation is established.</t>
  </si>
  <si>
    <t>R1 | Method quality 39!L38</t>
  </si>
  <si>
    <t>R2 | Extraction!Q41</t>
  </si>
  <si>
    <t>Yes — concurrent static 3D body scans and anatomical landmarks</t>
  </si>
  <si>
    <t>3dMD optical scanner + motion capture</t>
  </si>
  <si>
    <t>Concurrent 3dMD optical whole-body scans and anatomical landmark geometry; not continuous dynamic optical motion capture.</t>
  </si>
  <si>
    <t>R1 | Data extraction 39!U38</t>
  </si>
  <si>
    <t>R2 | Extraction!R41</t>
  </si>
  <si>
    <t>Manufacturer describes extension to 150% of original length, not 150% engineering strain; no current-study calibrated strain range is established in that description.</t>
  </si>
  <si>
    <t>R1 | Data extraction 39!W38</t>
  </si>
  <si>
    <t>R2 | Extraction!S41</t>
  </si>
  <si>
    <t>Manufacturer-stated elongation to150% of initial length; tested strain range not established</t>
  </si>
  <si>
    <t>The sensor specifications use a final-length multiple. 150% original length would equal 50% engineering strain by conversion; do not present that as a newly verified sensing interval.</t>
  </si>
  <si>
    <t>This is source checking by the assistant, not a second independent rating, new consensus or screening decision. Remaining limitation: Current-study metrological range requires separate calibration evidence.</t>
  </si>
  <si>
    <t>Manufacturer sensitivity 3.82 pF/mm, not a dimensionless GF.</t>
  </si>
  <si>
    <t>R1 | Data extraction 39!X38</t>
  </si>
  <si>
    <t>R2 | Extraction!T41</t>
  </si>
  <si>
    <t>GF not supplied in the checked instrumentation description; manufacturer sensitivity3.82pF/mm, not dimensionlessGF</t>
  </si>
  <si>
    <t>The sensor specification identifies a displacement sensitivity in pF/mm. Do not enter pF/mm as conventional gauge factor.</t>
  </si>
  <si>
    <t>Mean R² 0.93 ± 0.06 for flexion and 0.96 ± 0.03 for lateral bending</t>
  </si>
  <si>
    <t>R²=0.93±0.06 for flexion and 0.96±0.03 for lateral bending quantify calibrated lumbar-angle agreement with 3 D-scan ground truth, not intrinsic strain–response linearity.</t>
  </si>
  <si>
    <t>R1 | Data extraction 39!AA38</t>
  </si>
  <si>
    <t>R2 | Extraction!U41</t>
  </si>
  <si>
    <t>Predicted angular motion is compared against an external reference. Places the values in reference validation rather than sensor linearity.</t>
  </si>
  <si>
    <t>Saved main PDF pp 7–8, Table 3 andFig 7</t>
  </si>
  <si>
    <t>R1 | Data extraction 39!AB38</t>
  </si>
  <si>
    <t>R2 | Extraction!V41</t>
  </si>
  <si>
    <t>Between-participant sensor response varied with anthropometry; repeat-session drift was not reported</t>
  </si>
  <si>
    <t>Anthropometry-related between-participant variation is discussed; repeated poses are not a separately quantified intrinsic sensor drift test.</t>
  </si>
  <si>
    <t>R1 | Data extraction 39!AC38</t>
  </si>
  <si>
    <t>R2 | Extraction!W41</t>
  </si>
  <si>
    <t>The experiment concerns participants and calibrated postures. Participant heterogeneity must not be used as device drift evidence.</t>
  </si>
  <si>
    <t>Saved main PDF p 5 protocol and results/discussion</t>
  </si>
  <si>
    <t>R1 | Data extraction 39!Y38; R1 | Data extraction 39!Z38</t>
  </si>
  <si>
    <t>R2 | Extraction!X41</t>
  </si>
  <si>
    <t>R1 | Data extraction 39!AD38</t>
  </si>
  <si>
    <t>R2 | Extraction!Y41</t>
  </si>
  <si>
    <t>Between-subject variability discussed; device-to-device manufacturing analysis not reported</t>
  </si>
  <si>
    <t>Between-participant response differences are discussed; no isolated independent-manufacture variability statistic extracted.</t>
  </si>
  <si>
    <t>R1 | Method quality 39!P38</t>
  </si>
  <si>
    <t>R2 | Extraction!Z41</t>
  </si>
  <si>
    <t>The compared units are people wearing the system. User transferability and device reproducibility are different constructs.</t>
  </si>
  <si>
    <t>Saved main PDF pp 7–9, participant results anddiscussion</t>
  </si>
  <si>
    <t>R1 | Data extraction 39!AE38</t>
  </si>
  <si>
    <t>R2 | Extraction!AA41</t>
  </si>
  <si>
    <t>R1 | Data extraction 39!AF38</t>
  </si>
  <si>
    <t>R2 | Extraction!AB41</t>
  </si>
  <si>
    <t>R2 | Extraction!AC41</t>
  </si>
  <si>
    <t>Soft, low-profile sensors intended for wear inside a spacesuit; formal comfort testing was not reported</t>
  </si>
  <si>
    <t>R1 | Data extraction 39!AG38</t>
  </si>
  <si>
    <t>R2 | Extraction!AD41</t>
  </si>
  <si>
    <t>Sensors placed vertically over lumbar spine and lateral left hip; refinement of placement identified as future work</t>
  </si>
  <si>
    <t>placement</t>
  </si>
  <si>
    <t>R1 | Method quality 39!T38</t>
  </si>
  <si>
    <t>R2 | Extraction!AE41</t>
  </si>
  <si>
    <t>Capacitance acquisition; wireless/power details not reported</t>
  </si>
  <si>
    <t>R1 | Method quality 39!U38</t>
  </si>
  <si>
    <t>R2 | Extraction!AF41</t>
  </si>
  <si>
    <t>R1 | Method quality 39!V38</t>
  </si>
  <si>
    <t>R2 | Extraction!AG41</t>
  </si>
  <si>
    <t>Mean R² was 0.93 ± 0.06 for flexion and 0.96 ± 0.03 for lateral bending; estimated 95% errors were ±5.3° and ±2.8°.</t>
  </si>
  <si>
    <t>R 0.93/0.96; error +/-5.3 deg; 100 Hz</t>
  </si>
  <si>
    <t>For the tested trunk poses, mean R² was 0.93±0.06 for flexion and 0.96±0.03 for lateral bending; estimated 95% error ranges were ±5.3° and ±2.8°, respectively.</t>
  </si>
  <si>
    <t>R1 | Data extraction 39!AH38</t>
  </si>
  <si>
    <t>R2 | Extraction!AH41</t>
  </si>
  <si>
    <t>Results/Table 3 compare sensor-based estimates with angles from 3D body scans, labelling goodness of fit as R² and the uncertainty bounds as estimated 95% errors. These are R² values, not Pearson R. The quoted ± limits are not RMSE or confidence intervals for the group mean.</t>
  </si>
  <si>
    <t>Retained main PDF pp. 7, 8</t>
  </si>
  <si>
    <t>Twelve-person pilot with concurrent 3D reference measurements and explicit uncertainty estimates</t>
  </si>
  <si>
    <t>R1 | Data extraction 39!AI38</t>
  </si>
  <si>
    <t>Static unsuited movements only; male-only sample and no repeat-session, durability, laundering or environmental evidence</t>
  </si>
  <si>
    <t>R1 | Data extraction 39!AJ38</t>
  </si>
  <si>
    <t>Instrumented elastic knee brace with two stretch sensors</t>
  </si>
  <si>
    <t>Instrumented brace (2 sensors)</t>
  </si>
  <si>
    <t>Institutional postprint: instrumented-brace participant study</t>
  </si>
  <si>
    <t>R1 | Data extraction 39!L39</t>
  </si>
  <si>
    <t>R2 | Extraction!I42</t>
  </si>
  <si>
    <t>The study places two commercial electro-capacitive C-STRETCH sensors above and below the patella. The text describes capacitance varying with strain and capacitance-angle relationships. Classifies the demonstrated device; not a new eligibility decision.</t>
  </si>
  <si>
    <t>Saved IEEE full-text PDF page 3 of 10, Section III.A, Instrumented Knee Brace With Two Stretch Sensors; Fig. 1 caption; saved PDF pp. 3</t>
  </si>
  <si>
    <t>REC-01859_10.1109_lra.2020.3010486.pdf</t>
  </si>
  <si>
    <t>a68a0570b34409b71d85d1aaa1cffde98641478869b980f99d067907b1e72cf4</t>
  </si>
  <si>
    <t>Capacitive stretch sensing</t>
  </si>
  <si>
    <t>Resistive (stretch, GMM)</t>
  </si>
  <si>
    <t>R1 | Data extraction 39!M39</t>
  </si>
  <si>
    <t>R2 | Extraction!J42</t>
  </si>
  <si>
    <t>Commercial electro-capacitive C-STRETCH sensors (Bando Chemical Industries); electrode composition was not reported</t>
  </si>
  <si>
    <t>Soft microfluidic stretch sensor</t>
  </si>
  <si>
    <t>R1 | Data extraction 39!N39</t>
  </si>
  <si>
    <t>R2 | Extraction!K42</t>
  </si>
  <si>
    <t>Elastic knee brace</t>
  </si>
  <si>
    <t>Fabric knee brace</t>
  </si>
  <si>
    <t>R1 | Data extraction 39!O39</t>
  </si>
  <si>
    <t>R2 | Extraction!L42</t>
  </si>
  <si>
    <t>Two sensors were fixed at different heights on the brace to distinguish brace-shift-dependent strain–angle relationships</t>
  </si>
  <si>
    <t>Sensors instrumented into brace</t>
  </si>
  <si>
    <t>Two commercial C-STRETCH sensor strips mounted above and below the patella on a knee brace.</t>
  </si>
  <si>
    <t>R1 | Data extraction 39!P39</t>
  </si>
  <si>
    <t>R2 | Extraction!M42</t>
  </si>
  <si>
    <t>Two commercial C-STRETCH sensor strips mounted above and below the patella on a knee brace. Classifies the demonstrated device; not a new eligibility decision.</t>
  </si>
  <si>
    <t>§III.A; saved PDF pp. 3</t>
  </si>
  <si>
    <t>Shift-adaptive knee-joint-angle estimation during squats</t>
  </si>
  <si>
    <t>Knee-angle estimation</t>
  </si>
  <si>
    <t>R1 | Data extraction 39!Q39</t>
  </si>
  <si>
    <t>R2 | Extraction!N42</t>
  </si>
  <si>
    <t>Two C-STRETCH capacitive sensors on a knee brace estimate flexion–extension while accounting for brace displacement. Classifies the demonstrated device; not a new eligibility decision.</t>
  </si>
  <si>
    <t>§III.A; Instrumented Knee Brace experiment; saved PDF pp. 3, 4</t>
  </si>
  <si>
    <t>Human sample size: 2; Participant details: Two participants, identified as subjects A and B in the reported results</t>
  </si>
  <si>
    <t>Adults (26+/-1 yr)</t>
  </si>
  <si>
    <t>2 healthy men; mean age 26 +/- 1 years.</t>
  </si>
  <si>
    <t>R1 | Data extraction 39!S39; R1 | Data extraction 39!T39</t>
  </si>
  <si>
    <t>R2 | Extraction!O42</t>
  </si>
  <si>
    <t>Experiment: Setup, virtual marker generation and study procedure. Separates participant cohorts, bench tests, human repetitions, model training and experimental reference use.</t>
  </si>
  <si>
    <t>Two brace-shift round trips across five target positions from 0 to 20 mm</t>
  </si>
  <si>
    <t>Five initial full-range squats in 20 s; then five squats in 40 s plus 10-s standing at each of five brace shifts (0-20 mm), repeated for two sets. This simulates repositioning, not separate-day testing.</t>
  </si>
  <si>
    <t>R1 | Method quality 39!K39</t>
  </si>
  <si>
    <t>R2 | Extraction!P42</t>
  </si>
  <si>
    <t>User-specific GMMs at five shift positions with reciprocal train/test sets; signals resampled to 100 Hz</t>
  </si>
  <si>
    <t>GMMs)</t>
  </si>
  <si>
    <t>User-specific Gaussian mixture models across five shift positions with reciprocal training/test sets; initial motion identifies a virtual knee marker.</t>
  </si>
  <si>
    <t>R1 | Method quality 39!L39</t>
  </si>
  <si>
    <t>R2 | Extraction!Q42</t>
  </si>
  <si>
    <t>Yes — optical marker-based motion capture generated the knee-angle reference</t>
  </si>
  <si>
    <t>Ground-truth motion capture</t>
  </si>
  <si>
    <t>Synchronized Vicon Nexus optical motion capture at 100 Hz supplies knee-angle ground truth and brace-shift measurements.</t>
  </si>
  <si>
    <t>R1 | Data extraction 39!U39</t>
  </si>
  <si>
    <t>R2 | Extraction!R42</t>
  </si>
  <si>
    <t>Brace shifts of 0–20 mm in 5-mm increments are placement offsets, not a sensor strain interval.</t>
  </si>
  <si>
    <t>R1 | Data extraction 39!W39</t>
  </si>
  <si>
    <t>R2 | Extraction!S42</t>
  </si>
  <si>
    <t>The shifts are imposed by moving the brace on the limb. A position-offset range must not populate sensor working strain.</t>
  </si>
  <si>
    <t>PDF pp. 4, 5, 6</t>
  </si>
  <si>
    <t>This is source checking by the assistant, not a second independent rating, new consensus or screening decision. Remaining limitation: The sensor strain calibration range is not established by these passages.</t>
  </si>
  <si>
    <t>R1 | Data extraction 39!X39</t>
  </si>
  <si>
    <t>R2 | Extraction!T42</t>
  </si>
  <si>
    <t>Nonlinear strain–angle relationships modelled with Gaussian mixture models</t>
  </si>
  <si>
    <t>Nonlinear capacitance–angle relationships are modelled with user-specific Gaussian mixtures; no intrinsic linear strain–response statistic extracted.</t>
  </si>
  <si>
    <t>R1 | Data extraction 39!AA39</t>
  </si>
  <si>
    <t>R2 | Extraction!U42</t>
  </si>
  <si>
    <t>Joint-angle models account for brace placement and participant differences. No linearity coefficient inferred from nonlinear prediction accuracy.</t>
  </si>
  <si>
    <t>Saved main PDF pp 7–9, modelling and discussion</t>
  </si>
  <si>
    <t>Flexion and extension were modelled separately because their capacitance–angle relationships differed</t>
  </si>
  <si>
    <t>Flexion and extension are modelled separately because amplifier capacitance-to-voltage conversion delays differ during stretch and relaxation; no numerical intrinsic sensor hysteresis metric extracted.</t>
  </si>
  <si>
    <t>R1 | Data extraction 39!AB39</t>
  </si>
  <si>
    <t>R2 | Extraction!V42</t>
  </si>
  <si>
    <t>The source explicitly attributes the directional difference to conversion delay, not necessarily the sensing material. Corrects a generic hysteresis explanation that could wrongly imply quantified material hysteresis.</t>
  </si>
  <si>
    <t>Saved main PDF p 7, dataset preparation</t>
  </si>
  <si>
    <t>Two independent brace-shift sets were used reciprocally for training and testing</t>
  </si>
  <si>
    <t>Two brace-shift sets are used reciprocally for training/testing at 0–20 mm offsets; these assess placement/model robustness, not intrinsic sensor drift.</t>
  </si>
  <si>
    <t>R1 | Data extraction 39!AC39</t>
  </si>
  <si>
    <t>R2 | Extraction!W42</t>
  </si>
  <si>
    <t>Manually displaced brace positions are repeated in two sets. Do not call the sets independent sensor devices or long-duration stability tests.</t>
  </si>
  <si>
    <t>Saved main PDF pp 6–7, tasksB–E and cross-validation</t>
  </si>
  <si>
    <t>Response time: Signals filtered/resampled to 100 Hz; no conventional sensor response-time value reported; Recovery time: Not reported</t>
  </si>
  <si>
    <t>Acquisition: 200 Hz sensor telemetry; moving-average filter window 20 ms and resampling to 100 Hz. These are not sensor response or recovery times.</t>
  </si>
  <si>
    <t>R1 | Data extraction 39!Y39; R1 | Data extraction 39!Z39</t>
  </si>
  <si>
    <t>R2 | Extraction!X42</t>
  </si>
  <si>
    <t>The signal-processing section names sampling, filtering and resampling settings. Do not convert sampling/filtering settings into transducer response-time claims.</t>
  </si>
  <si>
    <t>PDF pp. 5, 7</t>
  </si>
  <si>
    <t>This is source checking by the assistant, not a second independent rating, new consensus or screening decision. Remaining limitation: No conventional response/recovery metric established by these passages.</t>
  </si>
  <si>
    <t>R1 | Data extraction 39!AD39</t>
  </si>
  <si>
    <t>R2 | Extraction!Y42</t>
  </si>
  <si>
    <t>Not reported — the study assessed placement shifts on one brace rather than multiple devices</t>
  </si>
  <si>
    <t>Brace-shift adaptation is evaluated; the inspected passages do not establish independently manufactured brace replication or its variability.</t>
  </si>
  <si>
    <t>R1 | Method quality 39!P39</t>
  </si>
  <si>
    <t>R2 | Extraction!Z42</t>
  </si>
  <si>
    <t>A two-sensor brace configuration is described and moved to prescribed positions. Avoids asserting a verified physical device count when the source only describes the configuration.</t>
  </si>
  <si>
    <t>Saved main PDF pp 5–7, system/protocol</t>
  </si>
  <si>
    <t>R1 | Data extraction 39!AE39</t>
  </si>
  <si>
    <t>R2 | Extraction!AA42</t>
  </si>
  <si>
    <t>R1 | Data extraction 39!AF39</t>
  </si>
  <si>
    <t>R2 | Extraction!AB42</t>
  </si>
  <si>
    <t>R2 | Extraction!AC42</t>
  </si>
  <si>
    <t>Wearable knee brace; formal comfort or breathability assessment was not reported</t>
  </si>
  <si>
    <t>R1 | Data extraction 39!AG39</t>
  </si>
  <si>
    <t>R2 | Extraction!AD42</t>
  </si>
  <si>
    <t>Two sensors at different brace heights; actual shift measured with markers and deliberately varied 0–20 mm</t>
  </si>
  <si>
    <t>donning/doffing of brace</t>
  </si>
  <si>
    <t>R1 | Method quality 39!T39</t>
  </si>
  <si>
    <t>R2 | Extraction!AE42</t>
  </si>
  <si>
    <t>Two-channel capacitance acquisition with moving-average filtering; wireless/power details not reported</t>
  </si>
  <si>
    <t>Bluetooth communication</t>
  </si>
  <si>
    <t>R1 | Method quality 39!U39</t>
  </si>
  <si>
    <t>R2 | Extraction!AF42</t>
  </si>
  <si>
    <t>R1 | Method quality 39!V39</t>
  </si>
  <si>
    <t>R2 | Extraction!AG42</t>
  </si>
  <si>
    <t>Across five shift positions, the proposed previous-window model produced overall RMSEs of approximately 3.5–4.3° for the two subjects/rounds and outperformed three comparison methods.</t>
  </si>
  <si>
    <t>Knee-angle RMSE; GMM model; ground-truth MoCap</t>
  </si>
  <si>
    <t>The proposed previous-window GMM/GMR method gave mean±SD RMSE across five shift positions of 4.2±0.4° and 3.5±0.3° for subject A’s two test sets, and 4.1±1.2° and 4.3±2.1° for subject B. One brace-shift set trained the participant-specific model and the other tested it, then the roles were exchanged.</t>
  </si>
  <si>
    <t>R1 | Data extraction 39!AH39</t>
  </si>
  <si>
    <t>R2 | Extraction!AH42</t>
  </si>
  <si>
    <t>Visually inspected Table I on PDF p.8 gives all four overall rows in the PV column. The preceding Methods specify cross-validation between two brace-shift sets; optical tracking supplies joint-angle reference. The 3.5–4.3° range summarizes four overall row means, not an error range for every sample or participant-independent validation. The proposed method is not best at every individual shift position.</t>
  </si>
  <si>
    <t>Directly tested placement shift, a practical don/doff problem, with optical ground truth and reciprocal train/test sets</t>
  </si>
  <si>
    <t>R1 | Data extraction 39!AI39</t>
  </si>
  <si>
    <t>Only two participants and no laundering, environmental, long-term wear or unseen-user validation</t>
  </si>
  <si>
    <t>R1 | Data extraction 39!AJ39</t>
  </si>
  <si>
    <t>Three custom elastic textile bands worn at the upper chest, lower chest and abdomen</t>
  </si>
  <si>
    <t>Resistive bands (elastic)</t>
  </si>
  <si>
    <t>Methods (participants, textile sensors and protocol), talking-detection algorithm, Results, Discussion and Conclusion in the complete open-access article</t>
  </si>
  <si>
    <t>R1 | Data extraction 39!L40</t>
  </si>
  <si>
    <t>R2 | Extraction!I43</t>
  </si>
  <si>
    <t>The active sensor is a 0.4-mm-diameter polymer/carbon-black stretch fibre. Three straight fibre segments are secured by elastic stitching to textile bands. Classifies the demonstrated device; not a new eligibility decision.</t>
  </si>
  <si>
    <t>PDF page(s) 2, 3; §2.1 Sensor; §2.2 Chest and abdominal bands; saved PDF pp. 2, 3</t>
  </si>
  <si>
    <t>REC-02145_10.3390_s18082474.pdf</t>
  </si>
  <si>
    <t>41bb36e912ce8e2342c65ab3ca56ae09df7a8c70be4c284818b7995b0274948c</t>
  </si>
  <si>
    <t>Resistive polymer–carbon-black stretch sensing</t>
  </si>
  <si>
    <t>R1 | Data extraction 39!M40</t>
  </si>
  <si>
    <t>R2 | Extraction!J43</t>
  </si>
  <si>
    <t>A voltage divider records strain-related resistance variation of the stretch fibre to detect breathing changes. Classifies the demonstrated device; not a new eligibility decision.</t>
  </si>
  <si>
    <t>PDF page(s) 3, 4; Sensor acquisition circuit; saved PDF pp. 3, 4</t>
  </si>
  <si>
    <t>Conductive carbon black dispersed in an elastic polymer</t>
  </si>
  <si>
    <t>Resistive stretch conductive</t>
  </si>
  <si>
    <t>R1 | Data extraction 39!N40</t>
  </si>
  <si>
    <t>R2 | Extraction!K43</t>
  </si>
  <si>
    <t>Synthetic knit band with a high-elasticity fleece sensing section</t>
  </si>
  <si>
    <t>Elastic bands</t>
  </si>
  <si>
    <t>R1 | Data extraction 39!O40</t>
  </si>
  <si>
    <t>R2 | Extraction!L43</t>
  </si>
  <si>
    <t>Three 10-cm laboratory-made fibre sensors were secured straight with elastic stitching; connections used rubber glue and conductive ink</t>
  </si>
  <si>
    <t>Sensors in elastic bands</t>
  </si>
  <si>
    <t>Carbon-black/polymer fibre segments laid straight and secured by elastic stitches on chest/abdominal bands.</t>
  </si>
  <si>
    <t>R1 | Data extraction 39!P40</t>
  </si>
  <si>
    <t>R2 | Extraction!M43</t>
  </si>
  <si>
    <t>Carbon-black/polymer fibre segments laid straight and secured by elastic stitches on chest/abdominal bands. Classifies the demonstrated device; not a new eligibility decision.</t>
  </si>
  <si>
    <t>§2.1–2.2; saved PDF pp. 2, 3</t>
  </si>
  <si>
    <t>Machine-learning detection of talking from respiratory deformation signals</t>
  </si>
  <si>
    <t>Talking detection (social)</t>
  </si>
  <si>
    <t>Respiration; Speech/swallowing/facial motion</t>
  </si>
  <si>
    <t>R1 | Data extraction 39!Q40</t>
  </si>
  <si>
    <t>R2 | Extraction!N43</t>
  </si>
  <si>
    <t>Chest/abdominal bands monitor respiratory deformation and classify talking from its breathing pattern. The speech label denotes respiration-derived talking classification, not local vocal/throat strain sensing. Classifies the demonstrated device; not a new eligibility decision.</t>
  </si>
  <si>
    <t>§2.2–2.7; talking-detection protocol; saved PDF pp. 3, 4, 5</t>
  </si>
  <si>
    <t>Human sample size: 15; Participant details: 15 healthy students aged 19–30 years; 6 women and 9 men; mean age 23 ± 3.8 years</t>
  </si>
  <si>
    <t>15 participants (6F/9M 23 yr)</t>
  </si>
  <si>
    <t>15 healthy students: 6 women and 9 men, aged 19-30 years; mean age 23 +/- 3.8 years.</t>
  </si>
  <si>
    <t>R1 | Data extraction 39!S40; R1 | Data extraction 39!T40</t>
  </si>
  <si>
    <t>R2 | Extraction!O43</t>
  </si>
  <si>
    <t>Sections 2.3-2.7 and Discussion. Keep task labels distinct from external physiological validation. Separates participant cohorts, bench tests, human repetitions, model training and experimental reference use.</t>
  </si>
  <si>
    <t>Saved main PDF pp. 3, 4, 5, 6, 9</t>
  </si>
  <si>
    <t>Three 20-min activities with five 2-min talking and five 2-min non-talking periods per activity</t>
  </si>
  <si>
    <t>5 trials with 2 min of non-talkin</t>
  </si>
  <si>
    <t>Sitting, standing and walking for 20 min each. Each activity has five 2-min non-talking and 2-min talking pairs. Total visit approximately 1.5 h including setup.</t>
  </si>
  <si>
    <t>R1 | Method quality 39!K40</t>
  </si>
  <si>
    <t>R2 | Extraction!P43</t>
  </si>
  <si>
    <t>Voltage converted to resistance; 0.1–1.5 Hz filtering, peak detection and intra-subject model training/cross-validation</t>
  </si>
  <si>
    <t>Machine Learning and Wearable Textil</t>
  </si>
  <si>
    <t>Voltage-to-resistance conversion, filtering and individually trained classifiers. A future individual calibration phase is discussed, not an externally calibrated respiratory-volume model.</t>
  </si>
  <si>
    <t>R1 | Method quality 39!L40</t>
  </si>
  <si>
    <t>R2 | Extraction!Q43</t>
  </si>
  <si>
    <t>Protocol-defined talking/non-talking labels; no external respiratory-flow or audio reference used for validation</t>
  </si>
  <si>
    <t>RGB-D camera / self-report (concept)</t>
  </si>
  <si>
    <t>Prescribed talking/non-talking periods provide class labels. No separate audio or respiratory-flow reference is used; camera/self-report references are not the experimental reference.</t>
  </si>
  <si>
    <t>R1 | Data extraction 39!U40</t>
  </si>
  <si>
    <t>R2 | Extraction!R43</t>
  </si>
  <si>
    <t>R2 value “up to 50%” is not verified as a strain range. Keep the strain range pending a direct source location.</t>
  </si>
  <si>
    <t>R1 | Data extraction 39!W40</t>
  </si>
  <si>
    <t>R2 | Extraction!S43</t>
  </si>
  <si>
    <t>The located 50% statement concerns social interaction among older people, not sensor deformation. A demographic/background percentage cannot establish sensor working strain.</t>
  </si>
  <si>
    <t>PDF pp. 1</t>
  </si>
  <si>
    <t>This is source checking by the assistant, not a second independent rating, new consensus or screening decision. Remaining limitation: Check remaining full-text characterization for a genuine strain range.</t>
  </si>
  <si>
    <t>R1 | Data extraction 39!X40</t>
  </si>
  <si>
    <t>R2 | Extraction!T43</t>
  </si>
  <si>
    <t>R1 | Data extraction 39!AA40</t>
  </si>
  <si>
    <t>R2 | Extraction!U43</t>
  </si>
  <si>
    <t>R1 | Data extraction 39!AB40</t>
  </si>
  <si>
    <t>R2 | Extraction!V43</t>
  </si>
  <si>
    <t>A 0.1–1.5 Hz band-pass filter was used to reduce drift/noise; no formal sensor drift test was reported</t>
  </si>
  <si>
    <t>A fourth-order 0.1–1.5 Hz Butterworth band-pass filter reduces drift/noise; no scalar raw-sensor drift test extracted from that processing description.</t>
  </si>
  <si>
    <t>R1 | Data extraction 39!AC40</t>
  </si>
  <si>
    <t>R2 | Extraction!W43</t>
  </si>
  <si>
    <t>Filtering is applied before respiratory analysis. Signal filtering is not a measured stability performance outcome.</t>
  </si>
  <si>
    <t>Saved main PDF p 5, signal processing</t>
  </si>
  <si>
    <t>R1 | Data extraction 39!Y40; R1 | Data extraction 39!Z40</t>
  </si>
  <si>
    <t>R2 | Extraction!X43</t>
  </si>
  <si>
    <t>R1 | Data extraction 39!AD40</t>
  </si>
  <si>
    <t>R2 | Extraction!Y43</t>
  </si>
  <si>
    <t>Three sensors tested simultaneously; device-to-device manufacturing statistics not reported</t>
  </si>
  <si>
    <t>Three sensing elements form upper-chest, lower-chest and abdominal bands; no independent-manufacture variability statistic extracted.</t>
  </si>
  <si>
    <t>R1 | Method quality 39!P40</t>
  </si>
  <si>
    <t>R2 | Extraction!Z43</t>
  </si>
  <si>
    <t>The element count describes anatomical placement. Three simultaneous channels are not three independent complete-device replicates.</t>
  </si>
  <si>
    <t>Saved main PDF pp 3–4, system assembly</t>
  </si>
  <si>
    <t>R1 | Data extraction 39!AE40</t>
  </si>
  <si>
    <t>R2 | Extraction!AA43</t>
  </si>
  <si>
    <t>R1 | Data extraction 39!AF40</t>
  </si>
  <si>
    <t>R2 | Extraction!AB43</t>
  </si>
  <si>
    <t>R2 | Extraction!AC43</t>
  </si>
  <si>
    <t>Band tightness was adjusted from participant feedback to feel like a comfortable tight-fitting exercise shirt</t>
  </si>
  <si>
    <t>R1 | Data extraction 39!AG40</t>
  </si>
  <si>
    <t>R2 | Extraction!AD43</t>
  </si>
  <si>
    <t>Upper-chest, lower-chest and abdominal bands were tightened individually using participant comfort feedback</t>
  </si>
  <si>
    <t>R1 | Method quality 39!T40</t>
  </si>
  <si>
    <t>R2 | Extraction!AE43</t>
  </si>
  <si>
    <t>NI USB-6009, 5-V voltage divider, 100-Hz acquisition; sensor power draw about 1.25 mW</t>
  </si>
  <si>
    <t>R1 | Method quality 39!U40</t>
  </si>
  <si>
    <t>R2 | Extraction!AF43</t>
  </si>
  <si>
    <t>R1 | Method quality 39!V40</t>
  </si>
  <si>
    <t>R2 | Extraction!AG43</t>
  </si>
  <si>
    <t>Mean intra-subject talking-detection accuracy was 85% (88% sitting and 80.6% walking); 96% of complete talking segments were identified.</t>
  </si>
  <si>
    <t>Talking-detection accuracy 85-96%; 15 participants</t>
  </si>
  <si>
    <t>Intra-subject talking detection achieved mean sample/window accuracy 85% (88% sitting, 80.6% walking); 96.3% of complete talking episodes were detected. Hyperparameters/features used 15-fold validation within each participant’s first 70% training data.</t>
  </si>
  <si>
    <t>R1 | Data extraction 39!AH40</t>
  </si>
  <si>
    <t>R2 | Extraction!AH43</t>
  </si>
  <si>
    <t>Methods distinguish participant-specific analysis and tuning data; Results separately report window-level classification and full-episode detection, with the latter rounded to 96% in the abstract. Do not present 85–96% as a single accuracy range: window accuracy and episode detection have different units of analysis/denominators.</t>
  </si>
  <si>
    <t>Retained main PDF pp. 6, 7, 8</t>
  </si>
  <si>
    <t>Fifteen-participant protocol with randomized activity order, repeated trials and detailed anthropometrics</t>
  </si>
  <si>
    <t>R1 | Data extraction 39!AI40</t>
  </si>
  <si>
    <t>Laboratory reading task in young healthy adults; no external respiratory comparator, free-living validation, durability or laundering assessment</t>
  </si>
  <si>
    <t>R1 | Data extraction 39!AJ40</t>
  </si>
  <si>
    <t>Dual-core fibre/yarn sensing element</t>
  </si>
  <si>
    <t>Source-checked author-side extraction; new study</t>
  </si>
  <si>
    <t>pp2-4 Figure1; pp7-8 fabrication</t>
  </si>
  <si>
    <t>REC-00001-main.pdf; am9b10937_si_001.pdf</t>
  </si>
  <si>
    <t>2026-10-13</t>
  </si>
  <si>
    <t>New41-study addition. Assessment scope is original main text and explicitly listed SI. R1/R2 original fields remain blank; no independent human extraction inferred.</t>
  </si>
  <si>
    <t>eb932ca741ad20ad92be0ef2d0032e74fc6c4fcc8664a907eff4f9289593ab3d</t>
  </si>
  <si>
    <t>pp2-4 structure and materials</t>
  </si>
  <si>
    <t>eGaIn liquid metal injected into dual-lumen Ecoflex00-30 microtube; nylon mandrels removed; wired ends epoxy-sealed.</t>
  </si>
  <si>
    <t>pp3-4 and7-8</t>
  </si>
  <si>
    <t>Ecoflex00-30 sheath; fabric glove, Profore stretchable bandage and cotton-side KT kinesiology tape.</t>
  </si>
  <si>
    <t>pp7-8</t>
  </si>
  <si>
    <t>Sewn/woven glove and bandage; fibre bonded to fabric tape.</t>
  </si>
  <si>
    <t>p5 Figure4; pp6-8</t>
  </si>
  <si>
    <t>Finger gestures, elbow/knee movement and respiration demonstrations.</t>
  </si>
  <si>
    <t>pp5-8 Figure4</t>
  </si>
  <si>
    <t>Total unique participant count and demographics not specified; written informed consent reported.</t>
  </si>
  <si>
    <t>p8 Testing on the Smart Textiles</t>
  </si>
  <si>
    <t>Sequential finger bends twice; three fast and three slow squats illustrated. Separate sessions/days not specified.</t>
  </si>
  <si>
    <t>pp6-7 Figure4</t>
  </si>
  <si>
    <t>Instron strain/displacement with simultaneous capacitance acquisition; no explicit human-output calibration model.</t>
  </si>
  <si>
    <t>pp5-8</t>
  </si>
  <si>
    <t>No human external reference. Comparative bench resistive/capacitive cutting test is an engineering control.</t>
  </si>
  <si>
    <t>pp2-3 Figure1; pp5-8 Figure4</t>
  </si>
  <si>
    <t>Variant-dependent maximum500%;180% rate tests;200% cyclic endurance. Material-comparison Ecoflex variant reaches350%, distinct from maximum-range variant.</t>
  </si>
  <si>
    <t>pp4-6 Figure3</t>
  </si>
  <si>
    <t>GF0.19 for Ecoflex comparison variant over0-350% strain, supported by FigureS2a and main p4; maximum sensitivity0.32 is geometry-dependent and not paired automatically with maximum500%.</t>
  </si>
  <si>
    <t>Mainp4; Supportingpp2-3and6 FigureS2a</t>
  </si>
  <si>
    <t>R-squared0.999 for capacitance-strain relationships in tested variants.</t>
  </si>
  <si>
    <t>p5 Figure3a description</t>
  </si>
  <si>
    <t>Initial loading/unloading output0.126versus0.121 at strain1.0; author reports disappearance after four conditioning cycles. No derived hysteresis percentage calculated in review.</t>
  </si>
  <si>
    <t>p6, text referring to Supporting FigureS7</t>
  </si>
  <si>
    <t>First/last10cycle comparison across1,000cycles; no numerical drift coefficient extracted. Worn knee baseline shift attributed to dangling-wire displacement.</t>
  </si>
  <si>
    <t>pp6-7 Figures3d and4k</t>
  </si>
  <si>
    <t>Approximately75ms ramp response lag; synchronized mechanical/electrical response at strain rates0.36,0.48and0.60 per second. Recovery time not extracted.</t>
  </si>
  <si>
    <t>p6 Figure3b/S6 description</t>
  </si>
  <si>
    <t>1,000 tensile cycles at200% strain. This is sensing-element endurance, not complete garment/electronics durability.</t>
  </si>
  <si>
    <t>p4 Figure3d; p6 cyclic Results</t>
  </si>
  <si>
    <t>Three sensors for humidity and another three identical sensors for temperature; Supporting FigureS13 shows shaded error bars whose statistic is not defined.</t>
  </si>
  <si>
    <t>Mainpp6and8; Supportingp19 FigureS13</t>
  </si>
  <si>
    <t>No laundering experiment identified in assessed main text.</t>
  </si>
  <si>
    <t>pp6-8 robustness and methods</t>
  </si>
  <si>
    <t>48-75%relative humidity at23C; temperature-20to100C with1h equilibration; average capacitance increase0.23%/C from20to100C; -5C freeze6h then cyclic stretching.</t>
  </si>
  <si>
    <t>pp6 and8</t>
  </si>
  <si>
    <t>Severing with scalpel assessed; no rubbing/abrasion protocol identified. Cutting is kept distinct from abrasion.</t>
  </si>
  <si>
    <t>p3 cutting Results</t>
  </si>
  <si>
    <t>Small fibre dimensions and textile conformity described; no quantitative breathability or wearer-comfort measurement extracted.</t>
  </si>
  <si>
    <t>pp2-3 and6-8</t>
  </si>
  <si>
    <t>Longitudinal finger/bandage placement; bandage wrapped around abdomen without stretching; knee tape aligned with leg.</t>
  </si>
  <si>
    <t>p8</t>
  </si>
  <si>
    <t>PXIe-4082 digital multimeter and wired acquisition; U1701B capacitance meter for environmental tests. Portable wireless system proposed, not implemented.</t>
  </si>
  <si>
    <t>pp6-8</t>
  </si>
  <si>
    <t>Supporting figures and five videos listed; no underlying-data/code access statement identified in main.</t>
  </si>
  <si>
    <t>p8 Associated Content</t>
  </si>
  <si>
    <t>Bench linearityR-squared0.999 and1,000cycles at200%; worn quantitative traces without comparator error statistics.</t>
  </si>
  <si>
    <t>pp4-6 Figures3-4</t>
  </si>
  <si>
    <t>Garment/accessory integration and multiple separately reported robustness experiments.</t>
  </si>
  <si>
    <t>pp4-8</t>
  </si>
  <si>
    <t>Human measurement evaluation remains illustrative; participant count, cross-user calibration and garment-level care testing are not established.</t>
  </si>
  <si>
    <t>Weft-knitted sensing fabric; course and wale directions assessed separately.</t>
  </si>
  <si>
    <t>p3 morphology andFigure2</t>
  </si>
  <si>
    <t>REC-00009-main.pdf</t>
  </si>
  <si>
    <t>07eef1d05ed131c5ac0bc1c08f1d4b58c1462a948be846dd367f29d4fcc0151e</t>
  </si>
  <si>
    <t>p3 section2.4; Figure4</t>
  </si>
  <si>
    <t>Ti3C2Tx MXene via MILD etching; two dip/dry passes on fabric; PDMS encapsulation10:1; copper foil and silver-paste electrodes.</t>
  </si>
  <si>
    <t>pp2-3 sections2.1-2.2</t>
  </si>
  <si>
    <t>97%polyester/3%spandex;0.33mm thick;5by1cm strips and30mm electrode gap.</t>
  </si>
  <si>
    <t>p2 section2.2</t>
  </si>
  <si>
    <t>Coated textile strip attached to wrist/finger with polyimide tape; no garment assembly.</t>
  </si>
  <si>
    <t>pp6-7 Figure5</t>
  </si>
  <si>
    <t>Wrist/finger motion, pulse monitoring and finger-Morse communication. Loudspeaker speech signals are bench audio sensing, not worn human speech.</t>
  </si>
  <si>
    <t>pp6-8 Figures5-6</t>
  </si>
  <si>
    <t>Total participant cohort/demographics not specified. Ethics/consent waivers stated by authors.</t>
  </si>
  <si>
    <t>pp6-7 andp9 declarations</t>
  </si>
  <si>
    <t>Illustrative repeated bends; no independent session/day count.</t>
  </si>
  <si>
    <t>Motor-controlled known strain; source meter0.1V; GF from relative resistance versus strain.</t>
  </si>
  <si>
    <t>p3 section2.4</t>
  </si>
  <si>
    <t>No external human reference. Loudspeaker audio comparison is a distinct bench experiment.</t>
  </si>
  <si>
    <t>Course0-8%; wale0-6%.</t>
  </si>
  <si>
    <t>pp5-7 Figure4a,d</t>
  </si>
  <si>
    <t>Course:9.7over0-1%,26.6over1-3%,6.6over3-8%; wale:22over0-1%,61.2over1-6%. Conclusion instead states26.5at8% for course; preserve that conflict and prioritize figure/results intervals.</t>
  </si>
  <si>
    <t>pp5-7 Figure4a,d; conclusionp8</t>
  </si>
  <si>
    <t>Qualitative linear regime, especially wale1-6%; no numerical fit coefficient extracted.</t>
  </si>
  <si>
    <t>pp5-7 Figure4d</t>
  </si>
  <si>
    <t>No numerical hysteresis metric identified in assessed main text.</t>
  </si>
  <si>
    <t>pp5-8 sensing Results</t>
  </si>
  <si>
    <t>Repeated frequency and500cycle waveforms shown; baseline trends visible. No numerical drift/repeatability statistic extracted.</t>
  </si>
  <si>
    <t>p7 Figure4b,c,e,f</t>
  </si>
  <si>
    <t>No numerical response/recovery time extracted; frequency response0.1-0.3Hz at5% strain.</t>
  </si>
  <si>
    <t>p3 section2.4 andp7 Figure4</t>
  </si>
  <si>
    <t>500cycles at5% strain,0.75mm/s,0.1V in course/wale directions.</t>
  </si>
  <si>
    <t>p3 section2.4 andp7 Figure4c,f</t>
  </si>
  <si>
    <t>No functional-output comparison across independent equivalent devices identified.</t>
  </si>
  <si>
    <t>No laundering protocol identified in assessed main.</t>
  </si>
  <si>
    <t>pp2-3 Methods andpp5-8 Results</t>
  </si>
  <si>
    <t>PDMS oxidation/humidity protection claimed; no quantified environmental sensing exposure identified. TGA characterizes material thermal decomposition.</t>
  </si>
  <si>
    <t>pp1-3 and5-8</t>
  </si>
  <si>
    <t>No rubbing/abrasion test identified in assessed main.</t>
  </si>
  <si>
    <t>Methods/Results pp2-8</t>
  </si>
  <si>
    <t>Textile softness/comfort motivated; no quantitative comfort or breathability result extracted.</t>
  </si>
  <si>
    <t>Introductionpp1-2</t>
  </si>
  <si>
    <t>Wrist and finger placement, polyimide tape; no specified pretension or repeated positioning protocol.</t>
  </si>
  <si>
    <t>Keithley2614B source meter at0.1V, copper/silver-paste contacts and wired bench acquisition; portable power/readout not specified.</t>
  </si>
  <si>
    <t>pp2-3</t>
  </si>
  <si>
    <t>Presented data available within the article; no identified raw-data/code repository.</t>
  </si>
  <si>
    <t>p9 Data Availability Statement</t>
  </si>
  <si>
    <t>WaleGF61.2over1-6% and500cycles at5%; worn pulse approximately85beats/min without external validation.</t>
  </si>
  <si>
    <t>pp5-7 Figures4-5</t>
  </si>
  <si>
    <t>Direction-specific sensitivity and controlled sensing-element cycling with actual worn textile demonstration.</t>
  </si>
  <si>
    <t>pp3and5-7</t>
  </si>
  <si>
    <t>Human cohort/protocol and independent reference not specified; PDMS-protection claims lack controlled environmental sensing validation in assessed main.</t>
  </si>
  <si>
    <t>pp5-9</t>
  </si>
  <si>
    <t>Publication year</t>
  </si>
  <si>
    <t>Studies</t>
  </si>
  <si>
    <t>All studies</t>
  </si>
  <si>
    <t>Proportion of all</t>
  </si>
  <si>
    <t>R1 architecture</t>
  </si>
  <si>
    <t>R2 architecture</t>
  </si>
  <si>
    <t>Source-checked code</t>
  </si>
  <si>
    <t>Source-checked architecture</t>
  </si>
  <si>
    <t>Architecture evidence</t>
  </si>
  <si>
    <t>R1 mechanism</t>
  </si>
  <si>
    <t>R2 mechanism</t>
  </si>
  <si>
    <t>Source-checked mechanism</t>
  </si>
  <si>
    <t>Mechanism evidence</t>
  </si>
  <si>
    <t>Demonstrated applications (overlapping)</t>
  </si>
  <si>
    <t>Application status</t>
  </si>
  <si>
    <t>Caution / reason</t>
  </si>
  <si>
    <t>Review mode</t>
  </si>
  <si>
    <t>Source file</t>
  </si>
  <si>
    <t>Approved value</t>
  </si>
  <si>
    <t>Reviewer name</t>
  </si>
  <si>
    <t>Approval date</t>
  </si>
  <si>
    <t>Review status</t>
  </si>
  <si>
    <t>Integration route (separate from construction)</t>
  </si>
  <si>
    <t>Integration evidence</t>
  </si>
  <si>
    <t>Application evidence</t>
  </si>
  <si>
    <t>Technical category status</t>
  </si>
  <si>
    <t>Ergonomic fatigue prediction (model-derived)</t>
  </si>
  <si>
    <t>Pulse/heartbeat</t>
  </si>
  <si>
    <t>Robotic-hand/HMI interaction</t>
  </si>
  <si>
    <t>Speech/swallowing/facial motion</t>
  </si>
  <si>
    <t>KN</t>
  </si>
  <si>
    <t>PDF page(s) 3; §3.1 Materials and fabrication; saved PDF pp. 3. Whole-garment knitting integrates conductive silver-coated nylon loops into the glove using intarsia knitting.</t>
  </si>
  <si>
    <t>PDF page(s) 3, 4; Knitted sensor resistance model; saved PDF pp. 3, 4. Electrical resistance varies with loop contact and deformation; article describes resistance of the conductive loops.</t>
  </si>
  <si>
    <t>source checked</t>
  </si>
  <si>
    <t>Architecture source checked. Application categories overlap; auxiliary functions are not human-monitoring outcomes.</t>
  </si>
  <si>
    <t>Source-checked analyst classification; no human sign-off inferred.</t>
  </si>
  <si>
    <t>§3.1; saved PDF pp. 3. Conductive-yarn intarsia/whole-garment knitting; sensor zones integral to glove.</t>
  </si>
  <si>
    <t>§3 and hand-posture classification results; Table 1; saved PDF pp. 4, 10. Ten hand/wrist postures were classified using the knitted glove; the demonstrated outcome is hand posture, not physiological monitoring.</t>
  </si>
  <si>
    <t>source checked; Not new human consensus; original R1/R2 and approval fields preserved in old; no reviewer approval inferred</t>
  </si>
  <si>
    <t>PDF page(s) 2, 3; §2.1; §3.1; Table1; saved PDF pp. 2, 3. §3.1 explicitly identifies a weft-knitted fabric. Table1 lists weft knitting for SP10–SP19 and 'wrap' for SP22. The primary evaluated SP13 sensor is pen-ink dip-coated spandex/polyamide knit.</t>
  </si>
  <si>
    <t>PDF page(s) 2, 3; §3.2 Strain performance; saved PDF pp. 2, 3. Electrical resistance during loading and release is the strain response. Article explicitly calls the material piezoresistive.</t>
  </si>
  <si>
    <t>§2.1 and wearable demonstrations; saved PDF pp. 2, 6, 7. Pen-ink dip coating of existing knit; coated fabric attached/sewn into T-shirt, wrist/knee and other wearable sites.</t>
  </si>
  <si>
    <t>Wearable demonstrations; Fig. 5; saved PDF pp. 6, 7. Finger/wrist/elbow movement, a T-shirt respiratory sensor, and wrist pulse were demonstrated; walking was also recorded.</t>
  </si>
  <si>
    <t>FY</t>
  </si>
  <si>
    <t>PDF page(s) 2, 3; Fabrication and Results, Fig1 text; saved PDF pp. 2, 3. Layer-by-layer assembly deposits CB@CNC/natural-rubber conductive coating onto PU yarn using chitosan mediator. The characterized sensing unit is CPC@PU yarn.</t>
  </si>
  <si>
    <t>PDF page(s) 2, 4; Results; strain-sensitive conductive yarn; saved PDF pp. 2, 4. The CPC coating forms conductive networks; strain sensing uses change of electrical resistance of the coated PU yarn.</t>
  </si>
  <si>
    <t>Fabrication and wearable demonstrations; saved PDF pp. 2, 3, 6, 7. Layer-by-layer conductive coating on PU yarn; yarn used as skin-attached elements and woven into a glove.</t>
  </si>
  <si>
    <t>Human-motion demonstrations; Figs. 4–5; saved PDF pp. 6, 7. Yarn in a glove monitored grasp/hold/release; skin-mounted yarn measured radial pulse, speech, swallowing/coughing/chewing and facial expressions.</t>
  </si>
  <si>
    <t>PDF pp.3–4, Instrumentation and Fig.1 description; saved PDF pp. 3, 4. The strain-sensing material is explicitly knitted piezoresistive fabric integrated into a sensing shirt.</t>
  </si>
  <si>
    <t>PDF p.4, Instrumentation, Eq.3; saved PDF pp. 4, 3. Smartex knitted piezoresistive fabric is used to detect scapula sliding through resistance changes.</t>
  </si>
  <si>
    <t>Instrumentation; saved PDF pp. 3, 4. Knitted piezoresistive sensor fabric integrated in a sensing shirt; combined with inertial units.</t>
  </si>
  <si>
    <t>Data collection and initial analysis; saved PDF pp. 4, 5. Five volunteers repeated sagittal arm flexion and frontal abduction while the sensing shirt tracked scapular-girdle movement.</t>
  </si>
  <si>
    <t>ES</t>
  </si>
  <si>
    <t>PDF page(s) 9, 13, 14; Methods: Sensor materials and fabrication; glove-type platform; saved PDF pp. 9, 13, 14. Computerized embroidery uses silver-plated nylon yarn. Three-dimensional slit/contact-point/stitch-density configurations form the active sensing architecture.</t>
  </si>
  <si>
    <t>PDF page(s) 2, 15; Contact-area mechanism; Experimental setup; saved PDF pp. 2, 15. Resistance changes as conductive embroidered elements make or lose contact; voltage readout follows this resistive contact-area mechanism.</t>
  </si>
  <si>
    <t>Methods; saved PDF pp. 9, 10, 13, 14. Silver-coated nylon embroidery on tricot substrate; folded/slit three-dimensional contact sensor; embroidered glove interconnections.</t>
  </si>
  <si>
    <t>Glove platform; Experimental design; saved PDF pp. 13, 14, 15. Seven participants performed repeated finger flexion–extension using the glove; video-based hand-skin strain informed sensor placement.</t>
  </si>
  <si>
    <t>UF</t>
  </si>
  <si>
    <t>§2.1 Materials and E-textile preparation; saved PDF pp. 4, 5. Spandex/cotton fabric and printing are specified; knit/weave construction of the active substrate is not specified.</t>
  </si>
  <si>
    <t>Sensing mechanism; Fig. 5; saved PDF pp. 12. Stretch changes contacts between graphene nanosheets and therefore resistivity/resistance.</t>
  </si>
  <si>
    <t>E-textile preparation and Fig. 6; saved PDF pp. 4, 5, 12. Aerodynamics-assisted screen printing of graphene/cellulose/PEDOT:PSS on spandex/cotton fabric; sensor integrated with clothing/pads.</t>
  </si>
  <si>
    <t>E-textile wearable application; Fig. 6a–c; saved PDF pp. 12, 13. Sensors integrated with elbow/knee pads monitored flexion; Fig. 6c records respiration during lung expansion/contraction. Rehabilitation is proposed, not a separately demonstrated clinical application.</t>
  </si>
  <si>
    <t>not reported; Not new human consensus; original R1/R2 and approval fields preserved in old; no reviewer approval inferred</t>
  </si>
  <si>
    <t>PDF page(s) 2; §2.2–2.3 Sensor/yarn preparation; saved PDF pp. 2. Strain-sensing conductive composite nanofiber yarn is hand-stitched into knitted base fabric using different stitching methods and needle pitches; stitch geometry is an explicit sensor design variable.</t>
  </si>
  <si>
    <t>PDF page(s) 3, 4, 5; Composite sensing fabric electromechanical results; saved PDF pp. 3, 4, 5. The analysis relates relative resistance change to elongation and compares sensing behaviour of the stitch patterns.</t>
  </si>
  <si>
    <t>§2.2–2.3 and Fig. 4; saved PDF pp. 2, 6, 7. Conductive composite nanofibre yarn hand-stitched into a knitted base; controlled stitch structure/needle pitch creates the active sensing fabric.</t>
  </si>
  <si>
    <t>Wearable demonstrations; Fig. 4; saved PDF pp. 6, 7. The sensing fabric records elbow motion, abdominal breathing, and heartbeat/pulse-related signals.</t>
  </si>
  <si>
    <t>PDF page(s) 3; §2.1 Fabrication and structure of DHCY; saved PDF pp. 3. Two liquid-metal-filled silicone tubes are twisted into double-helix yarn and covered with skin-friendly fibres by friction spinning.</t>
  </si>
  <si>
    <t>PDF page(s) 4; §2.2 Mechanical properties and strain-sensitive capacitance; saved PDF pp. 4. The double-helix yarn's two electrodes sense strain through changing capacitance. Resistance is also characterized, but the functional strain sensor uses capacitance.</t>
  </si>
  <si>
    <t>§2.1 and motion demonstrations; saved PDF pp. 3, 8, 9. Double-helix liquid-metal/silicone yarn produced by friction core spinning; yarn incorporated into fabric/wearable movement demonstrators.</t>
  </si>
  <si>
    <t>Human-motion demonstrations; Fig. 4; saved PDF pp. 8, 9. Capacitive yarn measured finger/wrist/elbow motion and knee-dependent standing, walking, running and jumping. Heating/energy harvesting are auxiliary functions, not additional physiological outcomes.</t>
  </si>
  <si>
    <t>NW</t>
  </si>
  <si>
    <t>PDF page(s) 3; §2.1 Materials; preparation description; saved PDF pp. 3. Starting substrate is commercial TPU nonwoven fabric, functionalized with a CNC/graphene conductive coating and hydrophobic fumed silica.</t>
  </si>
  <si>
    <t>PDF page(s) 10, 11; Electromechanical response and microcrack model; saved PDF pp. 10, 11. Prestrain-controlled microcracks in the conductive coating alter the conductive network and resistance during extension.</t>
  </si>
  <si>
    <t>Materials/preparation and Fig. 5; saved PDF pp. 3, 13. Conductive CNC/graphene and hydrophobic silica functionalisation of TPU nonwoven; cut elements applied to glove/body.</t>
  </si>
  <si>
    <t>Human monitoring; Fig. 5; saved PDF pp. 13, 14. The coated nonwoven sensor measured elbow/wrist/finger motion, wrist pulse, throat speech and respiration (Fig. 5G).</t>
  </si>
  <si>
    <t>WV</t>
  </si>
  <si>
    <t>PDF page(s) 3, 5; Fabrication of CG fabric and electrode coating; saved PDF pp. 3, 5. PU/PET warp and Calotropis gigantea weft yarns are woven on a rigid rapier loom into 2/2 twill and plain structures; PDA/rGO functionalization creates the sensing textile.</t>
  </si>
  <si>
    <t>PDF page(s) 8; Strain-sensing mechanism; saved PDF pp. 8. The sensor resistance is modelled using yarn/contact resistance; changing yarn separation/contact under strain changes total resistance.</t>
  </si>
  <si>
    <t>Fabrication and §2.4; saved PDF pp. 3, 5, 11, 12. Weaving of PU/PET warp and CG weft; PDA/rGO dip functionalisation; coated sensor integrated into elbow/knee pads.</t>
  </si>
  <si>
    <t>§2.4 Practical application; Fig. 5; saved PDF pp. 11, 12, 13. Throat speaking/drinking, diaphragmatic breathing and joint movement were demonstrated; knee/elbow-pad outdoor monitoring followed. Temperature/humidity tests demonstrate robustness, not an environmental sensing application.</t>
  </si>
  <si>
    <t>PDF page(s) 2, 3; §2.2 Preparation of PPY; MXene deposition; saved PDF pp. 2, 3. Conjugated electrospinning continuously draws and twists PA/PVA nanofibres into coreless yarn; deep MXene deposition forms an internal conductive network.</t>
  </si>
  <si>
    <t>PDF page(s) 7; §3.4 Strain-sensing mechanism and performance; saved PDF pp. 7. The article states that rearrangement of the internal 3D nanofibre conductive network changes resistance; low/intermediate strain changes contacts and high strain reduces cross-contact points.</t>
  </si>
  <si>
    <t>§2.2 and §3.7; saved PDF pp. 2, 3, 10, 11. Conjugate electrospinning into continuous nanofibre yarn followed by internal MXene deposition; patterned embroidery into elastic host fabric.</t>
  </si>
  <si>
    <t>§3.7 Human motion monitoring; Fig. 7a; saved PDF pp. 10, 11. Patterned yarn textiles monitored wrist, neck, lumbar spine, knee and elbow motion. Generic statements about physiological potential are not a separate demonstrated application.</t>
  </si>
  <si>
    <t>PDF page(s) 4, 5; §2.3 Fabrication of BWWAJ strain sensor; Fig2 text; saved PDF pp. 4, 5. A hand loom constructs an active plain-weave sensor with twisted graphene fibre (TGF) weft and elastic Lycra warp. Effective sensing area is 10×5 mm.</t>
  </si>
  <si>
    <t>PDF page(s) 6; §3.2 Sensing mechanism; saved PDF pp. 6. Strain along warp separates neighbouring TGF segments; loss of contact/parallel conductive paths raises the woven sensor's resistance.</t>
  </si>
  <si>
    <t>§2.3 and §3.5; saved PDF pp. 4, 9. Plain weaving of graphene-fibre weft/Lycra warp creates contact-dependent active sensor; sensor sewn onto elbow/knee pads.</t>
  </si>
  <si>
    <t>§3.5 Underwater motion monitoring; Fig. 5; saved PDF pp. 9, 10. Sensors sewn on elbow/knee pads monitored swimming strokes and simulated drowning movement, with resistance signals transmitted wirelessly. This is a motion demonstration, not clinical rescue validation.</t>
  </si>
  <si>
    <t>PDF page(s) 5; §2.1 Sensor characterization; saved PDF pp. 5. Sensor includes a spacer-knitted fabric elastic base, conductive graphene coating, TPU defining frame and encapsulation; graphene adheres within the knitted structures.</t>
  </si>
  <si>
    <t>PDF page(s) 5; §2.1 Sensing mechanism; saved PDF pp. 5. Strain increases spacing between graphene nanoplatelets on the knit and therefore increases electrical resistance.</t>
  </si>
  <si>
    <t>§2.1 and sleeve evaluation; saved PDF pp. 5, 8. Graphene coating of spacer-knitted base with TPU frame/encapsulation; multisensor knee/elbow sleeve.</t>
  </si>
  <si>
    <t>§2.3 joint-angle estimation; §2.4 Gesture recognition; saved PDF pp. 8, 9, 10, 11. Knitted knee/elbow sleeves estimate joint angles and classify movements against motion capture; human–computer-interface use is proposed rather than a separate actuated interface test.</t>
  </si>
  <si>
    <t>PDF page(s) 4, 5; §2.2–2.3 Fabrication; saved PDF pp. 4, 5. Acrylic/spandex weft-knitted fabric is produced on a gauge-10 double-bed machine and coated/encapsulated with GNP/TPU sensing layers.</t>
  </si>
  <si>
    <t>PDF page(s) 6, 7; §2.4 Sensor characterization; saved PDF pp. 6, 7. Tensile strain and resistance are recorded in parallel; loading orientation and response-time tests measure resistance change.</t>
  </si>
  <si>
    <t>§2.2–2.3 and §3.9; saved PDF pp. 4, 5, 18. GNP/TPU coating and encapsulation of weft-knit fabric; sensor elements built into clothing or attached to monitoring sites.</t>
  </si>
  <si>
    <t>§3.9 Sensor application tests; Figs. 12–13; saved PDF pp. 18, 19, 20. Joint movements, mouth/facial movements, carotid pulse, and abdominal breathing were each demonstrated.</t>
  </si>
  <si>
    <t>§2.1 Materials and Fig. 1b; saved PDF pp. 3, 4. Materials calls the fabric woven; Fig. 1 caption calls it braided. The directly inspected embedded SEM Fig. 1b shows loop-like yarn paths, not enough to reconcile contradictory source terminology. Preserve unspecified/source-conflicting rather than force woven, knitted or braided.</t>
  </si>
  <si>
    <t>Strain-response mechanism; saved PDF pp. 4, 5. Extension changes conductive-network contacts and the measured resistance; release restores conductive paths.</t>
  </si>
  <si>
    <t>source-conflicting</t>
  </si>
  <si>
    <t>§2.1 and wearable applications; saved PDF pp. 3, 7, 8. MXene impregnation/coating of pre-existing stretch fabric; textile sensor attached to body and formed into an arm sleeve.</t>
  </si>
  <si>
    <t>Human-motion monitoring; Fig. 4; saved PDF pp. 7, 8. The MXene textile records joint movement, mouth opening/closing and arm-muscle contraction; sleeve tests include forearm loading. This supports muscle-deformation sensing, not fatigue validation.</t>
  </si>
  <si>
    <t>source-conflicting; Not new human consensus; original R1/R2 and approval fields preserved in old; no reviewer approval inferred</t>
  </si>
  <si>
    <t>GD</t>
  </si>
  <si>
    <t>§2.1 Sensor/glove construction; saved PDF pp. 4. The active carbon layer is printed on TPU, laminated with fabric and glued as four discrete sensor pieces to a knit glove. The host glove is knitted, but that does not make the active sensing unit a knitted strain structure.</t>
  </si>
  <si>
    <t>Sensor data acquisition; saved PDF pp. 5. Printed sensor acts as the variable resistor in a voltage-divider circuit.</t>
  </si>
  <si>
    <t>§2.1; saved PDF pp. 4, 5. Carbon ink screen-printed on TPU and laminated with cotton/polyester fabric; four discrete composite sensors adhesive-glued onto commercial PVC-dot knit glove.</t>
  </si>
  <si>
    <t>Hand gesture experimental procedure; saved PDF pp. 6, 7. Four sensors attached to a glove record hand postures during six daily-living tasks in a participant experiment.</t>
  </si>
  <si>
    <t>Results textile microstructure; Fig. 3 caption; saved PDF pp. 4, 5. Results explicitly states that the textile is woven with threads; Fig. 3 caption describes threads with which the textile is woven. This source-reported construction supersedes the earlier methods-only unknown assignment.</t>
  </si>
  <si>
    <t>PDF page(s) 2, 4, 5; §3 and strain-response results; saved PDF pp. 2, 4, 5. Resistance is measured before/after prestrain release and during applied strain; copper wires contact opposite edges of graphite-coated textile.</t>
  </si>
  <si>
    <t>§2–3 and Fig. 5; saved PDF pp. 2, 4, 5, 6. Pencil-drawn graphite functionalisation under multiaxial prestrain on commercial woven textile; elements attached to glove/clothing.</t>
  </si>
  <si>
    <t>Human-motion tests; Fig. 5; humidity/temperature tests; saved PDF pp. 6, 7, 8. Glove/clothing-mounted textile sensors record finger/elbow/knee motion. Humidity, sweat, temperature and illumination responses are auxiliary functions and not additional human strain-monitoring outcomes.</t>
  </si>
  <si>
    <t>§3.1; saved PDF pp. 5. MedTexP130 conductive textile and Ecoflex/T-shirt integration are specified, but active knit/weave construction is not. Do not infer construction from a trade name or the host T-shirt.</t>
  </si>
  <si>
    <t>§3.1; saved PDF pp. 5. Rib-cage expansion strains the piezoresistive MedTex textile and increases resistance.</t>
  </si>
  <si>
    <t>§3.1; saved PDF pp. 5. Cut MedTexP130 textile patches encapsulated in cast Ecoflex directly on a sports T-shirt using a 3D-printed mould.</t>
  </si>
  <si>
    <t>§3.1 Smart T-shirt; respiratory protocol; saved PDF pp. 5, 6, 7. Piezoresistive textile elements in a T-shirt track rib-cage expansion and respiratory activity. Physical activity is a test condition, not an independently reported movement outcome.</t>
  </si>
  <si>
    <t>PDF page(s) 3, 4; §2.1.1 CCET fabrication; §2.1.2 Sport shorts; saved PDF pp. 3, 4. Copper wire is wound around elastic thread; the resulting CCET is arranged as three rectangular loops per sensor and secured to elastic textile by zigzag sewing.</t>
  </si>
  <si>
    <t>PDF page(s) 10; §3.1 Principle of operation; saved PDF pp. 10. The sensor's inductance depends on loop perimeter/area and the copper-wound thread geometry. Readout uses inductive sensing.</t>
  </si>
  <si>
    <t>§2.1.1–2.1.2; saved PDF pp. 3, 4. Copper wire wound around elastic thread; three-loop sensing paths fixed by zigzag sewing to elastic fabric and compression shorts.</t>
  </si>
  <si>
    <t>§2.2.3 Participants; §3.8 Cohort kinematic tracking; saved PDF pp. 9, 15. Inductive sensors on compression shorts measure multiaxial hip angles during running in a 12-participant cohort.</t>
  </si>
  <si>
    <t>PDF page(s) 2, 3; Device description; §2.1 Data collection; saved PDF pp. 2, 3. Active sensors are triphasic silicone/nickel composites (Ni nanostrands and nickel-coated carbon fibres), mounted as an array on a commercial nylon/spandex knee sleeve.</t>
  </si>
  <si>
    <t>PDF page(s) 2, 3; Device description and readout; saved PDF pp. 2, 3. Article explicitly identifies inverse piezoresistive response and reads the sixteen sensors with a multiplexer/Wheatstone bridge.</t>
  </si>
  <si>
    <t>§2.1; saved PDF pp. 3, 4. Moulded silicone/Ni nanostrand/carbon-fibre composite sensors adhered to silicone footings on a commercial sleeve; embroidered wires provide interconnection only.</t>
  </si>
  <si>
    <t>§2.1 Data collection; saved PDF pp. 3, 4, 5. A 16-element sensor array on a knee sleeve measures flexion/extension and internal/external rotation in healthy participants; post-arthroplasty rehabilitation is future intended use.</t>
  </si>
  <si>
    <t>PDF page(s) 9; §2.3 Fabric strain sensors and sensing belt; saved PDF pp. 9. Commercial fabric strain sensors are fabricated by printing carbon nanocomposites on knitted fabric; multiple elements form a limb-gauge sensing belt.</t>
  </si>
  <si>
    <t>PDF page(s) 10, 11; §2.3 Mechanical-electrical behaviour; saved PDF pp. 10, 11. The sensing signal is resistance change of the fabric strain sensors during elongation.</t>
  </si>
  <si>
    <t>§2.3; saved PDF pp. 9, 11, 12. Carbon-nanocomposite printing on knit; commercial sensors silicone-protected and assembled with pretension on an elastic fabric upper-arm belt.</t>
  </si>
  <si>
    <t>§3 Experimental; Fig. 8; saved PDF pp. 19, 20, 21. An upper-arm fabric sensing belt measures muscle-related circumference strain during elbow isometric contraction against a Biodex torque measurement; this is muscle contraction/force-related monitoring, not a demonstrated fatigue biomarker.</t>
  </si>
  <si>
    <t>PDF page(s) 2; Wearable sensor system; saved PDF pp. 2. Rectangular sensing elements are cut from silver-plated knitted fabric (Shieldex Technik-tex P130+B) and hand-sewn on respiratory bands.</t>
  </si>
  <si>
    <t>PDF page(s) 1, 2; System description; saved PDF pp. 1, 2. The wearable is explicitly piezoresistive; six resistive textile elements track thorax/abdomen expansion.</t>
  </si>
  <si>
    <t>Smart garment; saved PDF pp. 2. Silver-plated knitted sheet laser-cut into rectangular elements and hand-sewn onto three adjustable respiratory bands.</t>
  </si>
  <si>
    <t>Smart garment and Experimental setup; saved PDF pp. 2, 3. Six piezoresistive elements on respiratory bands estimate respiratory rate at rest, walking and running. Walking/running are motion-artifact conditions, not separate gait outcomes.</t>
  </si>
  <si>
    <t>PDF page(s) 3, 4; Experimental: Preparation of CPF; saved PDF pp. 3, 4. Polyester fabrics with weft-knitted structure receive air plasma treatment and ALD Al-doped ZnO conductive coating.</t>
  </si>
  <si>
    <t>PDF page(s) 6; Strain-response results; saved PDF pp. 6. Relative resistance changes with applied strain; negative GF/resistance variation is a resistive response.</t>
  </si>
  <si>
    <t>Preparation of CPF and Figs. 6–7; saved PDF pp. 3, 4, 10, 11. Air plasma and ALD Al-doped ZnO on polyester weft-knit fabric; active sensor attached at body sites, with textile sewing compatibility.</t>
  </si>
  <si>
    <t>Detection of full-range human body movements; Figs. 6–7; saved PDF pp. 10, 11, 12. Joint bending, facial/phonation/swallowing movements and a breathing trace (Fig. 7g) are demonstrated.</t>
  </si>
  <si>
    <t>PDF page(s) 6, 7; §2.2 Materials; §3 Stitched contacts; saved PDF pp. 6, 7. The active sensor comprises moulded Ecoflex/BTO dielectric and carbon-black/Ecoflex interdigital electrodes. Conductive threads form contact terminals.</t>
  </si>
  <si>
    <t>PDF page(s) 3, 6; §2.1 Design and capacitance model; saved PDF pp. 3, 6. Elongation changes interdigital capacitance via electrode spacing/geometry; the sensor is capacitive.</t>
  </si>
  <si>
    <t>§2.2–3 and Fig. 6; saved PDF pp. 6, 7, 16, 17. Moulded Ecoflex/BTO dielectric and carbon-black/Ecoflex interdigital electrodes; stitched conductive terminals electrically connect and anchor the discrete sensor to a glove.</t>
  </si>
  <si>
    <t>On-glove demonstration; Fig. 6; saved PDF pp. 16, 17. A stitched-on capacitive sensor distinguishes rest, partially closed and fully closed finger positions.</t>
  </si>
  <si>
    <t>PDF page(s) 4; §II.A Sensor design and fabrication; saved PDF pp. 4. PVC flat lacing is manually tied into four-strand crown-sinnet knots; three-ply braided silver-coated polyamide thread follows one strand, producing a standalone looped sensing cable.</t>
  </si>
  <si>
    <t>PDF page(s) 4; §II.B Sensor mechanism; saved PDF pp. 4. Contact/separation of conductive thread loops changes resistance under tension/compression/bending.</t>
  </si>
  <si>
    <t>§II.A and §IV.A; saved PDF pp. 4, 6. Crown-sinnet knotting of PVC lacing with conductive braided thread; standalone knot-based cable hand-stitched to a GLCS garment and enclosed in a fabric sleeve.</t>
  </si>
  <si>
    <t>§IV Human Movement Classification; saved PDF pp. 6, 7. One ISS participant performed static torso positions and dynamic lower-body exercises during three sessions using a sensor secured to the GLCS garment.</t>
  </si>
  <si>
    <t>PDF page(s) 9; §4.1 Experimental materials; §4.3 preparation; saved PDF pp. 9. Raw substrate is degummed silk fabric with specified weft (60 threads/cm) and warp (120 threads/cm) density; MXene is deposited onto plasma-treated fabric.</t>
  </si>
  <si>
    <t>PDF page(s) 6, 7; Electromechanical performance and wearable response; saved PDF pp. 6, 7. The text evaluates GF and relative electrical resistance changes under strain; motion generates corresponding resistance waveforms.</t>
  </si>
  <si>
    <t>§2.6 and §4.1–4.3; saved PDF pp. 7, 8, 9. Plasma pretreatment and MXene dip-coating of woven silk; sensor patches attached to glove finger joints for robotic control.</t>
  </si>
  <si>
    <t>§2.5–2.6; Figs. 4–5; saved PDF pp. 7, 8. Finger/wrist/elbow/knee motions were recorded, and a sensor glove drove synchronized robotic-hand gestures for numerals 1–5.</t>
  </si>
  <si>
    <t>PDF page(s) 5; §2 Fabrication of SA@LM-CNT composite fibre; saved PDF pp. 5. Wet spinning produces SA/liquid-metal/CNT core fibre; WPU dip coating creates sheath/core sensing fibre.</t>
  </si>
  <si>
    <t>PDF page(s) 5, 6; §3 Mechanical properties and sensing performance; saved PDF pp. 5, 6. Strain changes conductive-particle spacing and resistance; LM/CNT island-bridge pathways maintain conduction at large strain.</t>
  </si>
  <si>
    <t>§2 and §5; saved PDF pp. 5, 14. Wet-spun SA/LM/CNT core with WPU sheath; intrinsic sensing fibres used as weft in a plain-weave cotton-warp host fabric.</t>
  </si>
  <si>
    <t>§5 Human Movement Monitoring; Fig. 5; saved PDF pp. 14, 15. Sensing fibres woven into fabric record hand/elbow/knee motion and neck swallowing. Intelligent robotics is a prospective claim, not a demonstrated interface.</t>
  </si>
  <si>
    <t>PDF page(s) 3, 6; §2 Materials/methods; §4 Garment integration; saved PDF pp. 3, 6. Conductive silver-plated yarn is sewn in a prescribed path with an industrial lockstitch machine into stretch fabric; the stitch-based sensing path is integrated with gym tights.</t>
  </si>
  <si>
    <t>PDF page(s) 3, 6, 7; Fabrication/testing and electronic readout; saved PDF pp. 3, 6, 7. Multimeter records resistance during extension/recovery; voltage-divider acquisition monitors that resistance. The article's occasional 'impedimetric' terminology does not establish a capacitive strain mechanism.</t>
  </si>
  <si>
    <t>§2 and §4; saved PDF pp. 3, 6, 7. Conductive yarn industrial lockstitch path on stretch fabric; stitch sensor integrated along gym tights with detachable snap terminals.</t>
  </si>
  <si>
    <t>§4 Integration into sportswear; Figs. 6–7; saved PDF pp. 6, 7, 8. Stitch sensors integrated with gym tights provide real-time strain and body-flexing counts during exercise.</t>
  </si>
  <si>
    <t>PDF page(s) 3; §2.3 Preparation of MXene/WPU composite-coated fibre; saved PDF pp. 3. PU elastic fibres receive plasma treatment and MXene/WPU dip coating, then are cut to sensing lengths with end electrodes.</t>
  </si>
  <si>
    <t>PDF page(s) 7; §3.4 Strain sensing mechanism; saved PDF pp. 7. Microcracks in the conductive shell lengthen electron pathways and increase resistance during elongation; release closes cracks and decreases resistance.</t>
  </si>
  <si>
    <t>§2.3 and §3.6; saved PDF pp. 3, 8, 9. MXene/WPU dip-coated PU fibres; discrete fibres sewn onto glove/sweater. Fig. 8 caption says woven, but the procedural text explicitly says sewn.</t>
  </si>
  <si>
    <t>§3.5–3.6; Figs. 7–8; saved PDF pp. 8, 9. Sensors demonstrate wrist/knee bending, smiling and wrist pulse; sewn-on glove and sweater sensors monitor fingers and seated posture with feedback.</t>
  </si>
  <si>
    <t>PDF page(s) 4; §2.3 Sensor production; saved PDF pp. 4. Extruded H3078 or PEU filament receives an H3078/carbon-black sheath, producing a core–sheath fibre strain sensor.</t>
  </si>
  <si>
    <t>PDF page(s) 4; §2.4 Tensile/electronic setup; saved PDF pp. 4. The linear-stage protocol records tensile strain and resistance; normalized resistance is the sensing signal.</t>
  </si>
  <si>
    <t>§2.3 and §2.6.2; saved PDF pp. 4, 7. Extruded elastomer filament with carbon-black/elastomer sheath; 18 discrete fibre sensors secured by stitches to a sleeveless shirt.</t>
  </si>
  <si>
    <t>§2.6 Smart Sensor Integrated Sleeveless Shirt; Fig. 2; saved PDF pp. 6, 7. Eighteen fibre sensors stitched to a shirt measure three-dimensional trunk kinematics relative to the pelvis.</t>
  </si>
  <si>
    <t>§2.1.2; saved PDF pp. 5. Conductive spandex electrodes and spandex dielectric are specified; their knit/weave construction is not. Assembly stitching and the separate embroidered inductor do not establish an embroidered active strain sensor.</t>
  </si>
  <si>
    <t>§2.1.2 and response results; saved PDF pp. 5, 9. Conductive spandex parallel plates separated by dielectric form a capacitive sensor; strain changes geometry and capacitance.</t>
  </si>
  <si>
    <t>§2.1.2 and wearable assembly; saved PDF pp. 5, 7, 8. Conductive/nonconductive spandex layers laser-cut, heat-pressed with adhesive web and stitched into capacitive laminates; incorporated in leggings. Embroidered inductor belongs to readout, not strain transduction.</t>
  </si>
  <si>
    <t>Wearable experimental protocol and activity results; saved PDF pp. 7, 8, 9. Garment-mounted capacitive sensors on knee/gluteal regions classify static/dynamic postures and activities, including standing, squatting, walking and running.</t>
  </si>
  <si>
    <t>PDF page(s) 16; Experimental: digital knitting process; saved PDF pp. 16. Sensors are knitted from alternating courses of nonconductive spandex/polyester and silver-plated polyamide in a rib1×1 stitch; garment and interconnects are machine knitted.</t>
  </si>
  <si>
    <t>PDF page(s) 16; Sensor operation within knitting methods; saved PDF pp. 16. Stretch separates conductive loops, reducing contact points and increasing resistance. Article distinguishes low-resistance knitted interconnects from the strain sensors.</t>
  </si>
  <si>
    <t>Experimental: knitting and sensor operation; saved PDF pp. 16. Seamless machine knitting of rib 1×1 resistive sensor zones, knitted interconnects and garment body.</t>
  </si>
  <si>
    <t>§3 joint-angle model; §4 Predicting Muscle Fatigue from Joint Angles; saved PDF pp. 10, 11, 12, 13. Shoulder/elbow joint angles are obtained from knitted sensors and compared with Vicon. 3DSSPP uses these angles, anthropometry and assumed hand loads to predict %DC/%MVC; these are software-derived ergonomic estimates, not direct physiological muscle-fatigue measurements.</t>
  </si>
  <si>
    <t>PDF page(s) 5, 6; §2.2 TPU fibre mat; §2.3 CLPT strain sensor; saved PDF pp. 5, 6. Electrospinning on a collector produces a TPU fibrous membrane/mat. PDA treatment, liquid metal deposition and CNT loading functionalize this mat.</t>
  </si>
  <si>
    <t>PDF page(s) 6, 7; §2.5 Testing sensing performance; saved PDF pp. 6, 7. Relative resistance and GF are explicitly computed from resistance readings during tensile strain.</t>
  </si>
  <si>
    <t>§2.2–2.3 and Figs. 5–6; saved PDF pp. 5, 6, 21, 23, 25. Electrospun TPU mat functionalised with PDA/liquid metal/CNTs; cut sensor elements attached to body, mask, glove or insole.</t>
  </si>
  <si>
    <t>Wearable testing; Figs. 5–6; saved PDF pp. 21, 22, 23, 25. Pulse, mask-based breathing, eye/facial movement and joint motion were recorded; a data glove controls a robotic hand and an insole supports gait recognition.</t>
  </si>
  <si>
    <t>PDF page(s) 4; §III.A Hardware details; saved PDF pp. 4. Two conductive knit plates made from Shieldex Technik-tex P130+B sandwich an Ecoflex00-30 dielectric; layers are laser cut and bonded.</t>
  </si>
  <si>
    <t>PDF page(s) 4, 5; §III.A capacitance equation and acquisition; saved PDF pp. 4, 5. Stretch increases electrode area and decreases dielectric separation, raising capacitance; the measured strain signal is capacitance.</t>
  </si>
  <si>
    <t>§III.A and §IV; saved PDF pp. 4, 9, 10. Laser-cut conductive knitted plates bonded around Ecoflex dielectric; capacitive laminate integrated at the knee for gait sensing.</t>
  </si>
  <si>
    <t>§IV Data acquisition; stride-length results; saved PDF pp. 9, 10, 11. Knee-mounted capacitive textile sensors estimate stride length during walking; smartphone IMU data provide an additional measurement stream.</t>
  </si>
  <si>
    <t>PDF page(s) 2, 3; §II.A Principle of work; manufacturing; saved PDF pp. 2, 3. The sensing elements are explicitly silver-plated knitted fabric, laser cut to dimensions; conductive intermeshed zones form the active sensor.</t>
  </si>
  <si>
    <t>PDF page(s) 2; §II.A Principle of work; saved PDF pp. 2. Stretch changes the resistance of knitted conductive contacts, interpreted through contact-resistance behaviour.</t>
  </si>
  <si>
    <t>§II and smart-textile experiment; saved PDF pp. 2, 3, 5. Silver-plated knit sheet laser-cut into resistive strips; six sensing elements integrated on respiratory textile bands.</t>
  </si>
  <si>
    <t>Respiratory monitoring experiment; saved PDF pp. 2, 5, 6. Six knitted piezoresistive elements monitor quiet breathing and tachypnea, compared with motion capture.</t>
  </si>
  <si>
    <t>PDF page(s) 4, 5; Specimen manufacturing: conductive sample/sleeve; saved PDF pp. 4, 5. Santoni single-cylinder intarsia machine produces a conductive knit sensing area and sleeve. Sensor uses silver-plated nylon with single-jersey/miss/tuck stitches.</t>
  </si>
  <si>
    <t>PDF page(s) 8, 9; Data acquisition and sensing tests; saved PDF pp. 8, 9. Sensor electrical resistance is recorded during mechanical cycling and sleeve movement; wearable acquisition reads the resistive sensor.</t>
  </si>
  <si>
    <t>Materials/manufacturing and acquisition; saved PDF pp. 4, 5, 8. Intarsia knitting produces conductive sensing zone in sleeve; electronics read resistance via garment connection.</t>
  </si>
  <si>
    <t>Knitted conductive sleeve tests and wash-cycle results; saved PDF pp. 9, 12, 16, 17. A knitted elbow sleeve detects movement type, repetition count and motion characteristics across washing conditions.</t>
  </si>
  <si>
    <t>§2.2; saved PDF pp. 4. The StretchSense unit is described as a capacitive sensing unit within elastic garment material; internal knit/weave construction is not provided.</t>
  </si>
  <si>
    <t>§2.2; saved PDF pp. 4. The article explicitly describes a commercial capacitive sensing unit and strain-dependent capacitance.</t>
  </si>
  <si>
    <t>§2.2 and sensor attachment; saved PDF pp. 4, 5. Commercial capacitive fabric-sensor strips attached over lumbar region and held using kinesiology tape; internal textile construction not specified.</t>
  </si>
  <si>
    <t>§2.2–2.3; lumbar postural experiment; saved PDF pp. 4, 5, 6. Commercial capacitive fabric sensors track lumbar flexion and lateral bending, with a three-dimensional body scanner reference.</t>
  </si>
  <si>
    <t>Saved IEEE full-text PDF page 3 of 10, Section III.A, Instrumented Knee Brace With Two Stretch Sensors; Fig. 1 caption; saved PDF pp. 3. The study places two commercial electro-capacitive C-STRETCH sensors above and below the patella. The text describes capacitance varying with strain and capacitance-angle relationships.</t>
  </si>
  <si>
    <t>§III.A; saved PDF pp. 3. Two commercial C-STRETCH sensor strips mounted above and below the patella on a knee brace.</t>
  </si>
  <si>
    <t>§III.A; Instrumented Knee Brace experiment; saved PDF pp. 3, 4. Two C-STRETCH capacitive sensors on a knee brace estimate flexion–extension while accounting for brace displacement.</t>
  </si>
  <si>
    <t>PDF page(s) 2, 3; §2.1 Sensor; §2.2 Chest and abdominal bands; saved PDF pp. 2, 3. The active sensor is a 0.4-mm-diameter polymer/carbon-black stretch fibre. Three straight fibre segments are secured by elastic stitching to textile bands.</t>
  </si>
  <si>
    <t>PDF page(s) 3, 4; Sensor acquisition circuit; saved PDF pp. 3, 4. A voltage divider records strain-related resistance variation of the stretch fibre to detect breathing changes.</t>
  </si>
  <si>
    <t>§2.1–2.2; saved PDF pp. 2, 3. Carbon-black/polymer fibre segments laid straight and secured by elastic stitches on chest/abdominal bands.</t>
  </si>
  <si>
    <t>§2.2–2.7; talking-detection protocol; saved PDF pp. 3, 4, 5. Chest/abdominal bands monitor respiratory deformation and classify talking from its breathing pattern. The speech label denotes respiration-derived talking classification, not local vocal/throat strain sensing.</t>
  </si>
  <si>
    <t>Liquid-metal dual-lumen elastomeric fibre sewn or woven into a fabric glove and a stretchable bandage; a fibre bonded to the cotton side of kinesiology tape.</t>
  </si>
  <si>
    <t>Source checked</t>
  </si>
  <si>
    <t>Actual finger, elbow, knee and respiration traces. Prospective virtual reality and rehabilitation claims are not counted as demonstrated clinical outcomes or closed-loop HMI.</t>
  </si>
  <si>
    <t>Author-side classification; R2 confirmation pending</t>
  </si>
  <si>
    <t>REC-00001-main.pdf</t>
  </si>
  <si>
    <t>Source checked; second-reviewer confirmation pending</t>
  </si>
  <si>
    <t>Explicit construction; assessed original main</t>
  </si>
  <si>
    <t>MXene dip-coated and PDMS-encapsulated97%polyester/3%spandex weft-knit strips, attached to wrist/finger with polyimide tape.</t>
  </si>
  <si>
    <t>Movement/posture/gait monitoring; Pulse/heartbeat; Robotic-hand/HMI interaction</t>
  </si>
  <si>
    <t>Wrist/finger bending, wrist pulse and finger-driven Morse communication are actual worn outcomes. Loudspeaker audio tests are bench experiments and are not counted as human speech/swallowing monitoring. Future AI or clinical claims are not counted as demonstrated outcomes.</t>
  </si>
  <si>
    <t>Domain</t>
  </si>
  <si>
    <t>Source-checked category</t>
  </si>
  <si>
    <t>Status</t>
  </si>
  <si>
    <t>Architecture</t>
  </si>
  <si>
    <t>Source-checked classification; author-side additions; no new two-reviewer category consensus.</t>
  </si>
  <si>
    <t>Mechanism</t>
  </si>
  <si>
    <t>Application (overlapping)</t>
  </si>
  <si>
    <t>Overlapping demonstrated applications; all41 studies; percentages need not sum to100%.</t>
  </si>
  <si>
    <t>Area</t>
  </si>
  <si>
    <t>Code</t>
  </si>
  <si>
    <t>Score / level</t>
  </si>
  <si>
    <t>Definition</t>
  </si>
  <si>
    <t>Example</t>
  </si>
  <si>
    <t>Applicability / use</t>
  </si>
  <si>
    <t>Figure 5: validation depth</t>
  </si>
  <si>
    <t>1 - Proof of concept</t>
  </si>
  <si>
    <t>Bench or isolated sensing demonstration without a substantive participant protocol.</t>
  </si>
  <si>
    <t>A textile sensor responds to manual stretching or a single illustrative movement, without defined evaluation outcomes.</t>
  </si>
  <si>
    <t>Use one level</t>
  </si>
  <si>
    <t>R2 | Codebook!A14:F14</t>
  </si>
  <si>
    <t>2 - On-body demonstration</t>
  </si>
  <si>
    <t>The device is worn and produces a human signal, but evaluation is illustrative and lacks a predefined validation protocol or quantitative comparator.</t>
  </si>
  <si>
    <t>One volunteer bends an elbow and a response trace is shown.</t>
  </si>
  <si>
    <t>Use one level Historical definition. Apply approved adjudication rule below.</t>
  </si>
  <si>
    <t>R2 | Codebook!A15:F15</t>
  </si>
  <si>
    <t>3 - Task-level validation</t>
  </si>
  <si>
    <t>Predefined human task or movement is evaluated quantitatively, but the cohort, sessions, statistics or comparator remain limited.</t>
  </si>
  <si>
    <t>Several gait trials are classified with reported accuracy but no external reference.</t>
  </si>
  <si>
    <t>R2 | Codebook!A16:F16</t>
  </si>
  <si>
    <t>4 - Structured evaluation</t>
  </si>
  <si>
    <t>A documented participant protocol reports quantitative performance with repeated trials, statistical analysis or an external reference/comparator.</t>
  </si>
  <si>
    <t>Joint angle is evaluated in multiple participants against optical motion capture with error statistics.</t>
  </si>
  <si>
    <t>R2 | Codebook!A17:F17</t>
  </si>
  <si>
    <t>5 - Near-deployment evidence</t>
  </si>
  <si>
    <t>Evaluation extends to realistic, longitudinal, multi-session or multi-user use and includes an integrated system plus at least two deployment-relevant robustness domains.</t>
  </si>
  <si>
    <t>A garment is tested across users and sessions during realistic activities, with washing and stability evidence.</t>
  </si>
  <si>
    <t>R2 | Codebook!A18:F18</t>
  </si>
  <si>
    <t>Figure 5: deployment readiness</t>
  </si>
  <si>
    <t>1 - Material or swatch</t>
  </si>
  <si>
    <t>Only a sensing material, yarn, swatch or isolated element is demonstrated; no functional worn textile configuration is shown.</t>
  </si>
  <si>
    <t>A coated yarn is mechanically characterized on a tensile tester.</t>
  </si>
  <si>
    <t>R2 | Codebook!A19:F19</t>
  </si>
  <si>
    <t>2 - Textile-integrated prototype</t>
  </si>
  <si>
    <t>The sensing element is incorporated into a textile structure, but the worn configuration or complete system remains preliminary.</t>
  </si>
  <si>
    <t>A sensor is knitted into a fabric panel and connected to external laboratory equipment.</t>
  </si>
  <si>
    <t>R2 | Codebook!A20:F20</t>
  </si>
  <si>
    <t>3 - On-body prototype</t>
  </si>
  <si>
    <t>A functional textile sensor is worn on the body, but it is not yet a purpose-designed complete garment or fully integrated wearable system.</t>
  </si>
  <si>
    <t>A textile sensor is secured in an elastic knee band with tethered acquisition.</t>
  </si>
  <si>
    <t>R2 | Codebook!A21:F21</t>
  </si>
  <si>
    <t>4 - Garment-level prototype</t>
  </si>
  <si>
    <t>The sensor is deliberately integrated into a garment or wearable accessory with defined placement, fit, interconnects or assembly.</t>
  </si>
  <si>
    <t>A knitted sensing glove or instrumented shirt is tested as a complete wearable article.</t>
  </si>
  <si>
    <t>R2 | Codebook!A22:F22</t>
  </si>
  <si>
    <t>5 - Advanced wearable system</t>
  </si>
  <si>
    <t>A garment-level prototype includes integrated acquisition, interconnects, power, wireless transfer or on-device/data-processing functions suitable for realistic operation.</t>
  </si>
  <si>
    <t>A smart garment contains sensors, wiring, battery-powered electronics and wireless data transmission.</t>
  </si>
  <si>
    <t>R2 | Codebook!A23:F23</t>
  </si>
  <si>
    <t>R1 original: Readiness</t>
  </si>
  <si>
    <t>2 on-body demonstration; 3 task-level validation; 4 structured evaluation; 5 structured real-world evaluation plus at least two robustness domains.</t>
  </si>
  <si>
    <t>Retained to document the original reviewer-1 definitions.</t>
  </si>
  <si>
    <t>R1 | Codebook!A20:C20</t>
  </si>
  <si>
    <t>2 textile-integrated prototype; 3 on-body prototype; 4 garment-level prototype; 5 garment-level prototype with integrated acquisition/data system.</t>
  </si>
  <si>
    <t>R1 | Codebook!A21:C21</t>
  </si>
  <si>
    <t>Approved adjudication clarification</t>
  </si>
  <si>
    <t>VD2 / VD3</t>
  </si>
  <si>
    <t>2 / 3</t>
  </si>
  <si>
    <t>VD2 covers illustrative participant-worn traces, including traces labelled with poses, nominal angles or words. VD3 requires a predefined human task and an evaluated numerical performance outcome, such as task-classification performance, calibration performance or repeatability across task trials. A numerical trace axis or angle label alone is insufficient. An external comparator and a minimum participant count are not mandatory.</t>
  </si>
  <si>
    <t>Labelled angle traces without evaluated numerical performance remain VD2.</t>
  </si>
  <si>
    <t>Approved by Azza, 2026-09-30. Does not alter original independent ratings.</t>
  </si>
  <si>
    <t>SCORES20261001 | Rule review!A6:G6; Decisions operational rule</t>
  </si>
  <si>
    <t>Approved post-hoc amendment</t>
  </si>
  <si>
    <t>VD5</t>
  </si>
  <si>
    <t>5</t>
  </si>
  <si>
    <t>VD5 requires quantitative human evaluation meeting VD4, an integrated wearable system evaluated during realistic, repeated-session or multi-user use, and at least two distinct deployment-relevant challenge domains. Domains are repeated-strain endurance; laundering; environmental or chemical exposure; handling, abrasion or interconnect durability; and calibration stability under re-donning, extended use or wearer transfer. Baseline linearity/hysteresis alone is not an additional challenge. Each domain requires a stated challenge and sensing-performance or failure outcome. Evidence must concern the worn system or an explicitly representative specimen with the same textile sensing construction, with that scope stated. Multiple metrics from one challenge count once. No minimum cycle number, minimum cohort size or mandatory external comparator is added. VD5 is not clinical effectiveness or certification.</t>
  </si>
  <si>
    <t>Endurance and laundering are two domains only where each has a challenge and sensing-performance or failure outcome.</t>
  </si>
  <si>
    <t>Approved by Azza, 2026-09-30. Used for confirmed consensus, not retroactively for original kappa ratings.</t>
  </si>
  <si>
    <t>SCORES20261001 | Rule review!A7:G7; Decisions operational rule</t>
  </si>
  <si>
    <t>Analysis score</t>
  </si>
  <si>
    <t>Decision status</t>
  </si>
  <si>
    <t>A seamlessly knitted sensing glove was worn by 10 healthy participants for 10-posture recognition; the study reports participant-level classification results (94.17% with within-participant data and 89.5% with pooled data).</t>
  </si>
  <si>
    <t>10 subjects, 10 hand postures, classification accuracy 94.17%</t>
  </si>
  <si>
    <t>R1 | Figure 5-6 ratings 39!F2</t>
  </si>
  <si>
    <t>R2 | Figure 5!E2</t>
  </si>
  <si>
    <t>Whole-garment knitting without sewing or bonding; Pattern-recognition analysis; acquisition/electronics details was not reported in the available full text</t>
  </si>
  <si>
    <t>Knitted sensing glove tested as a garment</t>
  </si>
  <si>
    <t>R1 | Figure 5-6 ratings 39!H2</t>
  </si>
  <si>
    <t>R2 | Figure 5!H2</t>
  </si>
  <si>
    <t>The pen-ink textile sensor was mounted on the wrist and protective garments for movement recognition and posture feedback.</t>
  </si>
  <si>
    <t>On-body knee pad / T-shirt respiration demonstration only</t>
  </si>
  <si>
    <t>R1 | Figure 5-6 ratings 39!F3</t>
  </si>
  <si>
    <t>R2 | Figure 5!E3</t>
  </si>
  <si>
    <t>On-body vocal-cord/wrist demonstrations; glove finger bending</t>
  </si>
  <si>
    <t>R1 | Figure 5-6 ratings 39!F4</t>
  </si>
  <si>
    <t>R2 | Figure 5!E4</t>
  </si>
  <si>
    <t>The study developed a sensing shirt containing an integrated textile strain sensor and two IMUs. Five participants performed repeated upper-limb movements; the textile-sensor model was evaluated against an optical reference system, with position error reduced from 11.5 cm to 1.8 cm.</t>
  </si>
  <si>
    <t>Five subjects; error analysed vs optical reference system</t>
  </si>
  <si>
    <t>R1 | Figure 5-6 ratings 39!F5</t>
  </si>
  <si>
    <t>R2 | Figure 5!E5</t>
  </si>
  <si>
    <t>Sensor integrated into a sensing shirt; Two IMUs plus textile strain sensor; readout details was not reported in the available full text</t>
  </si>
  <si>
    <t>Sensing shirt with IMU + textile strain sensor</t>
  </si>
  <si>
    <t>R1 | Figure 5-6 ratings 39!H5</t>
  </si>
  <si>
    <t>R2 | Figure 5!H5</t>
  </si>
  <si>
    <t>The slit-regulated embroidered strain sensor was integrated into a smart glove and evaluated by seven female participants aged 25-31 years during finger-flexion trials. The paper reports 100% peak detection, inter-session reproducibility (r = 0.972), baseline drift below 1%, signal amplitude of 15-80 mV, and 20,000 Martindale abrasion cycles.</t>
  </si>
  <si>
    <t>Multiple participants (fingers); peak-detection accuracy; Mann-Whitney</t>
  </si>
  <si>
    <t>R1 | Figure 5-6 ratings 39!F6</t>
  </si>
  <si>
    <t>R2 | Figure 5!E6</t>
  </si>
  <si>
    <t>Three-dimensional embroidery with a slit/folded multilayer configuration; Signal amplitude reported; electronics details was not reported in the available full text</t>
  </si>
  <si>
    <t>Glove-integrated embroidered sensor</t>
  </si>
  <si>
    <t>R1 | Figure 5-6 ratings 39!H6</t>
  </si>
  <si>
    <t>R2 | Figure 5!H6</t>
  </si>
  <si>
    <t>C1-C6 were identified in the full text. Textile evidence: abstract Similar content being viewed by others Graphite Composite Ink-Modified Knitted Fabric for Fabricating Highly Sensitive, Robust, and Breathable Wearable Monitoring Sensors Article 16 March 2026 Development of a Biobased Conductive Ink Formulation and Its Application Through Screen Printing f Human evidence: Subsequently, Cu electrode was attached to the surface of E-textile for the determination of human motion signal. Quantitative evidence: Figure 5 shows the strain-resistance response curve over a wide strain range from 0 to 100%, and the sensitivity is calculated from the slope of the linear fit as two linear regions: GF = 36, \({R}_{1}^{2}=0.988\), 0 ~ 20%; GF = 17, \({R}_{2}^{2}=0.986\), 20 ~ 100%.</t>
  </si>
  <si>
    <t>On-body integration into daily dress (elbow/knee) demonstration</t>
  </si>
  <si>
    <t>R1 | Figure 5-6 ratings 39!F7</t>
  </si>
  <si>
    <t>R2 | Figure 5!E7</t>
  </si>
  <si>
    <t>Aerodynamics-assisted screen printing; ink wraps fibre surfaces while preserving fabric pores; Smart-garment demonstration reported; electronic acquisition and power details were not reported</t>
  </si>
  <si>
    <t>Smart-garment integration demonstration</t>
  </si>
  <si>
    <t>R1 | Figure 5-6 ratings 39!H7</t>
  </si>
  <si>
    <t>R2 | Figure 5!H7</t>
  </si>
  <si>
    <t>Strain-sensing yarn was stitched into smart clothing worn by a volunteer at the elbow, abdomen, and chest. The system recorded quantitative elbow-motion, breathing, and heartbeat signals and was also used during walking, jogging, and sprinting.</t>
  </si>
  <si>
    <t>Smart-clothing worn demo (elbow/breathing/heartbeat); text extraction limited</t>
  </si>
  <si>
    <t>R1 | Figure 5-6 ratings 39!F8</t>
  </si>
  <si>
    <t>R2 | Figure 5!E8</t>
  </si>
  <si>
    <t>The double-helix capacitive yarn was quantitatively characterized to 100% strain and for 6000 cycles. It was subsequently sewn or embroidered into fabric and integrated into a knee brace, where it distinguished standing, walking, running and jumping; additional joint signals were also reported.</t>
  </si>
  <si>
    <t>On-body finger/knee/wrist demos; yarn in a knee brace</t>
  </si>
  <si>
    <t>R1 | Figure 5-6 ratings 39!F9</t>
  </si>
  <si>
    <t>R2 | Figure 5!E9</t>
  </si>
  <si>
    <t>Scalable friction core-spinning followed by fabric formation; Not reported</t>
  </si>
  <si>
    <t>Yarn integrated into a knee brace</t>
  </si>
  <si>
    <t>R1 | Figure 5-6 ratings 39!H9</t>
  </si>
  <si>
    <t>R2 | Figure 5!H9</t>
  </si>
  <si>
    <t>On-body neck/wrist/joint demonstrations</t>
  </si>
  <si>
    <t>R1 | Figure 5-6 ratings 39!F12</t>
  </si>
  <si>
    <t>R2 | Figure 5!E12</t>
  </si>
  <si>
    <t>Conjugated electrospinning to form nanofiber yarn, ultrasonic deep deposition of MXene, then twisting/plying and embroidery integration into elastic bandage; No</t>
  </si>
  <si>
    <t>Yarn embroidered into an elastic bandage</t>
  </si>
  <si>
    <t>R1 | Figure 5-6 ratings 39!H12</t>
  </si>
  <si>
    <t>R2 | Figure 5!H12</t>
  </si>
  <si>
    <t>Twisted graphene fibres were woven into the breathable BWWAJ fabric strain sensor, and four sensors were sewn into elbow and knee pads worn during swimming. The system recorded real-time limb-motion signals and reports GF 63, standardized wash testing, and 3000 underwater cycles at 20% strain.</t>
  </si>
  <si>
    <t>On-body underwater motion demonstrations</t>
  </si>
  <si>
    <t>R1 | Figure 5-6 ratings 39!F13</t>
  </si>
  <si>
    <t>R2 | Figure 5!E13</t>
  </si>
  <si>
    <t>Wet-fused twisted graphene fibres woven into a fabric and sewn onto wearable pads; Not reported</t>
  </si>
  <si>
    <t>Twisted graphene fibre woven into fabric</t>
  </si>
  <si>
    <t>R1 | Figure 5-6 ratings 39!H13</t>
  </si>
  <si>
    <t>R2 | Figure 5!H13</t>
  </si>
  <si>
    <t>Digital knitting plus laser cutting, film coating and thermal transfer; four-layer TPU/textile sensor construction; Portable custom PCB with voltage dividers, microcontroller, six-axis IMU, pushbutton and 3D-printed magnetic enclosure</t>
  </si>
  <si>
    <t>Knitted sensing sleeve + user interface</t>
  </si>
  <si>
    <t>R1 | Figure 5-6 ratings 39!H14</t>
  </si>
  <si>
    <t>R2 | Figure 5!H14</t>
  </si>
  <si>
    <t>C1-C6 were identified in the full text. Textile evidence: FIGURE 1 Open in figure viewer PowerPoint (A) Fabrication process of TPU/graphene knitted sensing fabric. Human evidence: To explore the potential performance of the sensor as a wearable, the sensor with the most promising properties were knitted into wearables and were worn on different joints including the wrist, knee, elbow, and finger in order to detect large motions. Quantitative evidence: FIGURE 2 Open in figure viewer PowerPoint Structures of knitted fabrics in course (X) direction and wale (Y) direction The sensing property test consists of three parts: sensitivity test; response capability test; and durability test.</t>
  </si>
  <si>
    <t>On-body joint demonstrations; motion-capture referenced</t>
  </si>
  <si>
    <t>R1 | Figure 5-6 ratings 39!F15</t>
  </si>
  <si>
    <t>R2 | Figure 5!E15</t>
  </si>
  <si>
    <t>Laser cutting, film coating and thermal transfer; Not reported</t>
  </si>
  <si>
    <t>p.23</t>
  </si>
  <si>
    <t>Sensor knitted into wearables</t>
  </si>
  <si>
    <t>R1 | Figure 5-6 ratings 39!H15</t>
  </si>
  <si>
    <t>R2 | Figure 5!H15</t>
  </si>
  <si>
    <t>The MXene/nylon-fabric strain sensor was placed on the neck, wrist, ankle, palm, and arm, and a sleeve-shaped version was worn at the wrist, forearm, and elbow. The study reports quantitative resistance outputs, gauge factor 24.35 over a 0-20% strain range, and more than 500 loading cycles.</t>
  </si>
  <si>
    <t>p.5, Fig. 2e</t>
  </si>
  <si>
    <t>On-body forearm / fist-clench demonstration</t>
  </si>
  <si>
    <t>R1 | Figure 5-6 ratings 39!F16</t>
  </si>
  <si>
    <t>R2 | Figure 5!E18</t>
  </si>
  <si>
    <t>Carbon-ink/TPU strain sensors on a cotton-polyester substrate were integrated into gloves. Twenty-three participants each performed six activities of daily living three times while wearing the glove; random-forest and k-nearest-neighbour classification accuracies were 82.47% and 70.31%, respectively.</t>
  </si>
  <si>
    <t>23 participants; hand-pose recognition (ADL) dataset</t>
  </si>
  <si>
    <t>R1 | Figure 5-6 ratings 39!F17</t>
  </si>
  <si>
    <t>R2 | Figure 5!E20</t>
  </si>
  <si>
    <t>Three-layer textile sensor integrated into a glove; Arduino Uno voltage-divider acquisition using a 200 kΩ reference resistor; offline classification</t>
  </si>
  <si>
    <t>Stretchable strain-sensor glove</t>
  </si>
  <si>
    <t>R1 | Figure 5-6 ratings 39!H17</t>
  </si>
  <si>
    <t>R2 | Figure 5!H20</t>
  </si>
  <si>
    <t>A graphite-coated stretchable woven textile with stitched electrodes was integrated into a glove and clothing on a volunteer. Finger, elbow and knee signals and 5000 strain cycles were reported.</t>
  </si>
  <si>
    <t>On-body glove / shirt finger demonstrations</t>
  </si>
  <si>
    <t>R1 | Figure 5-6 ratings 39!F18</t>
  </si>
  <si>
    <t>R2 | Figure 5!E21</t>
  </si>
  <si>
    <t>Pencil drawing on textile, stitched electrodes and a pre-strain strategy; Not reported</t>
  </si>
  <si>
    <t>Sensor integrated on glove and clothes</t>
  </si>
  <si>
    <t>R1 | Figure 5-6 ratings 39!H18</t>
  </si>
  <si>
    <t>R2 | Figure 5!H21</t>
  </si>
  <si>
    <t>Two sensors embedded at chest locations selected using motion-capture analysis; Feather M0 Adalogger sampled at 25 Hz with custom signal board, microSD logging, flexible cables and 3D-printed enclosure; MATLAB processing</t>
  </si>
  <si>
    <t>Smart t-shirt (garment)</t>
  </si>
  <si>
    <t>R1 | Figure 5-6 ratings 39!H19</t>
  </si>
  <si>
    <t>R2 | Figure 5!H22</t>
  </si>
  <si>
    <t>Copper-coiled elastic thread formed into three-loop rectangular patches and attached with zigzag stitching; LDC1614 four-channel inductance-to-digital converter, STM Nucleo-F401RE and I²C acquisition; sensor data sampled at 125 Hz</t>
  </si>
  <si>
    <t>Motion-capture shorts (garment)</t>
  </si>
  <si>
    <t>R1 | Figure 5-6 ratings 39!H20</t>
  </si>
  <si>
    <t>R2 | Figure 5!H23</t>
  </si>
  <si>
    <t>Sixteen piezoresistive stretch sensors were mounted on a knee sleeve worn by 18 healthy participants. Sensor predictions were evaluated against optical motion capture; subject-specific RMSE was 7.6 degrees for flexion/extension and 1.8 degrees for internal/external rotation.</t>
  </si>
  <si>
    <t>18 subjects; knee-angle RMSE 7.6/1.8 deg; optical tracking; ML</t>
  </si>
  <si>
    <t>R1 | Figure 5-6 ratings 39!F21</t>
  </si>
  <si>
    <t>R2 | Figure 5!E24</t>
  </si>
  <si>
    <t>Sixteen skin-conforming nanocomposite sensors mounted across the anterior knee sleeve; Multi-channel sensor array and machine-learning regression; complete electronics details was not reported in the available full text</t>
  </si>
  <si>
    <t>Knee sleeve + 16-sensor PCB array</t>
  </si>
  <si>
    <t>R1 | Figure 5-6 ratings 39!H21</t>
  </si>
  <si>
    <t>R2 | Figure 5!H24</t>
  </si>
  <si>
    <t>A knitted-fabric strain-sensor belt was worn on the upper arm of 10 participants and compared with a Biodex reference during isometric elbow contraction; the mean correlation was 0.938 +/- 0.050.</t>
  </si>
  <si>
    <t>10 subjects; isokinetic Biodex; correlation 0.938; error &lt;5%</t>
  </si>
  <si>
    <t>R1 | Figure 5-6 ratings 39!F22</t>
  </si>
  <si>
    <t>R2 | Figure 5!E25</t>
  </si>
  <si>
    <t>Fabric strain sensors incorporated into a wearable circumferential belt; Wireless Bluetooth limb-monitoring system sampled at 32 Hz; Biodex reference sampled at 1,500 Hz</t>
  </si>
  <si>
    <t>Wireless fabric monitoring band (upper arm)</t>
  </si>
  <si>
    <t>R1 | Figure 5-6 ratings 39!H22</t>
  </si>
  <si>
    <t>R2 | Figure 5!H25</t>
  </si>
  <si>
    <t>A smart garment containing six piezoresistive sensors was tested on 10 healthy male participants during treadmill exercise against a flowmeter reference.</t>
  </si>
  <si>
    <t>10 subjects on treadmill; RR vs flowmeter; Bland-Altman</t>
  </si>
  <si>
    <t>R1 | Figure 5-6 ratings 39!F23</t>
  </si>
  <si>
    <t>R2 | Figure 5!E26</t>
  </si>
  <si>
    <t>Six sensors integrated bilaterally into defined thoracic and abdominal garment locations; Wearable multi-sensor acquisition followed by PCA-based sensor selection; hardware details was not reported in the available full text</t>
  </si>
  <si>
    <t>R1 | Figure 5-6 ratings 39!H23</t>
  </si>
  <si>
    <t>R2 | Figure 5!H26</t>
  </si>
  <si>
    <t>On-body elbow/wrist/knee demonstrations</t>
  </si>
  <si>
    <t>R1 | Figure 5-6 ratings 39!F24</t>
  </si>
  <si>
    <t>R2 | Figure 5!E27</t>
  </si>
  <si>
    <t>Atomic layer deposition of AZO films onto polyester fabric without elastomer encapsulation; No</t>
  </si>
  <si>
    <t>AZO knitted fabric on-body demo</t>
  </si>
  <si>
    <t>R1 | Figure 5-6 ratings 39!H24</t>
  </si>
  <si>
    <t>R2 | Figure 5!H27</t>
  </si>
  <si>
    <t>The complete repository article reports a capacitive strain sensor stitched onto the middle finger of a cotton glove and tested in open, partially bent and fully bent positions. Quantitative capacitance outputs, elongation, drift, durability and wash testing are reported.</t>
  </si>
  <si>
    <t>On-body glove finger-movement demonstration</t>
  </si>
  <si>
    <t>R1 | Figure 5-6 ratings 39!F25</t>
  </si>
  <si>
    <t>R2 | Figure 5!E28</t>
  </si>
  <si>
    <t>Moulded, cuttable sensor with zigzag-stitched conductive-thread terminals; stitched onto the middle finger; Capacitance-to-digital acquisition; AD7746 discussed for parasitic-capacitance rejection</t>
  </si>
  <si>
    <t>p.16</t>
  </si>
  <si>
    <t>Sensor stitched onto a glove (garment)</t>
  </si>
  <si>
    <t>R1 | Figure 5-6 ratings 39!H25</t>
  </si>
  <si>
    <t>R2 | Figure 5!H28</t>
  </si>
  <si>
    <t>Single knot-based sensor and IMU positioned at the anterior lower leg/ankle of the garment; Garment strain sensor plus ankle-mounted IMU/gyroscope and supervised machine-learning analysis</t>
  </si>
  <si>
    <t>Garment-integrated knot sensor</t>
  </si>
  <si>
    <t>R1 | Figure 5-6 ratings 39!H26</t>
  </si>
  <si>
    <t>R2 | Figure 5!H29</t>
  </si>
  <si>
    <t>Hydrogen-bond-assisted scalable dip coating that conformally coats silk fibres while retaining porosity; Gesture-recognition and robotic-control system reported; hardware details was not reported in the available full text</t>
  </si>
  <si>
    <t>Sensor integrated into a smart glove</t>
  </si>
  <si>
    <t>R1 | Figure 5-6 ratings 39!H27</t>
  </si>
  <si>
    <t>R2 | Figure 5!H30</t>
  </si>
  <si>
    <t>The complete article reports a liquid-metal/CNT sheath-core sensing fiber woven as weft yarn into a plain-weave cotton textile. The sensing fabric was worn on the hand, elbow, knee and neck to record strain-mediated motion and swallowing, with quantitative sensing range, conductivity, cyclic durability, sweat resistance, abrasion and breathability data.</t>
  </si>
  <si>
    <t>On-body hand-bending / neck demonstrations</t>
  </si>
  <si>
    <t>R1 | Figure 5-6 ratings 39!F28</t>
  </si>
  <si>
    <t>R2 | Figure 5!E31</t>
  </si>
  <si>
    <t>Composite fibre fabrication followed by semi-automated loom integration; Not reported</t>
  </si>
  <si>
    <t>Sensing fabric fixed on the hand</t>
  </si>
  <si>
    <t>R1 | Figure 5-6 ratings 39!H28</t>
  </si>
  <si>
    <t>R2 | Figure 5!H31</t>
  </si>
  <si>
    <t>The complete version-of-record article reports conductive yarn sewn in a zigzag pattern onto single-jersey nylon/spandex fabric and integrated into sportswear. The garment system was worn during cycling, treadmill, rowing and weight-training trials in a gym. Quantitative evidence includes loading/unloading sensitivities, calibration linearity, hysteresis, 100 cycles at 20% strain and measured exercise strain ranges.</t>
  </si>
  <si>
    <t>Garment-worn athletic monitoring; Pearson correlation 0.909</t>
  </si>
  <si>
    <t>R1 | Figure 5-6 ratings 39!F29</t>
  </si>
  <si>
    <t>R2 | Figure 5!E32</t>
  </si>
  <si>
    <t>Conductive yarn sewn in zigzag geometries and incorporated into wearable sportswear; ESP8266 microcontroller transmitting data to the ThingSpeak cloud platform</t>
  </si>
  <si>
    <t>Garment-integrated IoT stitch sensor system</t>
  </si>
  <si>
    <t>R1 | Figure 5-6 ratings 39!H29</t>
  </si>
  <si>
    <t>R2 | Figure 5!H32</t>
  </si>
  <si>
    <t>Dip coating of PU fibre followed by sewing five sensors into a glove and two sensors into a fitted sweater; Prototype posture-analysis and correction system; complete electronics details was not reported in the available full text</t>
  </si>
  <si>
    <t>p.9, Figure 8</t>
  </si>
  <si>
    <t>Fibre woven into a data glove</t>
  </si>
  <si>
    <t>R1 | Figure 5-6 ratings 39!H30</t>
  </si>
  <si>
    <t>R2 | Figure 5!H33</t>
  </si>
  <si>
    <t>The original journal study stitched 18 core-sheath fiber strain sensors into a tight-fitting sleeveless shirt and evaluated a worn two-piece prototype during tri-axial trunk movements. The garment-sensor output was quantitatively compared with reference kinematic angles from a motion-capture system, satisfying C1-C6.</t>
  </si>
  <si>
    <t>12 participants; NRMSE trunk tracking; motion-capture comparator</t>
  </si>
  <si>
    <t>R1 | Figure 5-6 ratings 39!F31</t>
  </si>
  <si>
    <t>R2 | Figure 5!E34</t>
  </si>
  <si>
    <t>One-step dip coating produced the fibre sensors; 18 conditioned sensors were stitched into a two-piece shirt/shorts garment; Eighteen-channel garment acquisition with random-forest regression; wireless transmission was not reported</t>
  </si>
  <si>
    <t>Motion-capture shirt (garment)</t>
  </si>
  <si>
    <t>R1 | Figure 5-6 ratings 39!H31</t>
  </si>
  <si>
    <t>R2 | Figure 5!H34</t>
  </si>
  <si>
    <t>Laser-cut conductive spandex was heat-pressed and stitched to spandex; two sensors were connected to one embroidered spiral inductor; Battery-free LC resonance system with inductive coupling to an external reader coil and vector network analyser</t>
  </si>
  <si>
    <t>Fully-textile passive wireless leggings</t>
  </si>
  <si>
    <t>R1 | Figure 5-6 ratings 39!H32</t>
  </si>
  <si>
    <t>R2 | Figure 5!H35</t>
  </si>
  <si>
    <t>Three-yarn CNC knitting formed the body-hugging garment, four strain sensors, interconnect network and electronics pocket in one manufacturing step; Arduino MKRZero on a custom PCB connected by snap buttons; data stored as CSV on an onboard SD card</t>
  </si>
  <si>
    <t>p.4, Figure 1a</t>
  </si>
  <si>
    <t>CNC-knitted multi-sensor smart shirt</t>
  </si>
  <si>
    <t>R1 | Figure 5-6 ratings 39!H33</t>
  </si>
  <si>
    <t>R2 | Figure 5!H36</t>
  </si>
  <si>
    <t>PDA coating followed by ultrasonic liquid-metal and CNT loading; sensor attached on body and integrated into a glove and insole; Wireless microcontroller system used for gesture-controlled robotic-hand and gait-recognition demonstrations; component details was not reported in the available full text</t>
  </si>
  <si>
    <t>Data glove integrating the sensors</t>
  </si>
  <si>
    <t>R1 | Figure 5-6 ratings 39!H34</t>
  </si>
  <si>
    <t>R2 | Figure 5!H37</t>
  </si>
  <si>
    <t>Textile capacitive strain sensors in knee pads were evaluated on a participant for stride-length estimation against an IMU, with mean absolute error of 8.73 cm.</t>
  </si>
  <si>
    <t>Participants; stride-length MAE 8.73 cm; smartphone-IMU comparator</t>
  </si>
  <si>
    <t>R1 | Figure 5-6 ratings 39!F35</t>
  </si>
  <si>
    <t>R2 | Figure 5!E38</t>
  </si>
  <si>
    <t>Soft capacitive sensors mounted over the knees in wearable pads; DFRobot Beetle BLE (Arduino Uno plus BLE), 3.7 V Li-Po battery, smartphone Bluetooth acquisition, and Android application</t>
  </si>
  <si>
    <t>Textile capacitive sensors on knee pads</t>
  </si>
  <si>
    <t>R1 | Figure 5-6 ratings 39!H35</t>
  </si>
  <si>
    <t>R2 | Figure 5!H38</t>
  </si>
  <si>
    <t>The smart textile respiratory sensor was evaluated on four healthy volunteers against optical motion capture, with differences below approximately 1% and 4% for reported measures.</t>
  </si>
  <si>
    <t>4 volunteers; breath-by-breath; motion-capture reference</t>
  </si>
  <si>
    <t>R1 | Figure 5-6 ratings 39!F36</t>
  </si>
  <si>
    <t>R2 | Figure 5!E39</t>
  </si>
  <si>
    <t>Santoni X-machine knitting of conductive area into sample and smart sleeve for elbow motion monitoring; No</t>
  </si>
  <si>
    <t>Smart sleeve + washing durability (advanced)</t>
  </si>
  <si>
    <t>R1 | Figure 5-6 ratings 39!H37</t>
  </si>
  <si>
    <t>R2 | Figure 5!H40</t>
  </si>
  <si>
    <t>The original journal pilot study uses soft capacitive sensing units embedded in elastic fabric and attached to the lumbar region. Twelve male volunteers performed sagittal flexion and lateral bending while simultaneous 3D body scans supplied reference joint angles. Reported mean R-squared values were 0.93 and 0.96 with estimated 95% errors of ±5.3 and ±2.8 degrees, satisfying C1-C6.</t>
  </si>
  <si>
    <t>12 subjects; lumbar R 0.93/0.96, error +/-5.3 deg; optical scanner</t>
  </si>
  <si>
    <t>R1 | Figure 5-6 ratings 39!F38</t>
  </si>
  <si>
    <t>R2 | Figure 5!E41</t>
  </si>
  <si>
    <t>Two low-profile sensors were attached vertically over the lumbar spine and lateral left hip; Capacitance recording during static poses; wireless operation was not reported</t>
  </si>
  <si>
    <t>Elastic garment worn (spacesuit context)</t>
  </si>
  <si>
    <t>R1 | Figure 5-6 ratings 39!H38</t>
  </si>
  <si>
    <t>R2 | Figure 5!H41</t>
  </si>
  <si>
    <t>Two textile/stretch sensors were integrated into a knee brace and evaluated in human participants against a quantitative ground-truth reference.</t>
  </si>
  <si>
    <t>Participants; FROM squats; knee-angle RMSE vs ground-truth MoCap</t>
  </si>
  <si>
    <t>R1 | Figure 5-6 ratings 39!F39</t>
  </si>
  <si>
    <t>R2 | Figure 5!E42</t>
  </si>
  <si>
    <t>Two sensors were fixed at different heights on the brace to distinguish brace-shift-dependent strain–angle relationships; Two-channel capacitance acquisition and Gaussian-mixture regression; wireless transmission was not reported</t>
  </si>
  <si>
    <t>Instrumented brace (garment)</t>
  </si>
  <si>
    <t>R1 | Figure 5-6 ratings 39!H39</t>
  </si>
  <si>
    <t>R2 | Figure 5!H42</t>
  </si>
  <si>
    <t>Three 10-cm laboratory-made fibre sensors were secured straight with elastic stitching; connections used rubber glue and conductive ink; NI USB-6009 voltage-divider acquisition at 100 Hz; MATLAB and scikit-learn analysis; no wireless transmission in the study</t>
  </si>
  <si>
    <t>Resistive sensors in elastic bands (on-body)</t>
  </si>
  <si>
    <t>R1 | Figure 5-6 ratings 39!H40</t>
  </si>
  <si>
    <t>R2 | Figure 5!H43</t>
  </si>
  <si>
    <t>Adjudicated approval; original independent ratings retained.</t>
  </si>
  <si>
    <t>Azza personally approved; confirmed directly by Pooja in this conversation, 14 October 2026. 01_Azza_Added_Studies_20261014.xlsx | Two added studies row 4</t>
  </si>
  <si>
    <t>Azza personally approved; confirmed directly by Pooja in this conversation, 14 October 2026. 01_Azza_Added_Studies_20261014.xlsx | Two added studies row 5</t>
  </si>
  <si>
    <t>Azza personally approved; confirmed directly by Pooja in this conversation, 14 October 2026. 01_Azza_Added_Studies_20261014.xlsx | Two added studies row 15</t>
  </si>
  <si>
    <t>Azza personally approved; confirmed directly by Pooja in this conversation, 14 October 2026. 01_Azza_Added_Studies_20261014.xlsx | Two added studies row 16</t>
  </si>
  <si>
    <t>Assessment</t>
  </si>
  <si>
    <t>Axis</t>
  </si>
  <si>
    <t>Level 1</t>
  </si>
  <si>
    <t>Level 2</t>
  </si>
  <si>
    <t>Level 3</t>
  </si>
  <si>
    <t>Level 4</t>
  </si>
  <si>
    <t>Level 5</t>
  </si>
  <si>
    <t>Level 1 / all</t>
  </si>
  <si>
    <t>Level 2 / all</t>
  </si>
  <si>
    <t>Level 3 / all</t>
  </si>
  <si>
    <t>Level 4 / all</t>
  </si>
  <si>
    <t>Level 5 / all</t>
  </si>
  <si>
    <t>Pending / all</t>
  </si>
  <si>
    <t>41-study current analysis</t>
  </si>
  <si>
    <t>Reviewer 1</t>
  </si>
  <si>
    <t>Complete independent scores; not final consensus</t>
  </si>
  <si>
    <t>Reviewer 2</t>
  </si>
  <si>
    <t>Figure 6 reporting</t>
  </si>
  <si>
    <t>0</t>
  </si>
  <si>
    <t>No usable description of the textile architecture or integration route.</t>
  </si>
  <si>
    <t>The article calls the device an e-textile sensor without explaining how it is incorporated.</t>
  </si>
  <si>
    <t>Not applicable is not permitted; this item applies to every included study.</t>
  </si>
  <si>
    <t>R2 | Codebook!A24:F24</t>
  </si>
  <si>
    <t>1</t>
  </si>
  <si>
    <t>The textile form or integration method is named, but essential construction, geometry or placement detail is missing.</t>
  </si>
  <si>
    <t>The article states that the sensor was sewn to a sleeve but gives no stitch, position or assembly detail.</t>
  </si>
  <si>
    <t>R2 | Codebook!A25:F25</t>
  </si>
  <si>
    <t>2</t>
  </si>
  <si>
    <t>Architecture and integration are described with sufficient construction, geometry or placement detail to understand how the device was made.</t>
  </si>
  <si>
    <t>The knit structure, sensor dimensions, stitch route and garment position are stated.</t>
  </si>
  <si>
    <t>R2 | Codebook!A26:F26</t>
  </si>
  <si>
    <t>NA</t>
  </si>
  <si>
    <t>NA is not permitted for this item.</t>
  </si>
  <si>
    <t>R2 | Codebook!A27:F27; example wording aligned to the stated applicability rule</t>
  </si>
  <si>
    <t>Neither the conductive component nor the textile substrate is adequately identified.</t>
  </si>
  <si>
    <t>Only 'conductive fabric' is reported.</t>
  </si>
  <si>
    <t>R2 | Codebook!A28:F28</t>
  </si>
  <si>
    <t>A material class, trade name or substrate is reported, but composition or one of the two components is missing.</t>
  </si>
  <si>
    <t>Silver yarn is reported, but its grade and the garment substrate are not identified.</t>
  </si>
  <si>
    <t>R2 | Codebook!A29:F29</t>
  </si>
  <si>
    <t>Both the conductive component and textile/substrate are identified with composition, grade, trade name or equivalent usable detail.</t>
  </si>
  <si>
    <t>Silver-plated nylon yarn and the spandex/polyester knit substrate are specified.</t>
  </si>
  <si>
    <t>R2 | Codebook!A30:F30</t>
  </si>
  <si>
    <t>R2 | Codebook!A31:F31; example wording aligned to the stated applicability rule</t>
  </si>
  <si>
    <t>No working, calibrated or evaluated strain interval is reported.</t>
  </si>
  <si>
    <t>The paper reports sensitivity but no strain interval.</t>
  </si>
  <si>
    <t>Not applicable is not permitted for a strain-sensing study.</t>
  </si>
  <si>
    <t>R2 | Codebook!A32:F32</t>
  </si>
  <si>
    <t>A strain value or qualitative range is mentioned, but the operating interval or test conditions are incomplete.</t>
  </si>
  <si>
    <t>The sensor is described as highly stretchable and one test at 20% strain is shown.</t>
  </si>
  <si>
    <t>R2 | Codebook!A33:F33</t>
  </si>
  <si>
    <t>A numerical working or calibrated strain range is reported with units and enough context to identify the tested interval.</t>
  </si>
  <si>
    <t>The working range is reported as 0-50% strain under stated tensile testing.</t>
  </si>
  <si>
    <t>R2 | Codebook!A34:F34</t>
  </si>
  <si>
    <t>R2 | Codebook!A35:F35; example wording aligned to the stated applicability rule</t>
  </si>
  <si>
    <t>No numerical gauge factor or comparable strain-normalized sensitivity is reported.</t>
  </si>
  <si>
    <t>The article says the device is highly sensitive but gives no value.</t>
  </si>
  <si>
    <t>Use NA only when a strain-normalized sensitivity is genuinely inapplicable and the reason is recorded; absence of GF alone is scored 0.</t>
  </si>
  <si>
    <t>R2 | Codebook!A36:F36</t>
  </si>
  <si>
    <t>Sensitivity is stated without its strain interval, definition or calculation detail.</t>
  </si>
  <si>
    <t>GF = 20 is reported without the strain range.</t>
  </si>
  <si>
    <t>R2 | Codebook!A37:F37</t>
  </si>
  <si>
    <t>A numerical gauge factor or clearly defined alternative sensitivity is linked to the corresponding strain interval.</t>
  </si>
  <si>
    <t>GF = 20 over 0-30% strain is reported, with the calculation definition.</t>
  </si>
  <si>
    <t>R2 | Codebook!A38:F38</t>
  </si>
  <si>
    <t>Record a short design-specific reason whenever NA is used.</t>
  </si>
  <si>
    <t>R2 | Codebook!A39:F39</t>
  </si>
  <si>
    <t>No usable signal-quality evidence is reported for any of these descriptors.</t>
  </si>
  <si>
    <t>No linearity, hysteresis, drift or repeatability result is provided.</t>
  </si>
  <si>
    <t>Use NA only with a documented design-specific reason; otherwise missing evidence is scored 0. Apply the approved E3 clarification below.</t>
  </si>
  <si>
    <t>R2 | Codebook!A40:F40</t>
  </si>
  <si>
    <t>A descriptor is discussed qualitatively or with insufficient method/conditions.</t>
  </si>
  <si>
    <t>The response is described as repeatable without trials or a numerical measure.</t>
  </si>
  <si>
    <t>R2 | Codebook!A41:F41</t>
  </si>
  <si>
    <t>At least one signal-quality descriptor is quantified with a stated protocol, condition or interpretable calculation.</t>
  </si>
  <si>
    <t>Hysteresis is 3% at 30% strain, or baseline drift is below 1% over a stated hold test.</t>
  </si>
  <si>
    <t>R2 | Codebook!A42:F42</t>
  </si>
  <si>
    <t>Use NA only with a documented design-specific reason; otherwise missing evidence is scored 0.</t>
  </si>
  <si>
    <t>R2 | Codebook!A43:F43</t>
  </si>
  <si>
    <t>No response/recovery or cyclic durability evidence is reported.</t>
  </si>
  <si>
    <t>The article gives only static calibration results.</t>
  </si>
  <si>
    <t>R2 | Codebook!A44:F44</t>
  </si>
  <si>
    <t>Dynamic response or cycling is mentioned, but key numerical or procedural detail is missing.</t>
  </si>
  <si>
    <t>The sensor is called fast and durable without time values or a cycle count.</t>
  </si>
  <si>
    <t>R2 | Codebook!A45:F45</t>
  </si>
  <si>
    <t>Response/recovery time or cyclic durability is quantified with relevant test conditions such as strain, frequency or cycle count.</t>
  </si>
  <si>
    <t>Response/recovery are 80/170 ms, or 10,000 cycles are reported at 20% strain.</t>
  </si>
  <si>
    <t>R2 | Codebook!A46:F46</t>
  </si>
  <si>
    <t>R2 | Codebook!A47:F47</t>
  </si>
  <si>
    <t>No wash, sweat, moisture, temperature, abrasion or other environmental robustness evidence is reported.</t>
  </si>
  <si>
    <t>The article makes no washability or environmental statement.</t>
  </si>
  <si>
    <t>Use NA only for a genuinely non-reusable design and record why; otherwise missing evidence is scored 0.</t>
  </si>
  <si>
    <t>R2 | Codebook!A48:F48</t>
  </si>
  <si>
    <t>An exposure or robustness claim is present, but conditions or post-exposure performance are incomplete.</t>
  </si>
  <si>
    <t>The device is described as washable without a procedure or wash count.</t>
  </si>
  <si>
    <t>R2 | Codebook!A49:F49</t>
  </si>
  <si>
    <t>At least one relevant environmental or care test is quantified with conditions and a post-test performance or failure outcome.</t>
  </si>
  <si>
    <t>Thirty wash cycles at 40 degrees C are followed by a reported resistance or sensitivity change.</t>
  </si>
  <si>
    <t>R2 | Codebook!A50:F50</t>
  </si>
  <si>
    <t>R2 | Codebook!A51:F51</t>
  </si>
  <si>
    <t>No usable participant, placement, task or quantitative worn-result information is reported.</t>
  </si>
  <si>
    <t>Only a photograph of a worn device is provided.</t>
  </si>
  <si>
    <t>Not applicable is not permitted because participant-worn evidence is an inclusion requirement.</t>
  </si>
  <si>
    <t>R2 | Codebook!A52:F52</t>
  </si>
  <si>
    <t>An on-body demonstration is reported, but participant/protocol detail or quantitative results are incomplete.</t>
  </si>
  <si>
    <t>A volunteer bends a knee and a trace is shown, but participant count and protocol are absent.</t>
  </si>
  <si>
    <t>R2 | Codebook!A53:F53</t>
  </si>
  <si>
    <t>Participant/sample information, sensor placement/task and a quantitative worn result are clearly reported.</t>
  </si>
  <si>
    <t>Ten participants complete defined postures and classification accuracy is reported.</t>
  </si>
  <si>
    <t>R2 | Codebook!A54:F54</t>
  </si>
  <si>
    <t>R2 | Codebook!A55:F55; example wording aligned to the stated applicability rule</t>
  </si>
  <si>
    <t>No external reference, comparator, ground truth or quantitative criterion validation is reported.</t>
  </si>
  <si>
    <t>Only sensor signals are presented.</t>
  </si>
  <si>
    <t>Use NA only when no measurement, estimation or classification claim requires comparison and the reason is recorded; otherwise score 0.</t>
  </si>
  <si>
    <t>R2 | Codebook!A56:F56</t>
  </si>
  <si>
    <t>A comparator or reference is named, but protocol or quantitative agreement/error is incomplete.</t>
  </si>
  <si>
    <t>Optical motion capture is mentioned but no agreement or error is given.</t>
  </si>
  <si>
    <t>R2 | Codebook!A57:F57</t>
  </si>
  <si>
    <t>The reference/comparator and comparison protocol are described and quantitative agreement, error or performance is reported.</t>
  </si>
  <si>
    <t>Textile-sensor angles are compared with motion capture and RMSE is reported.</t>
  </si>
  <si>
    <t>R2 | Codebook!A58:F58</t>
  </si>
  <si>
    <t>R2 | Codebook!A59:F59</t>
  </si>
  <si>
    <t>Missingness</t>
  </si>
  <si>
    <t>The complete article was checked and the information was absent. Enter Not reported in extraction fields and score 0 for an applicable Figure 6 or quality item.</t>
  </si>
  <si>
    <t>No participant count is provided anywhere in the complete text.</t>
  </si>
  <si>
    <t>Do not replace with NA</t>
  </si>
  <si>
    <t>R2 | Codebook!A76:F76</t>
  </si>
  <si>
    <t>Use only when the item is genuinely irrelevant to the study design. Record a reason.</t>
  </si>
  <si>
    <t>A single-use device may make washability genuinely inapplicable if the design is explicitly disposable.</t>
  </si>
  <si>
    <t>Rare; justify every use</t>
  </si>
  <si>
    <t>R2 | Codebook!A77:F77</t>
  </si>
  <si>
    <t>R1 original: Figure 6</t>
  </si>
  <si>
    <t>Not reported: no usable information for the item after complete-text review. Example: no wash or environmental test described gives R1 = 0.</t>
  </si>
  <si>
    <t>R1 | Codebook!A16:C16</t>
  </si>
  <si>
    <t>Partly reported: relevant information is present but key numerical or procedural detail is missing. Example: hysteresis described qualitatively without a value gives E3 = 1 when no stronger signal-quality evidence is present.</t>
  </si>
  <si>
    <t>R1 | Codebook!A17:C17</t>
  </si>
  <si>
    <t>Clearly reported: sufficient numerical or procedural detail is supplied. Example: a stated strain range and test conditions gives E1 = 2.</t>
  </si>
  <si>
    <t>R1 | Codebook!A18:C18</t>
  </si>
  <si>
    <t>Blank final field</t>
  </si>
  <si>
    <t>Decision/value has not been finalized. This is different from score 0 or Not applicable.</t>
  </si>
  <si>
    <t>Do not include pending final values in denominators as zero.</t>
  </si>
  <si>
    <t>Master assembly rule</t>
  </si>
  <si>
    <t>0 / 1 / 2</t>
  </si>
  <si>
    <t>E3 includes a quantified direct transfer characteristic between sensor electrical output and a defined mechanical input, including strain or measured joint angle, when the test/fitting protocol and a signal-quality descriptor are reported. E3=2 requires at least one such quantified descriptor; E3=1 covers qualitative or insufficiently specified evidence; E3=0 means no usable descriptor after the relevant sources have been assessed. A downstream multivariable prediction model or classifier accuracy alone does not qualify. Direct angle-response linearity can support E3 while criterion validation is separately coded under V2; these are different reporting items, not independent studies.</t>
  </si>
  <si>
    <t>Direct capacitance-angle linearity may qualify. Multivariable joint-angle prediction accuracy alone does not.</t>
  </si>
  <si>
    <t>Approved by Azza, 2026-09-30. Original independent ratings retained.</t>
  </si>
  <si>
    <t>SCORES20261001 | Rule review!A8:G8; Decisions operational rule</t>
  </si>
  <si>
    <t>R1 reporting state</t>
  </si>
  <si>
    <t>R2 reporting state</t>
  </si>
  <si>
    <t>Final reporting state</t>
  </si>
  <si>
    <t>Seamlessly knitted sensing glove with integral knitted strain sensors; Whole-garment knitting without sewing or bonding</t>
  </si>
  <si>
    <t>R1 | Figure 5-6 ratings 39!J2</t>
  </si>
  <si>
    <t>R2 | Figure 6!E2</t>
  </si>
  <si>
    <t>99% silver-coated nylon yarn (Statex Shieldex, 117/17 dtex, 2-ply); Non-conductive glove yarn</t>
  </si>
  <si>
    <t>R1 | Figure 5-6 ratings 39!K2</t>
  </si>
  <si>
    <t>R2 | Figure 6!G2</t>
  </si>
  <si>
    <t>R1 | Figure 5-6 ratings 39!L2</t>
  </si>
  <si>
    <t>R2 | Figure 6!I2</t>
  </si>
  <si>
    <t>R1 | Figure 5-6 ratings 39!M2</t>
  </si>
  <si>
    <t>R2 | Figure 6!K2</t>
  </si>
  <si>
    <t>R² = 0.97 up to 10% strain; Not reported; Between-participant and pooled classification were evaluated; device drift was not quantified</t>
  </si>
  <si>
    <t>p.7, Figure 6a</t>
  </si>
  <si>
    <t>R1 | Figure 5-6 ratings 39!N2</t>
  </si>
  <si>
    <t>R2 | Figure 6!M2</t>
  </si>
  <si>
    <t>Not reported; Not reported; 20 cycles across 3-40% strain at 0.25 Hz</t>
  </si>
  <si>
    <t>p.7, Fig. 6c</t>
  </si>
  <si>
    <t>R1 | Figure 5-6 ratings 39!O2</t>
  </si>
  <si>
    <t>R2 | Figure 6!O2</t>
  </si>
  <si>
    <t>Not reported; Not reported</t>
  </si>
  <si>
    <t>R1 | Figure 5-6 ratings 39!P2</t>
  </si>
  <si>
    <t>R2 | Figure 6!Q2</t>
  </si>
  <si>
    <t>10; 10 able-bodied participants; age and sex were not reported; Mean 10-posture classification accuracy was 94.17% with within-participant data and 89.5% with pooled data.</t>
  </si>
  <si>
    <t>p.10, Table 1</t>
  </si>
  <si>
    <t>R1 | Figure 5-6 ratings 39!Q2</t>
  </si>
  <si>
    <t>R2 | Figure 6!S2</t>
  </si>
  <si>
    <t>Dip-coated commercial stretch fabric; Dip coating; sensor attached/integrated on clothing</t>
  </si>
  <si>
    <t>p.3, Fig. 2a</t>
  </si>
  <si>
    <t>R1 | Figure 5-6 ratings 39!J3</t>
  </si>
  <si>
    <t>R2 | Figure 6!E3</t>
  </si>
  <si>
    <t>Carbon-based commercial pen ink; Spandex/polyamide fabric</t>
  </si>
  <si>
    <t>R1 | Figure 5-6 ratings 39!K3</t>
  </si>
  <si>
    <t>R2 | Figure 6!G3</t>
  </si>
  <si>
    <t>R1 | Figure 5-6 ratings 39!L3</t>
  </si>
  <si>
    <t>R2 | Figure 6!I3</t>
  </si>
  <si>
    <t>R1 | Figure 5-6 ratings 39!M3</t>
  </si>
  <si>
    <t>R2 | Figure 6!K3</t>
  </si>
  <si>
    <t>R² approximately 0.99 over 0–30% strain; Not reported; Stable over more than 5,000 cycles before and after washing</t>
  </si>
  <si>
    <t>R1 | Figure 5-6 ratings 39!N3</t>
  </si>
  <si>
    <t>R2 | Figure 6!M3</t>
  </si>
  <si>
    <t>Numerical value not reported in the available main article; supporting information is cited; Numerical value not reported in the available main article; supporting information is cited; &gt;5,000 cycles</t>
  </si>
  <si>
    <t>p.4, Fig. 2f</t>
  </si>
  <si>
    <t>R1 | Figure 5-6 ratings 39!O3</t>
  </si>
  <si>
    <t>R2 | Figure 6!O3</t>
  </si>
  <si>
    <t>Immersed in deionized water with vigorous stirring for 1 h; dried for 2 h at 60 °C; initial resistance changed from 37 to 41 kΩ with negligible loss of linearity or sensitivity; Not reported</t>
  </si>
  <si>
    <t>R1 | Figure 5-6 ratings 39!P3</t>
  </si>
  <si>
    <t>R2 | Figure 6!Q3</t>
  </si>
  <si>
    <t>Not quantified (p.2)</t>
  </si>
  <si>
    <t>R1 | Figure 5-6 ratings 39!R3</t>
  </si>
  <si>
    <t>R2 | Figure 6!U3</t>
  </si>
  <si>
    <t>Coated PU yarn strain sensor; can be woven into electronic fabrics; Layer-by-layer deposition of ultrathin CPC layer on PU yarn</t>
  </si>
  <si>
    <t>R1 | Figure 5-6 ratings 39!J4</t>
  </si>
  <si>
    <t>R2 | Figure 6!E4</t>
  </si>
  <si>
    <t>Carbon black/natural rubber conductive polymer composite with cellulose nanocrystals and chitosan-mediated LBL assembly; Polyurethane yarn</t>
  </si>
  <si>
    <t>R1 | Figure 5-6 ratings 39!K4</t>
  </si>
  <si>
    <t>R2 | Figure 6!G4</t>
  </si>
  <si>
    <t>R1 | Figure 5-6 ratings 39!M4</t>
  </si>
  <si>
    <t>R2 | Figure 6!K4</t>
  </si>
  <si>
    <t>NR in accessible text; Not reported; 10,000 cycles</t>
  </si>
  <si>
    <t>R1 | Figure 5-6 ratings 39!O4</t>
  </si>
  <si>
    <t>R2 | Figure 6!O4</t>
  </si>
  <si>
    <t>Excellent wash durability reported qualitatively; Good wash- and corrosion-resistance; boiled water, detergent, acid, and alkaline robustness discussed</t>
  </si>
  <si>
    <t>R1 | Figure 5-6 ratings 39!P4</t>
  </si>
  <si>
    <t>R2 | Figure 6!Q4</t>
  </si>
  <si>
    <t>R1 | Figure 5-6 ratings 39!R4</t>
  </si>
  <si>
    <t>R2 | Figure 6!U4</t>
  </si>
  <si>
    <t>Sensing shirt with one textile-integrated strain sensor and two IMUs; Sensor integrated into a sensing shirt</t>
  </si>
  <si>
    <t>R1 | Figure 5-6 ratings 39!J5</t>
  </si>
  <si>
    <t>R2 | Figure 6!E5</t>
  </si>
  <si>
    <t>Not reported; Shirt/garment substrate</t>
  </si>
  <si>
    <t>R1 | Figure 5-6 ratings 39!K5</t>
  </si>
  <si>
    <t>R2 | Figure 6!G5</t>
  </si>
  <si>
    <t>R1 | Figure 5-6 ratings 39!L5</t>
  </si>
  <si>
    <t>R2 | Figure 6!I5</t>
  </si>
  <si>
    <t>R1 | Figure 5-6 ratings 39!M5</t>
  </si>
  <si>
    <t>R2 | Figure 6!K5</t>
  </si>
  <si>
    <t>R1 | Figure 5-6 ratings 39!O5</t>
  </si>
  <si>
    <t>R2 | Figure 6!O5</t>
  </si>
  <si>
    <t>R1 | Figure 5-6 ratings 39!P5</t>
  </si>
  <si>
    <t>R2 | Figure 6!Q5</t>
  </si>
  <si>
    <t>5; Five participants; detailed demographics was not reported in the available full text; Compared with the optical reference, reported position error decreased from 11.5 cm with the simplified model to 1.8 cm with the bi-articular model.</t>
  </si>
  <si>
    <t>R1 | Figure 5-6 ratings 39!Q5</t>
  </si>
  <si>
    <t>R2 | Figure 6!S5</t>
  </si>
  <si>
    <t>R1 | Figure 5-6 ratings 39!R5</t>
  </si>
  <si>
    <t>R2 | Figure 6!U5</t>
  </si>
  <si>
    <t>Three-dimensional embroidered smart glove; Three-dimensional embroidery with a slit/folded multilayer configuration</t>
  </si>
  <si>
    <t>R1 | Figure 5-6 ratings 39!J6</t>
  </si>
  <si>
    <t>R2 | Figure 6!E6</t>
  </si>
  <si>
    <t>Silver-plated Nylon 6 conductive yarn (140 denier, 1 ply/48 filaments, 17% Ag); Glove textile with embroidered sensor structure</t>
  </si>
  <si>
    <t>R1 | Figure 5-6 ratings 39!K6</t>
  </si>
  <si>
    <t>R2 | Figure 6!G6</t>
  </si>
  <si>
    <t>R1 | Figure 5-6 ratings 39!L6</t>
  </si>
  <si>
    <t>R2 | Figure 6!I6</t>
  </si>
  <si>
    <t>R1 | Figure 5-6 ratings 39!M6</t>
  </si>
  <si>
    <t>R2 | Figure 6!K6</t>
  </si>
  <si>
    <t>Not reported; Not reported; Inter-trial reproducibility r = 0.972; baseline drift &lt;1%</t>
  </si>
  <si>
    <t>R1 | Figure 5-6 ratings 39!N6</t>
  </si>
  <si>
    <t>R2 | Figure 6!M6</t>
  </si>
  <si>
    <t>Not reported; Not reported; 20,000 Martindale abrasion cycles; wearable motion repeated in three sets of 10 cycles per finger</t>
  </si>
  <si>
    <t>R1 | Figure 5-6 ratings 39!O6</t>
  </si>
  <si>
    <t>R2 | Figure 6!O6</t>
  </si>
  <si>
    <t>Not reported; 20,000 Martindale abrasion rubs at 9 kPa under KS K ISO 12947-2:2016; no yarn breakage or visible damage</t>
  </si>
  <si>
    <t>R1 | Figure 5-6 ratings 39!P6</t>
  </si>
  <si>
    <t>R2 | Figure 6!Q6</t>
  </si>
  <si>
    <t>7; Seven female participants, 25-31 years; Peak detection was 100%; inter-trial reproducibility r = 0.972; baseline drift was &lt;1%; signal amplitude was 15–80 mV.</t>
  </si>
  <si>
    <t>R1 | Figure 5-6 ratings 39!Q6</t>
  </si>
  <si>
    <t>R2 | Figure 6!S6</t>
  </si>
  <si>
    <t>R1 | Figure 5-6 ratings 39!R6</t>
  </si>
  <si>
    <t>R2 | Figure 6!U6</t>
  </si>
  <si>
    <t>Screen-printed electronic textile/smart garment; Aerodynamics-assisted screen printing; ink wraps fibre surfaces while preserving fabric pores</t>
  </si>
  <si>
    <t>R1 | Figure 5-6 ratings 39!J7</t>
  </si>
  <si>
    <t>R2 | Figure 6!E7</t>
  </si>
  <si>
    <t>Graphene dispersed in cellulose/PEDOT:PSS ink; Spandex/cotton blend fabric</t>
  </si>
  <si>
    <t>R1 | Figure 5-6 ratings 39!K7</t>
  </si>
  <si>
    <t>R2 | Figure 6!G7</t>
  </si>
  <si>
    <t>R1 | Figure 5-6 ratings 39!M7</t>
  </si>
  <si>
    <t>R2 | Figure 6!K7</t>
  </si>
  <si>
    <t>Not reported; Not reported; Stable for more than 9,000 cycles</t>
  </si>
  <si>
    <t>R1 | Figure 5-6 ratings 39!N7</t>
  </si>
  <si>
    <t>R2 | Figure 6!M7</t>
  </si>
  <si>
    <t>Not reported; Not reported; &gt;9,000 cycles</t>
  </si>
  <si>
    <t>R1 | Figure 5-6 ratings 39!O7</t>
  </si>
  <si>
    <t>R2 | Figure 6!O7</t>
  </si>
  <si>
    <t>&gt;50 washing cycles; Not reported</t>
  </si>
  <si>
    <t>R1 | Figure 5-6 ratings 39!P7</t>
  </si>
  <si>
    <t>R2 | Figure 6!Q7</t>
  </si>
  <si>
    <t>Not quantified (p.8)</t>
  </si>
  <si>
    <t>R1 | Figure 5-6 ratings 39!R7</t>
  </si>
  <si>
    <t>R2 | Figure 6!U7</t>
  </si>
  <si>
    <t>Strain-sensing yarn stitched into commercial fabric/smart clothing; Novel self-locking stitch architecture; optimum needle pitch reported as 0.5 cm</t>
  </si>
  <si>
    <t>R1 | Figure 5-6 ratings 39!J8</t>
  </si>
  <si>
    <t>R2 | Figure 6!E8</t>
  </si>
  <si>
    <t>Not reported; Commercial garment fabric</t>
  </si>
  <si>
    <t>R1 | Figure 5-6 ratings 39!K8</t>
  </si>
  <si>
    <t>R2 | Figure 6!G8</t>
  </si>
  <si>
    <t>R1 | Figure 5-6 ratings 39!M8</t>
  </si>
  <si>
    <t>R2 | Figure 6!K8</t>
  </si>
  <si>
    <t>280 ms loading; 330 ms unloading; 10,000 cycles at 10% strain</t>
  </si>
  <si>
    <t>R1 | Figure 5-6 ratings 39!O8</t>
  </si>
  <si>
    <t>R2 | Figure 6!O8</t>
  </si>
  <si>
    <t>R1 | Figure 5-6 ratings 39!R8</t>
  </si>
  <si>
    <t>R2 | Figure 6!U8</t>
  </si>
  <si>
    <t>Liquid-metal double-helix core-spun yarn and plain-woven fabric; Scalable friction core-spinning followed by fabric formation</t>
  </si>
  <si>
    <t>p.3, Fig. 1e</t>
  </si>
  <si>
    <t>R1 | Figure 5-6 ratings 39!J9</t>
  </si>
  <si>
    <t>R2 | Figure 6!E9</t>
  </si>
  <si>
    <t>Liquid metal; Double-helix core-spun yarn/fabric; polymer and fibre composition was not reported in the available full text</t>
  </si>
  <si>
    <t>R1 | Figure 5-6 ratings 39!K9</t>
  </si>
  <si>
    <t>R2 | Figure 6!G9</t>
  </si>
  <si>
    <t>p.5, Fig. 2d</t>
  </si>
  <si>
    <t>R1 | Figure 5-6 ratings 39!L9</t>
  </si>
  <si>
    <t>R2 | Figure 6!I9</t>
  </si>
  <si>
    <t>R1 | Figure 5-6 ratings 39!M9</t>
  </si>
  <si>
    <t>R2 | Figure 6!K9</t>
  </si>
  <si>
    <t>Not reported; Ultra-low hysteresis reported; numerical hysteresis value was not stated in the main text; Not reported</t>
  </si>
  <si>
    <t>R1 | Figure 5-6 ratings 39!N9</t>
  </si>
  <si>
    <t>R2 | Figure 6!M9</t>
  </si>
  <si>
    <t>Not reported; Not reported; 6,000 loading-unloading cycles at 10% strain</t>
  </si>
  <si>
    <t>R1 | Figure 5-6 ratings 39!O9</t>
  </si>
  <si>
    <t>R2 | Figure 6!O9</t>
  </si>
  <si>
    <t>Washability reported; protocol/count was not reported in the available full text; Not reported</t>
  </si>
  <si>
    <t>R1 | Figure 5-6 ratings 39!P9</t>
  </si>
  <si>
    <t>R2 | Figure 6!Q9</t>
  </si>
  <si>
    <t>R1 | Figure 5-6 ratings 39!R9</t>
  </si>
  <si>
    <t>R2 | Figure 6!U9</t>
  </si>
  <si>
    <t>Conductive stretchable nonwoven fabric; Dip coating and pre-straining to control microcrack density; secondary superhydrophobic dip coating</t>
  </si>
  <si>
    <t>R1 | Figure 5-6 ratings 39!J10</t>
  </si>
  <si>
    <t>R2 | Figure 6!E10</t>
  </si>
  <si>
    <t>Cellulose nanocrystal/graphene conductive coating; Hf-SiO₂ superhydrophobic top treatment; Stretchable nonwoven fabric</t>
  </si>
  <si>
    <t>R1 | Figure 5-6 ratings 39!K10</t>
  </si>
  <si>
    <t>R2 | Figure 6!G10</t>
  </si>
  <si>
    <t>R1 | Figure 5-6 ratings 39!L10</t>
  </si>
  <si>
    <t>R2 | Figure 6!I10</t>
  </si>
  <si>
    <t>R1 | Figure 5-6 ratings 39!M10</t>
  </si>
  <si>
    <t>R2 | Figure 6!K10</t>
  </si>
  <si>
    <t>33 ms; Not reported; &gt;1,000 cycles</t>
  </si>
  <si>
    <t>R1 | Figure 5-6 ratings 39!O10</t>
  </si>
  <si>
    <t>R2 | Figure 6!O10</t>
  </si>
  <si>
    <t>Waterproof/self-cleaning behavior reported; laundering protocol not identified; Water contact angle 154°; anti-corrosion, self-cleaning, humid and underwater demonstrations</t>
  </si>
  <si>
    <t>R1 | Figure 5-6 ratings 39!P10</t>
  </si>
  <si>
    <t>R2 | Figure 6!Q10</t>
  </si>
  <si>
    <t>R1 | Figure 5-6 ratings 39!R10</t>
  </si>
  <si>
    <t>R2 | Figure 6!U10</t>
  </si>
  <si>
    <t>Woven/structured fabric strain sensor; In-situ reduction forms a laminated rGO layer; crisscrossed yarn/weft density tunes sensitivity</t>
  </si>
  <si>
    <t>R1 | Figure 5-6 ratings 39!J11</t>
  </si>
  <si>
    <t>R2 | Figure 6!E11</t>
  </si>
  <si>
    <t>Reduced graphene oxide linked through polydopamine; Calotropis gigantea yarn and spandex elastic yarn</t>
  </si>
  <si>
    <t>R1 | Figure 5-6 ratings 39!K11</t>
  </si>
  <si>
    <t>R2 | Figure 6!G11</t>
  </si>
  <si>
    <t>Sensitivity-curve fit at least 99.5%; Not reported; Stable sensing under varying temperature and humidity</t>
  </si>
  <si>
    <t>R1 | Figure 5-6 ratings 39!N11</t>
  </si>
  <si>
    <t>R2 | Figure 6!M11</t>
  </si>
  <si>
    <t>50 ms; Not reported; &gt;3,000 cycles</t>
  </si>
  <si>
    <t>R1 | Figure 5-6 ratings 39!O11</t>
  </si>
  <si>
    <t>R2 | Figure 6!O11</t>
  </si>
  <si>
    <t>Not reported; Stable from 20.8–44.9 °C and 38–79% relative humidity</t>
  </si>
  <si>
    <t>R1 | Figure 5-6 ratings 39!P11</t>
  </si>
  <si>
    <t>R2 | Figure 6!Q11</t>
  </si>
  <si>
    <t>Nanofiber yarn integrated into elastic fabric by embroidery; Conjugated electrospinning to form nanofiber yarn, ultrasonic deep deposition of MXene, then twisting/plying and embroidery integration into elastic bandage</t>
  </si>
  <si>
    <t>R1 | Figure 5-6 ratings 39!J12</t>
  </si>
  <si>
    <t>R2 | Figure 6!E12</t>
  </si>
  <si>
    <t>MXene nanosheets; PA/PVA electrospun nanofiber yarn</t>
  </si>
  <si>
    <t>R1 | Figure 5-6 ratings 39!K12</t>
  </si>
  <si>
    <t>R2 | Figure 6!G12</t>
  </si>
  <si>
    <t>R1 | Figure 5-6 ratings 39!L12</t>
  </si>
  <si>
    <t>R2 | Figure 6!I12</t>
  </si>
  <si>
    <t>R1 | Figure 5-6 ratings 39!M12</t>
  </si>
  <si>
    <t>R2 | Figure 6!K12</t>
  </si>
  <si>
    <t>R² above 0.98 throughout reported strain regimes; NR in accessible text excerpt; High reliability and conductivity uniformity emphasized</t>
  </si>
  <si>
    <t>R1 | Figure 5-6 ratings 39!N12</t>
  </si>
  <si>
    <t>R2 | Figure 6!M12</t>
  </si>
  <si>
    <t>58 ± 2 ms at 10% strain; Not reported; Over 6000 stretching-releasing cycles at 50% strain</t>
  </si>
  <si>
    <t>R1 | Figure 5-6 ratings 39!O12</t>
  </si>
  <si>
    <t>R2 | Figure 6!O12</t>
  </si>
  <si>
    <t>Excellent washability reported; Resistance to corrosion in artificial sweat explicitly reported</t>
  </si>
  <si>
    <t>R1 | Figure 5-6 ratings 39!P12</t>
  </si>
  <si>
    <t>R2 | Figure 6!Q12</t>
  </si>
  <si>
    <t>R1 | Figure 5-6 ratings 39!R12</t>
  </si>
  <si>
    <t>R2 | Figure 6!U12</t>
  </si>
  <si>
    <t>Woven fabric assembled from twisted graphene fibres and sewn into elbow/knee pads; Wet-fused twisted graphene fibres woven into a fabric and sewn onto wearable pads</t>
  </si>
  <si>
    <t>R1 | Figure 5-6 ratings 39!J13</t>
  </si>
  <si>
    <t>R2 | Figure 6!E13</t>
  </si>
  <si>
    <t>Twisted graphene fibre; Graphene-fibre woven textile; pad substrate composition not recorded</t>
  </si>
  <si>
    <t>R1 | Figure 5-6 ratings 39!K13</t>
  </si>
  <si>
    <t>R2 | Figure 6!G13</t>
  </si>
  <si>
    <t>R1 | Figure 5-6 ratings 39!L13</t>
  </si>
  <si>
    <t>R2 | Figure 6!I13</t>
  </si>
  <si>
    <t>R1 | Figure 5-6 ratings 39!M13</t>
  </si>
  <si>
    <t>R2 | Figure 6!K13</t>
  </si>
  <si>
    <t>Not reported; Not reported; 3,000 underwater cycles at 20% strain</t>
  </si>
  <si>
    <t>R1 | Figure 5-6 ratings 39!O13</t>
  </si>
  <si>
    <t>R2 | Figure 6!O13</t>
  </si>
  <si>
    <t>Standardized cyclic washing reported; exact standard and cycle count was not reported in the available full text; Air/water and chronic-wetting operation; resistance to bending, pressure, temperature and humidity interference reported</t>
  </si>
  <si>
    <t>R1 | Figure 5-6 ratings 39!P13</t>
  </si>
  <si>
    <t>R2 | Figure 6!Q13</t>
  </si>
  <si>
    <t>R1 | Figure 5-6 ratings 39!R13</t>
  </si>
  <si>
    <t>R2 | Figure 6!U13</t>
  </si>
  <si>
    <t>Digitally knitted elbow and knee sensing sleeves; Digital knitting plus laser cutting, film coating and thermal transfer; four-layer TPU/textile sensor construction</t>
  </si>
  <si>
    <t>R1 | Figure 5-6 ratings 39!J14</t>
  </si>
  <si>
    <t>R2 | Figure 6!E14</t>
  </si>
  <si>
    <t>Graphene nanoplatelet conductive coating; Spacer-knit textile sensor; acrylic/spandex knitted sleeves</t>
  </si>
  <si>
    <t>R1 | Figure 5-6 ratings 39!K14</t>
  </si>
  <si>
    <t>R2 | Figure 6!G14</t>
  </si>
  <si>
    <t>p.5, Figure 3a</t>
  </si>
  <si>
    <t>R1 | Figure 5-6 ratings 39!L14</t>
  </si>
  <si>
    <t>R2 | Figure 6!I14</t>
  </si>
  <si>
    <t>R1 | Figure 5-6 ratings 39!M14</t>
  </si>
  <si>
    <t>R2 | Figure 6!K14</t>
  </si>
  <si>
    <t>Not reported; Not reported; 10,000-second cyclic-duration test at 30% strain and 0.5 Hz (not 10,000 cycles)</t>
  </si>
  <si>
    <t>R1 | Figure 5-6 ratings 39!O14</t>
  </si>
  <si>
    <t>R2 | Figure 6!O14</t>
  </si>
  <si>
    <t>10 wash cycles at 40 °C and 800 rpm, followed by air drying, using ISO 6330:2000; UV exposure to ASTM G154 for 168 h; laboratory ageing at 25 °C and 30% RH</t>
  </si>
  <si>
    <t>p.6, Figure 3d</t>
  </si>
  <si>
    <t>R1 | Figure 5-6 ratings 39!P14</t>
  </si>
  <si>
    <t>R2 | Figure 6!Q14</t>
  </si>
  <si>
    <t>20 knee participants; 10 elbow participants; Knee and elbow cohorts were evaluated separately; complete demographics was not reported in the available full text; Intrasubject gesture accuracy was 94.1% for the knee and 96.1% for the elbow; intersubject accuracy was 79.9% and 85.5%, respectively. Knee-angle MAE/RMSE were 0.78°/1.63° intrasubject and 4.21°/7.81° intersubject.</t>
  </si>
  <si>
    <t>R1 | Figure 5-6 ratings 39!Q14</t>
  </si>
  <si>
    <t>R2 | Figure 6!S14</t>
  </si>
  <si>
    <t>R1 | Figure 5-6 ratings 39!R14</t>
  </si>
  <si>
    <t>R2 | Figure 6!U14</t>
  </si>
  <si>
    <t>Graphene-based TPU/knitted-textile composite sensor; Laser cutting, film coating and thermal transfer</t>
  </si>
  <si>
    <t>R1 | Figure 5-6 ratings 39!J15</t>
  </si>
  <si>
    <t>R2 | Figure 6!E15</t>
  </si>
  <si>
    <t>Graphene conductive layer; Knitted textile with thermoplastic polyurethane</t>
  </si>
  <si>
    <t>R1 | Figure 5-6 ratings 39!K15</t>
  </si>
  <si>
    <t>R2 | Figure 6!G15</t>
  </si>
  <si>
    <t>p.21</t>
  </si>
  <si>
    <t>R1 | Figure 5-6 ratings 39!L15</t>
  </si>
  <si>
    <t>R2 | Figure 6!I15</t>
  </si>
  <si>
    <t>R1 | Figure 5-6 ratings 39!M15</t>
  </si>
  <si>
    <t>R2 | Figure 6!K15</t>
  </si>
  <si>
    <t>Not reported; Not reported; 10,000 cycles at 5% strain</t>
  </si>
  <si>
    <t>R1 | Figure 5-6 ratings 39!O15</t>
  </si>
  <si>
    <t>R2 | Figure 6!O15</t>
  </si>
  <si>
    <t>Ten washing cycles shown; response stabilized after approximately the sixth cycle; One-week UV and laboratory exposure reported</t>
  </si>
  <si>
    <t>R1 | Figure 5-6 ratings 39!P15</t>
  </si>
  <si>
    <t>R2 | Figure 6!Q15</t>
  </si>
  <si>
    <t>MXene-patterned nylon fabric sensor; Patterned impregnation of MXene into the nylon-fabric network</t>
  </si>
  <si>
    <t>R1 | Figure 5-6 ratings 39!J16</t>
  </si>
  <si>
    <t>R2 | Figure 6!E18</t>
  </si>
  <si>
    <t>Ti3C2Tx MXene; Flexible, breathable nylon fabric</t>
  </si>
  <si>
    <t>R1 | Figure 5-6 ratings 39!K16</t>
  </si>
  <si>
    <t>R2 | Figure 6!G18</t>
  </si>
  <si>
    <t>R1 | Figure 5-6 ratings 39!L16</t>
  </si>
  <si>
    <t>R2 | Figure 6!I18</t>
  </si>
  <si>
    <t>R1 | Figure 5-6 ratings 39!M16</t>
  </si>
  <si>
    <t>R2 | Figure 6!K18</t>
  </si>
  <si>
    <t>Not reported; Not reported; &gt;500 cycles</t>
  </si>
  <si>
    <t>R1 | Figure 5-6 ratings 39!O16</t>
  </si>
  <si>
    <t>R2 | Figure 6!O18</t>
  </si>
  <si>
    <t>Not quantified (p.5, Fig. 2e)</t>
  </si>
  <si>
    <t>R1 | Figure 5-6 ratings 39!R16</t>
  </si>
  <si>
    <t>R2 | Figure 6!U18</t>
  </si>
  <si>
    <t>Multi-size textile sensor glove; Three-layer textile sensor integrated into a glove</t>
  </si>
  <si>
    <t>p.4, Figure 1</t>
  </si>
  <si>
    <t>R1 | Figure 5-6 ratings 39!J17</t>
  </si>
  <si>
    <t>R2 | Figure 6!E20</t>
  </si>
  <si>
    <t>Conductive carbon ink; Cotton/polyester textile with thermoplastic polyurethane</t>
  </si>
  <si>
    <t>R1 | Figure 5-6 ratings 39!K17</t>
  </si>
  <si>
    <t>R2 | Figure 6!G20</t>
  </si>
  <si>
    <t>R1 | Figure 5-6 ratings 39!M17</t>
  </si>
  <si>
    <t>R2 | Figure 6!K20</t>
  </si>
  <si>
    <t>Not reported; Not reported; Three repetitions per activity were recorded</t>
  </si>
  <si>
    <t>R1 | Figure 5-6 ratings 39!N17</t>
  </si>
  <si>
    <t>R2 | Figure 6!M20</t>
  </si>
  <si>
    <t>R1 | Figure 5-6 ratings 39!O17</t>
  </si>
  <si>
    <t>R2 | Figure 6!O20</t>
  </si>
  <si>
    <t>R1 | Figure 5-6 ratings 39!P17</t>
  </si>
  <si>
    <t>R2 | Figure 6!Q20</t>
  </si>
  <si>
    <t>23; Twenty-three participants; additional demographics was not reported in the available full text; Mean resistance was 85 ± 12 kΩ when stretched and 25 ± 2.5 kΩ when relaxed; Random Forest accuracy was 82.47% and KNN accuracy 70.31%.</t>
  </si>
  <si>
    <t>R1 | Figure 5-6 ratings 39!Q17</t>
  </si>
  <si>
    <t>R2 | Figure 6!S20</t>
  </si>
  <si>
    <t>R1 | Figure 5-6 ratings 39!R17</t>
  </si>
  <si>
    <t>R2 | Figure 6!U20</t>
  </si>
  <si>
    <t>Graphite-coated woven textile electrodes stitched into wearable clothing/glove configurations; Pencil drawing on textile, stitched electrodes and a pre-strain strategy</t>
  </si>
  <si>
    <t>R1 | Figure 5-6 ratings 39!J18</t>
  </si>
  <si>
    <t>R2 | Figure 6!E21</t>
  </si>
  <si>
    <t>Pencil-deposited graphite; Commercial flexible and stretchable woven textile</t>
  </si>
  <si>
    <t>R1 | Figure 5-6 ratings 39!K18</t>
  </si>
  <si>
    <t>R2 | Figure 6!G21</t>
  </si>
  <si>
    <t>R1 | Figure 5-6 ratings 39!L18</t>
  </si>
  <si>
    <t>R2 | Figure 6!I21</t>
  </si>
  <si>
    <t>0.11 s; Not reported; 5,000 cycles</t>
  </si>
  <si>
    <t>p.6, Fig. 4</t>
  </si>
  <si>
    <t>R1 | Figure 5-6 ratings 39!O18</t>
  </si>
  <si>
    <t>R2 | Figure 6!O21</t>
  </si>
  <si>
    <t>R1 | Figure 5-6 ratings 39!R18</t>
  </si>
  <si>
    <t>R2 | Figure 6!U21</t>
  </si>
  <si>
    <t>Smart T-shirt containing two flexible piezoresistive textile sensors; Two sensors embedded at chest locations selected using motion-capture analysis</t>
  </si>
  <si>
    <t>R1 | Figure 5-6 ratings 39!J19</t>
  </si>
  <si>
    <t>R2 | Figure 6!E22</t>
  </si>
  <si>
    <t>MedTex P130 conductive piezoresistive textile (sheet resistance 0.15 Ω/square); T-shirt with polymer-matrix-embedded textile sensors</t>
  </si>
  <si>
    <t>R1 | Figure 5-6 ratings 39!K19</t>
  </si>
  <si>
    <t>R2 | Figure 6!G22</t>
  </si>
  <si>
    <t>Not reported; Minimum hysteresis span 20.4% at 36 breaths/min; all reported spans below 25.3%; Individual and pooled activity results reported; separate long-term drift test not identified</t>
  </si>
  <si>
    <t>R1 | Figure 5-6 ratings 39!N19</t>
  </si>
  <si>
    <t>R2 | Figure 6!M22</t>
  </si>
  <si>
    <t>R1 | Figure 5-6 ratings 39!O19</t>
  </si>
  <si>
    <t>R2 | Figure 6!O22</t>
  </si>
  <si>
    <t>R1 | Figure 5-6 ratings 39!P19</t>
  </si>
  <si>
    <t>R2 | Figure 6!Q22</t>
  </si>
  <si>
    <t>8; Eight healthy participants: 2 men and 6 women; height 169 ± 7 cm and mass 62 ± 9 kg; Against the BioHarness reference, the combined-sensor respiratory-rate MAE was 0.32 breaths/min versus 0.53 and 0.78 breaths/min for sensors A and B separately.</t>
  </si>
  <si>
    <t>R1 | Figure 5-6 ratings 39!Q19</t>
  </si>
  <si>
    <t>R2 | Figure 6!S22</t>
  </si>
  <si>
    <t>R1 | Figure 5-6 ratings 39!R19</t>
  </si>
  <si>
    <t>R2 | Figure 6!U22</t>
  </si>
  <si>
    <t>Inductive sensor patches stitched onto tight-fitting sports shorts; Copper-coiled elastic thread formed into three-loop rectangular patches and attached with zigzag stitching</t>
  </si>
  <si>
    <t>p.4, Figure 2</t>
  </si>
  <si>
    <t>R1 | Figure 5-6 ratings 39!J20</t>
  </si>
  <si>
    <t>R2 | Figure 6!E23</t>
  </si>
  <si>
    <t>Copper wire wound around nonconductive elastic thread; Elastic textile sports shorts</t>
  </si>
  <si>
    <t>R1 | Figure 5-6 ratings 39!K20</t>
  </si>
  <si>
    <t>R2 | Figure 6!G23</t>
  </si>
  <si>
    <t>R1 | Figure 5-6 ratings 39!L20</t>
  </si>
  <si>
    <t>R2 | Figure 6!I23</t>
  </si>
  <si>
    <t>R1 | Figure 5-6 ratings 39!M20</t>
  </si>
  <si>
    <t>R2 | Figure 6!K23</t>
  </si>
  <si>
    <t>Normalized calculated-versus-measured relation R² = 0.985; step-test NRMSE 2.83% and triangular-wave NRMSE 1.43%; No discernible hysteresis to 4 Hz; hysteresis increased above 4 Hz; Maximum drift 0.48% over 10,000 s at 0.1% strain; approximately 0.05% noise</t>
  </si>
  <si>
    <t>R1 | Figure 5-6 ratings 39!N20</t>
  </si>
  <si>
    <t>R2 | Figure 6!M23</t>
  </si>
  <si>
    <t>Dynamic tracking demonstrated up to 20 Hz; no conventional millisecond response time reported; Not reported; 300 trapezoidal cycles from 5% to 30% strain at 10% s⁻¹</t>
  </si>
  <si>
    <t>R1 | Figure 5-6 ratings 39!O20</t>
  </si>
  <si>
    <t>R2 | Figure 6!O23</t>
  </si>
  <si>
    <t>12; 12 participants (2 women, 10 men), age 22–31 years; mean age 25 ± 2.6 years, height 176 ± 8.6 cm and mass 75 ± 10.25 kg; Across 12 runners, sagittal-plane estimates achieved R² 0.98 ± 0.01 and RMSE 1.63 ± 0.32°; frontal and transverse RMSEs were 1.09 ± 0.22° and 1.17 ± 0.25°.</t>
  </si>
  <si>
    <t>R1 | Figure 5-6 ratings 39!Q20</t>
  </si>
  <si>
    <t>R2 | Figure 6!S23</t>
  </si>
  <si>
    <t>R1 | Figure 5-6 ratings 39!R20</t>
  </si>
  <si>
    <t>R2 | Figure 6!U23</t>
  </si>
  <si>
    <t>Instrumented knee sleeve carrying an array of sixteen stretch sensors; Sixteen skin-conforming nanocomposite sensors mounted across the anterior knee sleeve</t>
  </si>
  <si>
    <t>R1 | Figure 5-6 ratings 39!J21</t>
  </si>
  <si>
    <t>R2 | Figure 6!E24</t>
  </si>
  <si>
    <t>Nickel nanostrands and nickel-coated carbon fibres in a silicone matrix; Elastic knee sleeve</t>
  </si>
  <si>
    <t>p.4 (nickel nanostrands/nickel-coated carbon fibers in Ecoflex; nylon/spandex knee sleeve substrate)</t>
  </si>
  <si>
    <t>R1 | Figure 5-6 ratings 39!K21</t>
  </si>
  <si>
    <t>R2 | Figure 6!G24</t>
  </si>
  <si>
    <t>R1 | Figure 5-6 ratings 39!L21</t>
  </si>
  <si>
    <t>R2 | Figure 6!I24</t>
  </si>
  <si>
    <t>R1 | Figure 5-6 ratings 39!M21</t>
  </si>
  <si>
    <t>R2 | Figure 6!K24</t>
  </si>
  <si>
    <t>Model performance reported using RMSE and R²; Not reported; Three sleeve devices and subject-specific/device-specific models assessed repeatability and reuse</t>
  </si>
  <si>
    <t>R1 | Figure 5-6 ratings 39!N21</t>
  </si>
  <si>
    <t>R2 | Figure 6!M24</t>
  </si>
  <si>
    <t>R1 | Figure 5-6 ratings 39!O21</t>
  </si>
  <si>
    <t>R2 | Figure 6!O24</t>
  </si>
  <si>
    <t>R1 | Figure 5-6 ratings 39!P21</t>
  </si>
  <si>
    <t>R2 | Figure 6!Q24</t>
  </si>
  <si>
    <t>18; 18 healthy participants; complete demographics was not reported in the available full text; Subject-specific RMSE averaged 7.6° for flexion/extension and 1.8° for internal/external rotation; device-specific RMSE averaged 12.6° and 3.5°, respectively.</t>
  </si>
  <si>
    <t>R1 | Figure 5-6 ratings 39!Q21</t>
  </si>
  <si>
    <t>R2 | Figure 6!S24</t>
  </si>
  <si>
    <t>p.4, Figure 3</t>
  </si>
  <si>
    <t>R1 | Figure 5-6 ratings 39!R21</t>
  </si>
  <si>
    <t>R2 | Figure 6!U24</t>
  </si>
  <si>
    <t>Knitted-fabric strain-sensor belt worn around the upper arm; Fabric strain sensors incorporated into a wearable circumferential belt</t>
  </si>
  <si>
    <t>R1 | Figure 5-6 ratings 39!J22</t>
  </si>
  <si>
    <t>R2 | Figure 6!E25</t>
  </si>
  <si>
    <t>Carbon nanocomposite printed on knitted fabric; Elastic upper-arm sensing belt</t>
  </si>
  <si>
    <t>R1 | Figure 5-6 ratings 39!K22</t>
  </si>
  <si>
    <t>R2 | Figure 6!G25</t>
  </si>
  <si>
    <t>R1 | Figure 5-6 ratings 39!L22</t>
  </si>
  <si>
    <t>R2 | Figure 6!I25</t>
  </si>
  <si>
    <t>Representative calibration R² = 0.996; specification ±5%; ±3.16% in representative calibration; specification ±5%; Two trials were performed at each elbow position</t>
  </si>
  <si>
    <t>R1 | Figure 5-6 ratings 39!N22</t>
  </si>
  <si>
    <t>R2 | Figure 6!M25</t>
  </si>
  <si>
    <t>Not reported; Not reported; &gt;100,000 cycles</t>
  </si>
  <si>
    <t>R1 | Figure 5-6 ratings 39!O22</t>
  </si>
  <si>
    <t>R2 | Figure 6!O25</t>
  </si>
  <si>
    <t>R1 | Figure 5-6 ratings 39!P22</t>
  </si>
  <si>
    <t>R2 | Figure 6!Q25</t>
  </si>
  <si>
    <t>10; Ten participants; complete demographics was not reported in the available full text; Across 10 participants, limb circumferential strain and normalized torque showed a mean correlation coefficient of 0.938 ± 0.050.</t>
  </si>
  <si>
    <t>R1 | Figure 5-6 ratings 39!Q22</t>
  </si>
  <si>
    <t>R2 | Figure 6!S25</t>
  </si>
  <si>
    <t>R1 | Figure 5-6 ratings 39!R22</t>
  </si>
  <si>
    <t>R2 | Figure 6!U25</t>
  </si>
  <si>
    <t>Smart garment instrumented with six piezoresistive textile sensors; Six sensors integrated bilaterally into defined thoracic and abdominal garment locations</t>
  </si>
  <si>
    <t>R1 | Figure 5-6 ratings 39!J23</t>
  </si>
  <si>
    <t>R2 | Figure 6!E26</t>
  </si>
  <si>
    <t>Silver-plated knitted fabric (STATEX); Garment with sensors at upper thorax, lower thorax and abdomen</t>
  </si>
  <si>
    <t>R1 | Figure 5-6 ratings 39!K23</t>
  </si>
  <si>
    <t>R2 | Figure 6!G26</t>
  </si>
  <si>
    <t>R1 | Figure 5-6 ratings 39!M23</t>
  </si>
  <si>
    <t>R2 | Figure 6!K26</t>
  </si>
  <si>
    <t>Not reported; Not reported; Six treadmill conditions evaluated within each participant</t>
  </si>
  <si>
    <t>R1 | Figure 5-6 ratings 39!N23</t>
  </si>
  <si>
    <t>R2 | Figure 6!M26</t>
  </si>
  <si>
    <t>R1 | Figure 5-6 ratings 39!O23</t>
  </si>
  <si>
    <t>R2 | Figure 6!O26</t>
  </si>
  <si>
    <t>R1 | Figure 5-6 ratings 39!P23</t>
  </si>
  <si>
    <t>R2 | Figure 6!Q26</t>
  </si>
  <si>
    <t>10; Ten healthy male participants; One lower-thorax sensor was sufficient at rest, three sensors were selected for low-speed walking, and four sensors were selected for high-speed walking/running and general-purpose monitoring.</t>
  </si>
  <si>
    <t>R1 | Figure 5-6 ratings 39!Q23</t>
  </si>
  <si>
    <t>R2 | Figure 6!S26</t>
  </si>
  <si>
    <t>R1 | Figure 5-6 ratings 39!R23</t>
  </si>
  <si>
    <t>R2 | Figure 6!U26</t>
  </si>
  <si>
    <t>Conductive polyester weft-knitted fabric strain sensor; Atomic layer deposition of AZO films onto polyester fabric without elastomer encapsulation</t>
  </si>
  <si>
    <t>R1 | Figure 5-6 ratings 39!J24</t>
  </si>
  <si>
    <t>R2 | Figure 6!E27</t>
  </si>
  <si>
    <t>Al-doped ZnO (AZO) films; Weft-knitted polyester fabric</t>
  </si>
  <si>
    <t>R1 | Figure 5-6 ratings 39!K24</t>
  </si>
  <si>
    <t>R2 | Figure 6!G27</t>
  </si>
  <si>
    <t>R1 | Figure 5-6 ratings 39!L24</t>
  </si>
  <si>
    <t>R2 | Figure 6!I27</t>
  </si>
  <si>
    <t>R1 | Figure 5-6 ratings 39!M24</t>
  </si>
  <si>
    <t>R2 | Figure 6!K27</t>
  </si>
  <si>
    <t>Distinct negative resistance variation with increasing strain due to weft-knitted structure; NR in accessible text excerpt; Long-term stability reported</t>
  </si>
  <si>
    <t>p.7, Fig. 3b</t>
  </si>
  <si>
    <t>R1 | Figure 5-6 ratings 39!N24</t>
  </si>
  <si>
    <t>R2 | Figure 6!M27</t>
  </si>
  <si>
    <t>Not reported; Not reported; 3000 cycles</t>
  </si>
  <si>
    <t>R1 | Figure 5-6 ratings 39!O24</t>
  </si>
  <si>
    <t>R2 | Figure 6!O27</t>
  </si>
  <si>
    <t>Yes; washing at 500 r/min for 10 cycles (200 min) plus laundering durability emphasized; Mechanical rubbing (50 kPa, 30 cycles), washing, and 7-day accelerated light aging; strong breathability discussion</t>
  </si>
  <si>
    <t>R1 | Figure 5-6 ratings 39!P24</t>
  </si>
  <si>
    <t>R2 | Figure 6!Q27</t>
  </si>
  <si>
    <t>Not reported; Not reported; The complete Springer article reports a conductive porous-fabric strain sensor worn on the finger, wrist, knee, elbow and neck and used for facial, eye and throat motion sensing. Quantitative resistance responses, strain ranges and gauge factors are reported.</t>
  </si>
  <si>
    <t>R1 | Figure 5-6 ratings 39!Q24</t>
  </si>
  <si>
    <t>R2 | Figure 6!S27</t>
  </si>
  <si>
    <t>R1 | Figure 5-6 ratings 39!R24</t>
  </si>
  <si>
    <t>R2 | Figure 6!U27</t>
  </si>
  <si>
    <t>Flexible interdigital capacitive sensor stitched onto a cotton glove; Moulded, cuttable sensor with zigzag-stitched conductive-thread terminals; stitched onto the middle finger</t>
  </si>
  <si>
    <t>R1 | Figure 5-6 ratings 39!J25</t>
  </si>
  <si>
    <t>R2 | Figure 6!E28</t>
  </si>
  <si>
    <t>Carbon-black conductive silicone electrodes and silver-coated polyamide conductive thread; Ecoflex 00-20 silicone with barium-titanate dielectric additive; cotton glove</t>
  </si>
  <si>
    <t>R1 | Figure 5-6 ratings 39!K25</t>
  </si>
  <si>
    <t>R2 | Figure 6!G28</t>
  </si>
  <si>
    <t>R1 | Figure 5-6 ratings 39!L25</t>
  </si>
  <si>
    <t>R2 | Figure 6!I28</t>
  </si>
  <si>
    <t>R² = 0.996 and 0.28% nonlinearity error over 0–60%; Worst-case 3.3% at the 100th cycle; 0.2%, 1% and 2.1% error at 10%, 20% and 40% elongation; Worst-case drift 0.4% below 50% elongation and 2.0% at 100% strain</t>
  </si>
  <si>
    <t>R1 | Figure 5-6 ratings 39!N25</t>
  </si>
  <si>
    <t>R2 | Figure 6!M28</t>
  </si>
  <si>
    <t>226 ms at 60% elongation; 9 s below 30% elongation and up to 30 s below 60% elongation; 1,000 mechanical-deformation cycles; capacitance decreased 3.21% and stabilized after approximately 400 cycles</t>
  </si>
  <si>
    <t>R1 | Figure 5-6 ratings 39!O25</t>
  </si>
  <si>
    <t>R2 | Figure 6!O28</t>
  </si>
  <si>
    <t>R1 | Figure 5-6 ratings 39!R25</t>
  </si>
  <si>
    <t>R2 | Figure 6!U28</t>
  </si>
  <si>
    <t>Knot-based conductive-thread sensor integrated into a full-body compression garment; Single knot-based sensor and IMU positioned at the anterior lower leg/ankle of the garment</t>
  </si>
  <si>
    <t>R1 | Figure 5-6 ratings 39!J26</t>
  </si>
  <si>
    <t>R2 | Figure 6!E29</t>
  </si>
  <si>
    <t>Silver-coated polyamide continuous-filament thread (Silver-Tech+), braided with PVC plastic lacing; Gravity Loading Countermeasure Skinsuit</t>
  </si>
  <si>
    <t>R1 | Figure 5-6 ratings 39!K26</t>
  </si>
  <si>
    <t>R2 | Figure 6!G29</t>
  </si>
  <si>
    <t>R1 | Figure 5-6 ratings 39!L26</t>
  </si>
  <si>
    <t>R2 | Figure 6!I29</t>
  </si>
  <si>
    <t>R1 | Figure 5-6 ratings 39!M26</t>
  </si>
  <si>
    <t>R2 | Figure 6!K29</t>
  </si>
  <si>
    <t>Multiple-regression R² = 0.95 for loading and 0.92 for unloading; Resistance hysteresis 0.80 ± 0.07 and 0.68 ± 0.06; strain hysteresis 0.51 ± 0.07 and 0.61 ± 0.22 for the two retained profiles; Cycle number significantly affected loading resistance; unloading was more consistent</t>
  </si>
  <si>
    <t>p.12 (hysteresis quantified: H_R = 0.80/0.68, H_e = 0.51/0.61; baseline drift &lt;1%)</t>
  </si>
  <si>
    <t>R1 | Figure 5-6 ratings 39!N26</t>
  </si>
  <si>
    <t>R2 | Figure 6!M29</t>
  </si>
  <si>
    <t>1; One astronaut/participant completed the International Space Station protocol; The recommended combined strain/IMU configuration achieved mean recall above 70% across eight movements; strain alone achieved 56.3%, with knee flexion recall 98.8%.</t>
  </si>
  <si>
    <t>R1 | Figure 5-6 ratings 39!Q26</t>
  </si>
  <si>
    <t>R2 | Figure 6!S29</t>
  </si>
  <si>
    <t>R1 | Figure 5-6 ratings 39!R26</t>
  </si>
  <si>
    <t>R2 | Figure 6!U29</t>
  </si>
  <si>
    <t>Breathable woven silk fabric strain sensor integrated into a smart glove; Hydrogen-bond-assisted scalable dip coating that conformally coats silk fibres while retaining porosity</t>
  </si>
  <si>
    <t>R1 | Figure 5-6 ratings 39!J27</t>
  </si>
  <si>
    <t>R2 | Figure 6!E30</t>
  </si>
  <si>
    <t>Ti3C2Tx MXene nanosheets; Natural silk fibroin fabric</t>
  </si>
  <si>
    <t>R1 | Figure 5-6 ratings 39!K27</t>
  </si>
  <si>
    <t>R2 | Figure 6!G30</t>
  </si>
  <si>
    <t>R1 | Figure 5-6 ratings 39!L27</t>
  </si>
  <si>
    <t>R2 | Figure 6!I30</t>
  </si>
  <si>
    <t>R1 | Figure 5-6 ratings 39!M27</t>
  </si>
  <si>
    <t>R2 | Figure 6!K30</t>
  </si>
  <si>
    <t>171 ms at 20% strain; 185 ms at 20% strain; 1,500 cycles</t>
  </si>
  <si>
    <t>p.7, Fig. 3e</t>
  </si>
  <si>
    <t>R1 | Figure 5-6 ratings 39!O27</t>
  </si>
  <si>
    <t>R2 | Figure 6!O30</t>
  </si>
  <si>
    <t>R1 | Figure 5-6 ratings 39!P27</t>
  </si>
  <si>
    <t>R2 | Figure 6!Q30</t>
  </si>
  <si>
    <t>Sheath–core liquid-metal strain-sensing fibre woven into cotton textile; Composite fibre fabrication followed by semi-automated loom integration</t>
  </si>
  <si>
    <t>R1 | Figure 5-6 ratings 39!J28</t>
  </si>
  <si>
    <t>R2 | Figure 6!E31</t>
  </si>
  <si>
    <t>Gallium-based liquid metal islands bridged by carboxylated carbon nanotubes; Microporous sheath–core fibre woven as weft into plain-weave cotton fabric</t>
  </si>
  <si>
    <t>R1 | Figure 5-6 ratings 39!K28</t>
  </si>
  <si>
    <t>R2 | Figure 6!G31</t>
  </si>
  <si>
    <t>R1 | Figure 5-6 ratings 39!L28</t>
  </si>
  <si>
    <t>R2 | Figure 6!I31</t>
  </si>
  <si>
    <t>&lt;220 ms; &lt;430 ms; 10,000 cycles at 90% strain and 25 °C; 7,000 cycles after storage at -90 °C</t>
  </si>
  <si>
    <t>R1 | Figure 5-6 ratings 39!O28</t>
  </si>
  <si>
    <t>R2 | Figure 6!O31</t>
  </si>
  <si>
    <t>Not reported; Sweat resistance and abrasion evaluated; exact protocols was not reported in the available full text</t>
  </si>
  <si>
    <t>R1 | Figure 5-6 ratings 39!P28</t>
  </si>
  <si>
    <t>R2 | Figure 6!Q31</t>
  </si>
  <si>
    <t>R1 | Figure 5-6 ratings 39!R28</t>
  </si>
  <si>
    <t>R2 | Figure 6!U31</t>
  </si>
  <si>
    <t>Garment-integrated zigzag stitch strain sensor; Conductive yarn sewn in zigzag geometries and incorporated into wearable sportswear</t>
  </si>
  <si>
    <t>R1 | Figure 5-6 ratings 39!J29</t>
  </si>
  <si>
    <t>R2 | Figure 6!E32</t>
  </si>
  <si>
    <t>Conductive sewing thread/yarn; Single-jersey nylon/spandex sportswear fabric</t>
  </si>
  <si>
    <t>R1 | Figure 5-6 ratings 39!K29</t>
  </si>
  <si>
    <t>R2 | Figure 6!G32</t>
  </si>
  <si>
    <t>Correlation coefficients 0.90928-0.99699; R² values 0.82779-0.99398 across sensor lengths and loading/unloading phases; Minimal hysteresis reported, with better performance at shorter sensor lengths; exact values was not reported in the available full text; Repeatable response during 100 cycles at 20% strain</t>
  </si>
  <si>
    <t>R1 | Figure 5-6 ratings 39!N29</t>
  </si>
  <si>
    <t>R2 | Figure 6!M32</t>
  </si>
  <si>
    <t>Not reported; Not reported; 100 cycles at 20% strain</t>
  </si>
  <si>
    <t>R1 | Figure 5-6 ratings 39!O29</t>
  </si>
  <si>
    <t>R2 | Figure 6!O32</t>
  </si>
  <si>
    <t>MXene/WPU-coated elastic fibre sewn into a glove and fitted sweater; Dip coating of PU fibre followed by sewing five sensors into a glove and two sensors into a fitted sweater</t>
  </si>
  <si>
    <t>R1 | Figure 5-6 ratings 39!J30</t>
  </si>
  <si>
    <t>R2 | Figure 6!E33</t>
  </si>
  <si>
    <t>Ti3C2Tx MXene dispersed in waterborne polyurethane; Polyurethane elastic fibre; cotton glove and sweater garments</t>
  </si>
  <si>
    <t>R1 | Figure 5-6 ratings 39!K30</t>
  </si>
  <si>
    <t>R2 | Figure 6!G33</t>
  </si>
  <si>
    <t>R1 | Figure 5-6 ratings 39!L30</t>
  </si>
  <si>
    <t>R2 | Figure 6!I33</t>
  </si>
  <si>
    <t>R1 | Figure 5-6 ratings 39!M30</t>
  </si>
  <si>
    <t>R2 | Figure 6!K33</t>
  </si>
  <si>
    <t>150 ms; Not reported; &gt;2,500 cycles</t>
  </si>
  <si>
    <t>p.5, Fig. 4f (rapid response time 150 ms at 10% step strain; cyclic 0.5-30% strain)</t>
  </si>
  <si>
    <t>R1 | Figure 5-6 ratings 39!O30</t>
  </si>
  <si>
    <t>R2 | Figure 6!O33</t>
  </si>
  <si>
    <t>Not quantified (p.6)</t>
  </si>
  <si>
    <t>R1 | Figure 5-6 ratings 39!R30</t>
  </si>
  <si>
    <t>R2 | Figure 6!U33</t>
  </si>
  <si>
    <t>Core–sheath fibre sensors stitched into a tight-fitting sleeveless shirt; One-step dip coating produced the fibre sensors; 18 conditioned sensors were stitched into a two-piece shirt/shorts garment</t>
  </si>
  <si>
    <t>R1 | Figure 5-6 ratings 39!J31</t>
  </si>
  <si>
    <t>R2 | Figure 6!E34</t>
  </si>
  <si>
    <t>50 wt% carbon black in Hytrel 3078 thermoplastic elastomer sheath; Hytrel 3078 monofilament or polyether urethane-urea elastic core; commercial sleeveless garment</t>
  </si>
  <si>
    <t>R1 | Figure 5-6 ratings 39!K31</t>
  </si>
  <si>
    <t>R2 | Figure 6!G34</t>
  </si>
  <si>
    <t>R1 | Figure 5-6 ratings 39!L31</t>
  </si>
  <si>
    <t>R2 | Figure 6!I34</t>
  </si>
  <si>
    <t>R1 | Figure 5-6 ratings 39!M31</t>
  </si>
  <si>
    <t>R2 | Figure 6!K34</t>
  </si>
  <si>
    <t>Linear resistance–strain relation reported to 30%; trunk-angle R² exceeded 0.91 for all three axes; First-cycle hysteresis was reduced by 100 conditioning cycles to 40% strain; Conditioned sensors maintained a stable signal during eight consecutive 30-min random-wave blocks; machine-learning strain NRMSE was 1.6%</t>
  </si>
  <si>
    <t>R1 | Figure 5-6 ratings 39!N31</t>
  </si>
  <si>
    <t>R2 | Figure 6!M34</t>
  </si>
  <si>
    <t>Not reported; Not reported; 100 cycles at 30% strain; separate conditioning used 100 cycles at 40% strain</t>
  </si>
  <si>
    <t>p.11, Fig. 4c</t>
  </si>
  <si>
    <t>R1 | Figure 5-6 ratings 39!O31</t>
  </si>
  <si>
    <t>R2 | Figure 6!O34</t>
  </si>
  <si>
    <t>R1 | Figure 5-6 ratings 39!P31</t>
  </si>
  <si>
    <t>R2 | Figure 6!Q34</t>
  </si>
  <si>
    <t>12; Twelve participants performed eight uniaxial and multiaxial trunk movements; Across 12 participants, trunk-angle RMSE was 4.26° for flexion, 3.53° for lateral bending and 3.44° for rotation; random-wave strain NRMSE was 1.6% after machine learning.</t>
  </si>
  <si>
    <t>R1 | Figure 5-6 ratings 39!Q31</t>
  </si>
  <si>
    <t>R2 | Figure 6!S34</t>
  </si>
  <si>
    <t>R1 | Figure 5-6 ratings 39!R31</t>
  </si>
  <si>
    <t>R2 | Figure 6!U34</t>
  </si>
  <si>
    <t>All-textile capacitive sensors and embroidered inductor integrated into tight-fitting sport leggings; Laser-cut conductive spandex was heat-pressed and stitched to spandex; two sensors were connected to one embroidered spiral inductor</t>
  </si>
  <si>
    <t>R1 | Figure 5-6 ratings 39!J32</t>
  </si>
  <si>
    <t>R2 | Figure 6!E35</t>
  </si>
  <si>
    <t>Electrolycra conductive spandex electrodes and silver-plated Vectran conductive yarn; Non-conductive spandex dielectric and garment substrate</t>
  </si>
  <si>
    <t>R1 | Figure 5-6 ratings 39!K32</t>
  </si>
  <si>
    <t>R2 | Figure 6!G35</t>
  </si>
  <si>
    <t>R1 | Figure 5-6 ratings 39!L32</t>
  </si>
  <si>
    <t>R2 | Figure 6!I35</t>
  </si>
  <si>
    <t>p.10, Figure 2B</t>
  </si>
  <si>
    <t>R1 | Figure 5-6 ratings 39!M32</t>
  </si>
  <si>
    <t>R2 | Figure 6!K35</t>
  </si>
  <si>
    <t>Not reported; Not reported; Ten cycles at each of 5%, 10%, 15%, 20% and 30% strain after ten 100%-strain preconditioning cycles</t>
  </si>
  <si>
    <t>R1 | Figure 5-6 ratings 39!O32</t>
  </si>
  <si>
    <t>R2 | Figure 6!O35</t>
  </si>
  <si>
    <t>No washing performed in this study; prior work was cited; No environmental exposure performed in this study; prior work was cited</t>
  </si>
  <si>
    <t>R1 | Figure 5-6 ratings 39!P32</t>
  </si>
  <si>
    <t>R2 | Figure 6!Q35</t>
  </si>
  <si>
    <t>1; One participant completed the protocol on three different days with independent donning and doffing; Best F1-score was 0.98 for static and 0.96 for dynamic activities; across three independent sessions accuracy was 0.86 and F1-score 0.87.</t>
  </si>
  <si>
    <t>R1 | Figure 5-6 ratings 39!Q32</t>
  </si>
  <si>
    <t>R2 | Figure 6!S35</t>
  </si>
  <si>
    <t>R1 | Figure 5-6 ratings 39!R32</t>
  </si>
  <si>
    <t>R2 | Figure 6!U35</t>
  </si>
  <si>
    <t>Seamlessly CNC-knitted smart crop top with four integrated sensors and knitted interconnects; Three-yarn CNC knitting formed the body-hugging garment, four strain sensors, interconnect network and electronics pocket in one manufacturing step</t>
  </si>
  <si>
    <t>R1 | Figure 5-6 ratings 39!J33</t>
  </si>
  <si>
    <t>R2 | Figure 6!E36</t>
  </si>
  <si>
    <t>Silver-plated polyamide sensing yarn and silver-cladded Zylon/PBO interconnect yarn; Spandex with DTY polyester air-covered non-conductive yarn</t>
  </si>
  <si>
    <t>p.5, Fig. 1c</t>
  </si>
  <si>
    <t>R1 | Figure 5-6 ratings 39!K33</t>
  </si>
  <si>
    <t>R2 | Figure 6!G36</t>
  </si>
  <si>
    <t>Not reported; Not reported; Repeated-strain continuity demonstrated; cycle count not reported in the reviewed article</t>
  </si>
  <si>
    <t>R1 | Figure 5-6 ratings 39!O33</t>
  </si>
  <si>
    <t>R2 | Figure 6!O36</t>
  </si>
  <si>
    <t>R1 | Figure 5-6 ratings 39!P33</t>
  </si>
  <si>
    <t>R2 | Figure 6!Q36</t>
  </si>
  <si>
    <t>R1 | Figure 5-6 ratings 39!R33</t>
  </si>
  <si>
    <t>R2 | Figure 6!U36</t>
  </si>
  <si>
    <t>Electrospun porous thermoplastic-polyurethane fibre-mat sensor; PDA coating followed by ultrasonic liquid-metal and CNT loading; sensor attached on body and integrated into a glove and insole</t>
  </si>
  <si>
    <t>R1 | Figure 5-6 ratings 39!J34</t>
  </si>
  <si>
    <t>R2 | Figure 6!E37</t>
  </si>
  <si>
    <t>Carbon nanotubes and Ga75In25 liquid metal immobilized by polydopamine; Electrospun thermoplastic polyurethane fibre mat</t>
  </si>
  <si>
    <t>R1 | Figure 5-6 ratings 39!K34</t>
  </si>
  <si>
    <t>R2 | Figure 6!G37</t>
  </si>
  <si>
    <t>p.17, Fig. 3c</t>
  </si>
  <si>
    <t>R1 | Figure 5-6 ratings 39!L34</t>
  </si>
  <si>
    <t>R2 | Figure 6!I37</t>
  </si>
  <si>
    <t>R1 | Figure 5-6 ratings 39!M34</t>
  </si>
  <si>
    <t>R2 | Figure 6!K37</t>
  </si>
  <si>
    <t>R² = 0.9999 to 359% strain; replicate mean 0.9996 ± 0.00015; Hysteresis intensity 13% at 50% strain; Initial resistance changed by less than 0.5% after 14 days of ambient storage; multiple samples showed similar linear range and GF</t>
  </si>
  <si>
    <t>R1 | Figure 5-6 ratings 39!N34</t>
  </si>
  <si>
    <t>R2 | Figure 6!M37</t>
  </si>
  <si>
    <t>80 ms at 0.5% strain; 170 ms at 0.5% strain; 3,000 stretch–release cycles at 10% and 50% strain</t>
  </si>
  <si>
    <t>p.18</t>
  </si>
  <si>
    <t>R1 | Figure 5-6 ratings 39!O34</t>
  </si>
  <si>
    <t>R2 | Figure 6!O37</t>
  </si>
  <si>
    <t>Not quantified (p.23, Figure 6a)</t>
  </si>
  <si>
    <t>R1 | Figure 5-6 ratings 39!R34</t>
  </si>
  <si>
    <t>R2 | Figure 6!U37</t>
  </si>
  <si>
    <t>Textile capacitive soft strain sensors attached to knee pads; Soft capacitive sensors mounted over the knees in wearable pads</t>
  </si>
  <si>
    <t>R1 | Figure 5-6 ratings 39!J35</t>
  </si>
  <si>
    <t>R2 | Figure 6!E38</t>
  </si>
  <si>
    <t>Conductive-fabric electrodes; exact composition not reported in the reviewed source; Technik-tex P130+B silver-nanowire/elastomer conductive knit electrodes with Ecoflex 00-30 silicone dielectric, attached to knee pads</t>
  </si>
  <si>
    <t>R1 | Figure 5-6 ratings 39!K35</t>
  </si>
  <si>
    <t>R2 | Figure 6!G38</t>
  </si>
  <si>
    <t>R1 | Figure 5-6 ratings 39!M35</t>
  </si>
  <si>
    <t>R2 | Figure 6!K38</t>
  </si>
  <si>
    <t>R1 | Figure 5-6 ratings 39!N35</t>
  </si>
  <si>
    <t>R2 | Figure 6!M38</t>
  </si>
  <si>
    <t>R1 | Figure 5-6 ratings 39!O35</t>
  </si>
  <si>
    <t>R2 | Figure 6!O38</t>
  </si>
  <si>
    <t>Not quantified (p.4, Fig. 3)</t>
  </si>
  <si>
    <t>R1 | Figure 5-6 ratings 39!P35</t>
  </si>
  <si>
    <t>R2 | Figure 6!Q38</t>
  </si>
  <si>
    <t>not reported; 16 volunteers (11 male, 5 female), 20-33 years, height 160-190 cm; The proposed textile-sensor stride-length model achieved a mean absolute error of 8.73 cm and was compared with smartphone-IMU estimates.</t>
  </si>
  <si>
    <t>R1 | Figure 5-6 ratings 39!Q35</t>
  </si>
  <si>
    <t>R2 | Figure 6!S38</t>
  </si>
  <si>
    <t>R1 | Figure 5-6 ratings 39!R35</t>
  </si>
  <si>
    <t>R2 | Figure 6!U38</t>
  </si>
  <si>
    <t>Six elastic piezoresistive textile elements arranged as a respiratory-monitoring smart textile; Six sensing elements of varied length and width were positioned around the thorax</t>
  </si>
  <si>
    <t>R1 | Figure 5-6 ratings 39!J36</t>
  </si>
  <si>
    <t>R2 | Figure 6!E39</t>
  </si>
  <si>
    <t>Piezoresistive silver-plated knitted fabric: 89% silver and 11% spandex; Elastic wearable textile support</t>
  </si>
  <si>
    <t>R1 | Figure 5-6 ratings 39!K36</t>
  </si>
  <si>
    <t>R2 | Figure 6!G39</t>
  </si>
  <si>
    <t>R1 | Figure 5-6 ratings 39!M36</t>
  </si>
  <si>
    <t>R2 | Figure 6!K39</t>
  </si>
  <si>
    <t>Static calibration performed; numerical linearity statistic not reported; Average and maximum hysteresis errors calculated over 12 cycles at 0.2, 0.4, and 0.533 Hz; element-specific values are reported in Table II; Not reported</t>
  </si>
  <si>
    <t>p.5, Fig. 3</t>
  </si>
  <si>
    <t>R1 | Figure 5-6 ratings 39!N36</t>
  </si>
  <si>
    <t>R2 | Figure 6!M39</t>
  </si>
  <si>
    <t>R1 | Figure 5-6 ratings 39!O36</t>
  </si>
  <si>
    <t>R2 | Figure 6!O39</t>
  </si>
  <si>
    <t>R1 | Figure 5-6 ratings 39!P36</t>
  </si>
  <si>
    <t>R2 | Figure 6!Q39</t>
  </si>
  <si>
    <t>4; Four healthy volunteers; Compared with motion capture, average respiratory-frequency differences were below 1% during quiet breathing and below 4% during tachypnoea.</t>
  </si>
  <si>
    <t>R1 | Figure 5-6 ratings 39!Q36</t>
  </si>
  <si>
    <t>R2 | Figure 6!S39</t>
  </si>
  <si>
    <t>R1 | Figure 5-6 ratings 39!R36</t>
  </si>
  <si>
    <t>R2 | Figure 6!U39</t>
  </si>
  <si>
    <t>Knitted textile strain sensor integrated into sample and elbow sleeve; Santoni X-machine knitting of conductive area into sample and smart sleeve for elbow motion monitoring</t>
  </si>
  <si>
    <t>R1 | Figure 5-6 ratings 39!J37</t>
  </si>
  <si>
    <t>R2 | Figure 6!E40</t>
  </si>
  <si>
    <t>Silver-plated nylon yarn (Shieldex); Knitted sensor area integrated into elbow sleeve garment</t>
  </si>
  <si>
    <t>R1 | Figure 5-6 ratings 39!K37</t>
  </si>
  <si>
    <t>R2 | Figure 6!G40</t>
  </si>
  <si>
    <t>R1 | Figure 5-6 ratings 39!L37</t>
  </si>
  <si>
    <t>R2 | Figure 6!I40</t>
  </si>
  <si>
    <t>R1 | Figure 5-6 ratings 39!M37</t>
  </si>
  <si>
    <t>R2 | Figure 6!K40</t>
  </si>
  <si>
    <t>Repeatable motion pattern maintained across washes; predictable resistance growth with wash count; Repeatable reliable response under elongation discussed; explicit hysteresis number NR; Resistance increases predictably with washing; within-trial repeatability ≤2% at max flexion and ≤3% at max extension</t>
  </si>
  <si>
    <t>R1 | Figure 5-6 ratings 39!N37</t>
  </si>
  <si>
    <t>R2 | Figure 6!M40</t>
  </si>
  <si>
    <t>Prompt response reported; exact numeric value NR; Not reported; 1500 elongation cycles on sample; 50 flexion-extension cycles at each wash checkpoint on sleeve</t>
  </si>
  <si>
    <t>p.10, Fig. 5</t>
  </si>
  <si>
    <t>R1 | Figure 5-6 ratings 39!O37</t>
  </si>
  <si>
    <t>R2 | Figure 6!O40</t>
  </si>
  <si>
    <t>Strong: 5-wash study on sample and up to 75 washes on smart sleeve; Washing is the central environmental durability factor; discussion grounded in laundering standards and detergent/mechanical stress effects</t>
  </si>
  <si>
    <t>R1 | Figure 5-6 ratings 39!P37</t>
  </si>
  <si>
    <t>R2 | Figure 6!Q40</t>
  </si>
  <si>
    <t>Simulated training/clinical setting; exact participant count NR; Not reported; The original journal study machine-knits a silver-plated-nylon strain sensor, conductive tracks and an elbow sleeve in one manufacturing process. A consenting healthy volunteer wore the sleeve for 50 flexion-extension cycles after 1, 5, 15, 25, 50 and 75 washes. The study reports resistance repeatability, wash-response fits and motion measures, satisfying C1-C6.</t>
  </si>
  <si>
    <t>R1 | Figure 5-6 ratings 39!Q37</t>
  </si>
  <si>
    <t>R2 | Figure 6!S40</t>
  </si>
  <si>
    <t>Soft capacitive fabric strain sensors attached to the lumbar region; Two low-profile sensors were attached vertically over the lumbar spine and lateral left hip</t>
  </si>
  <si>
    <t>R1 | Figure 5-6 ratings 39!J38</t>
  </si>
  <si>
    <t>R2 | Figure 6!E41</t>
  </si>
  <si>
    <t>Compliant conductive electrodes in commercial flexible fabric sensors; exact composition not reported; Elastic fabric sensor body</t>
  </si>
  <si>
    <t>R1 | Figure 5-6 ratings 39!K38</t>
  </si>
  <si>
    <t>R2 | Figure 6!G41</t>
  </si>
  <si>
    <t>R1 | Figure 5-6 ratings 39!O38</t>
  </si>
  <si>
    <t>R2 | Figure 6!O41</t>
  </si>
  <si>
    <t>R1 | Figure 5-6 ratings 39!P38</t>
  </si>
  <si>
    <t>R2 | Figure 6!Q41</t>
  </si>
  <si>
    <t>12; Twelve male volunteers; Mean R² was 0.93 ± 0.06 for flexion and 0.96 ± 0.03 for lateral bending; estimated 95% errors were ±5.3° and ±2.8°.</t>
  </si>
  <si>
    <t>R1 | Figure 5-6 ratings 39!Q38</t>
  </si>
  <si>
    <t>R2 | Figure 6!S41</t>
  </si>
  <si>
    <t>p.5, Table 2</t>
  </si>
  <si>
    <t>R1 | Figure 5-6 ratings 39!R38</t>
  </si>
  <si>
    <t>R2 | Figure 6!U41</t>
  </si>
  <si>
    <t>Instrumented elastic knee brace with two stretch sensors; Two sensors were fixed at different heights on the brace to distinguish brace-shift-dependent strain–angle relationships</t>
  </si>
  <si>
    <t>R1 | Figure 5-6 ratings 39!J39</t>
  </si>
  <si>
    <t>R2 | Figure 6!E42</t>
  </si>
  <si>
    <t>R1 | Figure 5-6 ratings 39!M39</t>
  </si>
  <si>
    <t>R2 | Figure 6!K42</t>
  </si>
  <si>
    <t>Nonlinear strain–angle relationships modelled with Gaussian mixture models; Flexion and extension were modelled separately because their capacitance–angle relationships differed; Two independent brace-shift sets were used reciprocally for training and testing</t>
  </si>
  <si>
    <t>R1 | Figure 5-6 ratings 39!N39</t>
  </si>
  <si>
    <t>R2 | Figure 6!M42</t>
  </si>
  <si>
    <t>R1 | Figure 5-6 ratings 39!P39</t>
  </si>
  <si>
    <t>R2 | Figure 6!Q42</t>
  </si>
  <si>
    <t>2; Two participants, identified as subjects A and B in the reported results; Across five shift positions, the proposed previous-window model produced overall RMSEs of approximately 3.5–4.3° for the two subjects/rounds and outperformed three comparison methods.</t>
  </si>
  <si>
    <t>R1 | Figure 5-6 ratings 39!Q39</t>
  </si>
  <si>
    <t>R2 | Figure 6!S42</t>
  </si>
  <si>
    <t>R1 | Figure 5-6 ratings 39!R39</t>
  </si>
  <si>
    <t>R2 | Figure 6!U42</t>
  </si>
  <si>
    <t>Three custom elastic textile bands worn at the upper chest, lower chest and abdomen; Three 10-cm laboratory-made fibre sensors were secured straight with elastic stitching; connections used rubber glue and conductive ink</t>
  </si>
  <si>
    <t>R1 | Figure 5-6 ratings 39!J40</t>
  </si>
  <si>
    <t>R2 | Figure 6!E43</t>
  </si>
  <si>
    <t>Conductive carbon black dispersed in an elastic polymer; Synthetic knit band with a high-elasticity fleece sensing section</t>
  </si>
  <si>
    <t>R1 | Figure 5-6 ratings 39!K40</t>
  </si>
  <si>
    <t>R2 | Figure 6!G43</t>
  </si>
  <si>
    <t>R1 | Figure 5-6 ratings 39!L40</t>
  </si>
  <si>
    <t>R2 | Figure 6!I43</t>
  </si>
  <si>
    <t>R1 | Figure 5-6 ratings 39!M40</t>
  </si>
  <si>
    <t>R2 | Figure 6!K43</t>
  </si>
  <si>
    <t>R1 | Figure 5-6 ratings 39!O40</t>
  </si>
  <si>
    <t>R2 | Figure 6!O43</t>
  </si>
  <si>
    <t>R1 | Figure 5-6 ratings 39!P40</t>
  </si>
  <si>
    <t>R2 | Figure 6!Q43</t>
  </si>
  <si>
    <t>15; 15 healthy students aged 19–30 years; 6 women and 9 men; mean age 23 ± 3.8 years; Mean intra-subject talking-detection accuracy was 85% (88% sitting and 80.6% walking); 96% of complete talking segments were identified.</t>
  </si>
  <si>
    <t>R1 | Figure 5-6 ratings 39!Q40</t>
  </si>
  <si>
    <t>R2 | Figure 6!S43</t>
  </si>
  <si>
    <t>R1 | Figure 5-6 ratings 39!R40</t>
  </si>
  <si>
    <t>R2 | Figure 6!U43</t>
  </si>
  <si>
    <t>Azza personally approved; confirmed directly by Pooja in this conversation, 14 October 2026. 01_Azza_Added_Studies_20261014.xlsx | Two added studies row 6</t>
  </si>
  <si>
    <t>Not independently rated</t>
  </si>
  <si>
    <t>Clearly reported</t>
  </si>
  <si>
    <t>Azza personally approved; confirmed directly by Pooja in this conversation, 14 October 2026. 01_Azza_Added_Studies_20261014.xlsx | Two added studies row 7</t>
  </si>
  <si>
    <t>Azza personally approved; confirmed directly by Pooja in this conversation, 14 October 2026. 01_Azza_Added_Studies_20261014.xlsx | Two added studies row 8</t>
  </si>
  <si>
    <t>Azza personally approved; confirmed directly by Pooja in this conversation, 14 October 2026. 01_Azza_Added_Studies_20261014.xlsx | Two added studies row 9</t>
  </si>
  <si>
    <t>Azza personally approved; confirmed directly by Pooja in this conversation, 14 October 2026. 01_Azza_Added_Studies_20261014.xlsx | Two added studies row 10</t>
  </si>
  <si>
    <t>Azza personally approved; confirmed directly by Pooja in this conversation, 14 October 2026. 01_Azza_Added_Studies_20261014.xlsx | Two added studies row 11</t>
  </si>
  <si>
    <t>Azza personally approved; confirmed directly by Pooja in this conversation, 14 October 2026. 01_Azza_Added_Studies_20261014.xlsx | Two added studies row 12</t>
  </si>
  <si>
    <t>Azza personally approved; confirmed directly by Pooja in this conversation, 14 October 2026. 01_Azza_Added_Studies_20261014.xlsx | Two added studies row 13</t>
  </si>
  <si>
    <t>Partly reported</t>
  </si>
  <si>
    <t>Azza personally approved; confirmed directly by Pooja in this conversation, 14 October 2026. 01_Azza_Added_Studies_20261014.xlsx | Two added studies row 14</t>
  </si>
  <si>
    <t>Azza personally approved; confirmed directly by Pooja in this conversation, 14 October 2026. 01_Azza_Added_Studies_20261014.xlsx | Two added studies row 17</t>
  </si>
  <si>
    <t>Azza personally approved; confirmed directly by Pooja in this conversation, 14 October 2026. 01_Azza_Added_Studies_20261014.xlsx | Two added studies row 18</t>
  </si>
  <si>
    <t>Azza personally approved; confirmed directly by Pooja in this conversation, 14 October 2026. 01_Azza_Added_Studies_20261014.xlsx | Two added studies row 19</t>
  </si>
  <si>
    <t>Azza personally approved; confirmed directly by Pooja in this conversation, 14 October 2026. 01_Azza_Added_Studies_20261014.xlsx | Two added studies row 20</t>
  </si>
  <si>
    <t>Azza personally approved; confirmed directly by Pooja in this conversation, 14 October 2026. 01_Azza_Added_Studies_20261014.xlsx | Two added studies row 21</t>
  </si>
  <si>
    <t>Azza personally approved; confirmed directly by Pooja in this conversation, 14 October 2026. 01_Azza_Added_Studies_20261014.xlsx | Two added studies row 22</t>
  </si>
  <si>
    <t>Azza personally approved; confirmed directly by Pooja in this conversation, 14 October 2026. 01_Azza_Added_Studies_20261014.xlsx | Two added studies row 23</t>
  </si>
  <si>
    <t>Azza personally approved; confirmed directly by Pooja in this conversation, 14 October 2026. 01_Azza_Added_Studies_20261014.xlsx | Two added studies row 24</t>
  </si>
  <si>
    <t>Azza personally approved; confirmed directly by Pooja in this conversation, 14 October 2026. 01_Azza_Added_Studies_20261014.xlsx | Two added studies row 25</t>
  </si>
  <si>
    <t>0 Not reported</t>
  </si>
  <si>
    <t>1 Partly reported</t>
  </si>
  <si>
    <t>2 Clearly reported</t>
  </si>
  <si>
    <t>Not applicable</t>
  </si>
  <si>
    <t>Resolved applicable</t>
  </si>
  <si>
    <t>Applicable denominator</t>
  </si>
  <si>
    <t>0 / all</t>
  </si>
  <si>
    <t>1 / all</t>
  </si>
  <si>
    <t>2 / all</t>
  </si>
  <si>
    <t>NA / all</t>
  </si>
  <si>
    <t>2 / applicable</t>
  </si>
  <si>
    <t>Sensitivity and strain interval</t>
  </si>
  <si>
    <t>Complete recorded scores</t>
  </si>
  <si>
    <t>Quality domain</t>
  </si>
  <si>
    <t>R1 narrative evidence</t>
  </si>
  <si>
    <t>Final quality score</t>
  </si>
  <si>
    <t>R1 study-level evidence location</t>
  </si>
  <si>
    <t>R2 item evidence location</t>
  </si>
  <si>
    <t>R2 assessment basis</t>
  </si>
  <si>
    <t>Relevant signed participant evidence</t>
  </si>
  <si>
    <t>Consensus evidence source</t>
  </si>
  <si>
    <t>Evidence location status</t>
  </si>
  <si>
    <t>Analyst proposed score</t>
  </si>
  <si>
    <t>Technical evidence status</t>
  </si>
  <si>
    <t>Checked evidence / rationale</t>
  </si>
  <si>
    <t>Checked source file(s)</t>
  </si>
  <si>
    <t>Rubric decision required</t>
  </si>
  <si>
    <t>Conditional alternative</t>
  </si>
  <si>
    <t>Reviewer response</t>
  </si>
  <si>
    <t>Human agreement status</t>
  </si>
  <si>
    <t>Current analysis score</t>
  </si>
  <si>
    <t>Analysis score basis</t>
  </si>
  <si>
    <t>Scope-audit recommendation</t>
  </si>
  <si>
    <t>Scope-audit status</t>
  </si>
  <si>
    <t>Scope-audit evidence</t>
  </si>
  <si>
    <t>Scope-audit location</t>
  </si>
  <si>
    <t>Scope-audit source</t>
  </si>
  <si>
    <t>Scope-audit date</t>
  </si>
  <si>
    <t>Any targeted source check</t>
  </si>
  <si>
    <t>Subsequent verification status</t>
  </si>
  <si>
    <t>Verification confirmation source</t>
  </si>
  <si>
    <t>Second reviewer name</t>
  </si>
  <si>
    <t>Numeric consensus not established</t>
  </si>
  <si>
    <t>R1 supplies narrative evidence, not an independent ordinal quality score. Do not infer a paired R1 score.</t>
  </si>
  <si>
    <t>R1 | Method quality 39!F2</t>
  </si>
  <si>
    <t>R2 | Quality!G2</t>
  </si>
  <si>
    <t>Absence stated; no specific location</t>
  </si>
  <si>
    <t>R1 | Method quality 39!G2</t>
  </si>
  <si>
    <t>R2 | Quality!G3</t>
  </si>
  <si>
    <t>R1 | Method quality 39!H2</t>
  </si>
  <si>
    <t>R2 | Quality!G4</t>
  </si>
  <si>
    <t>Location supplied</t>
  </si>
  <si>
    <t>Participants: 10; participant details: 10 able-bodied/healthy participants</t>
  </si>
  <si>
    <t>R1 | Method quality 39!I2; R1 | Method quality 39!J2</t>
  </si>
  <si>
    <t>R2 | Quality!G5</t>
  </si>
  <si>
    <t>R2 | Quality!G6</t>
  </si>
  <si>
    <t>Reviewer-confirmed after targeted source review</t>
  </si>
  <si>
    <t>R2 | Quality!G7</t>
  </si>
  <si>
    <t>Azza's returned quality confirmation, review date 2026-10-01. Azza_Quality_Confirmation_Short_39_20261001.xlsx, Rules to confirm row 11.</t>
  </si>
  <si>
    <t>Positive score; location missing</t>
  </si>
  <si>
    <t>Source checked; reviewer confirmed</t>
  </si>
  <si>
    <t>The universal-testing-machine strain input, initial-resistance measurement and electrical response to continuous, stepwise and cyclic elongation are described. Human motion is demonstrated at specified angles/speeds. Retain only partial credit: this provides a strain-response characterization basis but not an explicit individually versus generally calibrated human-output model. Whether bench characterization counts as partial calibration should be fixed in the rubric.
Confirmed decision: Retain 1 for controlled, instrumented input-output characterization with known strain and measured electrical response. This is partial sensor calibration evidence, not a documented human-output calibration model. Use the same boundary across all 39 studies.</t>
  </si>
  <si>
    <t>PDF p 4, electromechanical characterization; pp 7-8, motion demonstrations</t>
  </si>
  <si>
    <t>Resolved by returned Rules to confirm. Original alternatives retained in X for history.</t>
  </si>
  <si>
    <t>0 if If reviewers adopt the narrower construct described in conceptual_decision; apply consistently to the whole 39-study quality matrix.</t>
  </si>
  <si>
    <t>Agree. Retain 1 for controlled, instrumented input-output characterization with known strain and measured electrical response. This is partial sensor calibration evidence, not a documented human-output calibration model. Use the same boundary across all 39 studies.</t>
  </si>
  <si>
    <t>Reviewer-confirmed</t>
  </si>
  <si>
    <t>supported_current</t>
  </si>
  <si>
    <t>Azza explicitly retained 1. Known machine-applied strain and measured electrical response support partial sensor calibration. This is not an individually calibrated human-output model.</t>
  </si>
  <si>
    <t>Main PDF p 4 and pp 7–8, electromechanical characterization and movement demonstrations</t>
  </si>
  <si>
    <t>No external reference standard reported in reviewed sections</t>
  </si>
  <si>
    <t>R1 | Method quality 39!M2</t>
  </si>
  <si>
    <t>R2 | Quality!G8</t>
  </si>
  <si>
    <t>Repeated-measures ANOVA with Bonferroni adjustment reported; classification accuracy by participant and pooled dataset</t>
  </si>
  <si>
    <t>R1 | Method quality 39!N2</t>
  </si>
  <si>
    <t>R2 | Quality!G9</t>
  </si>
  <si>
    <t>R1 | Method quality 39!O2</t>
  </si>
  <si>
    <t>R2 | Quality!G10</t>
  </si>
  <si>
    <t>R2 | Quality!G11</t>
  </si>
  <si>
    <t>Six differently placed glove channels are not independently fabricated devices assessed for sensing-output agreement.</t>
  </si>
  <si>
    <t>Main PDF pp 3–4, sensing glove and characterization</t>
  </si>
  <si>
    <t>Source evidence and final assignment verified by second reviewer</t>
  </si>
  <si>
    <t>Pooja confirmed completion for all 41 studies and all three domains in this conversation on 17 October 2026. Reviewer identity, completion date and additional source-location records were not supplied with this update.</t>
  </si>
  <si>
    <t>R1 | Method quality 39!Q2</t>
  </si>
  <si>
    <t>R2 | Quality!G12</t>
  </si>
  <si>
    <t>R1 | Method quality 39!R2</t>
  </si>
  <si>
    <t>R2 | Quality!G13</t>
  </si>
  <si>
    <t>analyst_proposal_rubric_confirmation_required</t>
  </si>
  <si>
    <t>Controlled strain-response/cyclic and human-motion demonstrations are reported, but no decision threshold or declared stability/failure endpoint is identified.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</si>
  <si>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PDF p 4 and pp 7-8, characterization and application demonstrations</t>
  </si>
  <si>
    <t>Approve the Q12 criterion/endpoint definition consistently for all 39 studies.</t>
  </si>
  <si>
    <t>Awaiting human confirmation; not consensus</t>
  </si>
  <si>
    <t>Pooled-user classification accuracy was 89.5%</t>
  </si>
  <si>
    <t>R1 | Method quality 39!S2</t>
  </si>
  <si>
    <t>R2 | Quality!G14</t>
  </si>
  <si>
    <t>p.3, Fig. 1</t>
  </si>
  <si>
    <t>R2 | Quality!G15</t>
  </si>
  <si>
    <t>R2 | Quality!G16</t>
  </si>
  <si>
    <t>R2 | Quality!G17</t>
  </si>
  <si>
    <t>Azza personally approved; confirmed directly by Pooja in this conversation, 14 October 2026. 02_Azza_Original_39_20261014.xlsx | Six cases row 9</t>
  </si>
  <si>
    <t>Evidence location supplied in approved review</t>
  </si>
  <si>
    <t>Explicit reviewer approval confirmed by Pooja</t>
  </si>
  <si>
    <t>proposed_for_confirmation</t>
  </si>
  <si>
    <t>R1 | Method quality 39!F3</t>
  </si>
  <si>
    <t>R2 | Quality!G18</t>
  </si>
  <si>
    <t>Azza's returned quality confirmation, review date 2026-10-01. Azza_Quality_Confirmation_39_Gai_Closed_20261001.xlsx, Score changes row 9.</t>
  </si>
  <si>
    <t>Eight specimens were fabricated and their electrical response under stretching was measured. Initial resistance and GF are summarized across the eight specimens. An explicit independently fabricated specimen count and electrical unit of analysis support complete sample-count reporting. Repeated cycles are not being substituted for independent samples.
Confirmed decision: Agree. Eight fabricated specimens and their electrical test are explicitly reported (p 5, section 3.2.4).</t>
  </si>
  <si>
    <t>Agree. Agree. Eight fabricated specimens and their electrical test are explicitly reported (p 5, section 3.2.4).</t>
  </si>
  <si>
    <t>R1 | Method quality 39!G3</t>
  </si>
  <si>
    <t>R2 | Quality!G19</t>
  </si>
  <si>
    <t>R1 | Method quality 39!H3</t>
  </si>
  <si>
    <t>R2 | Quality!G20</t>
  </si>
  <si>
    <t>Participants: Not reported; participant details: Not reported</t>
  </si>
  <si>
    <t>R1 has narrative evidence only. Signed V1 evidence also supplies participant details; review Q4 against its own rubric.</t>
  </si>
  <si>
    <t>R1 | Method quality 39!I3; R1 | Method quality 39!J3</t>
  </si>
  <si>
    <t>R2 | Quality!G21</t>
  </si>
  <si>
    <t>R2 | Quality!G22</t>
  </si>
  <si>
    <t>R2 | Quality!G23</t>
  </si>
  <si>
    <t>Azza personally approved; confirmed directly by Pooja in this conversation, 14 October 2026. 02_Azza_Original_39_20261014.xlsx | Other applications row 6</t>
  </si>
  <si>
    <t>analyst_scope_correction</t>
  </si>
  <si>
    <t>R1 | Method quality 39!M3</t>
  </si>
  <si>
    <t>R2 | Quality!G24</t>
  </si>
  <si>
    <t>R² approximately 0.99; uncertainty/error bars was not reported in the available full text</t>
  </si>
  <si>
    <t>R1 | Method quality 39!N3</t>
  </si>
  <si>
    <t>R2 | Quality!G25</t>
  </si>
  <si>
    <t>Azza's returned quality confirmation, review date 2026-10-01. Azza_Quality_Confirmation_39_Gai_Closed_20261001.xlsx, Score changes row 11.</t>
  </si>
  <si>
    <t>Mean initial resistance 34.88±1.90 kΩ and GF 64.57±2.40 are reported across eight samples. The inspected passage does not identify the ± quantity as SD, SE or CI. Zero misses genuine variability information. Propose partial rather than full credit because uncertainty type is not defined in the inspected passage. Do not recalculate the article’s less-than 5% deviation statement or relabel ± as SD.
Confirmed decision: Agree. Between-specimen variability is reported, but the cited passage does not define the ± quantity as SD, SE or CI. Partial credit is appropriate.</t>
  </si>
  <si>
    <t>Agree. Agree. Between-specimen variability is reported, but the cited passage does not define the ± quantity as SD, SE or CI. Partial credit is appropriate.</t>
  </si>
  <si>
    <t>More than 5,000 loading cycles before and after washing; exact load rate and environment was not reported in the available full text</t>
  </si>
  <si>
    <t>R1 | Method quality 39!O3</t>
  </si>
  <si>
    <t>R2 | Quality!G26</t>
  </si>
  <si>
    <t>R2 | Quality!G27</t>
  </si>
  <si>
    <t>Azza's returned quality confirmation, review date 2026-10-01. Azza_Quality_Confirmation_39_Gai_Closed_20261001.xlsx, Score changes row 10.</t>
  </si>
  <si>
    <t>Eight independently fabricated samples undergo the same electrical stretching test. Their initial resistance and GF distributions are summarized as 34.88±1.90 kΩ and 64.57±2.40. Independent n and comparable electrical outcomes with between-specimen spread satisfy the reproducibility-reporting construct. This is not proof of low manufacturing variation; undefined ± type remains a Q8 limitation.
Confirmed decision: Agree. Electrical performance is compared across eight independently fabricated specimens. Q10 assesses reporting, not low variability. The undefined uncertainty type remains a Q8 limitation.</t>
  </si>
  <si>
    <t>Agree. Agree. Electrical performance is compared across eight independently fabricated specimens. Q10 assesses reporting, not low variability. The undefined uncertainty type remains a Q8 limitation.</t>
  </si>
  <si>
    <t>Eight independently fabricated specimens undergo equivalent electrical stretching tests. Resistance and GF distributions report between-specimen spread. This is sensing-output reproducibility, not merely mechanical replication.</t>
  </si>
  <si>
    <t>Main PDF p 5, section 3.2.4 and Fig 4b</t>
  </si>
  <si>
    <t>R1 | Method quality 39!Q3</t>
  </si>
  <si>
    <t>R2 | Quality!G28</t>
  </si>
  <si>
    <t>Stable beyond 5,000 cycles after washing; an explicit pass/fail threshold was not reported</t>
  </si>
  <si>
    <t>R1 | Method quality 39!R3</t>
  </si>
  <si>
    <t>R2 | Quality!G29</t>
  </si>
  <si>
    <t>Azza's returned quality confirmation, review date 2026-10-01. Azza_Quality_Confirmation_39_Gai_Closed_20261001.xlsx, Score changes row 24.</t>
  </si>
  <si>
    <t>The signal is described as almost unchanged after 5000 cycles at 10% strain and after a one-hour stirred-water test. Changes such as 37 to 41 kOhm and device CV are outcomes, not permitted limits. Under the explicit-criterion interpretation, post-test stability/drift/retention or task/classifier thresholds do not satisfy Q12. Score 0 means the requested criterion was not identified in the inspected sources, not that no robustness testing occurred or that the device is poor.
Confirmed decision: Agree under R1. Cycle and wash results describe observed stability, without a stated allowable change or functional failure decision rule.</t>
  </si>
  <si>
    <t>PDF pp 4-5,5000-cycle and washing results</t>
  </si>
  <si>
    <t>Agree. Agree under R1. Cycle and wash results describe observed stability, without a stated allowable change or functional failure decision rule.</t>
  </si>
  <si>
    <t>The signal is described as almost unchanged after 5000 cycles at 10% strain and after a one-hour stirred-water test. Changes such as 37 to 41 kOhm and device CV are outcomes, not permitted limits.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</si>
  <si>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R1 | Method quality 39!S3</t>
  </si>
  <si>
    <t>R2 | Quality!G30</t>
  </si>
  <si>
    <t>R2 | Quality!G31</t>
  </si>
  <si>
    <t>R2 | Quality!G32</t>
  </si>
  <si>
    <t>R2 | Quality!G33</t>
  </si>
  <si>
    <t>Azza's returned quality confirmation, review date 2026-10-01. Azza_Quality_Confirmation_Short_39_20261001.xlsx, Rules to confirm row 12.</t>
  </si>
  <si>
    <t>The article gives a persistent publisher DOI location for a PDF of additional characterization plots and four demonstration videos; it does not identify an underlying reusable raw-data or analysis-code repository. Retain partial availability credit only if supplementary research outputs qualify for Q16=1. Do not describe this as open raw data or code. Under a rule requiring an explicit underlying-data/code availability statement this would be 0.
Confirmed decision: Require a statement or route for obtaining underlying data/code for partial credit. Supplementary plots and demonstration videos alone do not establish this. Yang Q16=0 under this scope. Apply the rule across all 39 studies before final totals.</t>
  </si>
  <si>
    <t>PDF p 7 (printed p 19880), Associated Content / Supporting Information</t>
  </si>
  <si>
    <t>Revise. Require a statement or route for obtaining underlying data/code for partial credit. Supplementary plots and demonstration videos alone do not establish this. Yang Q16=0 under this scope. Apply the rule across all 39 studies before final totals.</t>
  </si>
  <si>
    <t>Supplement consists of additional characterization plots and demonstration videos, without a route for underlying data/code. This 0 is explicitly confirmed by Azza in returned Rules to confirm R4, not merely a new analyst inference.</t>
  </si>
  <si>
    <t>p 7 (printed p 19880), Associated Content / Supporting Information</t>
  </si>
  <si>
    <t>R1 | Method quality 39!F4</t>
  </si>
  <si>
    <t>R2 | Quality!G34</t>
  </si>
  <si>
    <t>R1 | Method quality 39!G4</t>
  </si>
  <si>
    <t>R2 | Quality!G35</t>
  </si>
  <si>
    <t>R1 | Method quality 39!H4</t>
  </si>
  <si>
    <t>R2 | Quality!G36</t>
  </si>
  <si>
    <t>analyst_supported_retain</t>
  </si>
  <si>
    <t>Five sensing-yarn pieces are woven into the finger portions of a glove and a glove demonstration is shown. Configuration is described, but neither an explicit independent complete-glove count nor reuse across participants is established; no inference of five independent devices.</t>
  </si>
  <si>
    <t>PDF p 7 (printed p 9942), text above and caption of Fig 9</t>
  </si>
  <si>
    <t>R1 | Method quality 39!I4; R1 | Method quality 39!J4</t>
  </si>
  <si>
    <t>R2 | Quality!G37</t>
  </si>
  <si>
    <t>Azza's returned quality confirmation, review date 2026-10-01. Azza_Quality_Confirmation_39_Gai_Closed_20261001.xlsx, Score changes row 12.</t>
  </si>
  <si>
    <t>A healthy 174 cm-tall 25-year-old male is described for the wrist-pulse demonstration. A female participates in the forehead/philtrum facial-motion demonstration. The overall participant cohort count is not enumerated. Partial participant demographic/population information is present, so 0 is not supported. Do not infer a comprehensive n from photographs or convert these examples to a fully reported cohort.
Confirmed decision: Agree. The pulse and facial-motion demonstrations report some participant characteristics, without a complete cohort count.</t>
  </si>
  <si>
    <t>Saved main PDF p 7, Fig 7 pulse demonstration and Fig 8 facial-motion paragraph</t>
  </si>
  <si>
    <t>Agree. Agree. The pulse and facial-motion demonstrations report some participant characteristics, without a complete cohort count.</t>
  </si>
  <si>
    <t>R2 | Quality!G38</t>
  </si>
  <si>
    <t>R2 | Quality!G39</t>
  </si>
  <si>
    <t>Azza personally approved; confirmed directly by Pooja in this conversation, 14 October 2026. 02_Azza_Original_39_20261014.xlsx | Other applications row 7</t>
  </si>
  <si>
    <t>R1 | Method quality 39!M4</t>
  </si>
  <si>
    <t>R2 | Quality!G40</t>
  </si>
  <si>
    <t>R1 | Method quality 39!N4</t>
  </si>
  <si>
    <t>R2 | Quality!G41</t>
  </si>
  <si>
    <t>R1 | Method quality 39!O4</t>
  </si>
  <si>
    <t>R2 | Quality!G42</t>
  </si>
  <si>
    <t>R2 | Quality!G43</t>
  </si>
  <si>
    <t>Reproducibility refers to repeated cycles and network recovery, not a comparison across independently fabricated devices.</t>
  </si>
  <si>
    <t>Main PDF pp 4–5, cyclic response; p 8, characterization</t>
  </si>
  <si>
    <t>R1 | Method quality 39!Q4</t>
  </si>
  <si>
    <t>R2 | Quality!G44</t>
  </si>
  <si>
    <t>R1 | Method quality 39!R4</t>
  </si>
  <si>
    <t>R2 | Quality!G45</t>
  </si>
  <si>
    <t>Azza's returned quality confirmation, review date 2026-10-01. Azza_Quality_Confirmation_39_Gai_Closed_20261001.xlsx, Score changes row 25.</t>
  </si>
  <si>
    <t>Ten-thousand-cycle and harsh-environment results are described as stable/nearly unchanged. Recoverable conductive-network breakage under strain is a sensing mechanism, not an operational sensor-failure endpoint. Under the explicit-criterion interpretation, post-test stability/drift/retention or task/classifier thresholds do not satisfy Q12. Score 0 means the requested criterion was not identified in the inspected sources, not that no robustness testing occurred or that the device is poor.
Confirmed decision: Agree under R1. Stable cycling/environmental results and reversible network breakage do not define an operational failure endpoint.</t>
  </si>
  <si>
    <t>PDF pp 4-5, cyclic and environmental characterization</t>
  </si>
  <si>
    <t>Agree. Agree under R1. Stable cycling/environmental results and reversible network breakage do not define an operational failure endpoint.</t>
  </si>
  <si>
    <t>Ten-thousand-cycle and harsh-environment results are described as stable/nearly unchanged. Recoverable conductive-network breakage under strain is a sensing mechanism, not an operational sensor-failure endpoint.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</si>
  <si>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R1 | Method quality 39!S4</t>
  </si>
  <si>
    <t>R2 | Quality!G46</t>
  </si>
  <si>
    <t>R2 | Quality!G47</t>
  </si>
  <si>
    <t>Wrist, forehead and philtrum placement and yarn integration into glove fingers are described. Anatomical placement is available, but garment sizing and controlled initial tension are not operationalized in these passages.</t>
  </si>
  <si>
    <t>PDF pp 6-7 (printed pp 9941-9942), Figs 7-9 and associated text</t>
  </si>
  <si>
    <t>R2 | Quality!G48</t>
  </si>
  <si>
    <t>R2 | Quality!G49</t>
  </si>
  <si>
    <t>Generic supplementary characterization/images/videos are listed but no underlying-data or code availability route is reported in the checked main article.</t>
  </si>
  <si>
    <t>p 8, Associated Content / Supporting Information; full main text</t>
  </si>
  <si>
    <t>R1 | Method quality 39!F5</t>
  </si>
  <si>
    <t>R2 | Quality!G50</t>
  </si>
  <si>
    <t>R1 | Method quality 39!G5</t>
  </si>
  <si>
    <t>R2 | Quality!G51</t>
  </si>
  <si>
    <t>R1 | Method quality 39!H5</t>
  </si>
  <si>
    <t>R2 | Quality!G52</t>
  </si>
  <si>
    <t>The shirt contains two IMUs and a knitted strain patch spanning back/spine-scapula regions. Assembly layout is described; independent complete-system count and device reuse are not explicit.</t>
  </si>
  <si>
    <t>PDF pp 3-4, garment/system description and experimental protocol</t>
  </si>
  <si>
    <t>Participants: 5; participant details: Five participants; detailed demographics was not reported in the available full text</t>
  </si>
  <si>
    <t>R1 | Method quality 39!I5; R1 | Method quality 39!J5</t>
  </si>
  <si>
    <t>R2 | Quality!G53</t>
  </si>
  <si>
    <t>Five healthy volunteers without shoulder pathology participate in the shoulder-movement protocol. Number and health eligibility are provided, but relevant demographic detail is incomplete.</t>
  </si>
  <si>
    <t>PDF p 4, experimental protocol</t>
  </si>
  <si>
    <t>R2 | Quality!G54</t>
  </si>
  <si>
    <t>R2 | Quality!G55</t>
  </si>
  <si>
    <t>Existing subject-specific parameter identification uses externally referenced hand positions. No inconsistency with the clarified partial-calibration boundary was identified. Retain original depth rating for this scope audit.</t>
  </si>
  <si>
    <t>Main PDF pp 3–4, model-parameter identification and experimental protocol; p 12, calibration discussion</t>
  </si>
  <si>
    <t>R1 | Method quality 39!M5</t>
  </si>
  <si>
    <t>R2 | Quality!G56</t>
  </si>
  <si>
    <t>Position errors were reported; a complete uncertainty analysis was not reported</t>
  </si>
  <si>
    <t>p.6, Table 1</t>
  </si>
  <si>
    <t>R1 | Method quality 39!N5</t>
  </si>
  <si>
    <t>R2 | Quality!G57</t>
  </si>
  <si>
    <t>Planar movements followed by 3D model evaluation</t>
  </si>
  <si>
    <t>R1 | Method quality 39!O5</t>
  </si>
  <si>
    <t>R2 | Quality!G58</t>
  </si>
  <si>
    <t>Sagittal 0-120 degree and frontal 0-150 degree shoulder repetitions, anatomical-pose calibration and the optical reference setup are described. Partial condition reporting is supported; these passages do not completely specify movement rate, preload and all mechanical/environmental conditions.</t>
  </si>
  <si>
    <t>PDF pp 3-4, experimental protocol</t>
  </si>
  <si>
    <t>R2 | Quality!G59</t>
  </si>
  <si>
    <t>Existing R1 narrative and R2 rating report no independent-device sensing comparison. Targeted scope check found no contradictory independent-device output evidence. This is not a fresh exhaustive absence claim.</t>
  </si>
  <si>
    <t>R1 | Method quality 39!Q5</t>
  </si>
  <si>
    <t>R2 | Quality!G60</t>
  </si>
  <si>
    <t>R1 | Method quality 39!R5</t>
  </si>
  <si>
    <t>R2 | Quality!G61</t>
  </si>
  <si>
    <t>Azza's returned quality confirmation, review date 2026-10-01. Azza_Quality_Confirmation_39_Gai_Closed_20261001.xlsx, Score changes row 26.</t>
  </si>
  <si>
    <t>Task angles and kinematic calibration/comparison are specified. Anatomical shoulder-angle thresholds describe movement regimes, not stability or failure acceptance. Under the explicit-criterion interpretation, post-test stability/drift/retention or task/classifier thresholds do not satisfy Q12. Score 0 means the requested criterion was not identified in the inspected sources, not that no robustness testing occurred or that the device is poor.
Confirmed decision: Agree under R1. Anatomical movement thresholds and calibration comparisons are not sensor stability/failure criteria.</t>
  </si>
  <si>
    <t>PDF pp 3-4, experimental protocol; motion-validation results</t>
  </si>
  <si>
    <t>Agree. Agree under R1. Anatomical movement thresholds and calibration comparisons are not sensor stability/failure criteria.</t>
  </si>
  <si>
    <t>Task angles and kinematic calibration/comparison are specified. Anatomical shoulder-angle thresholds describe movement regimes, not stability or failure acceptance.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</si>
  <si>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Five-subject evaluation; model includes subject body structure</t>
  </si>
  <si>
    <t>R1 | Method quality 39!S5</t>
  </si>
  <si>
    <t>R2 | Quality!G62</t>
  </si>
  <si>
    <t>R2 | Quality!G63</t>
  </si>
  <si>
    <t>R2 | Quality!G64</t>
  </si>
  <si>
    <t>R2 | Quality!G65</t>
  </si>
  <si>
    <t>No underlying-data/code availability statement or route was identified in the complete checked main text.</t>
  </si>
  <si>
    <t>pp 11–12, Conclusions and end matter; full main text</t>
  </si>
  <si>
    <t>Eight sensor configurations in a 2×2×2 factorial design</t>
  </si>
  <si>
    <t>R1 | Method quality 39!F6</t>
  </si>
  <si>
    <t>R2 | Quality!G66</t>
  </si>
  <si>
    <t>R1 | Method quality 39!G6</t>
  </si>
  <si>
    <t>R2 | Quality!G67</t>
  </si>
  <si>
    <t>R1 | Method quality 39!H6</t>
  </si>
  <si>
    <t>R2 | Quality!G68</t>
  </si>
  <si>
    <t>Participants: 7; participant details: Seven women, 25–31 years; mean 28.43 ± 2.19 years</t>
  </si>
  <si>
    <t>R1 | Method quality 39!I6; R1 | Method quality 39!J6</t>
  </si>
  <si>
    <t>R2 | Quality!G69</t>
  </si>
  <si>
    <t>Seven women aged 25-31 years (mean 28.43, SD 2.19) are described, with hand/finger anthropometry and consent/ethics information. Number, population and relevant demographics are adequately described; a small n does not by itself make reporting incomplete.</t>
  </si>
  <si>
    <t>PDF p 14, human-subject evaluation / participant description</t>
  </si>
  <si>
    <t>R2 | Quality!G70</t>
  </si>
  <si>
    <t>R2 | Quality!G71</t>
  </si>
  <si>
    <t>Electrical output is measured during approximately 0–90 degree finger motion guided and verified by a 3D-printed angle indicator, at metronome-controlled 1 Hz. The input-output basis is partial; there is no separate quantitative calibration model.</t>
  </si>
  <si>
    <t>Main PDF pp 14–15, experimental setup and protocol</t>
  </si>
  <si>
    <t>Video frame-by-frame cycle confirmation; no external angle/force reference identified</t>
  </si>
  <si>
    <t>R1 | Method quality 39!M6</t>
  </si>
  <si>
    <t>R2 | Quality!G72</t>
  </si>
  <si>
    <t>Spearman correlation and Mann–Whitney testing; reproducibility r = 0.972</t>
  </si>
  <si>
    <t>R1 | Method quality 39!N6</t>
  </si>
  <si>
    <t>R2 | Quality!G73</t>
  </si>
  <si>
    <t>Fixed temperature/humidity; values was not reported in the available full text; 20,000-cycle Martindale abrasion test</t>
  </si>
  <si>
    <t>R1 | Method quality 39!O6</t>
  </si>
  <si>
    <t>R2 | Quality!G74</t>
  </si>
  <si>
    <t>R2 | Quality!G75</t>
  </si>
  <si>
    <t>Eight configurations differ in design. Reported reproducibility is correlation across repeated motion sets, not independent-device manufacture agreement.</t>
  </si>
  <si>
    <t>Main PDF pp 14–15, factorial design and data analysis</t>
  </si>
  <si>
    <t>KS K ISO 12947-2:2016 Martindale abrasion protocol</t>
  </si>
  <si>
    <t>R1 | Method quality 39!Q6</t>
  </si>
  <si>
    <t>R2 | Quality!G76</t>
  </si>
  <si>
    <t>Baseline drift &lt;1%; 100% peak detection</t>
  </si>
  <si>
    <t>R1 | Method quality 39!R6</t>
  </si>
  <si>
    <t>R2 | Quality!G77</t>
  </si>
  <si>
    <t>Azza's returned quality confirmation, review date 2026-10-01. Azza_Quality_Confirmation_Short_39_20261001.xlsx, Rules to confirm row 9 (explicit Choi confirmation).</t>
  </si>
  <si>
    <t>KS K ISO 12947-2:2016 abrasion at 9 kPa with 595±7 g for 20,000 rubs has an expressly predefined failure criterion: conductive-yarn breakage indicating loss of electrical continuity. Both specimens complete the test. An expressly defined failure endpoint with specified test conditions supports 2. The rating does not establish general deployment reliability.
Confirmed decision: Confirm the 0/1/2/NA distinction, with functional scope as in R2. A reported decision rule or endpoint is required. Do not infer a limit from results or require proof of preregistration. Choi qualifies because conductive-yarn breakage is explicitly the failure criterion (p 8). Apply consistently across all 39 studies before final totals.</t>
  </si>
  <si>
    <t>PDF p 8, Martindale abrasion paragraph</t>
  </si>
  <si>
    <t>Agree. Confirm the 0/1/2/NA distinction, with functional scope as in R2. A reported decision rule or endpoint is required. Do not infer a limit from results or require proof of preregistration. Choi qualifies because conductive-yarn breakage is explicitly the failure criterion (p 8). Apply consistently across all 39 studies before final totals.</t>
  </si>
  <si>
    <t>KS K ISO 12947-2:2016 abrasion at 9 kPa with 595±7 g for 20,000 rubs has an expressly stated failure criterion: conductive-yarn breakage indicating loss of electrical continuity. Both specimens complete the test. An expressly defined failure endpoint with specified test conditions supports 2. The rating does not establish general deployment reliability.</t>
  </si>
  <si>
    <t>Seven-participant evaluation</t>
  </si>
  <si>
    <t>R1 | Method quality 39!S6</t>
  </si>
  <si>
    <t>R2 | Quality!G78</t>
  </si>
  <si>
    <t>R2 | Quality!G79</t>
  </si>
  <si>
    <t>R2 | Quality!G80</t>
  </si>
  <si>
    <t>R2 | Quality!G81</t>
  </si>
  <si>
    <t>Datasets generated/analyzed during the study are available from the corresponding author on reasonable request. Meets the approved partial-credit boundary; does not establish open repository access.</t>
  </si>
  <si>
    <t>p 15, Data availability</t>
  </si>
  <si>
    <t>R1 | Method quality 39!F7</t>
  </si>
  <si>
    <t>R2 | Quality!G82</t>
  </si>
  <si>
    <t>R1 | Method quality 39!G7</t>
  </si>
  <si>
    <t>R2 | Quality!G83</t>
  </si>
  <si>
    <t>R1 | Method quality 39!H7</t>
  </si>
  <si>
    <t>R2 | Quality!G84</t>
  </si>
  <si>
    <t>R1 | Method quality 39!I7; R1 | Method quality 39!J7</t>
  </si>
  <si>
    <t>R2 | Quality!G85</t>
  </si>
  <si>
    <t>R2 | Quality!G86</t>
  </si>
  <si>
    <t>R2 | Quality!G87</t>
  </si>
  <si>
    <t>Azza personally approved; confirmed directly by Pooja in this conversation, 14 October 2026. 02_Azza_Original_39_20261014.xlsx | Other applications row 8</t>
  </si>
  <si>
    <t>R1 | Method quality 39!M7</t>
  </si>
  <si>
    <t>R2 | Quality!G88</t>
  </si>
  <si>
    <t>Gauge factor and air permeability reported; replicate counts/uncertainty was not reported in the available full text</t>
  </si>
  <si>
    <t>R1 | Method quality 39!N7</t>
  </si>
  <si>
    <t>R2 | Quality!G89</t>
  </si>
  <si>
    <t>More than 9,000 loading cycles and more than 50 washing cycles</t>
  </si>
  <si>
    <t>R1 | Method quality 39!O7</t>
  </si>
  <si>
    <t>R2 | Quality!G90</t>
  </si>
  <si>
    <t>R2 | Quality!G91</t>
  </si>
  <si>
    <t>Wash test: 0.37 wt% detergent, 400 mL solution, 100 rpm for 45 min per five-cycle equivalent; no laundering standard cited</t>
  </si>
  <si>
    <t>R1 | Method quality 39!Q7</t>
  </si>
  <si>
    <t>R2 | Quality!G92</t>
  </si>
  <si>
    <t>Stable beyond 9,000 cycles; an explicit pass/fail threshold was not reported</t>
  </si>
  <si>
    <t>R1 | Method quality 39!R7</t>
  </si>
  <si>
    <t>R2 | Quality!G93</t>
  </si>
  <si>
    <t>Azza's returned quality confirmation, review date 2026-10-01. Azza_Quality_Confirmation_39_Gai_Closed_20261001.xlsx, Score changes row 27.</t>
  </si>
  <si>
    <t>Measured resistance changes after 30/50 washes and steady response over 9000 cycles are reported, without a stated permitted-change limit or failure endpoint. Under the explicit-criterion interpretation, post-test stability/drift/retention or task/classifier thresholds do not satisfy Q12. Score 0 means the requested criterion was not identified in the inspected sources, not that no robustness testing occurred or that the device is poor.
Confirmed decision: Agree under R1. Wash counts and 9000-cycle performance are test exposures and outcomes, not acceptance limits.</t>
  </si>
  <si>
    <t>PDF pp 10-12, washing/cyclic tests and wearable applications</t>
  </si>
  <si>
    <t>Agree. Agree under R1. Wash counts and 9000-cycle performance are test exposures and outcomes, not acceptance limits.</t>
  </si>
  <si>
    <t>Measured resistance changes after 30/50 washes and steady response over 9000 cycles are reported, without a stated permitted-change limit or failure endpoint.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</si>
  <si>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R1 | Method quality 39!S7</t>
  </si>
  <si>
    <t>R2 | Quality!G94</t>
  </si>
  <si>
    <t>R2 | Quality!G95</t>
  </si>
  <si>
    <t>Sensors are integrated in elbow and knee pads and tested during 0-90 degree joint movement; respiratory demonstration is also described. Placement and use are described, but fit and controlled pretension remain incomplete.</t>
  </si>
  <si>
    <t>PDF p 12, wearable motion demonstrations</t>
  </si>
  <si>
    <t>R2 | Quality!G96</t>
  </si>
  <si>
    <t>R2 | Quality!G97</t>
  </si>
  <si>
    <t>Azza personally approved; confirmed directly by Pooja in this conversation, 14 October 2026. 02_Azza_Original_39_20261014.xlsx | Six cases row 10</t>
  </si>
  <si>
    <t>R1 | Method quality 39!F8</t>
  </si>
  <si>
    <t>R2 | Quality!G98</t>
  </si>
  <si>
    <t>R1 | Method quality 39!G8</t>
  </si>
  <si>
    <t>R2 | Quality!G99</t>
  </si>
  <si>
    <t>R1 | Method quality 39!H8</t>
  </si>
  <si>
    <t>R2 | Quality!G100</t>
  </si>
  <si>
    <t>R1 | Method quality 39!I8; R1 | Method quality 39!J8</t>
  </si>
  <si>
    <t>R2 | Quality!G101</t>
  </si>
  <si>
    <t>Azza's returned quality confirmation, review date 2026-10-01. Azza_Quality_Confirmation_39_Gai_Closed_20261001.xlsx, Score changes row 13.</t>
  </si>
  <si>
    <t>The volunteer has elbow circumference 26 cm, waist 88 cm and lower-chest 90 cm. Anatomical sites and sensor lengths are described; the article does not explicitly enumerate a total participant cohort in the inspected passage. Relevant anthropometric information supports partial participant reporting; not full cohort/demographic reporting. No participant n is inferred from singular prose.
Confirmed decision: Agree. Relevant anthropometry is reported, but the total cohort is not explicitly enumerated. Do not infer n from singular wording.</t>
  </si>
  <si>
    <t>Saved main PDF p 6, wearable demonstration paragraph and Fig 4</t>
  </si>
  <si>
    <t>Agree. Agree. Relevant anthropometry is reported, but the total cohort is not explicitly enumerated. Do not infer n from singular wording.</t>
  </si>
  <si>
    <t>R2 | Quality!G102</t>
  </si>
  <si>
    <t>R2 | Quality!G103</t>
  </si>
  <si>
    <t>Azza personally approved; confirmed directly by Pooja in this conversation, 14 October 2026. 02_Azza_Original_39_20261014.xlsx | Other applications row 9</t>
  </si>
  <si>
    <t>R1 | Method quality 39!M8</t>
  </si>
  <si>
    <t>R2 | Quality!G104</t>
  </si>
  <si>
    <t>R1 | Method quality 39!N8</t>
  </si>
  <si>
    <t>R2 | Quality!G105</t>
  </si>
  <si>
    <t>10,000 cycles; wear, washing, humidity and perspiration tests reported</t>
  </si>
  <si>
    <t>R1 | Method quality 39!O8</t>
  </si>
  <si>
    <t>R2 | Quality!G106</t>
  </si>
  <si>
    <t>The text specifies abrasion checks, 30 washes at 40 C, cyclic tests, placement and task demonstrations; a 20-cycle drift calculation is described. Substantial test information is available, but the broad Q9 domain spans mechanical, environmental and human conditions and is not fully operationalized for every reported test; retain conservative partial credit.</t>
  </si>
  <si>
    <t>PDF pp 3 and 5-7, characterization, durability and human-use tests</t>
  </si>
  <si>
    <t>R2 | Quality!G107</t>
  </si>
  <si>
    <t>Exact washing/wear/environmental standards was not reported in the available full text</t>
  </si>
  <si>
    <t>R1 | Method quality 39!Q8</t>
  </si>
  <si>
    <t>R2 | Quality!G108</t>
  </si>
  <si>
    <t>Negligible drift stated; explicit acceptance/failure limits was not reported in the available full text</t>
  </si>
  <si>
    <t>R1 | Method quality 39!R8</t>
  </si>
  <si>
    <t>R2 | Quality!G109</t>
  </si>
  <si>
    <t>Azza's returned quality confirmation, review date 2026-10-01. Azza_Quality_Confirmation_39_Gai_Closed_20261001.xlsx, Score changes row 29.</t>
  </si>
  <si>
    <t>D/P is used to quantify observed drift over 20 cycles (9.9% versus 28.6%);10,000 cycles at 10% strain and environmental tests are reported. No allowed drift or retained-performance acceptance limit is stated. Under the explicit-criterion interpretation, post-test stability/drift/retention or task/classifier thresholds do not satisfy Q12. Score 0 means the requested criterion was not identified in the inspected sources, not that no robustness testing occurred or that the device is poor.
Confirmed decision: Agree under R1. D/P quantifies measured drift. The reported values are not specified allowable drift limits.</t>
  </si>
  <si>
    <t>PDF pp 3 and 5-7, durability/response characterization</t>
  </si>
  <si>
    <t>Agree. Agree under R1. D/P quantifies measured drift. The reported values are not specified allowable drift limits.</t>
  </si>
  <si>
    <t>D/P is used to quantify observed drift over 20 cycles (9.9% versus 28.6%);10,000 cycles at 10% strain and environmental tests are reported. No allowed drift or retained-performance acceptance limit is stated.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</si>
  <si>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R1 | Method quality 39!S8</t>
  </si>
  <si>
    <t>R2 | Quality!G110</t>
  </si>
  <si>
    <t>R2 | Quality!G111</t>
  </si>
  <si>
    <t>Volunteer elbow/waist/lower-chest dimensions and 5/30/3 cm optimal sensing lengths are reported. Locations include the olecranon, navel and heart-tip region; a tight sleeve and elastic bands reduce wrinkles/slippage. Placement and qualitative fit are clear; numeric initial strain/pretension is not given, so this is not full credit.</t>
  </si>
  <si>
    <t>PDF pp 6-7, application tests / wearable fitting</t>
  </si>
  <si>
    <t>R2 | Quality!G112</t>
  </si>
  <si>
    <t>R2 | Quality!G113</t>
  </si>
  <si>
    <t>Azza personally approved; confirmed directly by Pooja in this conversation, 14 October 2026. 02_Azza_Original_39_20261014.xlsx | Other applications row 10</t>
  </si>
  <si>
    <t>R1 | Method quality 39!F9</t>
  </si>
  <si>
    <t>R2 | Quality!G114</t>
  </si>
  <si>
    <t>R1 | Method quality 39!G9</t>
  </si>
  <si>
    <t>R2 | Quality!G115</t>
  </si>
  <si>
    <t>R1 | Method quality 39!H9</t>
  </si>
  <si>
    <t>R2 | Quality!G116</t>
  </si>
  <si>
    <t>R1 | Method quality 39!I9; R1 | Method quality 39!J9</t>
  </si>
  <si>
    <t>R2 | Quality!G117</t>
  </si>
  <si>
    <t>R2 | Quality!G118</t>
  </si>
  <si>
    <t>R2 | Quality!G119</t>
  </si>
  <si>
    <t>Azza personally approved; confirmed directly by Pooja in this conversation, 14 October 2026. 02_Azza_Original_39_20261014.xlsx | Other applications row 11</t>
  </si>
  <si>
    <t>R1 | Method quality 39!M9</t>
  </si>
  <si>
    <t>R2 | Quality!G120</t>
  </si>
  <si>
    <t>R1 | Method quality 39!N9</t>
  </si>
  <si>
    <t>R2 | Quality!G121</t>
  </si>
  <si>
    <t>6,000 cycles; washability and thermal tests reported</t>
  </si>
  <si>
    <t>R1 | Method quality 39!O9</t>
  </si>
  <si>
    <t>R2 | Quality!G122</t>
  </si>
  <si>
    <t>R2 | Quality!G123</t>
  </si>
  <si>
    <t>Mass production and repeat cycling are reported; heater on/off repeatability is also within-device. No independent-device sensing-output comparison was identified.</t>
  </si>
  <si>
    <t>Main PDF pp 6–7, strain sensing; p 16, heater cycling</t>
  </si>
  <si>
    <t>ISO 6330 laundering using an Electrolux Wascator FOM71 CLS</t>
  </si>
  <si>
    <t>R1 | Method quality 39!Q9</t>
  </si>
  <si>
    <t>R2 | Quality!G124</t>
  </si>
  <si>
    <t>Stable after 6,000 cycles; an explicit pass/fail threshold was not reported</t>
  </si>
  <si>
    <t>R1 | Method quality 39!R9</t>
  </si>
  <si>
    <t>R2 | Quality!G125</t>
  </si>
  <si>
    <t>Azza's returned quality confirmation, review date 2026-10-01. Azza_Quality_Confirmation_39_Gai_Closed_20261001.xlsx, Score changes row 31.</t>
  </si>
  <si>
    <t>Unbroken response after 1000 friction cycles and almost-constant response after 10 washes are described. Figure 3 h reports 6000 sensing cycles at 10% strain, with a stable response. No explicit permissible-change or operational failure definition is identified. Under the explicit-criterion interpretation, post-test stability/drift/retention or task/classifier thresholds do not satisfy Q12. Score 0 means the requested criterion was not identified in the inspected sources, not that no robustness testing occurred or that the device is poor.
Confirmed decision: Agree under R1. Surviving friction, washing and sensing cycles is an outcome, without a stated functional failure criterion.</t>
  </si>
  <si>
    <t>PDF pp 4-7, mechanical robustness, washing and Fig 3 h cyclic test</t>
  </si>
  <si>
    <t>Agree. Agree under R1. Surviving friction, washing and sensing cycles is an outcome, without a stated functional failure criterion.</t>
  </si>
  <si>
    <t>Unbroken response after 1000 friction cycles and almost-constant response after 10 washes are described. Figure 3 h reports 6000 sensing cycles at 10% strain, with a stable response. No explicit permissible-change or operational failure definition is identified.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</si>
  <si>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R1 | Method quality 39!S9</t>
  </si>
  <si>
    <t>R2 | Quality!G126</t>
  </si>
  <si>
    <t>R2 | Quality!G127</t>
  </si>
  <si>
    <t>Capacitive sensing yarn is incorporated into a knee brace; finger, wrist and elbow placements are described. Placement/integration provide partial credit without controlled fit or pretension.</t>
  </si>
  <si>
    <t>PDF p 10, Fig 4 i / human-motion application and knee-brace description</t>
  </si>
  <si>
    <t>R2 | Quality!G128</t>
  </si>
  <si>
    <t>R2 | Quality!G129</t>
  </si>
  <si>
    <t>Explicit statement that data will be made available on request supports partial credit.</t>
  </si>
  <si>
    <t>p 19, Data Availability</t>
  </si>
  <si>
    <t>R1 | Method quality 39!F10</t>
  </si>
  <si>
    <t>R2 | Quality!G130</t>
  </si>
  <si>
    <t>R1 | Method quality 39!G10</t>
  </si>
  <si>
    <t>R2 | Quality!G131</t>
  </si>
  <si>
    <t>R1 | Method quality 39!H10</t>
  </si>
  <si>
    <t>R2 | Quality!G132</t>
  </si>
  <si>
    <t>R1 | Method quality 39!I10; R1 | Method quality 39!J10</t>
  </si>
  <si>
    <t>R2 | Quality!G133</t>
  </si>
  <si>
    <t>R2 | Quality!G134</t>
  </si>
  <si>
    <t>R2 | Quality!G135</t>
  </si>
  <si>
    <t>Azza personally approved; confirmed directly by Pooja in this conversation, 14 October 2026. 02_Azza_Original_39_20261014.xlsx | Other applications row 12</t>
  </si>
  <si>
    <t>R1 | Method quality 39!M10</t>
  </si>
  <si>
    <t>R2 | Quality!G136</t>
  </si>
  <si>
    <t>R1 | Method quality 39!N10</t>
  </si>
  <si>
    <t>R2 | Quality!G137</t>
  </si>
  <si>
    <t>More than 1,000 cycles; humid, underwater, anti-corrosion and self-cleaning demonstrations</t>
  </si>
  <si>
    <t>R1 | Method quality 39!O10</t>
  </si>
  <si>
    <t>R2 | Quality!G138</t>
  </si>
  <si>
    <t>R2 | Quality!G139</t>
  </si>
  <si>
    <t>Azza personally approved; confirmed directly by Pooja in this conversation, 14 October 2026. 02_Azza_Original_39_20261014.xlsx | Six cases row 7</t>
  </si>
  <si>
    <t>Water-contact-angle and immersion tests; no formal environmental standard cited</t>
  </si>
  <si>
    <t>R1 | Method quality 39!Q10</t>
  </si>
  <si>
    <t>R2 | Quality!G140</t>
  </si>
  <si>
    <t>Stable beyond 1,000 cycles; an explicit pass/fail threshold was not reported</t>
  </si>
  <si>
    <t>R1 | Method quality 39!R10</t>
  </si>
  <si>
    <t>R2 | Quality!G141</t>
  </si>
  <si>
    <t>Azza's returned quality confirmation, review date 2026-10-01. Azza_Quality_Confirmation_39_Gai_Closed_20261001.xlsx, Score changes row 33.</t>
  </si>
  <si>
    <t>The sensor is cycled 1000 times at 10% strain and 10 mm/min; periodic response without apparent fluctuation and retained water-contact angles are observed. No allowed change or stated failure endpoint is defined. Under the explicit-criterion interpretation, post-test stability/drift/retention or task/classifier thresholds do not satisfy Q12. Score 0 means the requested criterion was not identified in the inspected sources, not that no robustness testing occurred or that the device is poor.
Confirmed decision: Agree under R1. Cyclic response and retained water repellency do not establish a functional sensor acceptance/failure rule.</t>
  </si>
  <si>
    <t>PDF pp 9 and 11, washability and Fig 4 D cyclic durability</t>
  </si>
  <si>
    <t>Agree. Agree under R1. Cyclic response and retained water repellency do not establish a functional sensor acceptance/failure rule.</t>
  </si>
  <si>
    <t>The sensor is cycled 1000 times at 10% strain and 10 mm/min; periodic response without apparent fluctuation and retained water-contact angles are observed. No allowed change or stated failure endpoint is defined.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</si>
  <si>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R1 | Method quality 39!S10</t>
  </si>
  <si>
    <t>R2 | Quality!G142</t>
  </si>
  <si>
    <t>R2 | Quality!G143</t>
  </si>
  <si>
    <t>R2 | Quality!G144</t>
  </si>
  <si>
    <t>R2 | Quality!G145</t>
  </si>
  <si>
    <t>Azza personally approved; confirmed directly by Pooja in this conversation, 14 October 2026. 02_Azza_Original_39_20261014.xlsx | Other applications row 13</t>
  </si>
  <si>
    <t>R1 | Method quality 39!F11</t>
  </si>
  <si>
    <t>R2 | Quality!G146</t>
  </si>
  <si>
    <t>R1 | Method quality 39!G11</t>
  </si>
  <si>
    <t>R2 | Quality!G147</t>
  </si>
  <si>
    <t>R1 | Method quality 39!H11</t>
  </si>
  <si>
    <t>R2 | Quality!G148</t>
  </si>
  <si>
    <t>R1 | Method quality 39!I11; R1 | Method quality 39!J11</t>
  </si>
  <si>
    <t>R2 | Quality!G149</t>
  </si>
  <si>
    <t>R2 | Quality!G150</t>
  </si>
  <si>
    <t>R2 | Quality!G151</t>
  </si>
  <si>
    <t>Azza personally approved; confirmed directly by Pooja in this conversation, 14 October 2026. 02_Azza_Original_39_20261014.xlsx | Other applications row 14</t>
  </si>
  <si>
    <t>Equivalent-circuit simulation; no human gold-standard comparator identified</t>
  </si>
  <si>
    <t>R1 | Method quality 39!M11</t>
  </si>
  <si>
    <t>R2 | Quality!G152</t>
  </si>
  <si>
    <t>Model/experiment agreement was shown; a numerical uncertainty estimate was not reported</t>
  </si>
  <si>
    <t>R1 | Method quality 39!N11</t>
  </si>
  <si>
    <t>R2 | Quality!G153</t>
  </si>
  <si>
    <t>More than 3,000 cycles; 20.8–44.9 °C and 38–79% RH</t>
  </si>
  <si>
    <t>R1 | Method quality 39!O11</t>
  </si>
  <si>
    <t>R2 | Quality!G154</t>
  </si>
  <si>
    <t>R2 | Quality!G155</t>
  </si>
  <si>
    <t>Weft-density variants and environmental independence are not replicate independent-device agreement.</t>
  </si>
  <si>
    <t>Main PDF p 7, sensor variants; Supplementary Note S1</t>
  </si>
  <si>
    <t>Temperature and humidity ranges were reported; no formal environmental standard cited</t>
  </si>
  <si>
    <t>R1 | Method quality 39!Q11</t>
  </si>
  <si>
    <t>R2 | Quality!G156</t>
  </si>
  <si>
    <t>Stable across the stated microclimate range; an explicit pass/fail threshold was not reported</t>
  </si>
  <si>
    <t>R1 | Method quality 39!R11</t>
  </si>
  <si>
    <t>R2 | Quality!G157</t>
  </si>
  <si>
    <t>Azza's returned quality confirmation, review date 2026-10-01. Azza_Quality_Confirmation_39_Gai_Closed_20261001.xlsx, Score changes row 34.</t>
  </si>
  <si>
    <t>More than 3000 cycles at 15% strain and maximum/minimum resistance are presented with before/after-wash curves. Environmental response and software motion thresholds do not define sensor failure or a permitted drift/retention limit. Under the explicit-criterion interpretation, post-test stability/drift/retention or task/classifier thresholds do not satisfy Q12. Score 0 means the requested criterion was not identified in the inspected sources, not that no robustness testing occurred or that the device is poor.
Confirmed decision: Agree under R1. Cycling, washing and environmental traces document performance. The cited main and supplementary evidence does not state a functional failure criterion.</t>
  </si>
  <si>
    <t>PDF pp 9-13, cyclic/environmental results; supplement pp 12-13 and 16-17</t>
  </si>
  <si>
    <t>Agree. Agree under R1. Cycling, washing and environmental traces document performance. The cited main and supplementary evidence does not state a functional failure criterion.</t>
  </si>
  <si>
    <t>More than 3000 cycles at 15% strain and maximum/minimum resistance are presented with before/after-wash curves. Environmental response and software motion thresholds do not define sensor failure or a permitted drift/retention limit.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</si>
  <si>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R1 | Method quality 39!S11</t>
  </si>
  <si>
    <t>R2 | Quality!G158</t>
  </si>
  <si>
    <t>R2 | Quality!G159</t>
  </si>
  <si>
    <t>Throat, abdomen, wrist, finger and elbow placement are described, followed by smart elbow/knee-pad use and outdoor exercise demonstrations. No reproducible sizing or quantified pretension is supplied in these passages.</t>
  </si>
  <si>
    <t>PDF pp 11-13, section 2.4 / Fig 5; supplementary p 14 FigS 20</t>
  </si>
  <si>
    <t>R2 | Quality!G160</t>
  </si>
  <si>
    <t>R2 | Quality!G161</t>
  </si>
  <si>
    <t>p 14, Data availability</t>
  </si>
  <si>
    <t>R1 | Method quality 39!F12</t>
  </si>
  <si>
    <t>R2 | Quality!G162</t>
  </si>
  <si>
    <t>R1 | Method quality 39!G12</t>
  </si>
  <si>
    <t>R2 | Quality!G163</t>
  </si>
  <si>
    <t>R1 | Method quality 39!H12</t>
  </si>
  <si>
    <t>R2 | Quality!G164</t>
  </si>
  <si>
    <t>R1 | Method quality 39!I12; R1 | Method quality 39!J12</t>
  </si>
  <si>
    <t>R2 | Quality!G165</t>
  </si>
  <si>
    <t>R2 | Quality!G166</t>
  </si>
  <si>
    <t>R2 | Quality!G167</t>
  </si>
  <si>
    <t>Azza personally approved; confirmed directly by Pooja in this conversation, 14 October 2026. 02_Azza_Original_39_20261014.xlsx | Other applications row 15</t>
  </si>
  <si>
    <t>R1 | Method quality 39!M12</t>
  </si>
  <si>
    <t>R2 | Quality!G168</t>
  </si>
  <si>
    <t>R1 | Method quality 39!N12</t>
  </si>
  <si>
    <t>R2 | Quality!G169</t>
  </si>
  <si>
    <t>R1 | Method quality 39!O12</t>
  </si>
  <si>
    <t>R2 | Quality!G170</t>
  </si>
  <si>
    <t>R2 | Quality!G171</t>
  </si>
  <si>
    <t>Azza's returned quality confirmation, review date 2026-10-01. Azza_Quality_Confirmation_Short_39_20261001.xlsx, Rules to confirm row 13.</t>
  </si>
  <si>
    <t>Five independently prepared specimens per group are tested mechanically. Electrical measurements are repeated, but independence of electrically tested devices and between-device sensing agreement are not clearly identified. Partial credit is defensible for independently replicated specimen characterization, not quantified between-device sensing reproducibility. If Q10 is limited specifically to agreement of sensing outputs across devices, use 0 instead.
Confirmed decision: Restrict device reproducibility to sensing outputs compared across independently fabricated devices. Mechanical replicates alone do not establish that construct. Wang Q10=0. The cited specimen test is in section 2.5, p 3, not section 2.3. Apply consistently across all 39 studies.</t>
  </si>
  <si>
    <t>Main PDF p 3, section 2.5. Mechanical specimens are not independent sensing-output comparisons.</t>
  </si>
  <si>
    <t>Revise. Restrict device reproducibility to sensing outputs compared across independently fabricated devices. Mechanical replicates alone do not establish that construct. Wang Q10=0. The cited specimen test is in section 2.5, p 3, not section 2.3. Apply consistently across all 39 studies.</t>
  </si>
  <si>
    <t>Five independent specimens are mechanical replicates. Electrical repeats do not clearly compare independently fabricated sensor outputs. Azza explicitly selected functional/sensing-output scope and score 0.</t>
  </si>
  <si>
    <t>Main PDF p 3, section 2.5</t>
  </si>
  <si>
    <t>R1 | Method quality 39!Q12</t>
  </si>
  <si>
    <t>R2 | Quality!G172</t>
  </si>
  <si>
    <t>R1 | Method quality 39!R12</t>
  </si>
  <si>
    <t>R2 | Quality!G173</t>
  </si>
  <si>
    <t>Azza's returned quality confirmation, review date 2026-10-01. Azza_Quality_Confirmation_39_Gai_Closed_20261001.xlsx, Score changes row 35.</t>
  </si>
  <si>
    <t>Five independent specimens per group are tested at 30 mm gauge length and 20 mm/min until specimen fracture. The 1500-cycle 15% strain test separately reports 28.5% peak-response increase. The fracture endpoint is explicit, but is mechanical-material failure rather than an electrical-service stability criterion. An expressly defined failure endpoint with specified test conditions supports 2. The rating does not establish general deployment reliability.
Confirmed decision: Revise to 0 under the functional scope in R2. Tensile fracture is explicitly tested, but for mechanical properties. No electrical/service failure rule is established. Keep consistent with Rules to confirm, R2.</t>
  </si>
  <si>
    <t>PDF p 3, mechanical testing; pp 8-9, sensing durability</t>
  </si>
  <si>
    <t>0 if If reviewers restrict Q12 to functional/electrical-service stability or failure, excluding mechanical specimen fracture.</t>
  </si>
  <si>
    <t>Revise. Revise to 0 under the functional scope in R2. Tensile fracture is explicitly tested, but for mechanical properties. No electrical/service failure rule is established. Keep consistent with Rules to confirm, R2.</t>
  </si>
  <si>
    <t>Mechanical tensile-to-fracture testing characterizes material properties; it is not explicitly linked to sensor functional/electrical-service failure. Azza explicitly chose Q12=0 under functional scope. Observed 1500-cycle response change is not an acceptance threshold.</t>
  </si>
  <si>
    <t>R1 | Method quality 39!S12</t>
  </si>
  <si>
    <t>R2 | Quality!G174</t>
  </si>
  <si>
    <t>R2 | Quality!G175</t>
  </si>
  <si>
    <t>R2 | Quality!G176</t>
  </si>
  <si>
    <t>R2 | Quality!G177</t>
  </si>
  <si>
    <t>p 11, Data availability</t>
  </si>
  <si>
    <t>R1 | Method quality 39!F13</t>
  </si>
  <si>
    <t>R2 | Quality!G178</t>
  </si>
  <si>
    <t>R1 | Method quality 39!G13</t>
  </si>
  <si>
    <t>R2 | Quality!G179</t>
  </si>
  <si>
    <t>R1 | Method quality 39!H13</t>
  </si>
  <si>
    <t>R2 | Quality!G180</t>
  </si>
  <si>
    <t>Four BWWAJ sensing elements are sewn into elbow/knee pads and linked to a multichannel Bluetooth acquisition system. Four elements are not four independent complete assemblies; number of complete systems and reuse remain unclear.</t>
  </si>
  <si>
    <t>PDF p 9, integrated underwater motion-monitoring system</t>
  </si>
  <si>
    <t>R1 | Method quality 39!I13; R1 | Method quality 39!J13</t>
  </si>
  <si>
    <t>R2 | Quality!G181</t>
  </si>
  <si>
    <t>R2 | Quality!G182</t>
  </si>
  <si>
    <t>R2 | Quality!G183</t>
  </si>
  <si>
    <t>Azza personally approved; confirmed directly by Pooja in this conversation, 14 October 2026. 02_Azza_Original_39_20261014.xlsx | Other applications row 16</t>
  </si>
  <si>
    <t>R1 | Method quality 39!M13</t>
  </si>
  <si>
    <t>R2 | Quality!G184</t>
  </si>
  <si>
    <t>R1 | Method quality 39!N13</t>
  </si>
  <si>
    <t>R2 | Quality!G185</t>
  </si>
  <si>
    <t>3,000 underwater cycles at 20% strain; air/water and chronic-wetting conditions</t>
  </si>
  <si>
    <t>R1 | Method quality 39!O13</t>
  </si>
  <si>
    <t>R2 | Quality!G186</t>
  </si>
  <si>
    <t>R2 | Quality!G187</t>
  </si>
  <si>
    <t>Reproducible outputs describe repeated stretch cycles and tasks rather than between-device sensing agreement.</t>
  </si>
  <si>
    <t>Main PDF pp 7–9, cyclic/underwater performance</t>
  </si>
  <si>
    <t>ISO 105-C09 C1 and C2 wash-fastness protocol</t>
  </si>
  <si>
    <t>R1 | Method quality 39!Q13</t>
  </si>
  <si>
    <t>R2 | Quality!G188</t>
  </si>
  <si>
    <t>Stability demonstrated for 3,000 underwater cycles; explicit failure limit not identified</t>
  </si>
  <si>
    <t>R1 | Method quality 39!R13</t>
  </si>
  <si>
    <t>R2 | Quality!G189</t>
  </si>
  <si>
    <t>Azza's returned quality confirmation, review date 2026-10-01. Azza_Quality_Confirmation_39_Gai_Closed_20261001.xlsx, Score changes row 36.</t>
  </si>
  <si>
    <t>Underwater 3000 cycles at 20% strain/1 Hz and one-week soaking are reported, with GF changing from 55 to 48. These are observed retained performance, not an explicit permitted-loss criterion. Under the explicit-criterion interpretation, post-test stability/drift/retention or task/classifier thresholds do not satisfy Q12. Score 0 means the requested criterion was not identified in the inspected sources, not that no robustness testing occurred or that the device is poor.
Confirmed decision: Agree under R1. GF declining from 55 to 48 after soaking is an observed result, not a declared permitted sensitivity loss.</t>
  </si>
  <si>
    <t>PDF p 9, underwater cyclic/soaking tests</t>
  </si>
  <si>
    <t>Agree. Agree under R1. GF declining from 55 to 48 after soaking is an observed result, not a declared permitted sensitivity loss.</t>
  </si>
  <si>
    <t>Underwater 3000 cycles at 20% strain/1 Hz and one-week soaking are reported, with GF changing from 55 to 48. These are observed retained performance, not an explicit permitted-loss criterion.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</si>
  <si>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R1 | Method quality 39!S13</t>
  </si>
  <si>
    <t>R2 | Quality!G190</t>
  </si>
  <si>
    <t>R2 | Quality!G191</t>
  </si>
  <si>
    <t>The four-element system is placed in elbow/knee pads for swimming-related motion recordings. Anatomical integration is described without a complete fitting/pretension method.</t>
  </si>
  <si>
    <t>PDF p 9, underwater wearable demonstration</t>
  </si>
  <si>
    <t>R2 | Quality!G192</t>
  </si>
  <si>
    <t>R2 | Quality!G193</t>
  </si>
  <si>
    <t>Azza personally approved; confirmed directly by Pooja in this conversation, 14 October 2026. 02_Azza_Original_39_20261014.xlsx | Other applications row 17</t>
  </si>
  <si>
    <t>Multiple layer, fabrication, and sleeve configurations were evaluated; exact independent device count was not reported</t>
  </si>
  <si>
    <t>R1 | Method quality 39!F14</t>
  </si>
  <si>
    <t>R2 | Quality!G194</t>
  </si>
  <si>
    <t>R1 | Method quality 39!G14</t>
  </si>
  <si>
    <t>R2 | Quality!G195</t>
  </si>
  <si>
    <t>R1 | Method quality 39!H14</t>
  </si>
  <si>
    <t>R2 | Quality!G196</t>
  </si>
  <si>
    <t>Participants: 20 knee participants; 10 elbow participants; participant details: Separate knee and elbow cohorts; full demographics was not reported in the available full text</t>
  </si>
  <si>
    <t>R1 | Method quality 39!I14; R1 | Method quality 39!J14</t>
  </si>
  <si>
    <t>R2 | Quality!G197</t>
  </si>
  <si>
    <t>R2 | Quality!G198</t>
  </si>
  <si>
    <t>R2 | Quality!G199</t>
  </si>
  <si>
    <t>Controlled sensor characterization and participant-specific/intersubject model training are documented. Existing score 1 is not contradicted by the newly accepted partial-calibration boundary. This check does not re-adjudicate 1 versus 2 depth.</t>
  </si>
  <si>
    <t>Main PDF pp 6–7, sensor characterization; pp 10–13 and 20–24, wearer models and methods</t>
  </si>
  <si>
    <t>Yes — 12-camera motion-capture system at 100 Hz</t>
  </si>
  <si>
    <t>R1 | Method quality 39!M14</t>
  </si>
  <si>
    <t>R2 | Quality!G200</t>
  </si>
  <si>
    <t>MAE, RMSE, R² and classification accuracy reported for intrasubject and intersubject analyses</t>
  </si>
  <si>
    <t>R1 | Method quality 39!N14</t>
  </si>
  <si>
    <t>R2 | Quality!G201</t>
  </si>
  <si>
    <t>30% strain at 0.5 Hz for 10,000 s; ISO washing; ASTM UV exposure; 25 °C/30% RH laboratory ageing</t>
  </si>
  <si>
    <t>R1 | Method quality 39!O14</t>
  </si>
  <si>
    <t>R2 | Quality!G202</t>
  </si>
  <si>
    <t>R2 | Quality!G203</t>
  </si>
  <si>
    <t>ISO 6330:2000 washing and ASTM G154 UV exposure</t>
  </si>
  <si>
    <t>R1 | Method quality 39!Q14</t>
  </si>
  <si>
    <t>R2 | Quality!G204</t>
  </si>
  <si>
    <t>Approximately 13% resistance increase after the 10,000-s cyclic-duration test</t>
  </si>
  <si>
    <t>R1 | Method quality 39!R14</t>
  </si>
  <si>
    <t>R2 | Quality!G205</t>
  </si>
  <si>
    <t>Ten-thousand-second cycling at 30% strain is specified, with 13% resistance-response increase and altered sensitivity after washing. No predefined acceptance threshold or failure endpoint is identified.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</si>
  <si>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PDF pp 6-7 and 20-21, Fig 3 / characterization methods</t>
  </si>
  <si>
    <t>Ten-thousand-second cycling at 30% strain is specified, with 13% resistance-response increase and altered sensitivity after washing. No stated acceptance threshold or failure endpoint is identified.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</si>
  <si>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Explicit leave-participant/intersubject evaluation: 79.9% knee and 85.5% elbow gesture accuracy; knee-angle MAE 4.21°</t>
  </si>
  <si>
    <t>R1 | Method quality 39!S14</t>
  </si>
  <si>
    <t>R2 | Quality!G206</t>
  </si>
  <si>
    <t>R2 | Quality!G207</t>
  </si>
  <si>
    <t>R2 | Quality!G208</t>
  </si>
  <si>
    <t>R2 | Quality!G209</t>
  </si>
  <si>
    <t>Azza personally approved; confirmed directly by Pooja in this conversation, 14 October 2026. 02_Azza_Original_39_20261014.xlsx | Other applications row 18</t>
  </si>
  <si>
    <t>R1 | Method quality 39!F15</t>
  </si>
  <si>
    <t>R2 | Quality!G210</t>
  </si>
  <si>
    <t>R1 | Method quality 39!G15</t>
  </si>
  <si>
    <t>R2 | Quality!G211</t>
  </si>
  <si>
    <t>R1 | Method quality 39!H15</t>
  </si>
  <si>
    <t>R2 | Quality!G212</t>
  </si>
  <si>
    <t>R1 | Method quality 39!I15; R1 | Method quality 39!J15</t>
  </si>
  <si>
    <t>R2 | Quality!G213</t>
  </si>
  <si>
    <t>R2 | Quality!G214</t>
  </si>
  <si>
    <t>R2 | Quality!G215</t>
  </si>
  <si>
    <t>Azza personally approved; confirmed directly by Pooja in this conversation, 14 October 2026. 02_Azza_Original_39_20261014.xlsx | Other applications row 19</t>
  </si>
  <si>
    <t>R1 | Method quality 39!M15</t>
  </si>
  <si>
    <t>R2 | Quality!G216</t>
  </si>
  <si>
    <t>Approximately 5% post-cycling deviation reported; replicate uncertainty not identified</t>
  </si>
  <si>
    <t>R1 | Method quality 39!N15</t>
  </si>
  <si>
    <t>R2 | Quality!G217</t>
  </si>
  <si>
    <t>10,000 cycles at 5% strain; ten washes; one-week UV and laboratory exposure</t>
  </si>
  <si>
    <t>R1 | Method quality 39!O15</t>
  </si>
  <si>
    <t>R2 | Quality!G218</t>
  </si>
  <si>
    <t>R2 | Quality!G219</t>
  </si>
  <si>
    <t>Azza personally approved; confirmed directly by Pooja in this conversation, 14 October 2026. 02_Azza_Original_39_20261014.xlsx | Six cases row 8</t>
  </si>
  <si>
    <t>No formal washing or UV standard identified in the reviewed source</t>
  </si>
  <si>
    <t>R1 | Method quality 39!Q15</t>
  </si>
  <si>
    <t>R2 | Quality!G220</t>
  </si>
  <si>
    <t>Approximately 5% deviation after 10,000 cycles</t>
  </si>
  <si>
    <t>R1 | Method quality 39!R15</t>
  </si>
  <si>
    <t>R2 | Quality!G221</t>
  </si>
  <si>
    <t>Azza's returned quality confirmation, review date 2026-10-01. Azza_Quality_Confirmation_39_Gai_Closed_20261001.xlsx, Score changes row 37.</t>
  </si>
  <si>
    <t>Ten-thousand-second tests at 5/10/30% strain and 1/0.5/0.25 Hz are specified. Observed resistance changes and sensitivity stabilization after washing are reported, not a permitted-change limit. Under the explicit-criterion interpretation, post-test stability/drift/retention or task/classifier thresholds do not satisfy Q12. Score 0 means the requested criterion was not identified in the inspected sources, not that no robustness testing occurred or that the device is poor.
Confirmed decision: Agree under R1. Specified strains, frequencies and durations define the exposure, not an acceptable loss or failure endpoint.</t>
  </si>
  <si>
    <t>PDF pp 7 and 15-17, durability/aging/washing protocols and results</t>
  </si>
  <si>
    <t>Agree. Agree under R1. Specified strains, frequencies and durations define the exposure, not an acceptable loss or failure endpoint.</t>
  </si>
  <si>
    <t>Ten-thousand-second tests at 5/10/30% strain and 1/0.5/0.25 Hz are specified. Observed resistance changes and sensitivity stabilization after washing are reported, not a permitted-change limit.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</si>
  <si>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R1 | Method quality 39!S15</t>
  </si>
  <si>
    <t>R2 | Quality!G222</t>
  </si>
  <si>
    <t>R2 | Quality!G223</t>
  </si>
  <si>
    <t>R2 | Quality!G224</t>
  </si>
  <si>
    <t>R2 | Quality!G225</t>
  </si>
  <si>
    <t>Azza personally approved; confirmed directly by Pooja in this conversation, 14 October 2026. 02_Azza_Original_39_20261014.xlsx | Six cases row 11</t>
  </si>
  <si>
    <t>R1 | Method quality 39!F16</t>
  </si>
  <si>
    <t>R2 | Quality!G258</t>
  </si>
  <si>
    <t>R1 | Method quality 39!G16</t>
  </si>
  <si>
    <t>R2 | Quality!G259</t>
  </si>
  <si>
    <t>R1 | Method quality 39!H16</t>
  </si>
  <si>
    <t>R2 | Quality!G260</t>
  </si>
  <si>
    <t>R1 | Method quality 39!I16; R1 | Method quality 39!J16</t>
  </si>
  <si>
    <t>R2 | Quality!G261</t>
  </si>
  <si>
    <t>R2 | Quality!G262</t>
  </si>
  <si>
    <t>R2 | Quality!G263</t>
  </si>
  <si>
    <t>Azza personally approved; confirmed directly by Pooja in this conversation, 14 October 2026. 02_Azza_Original_39_20261014.xlsx | Other applications row 20</t>
  </si>
  <si>
    <t>R1 | Method quality 39!M16</t>
  </si>
  <si>
    <t>R2 | Quality!G264</t>
  </si>
  <si>
    <t>R1 | Method quality 39!N16</t>
  </si>
  <si>
    <t>R2 | Quality!G265</t>
  </si>
  <si>
    <t>More than 500 cycles plus washing-fastness testing</t>
  </si>
  <si>
    <t>R1 | Method quality 39!O16</t>
  </si>
  <si>
    <t>R2 | Quality!G266</t>
  </si>
  <si>
    <t>R2 | Quality!G267</t>
  </si>
  <si>
    <t>Deionized-water stirring at 500 rpm for 3 h; no laundering standard cited</t>
  </si>
  <si>
    <t>R1 | Method quality 39!Q16</t>
  </si>
  <si>
    <t>R2 | Quality!G268</t>
  </si>
  <si>
    <t>Stable response beyond 500 cycles; explicit failure limit not identified</t>
  </si>
  <si>
    <t>R1 | Method quality 39!R16</t>
  </si>
  <si>
    <t>R2 | Quality!G269</t>
  </si>
  <si>
    <t>Azza's returned quality confirmation, review date 2026-10-01. Azza_Quality_Confirmation_39_Gai_Closed_20261001.xlsx, Score changes row 39.</t>
  </si>
  <si>
    <t>Five-hundred-cycle response and curves before/after washing or immersion are shown. Frequency and overshoot observations are reported without a predefined stability/failure criterion. Under the explicit-criterion interpretation, post-test stability/drift/retention or task/classifier thresholds do not satisfy Q12. Score 0 means the requested criterion was not identified in the inspected sources, not that no robustness testing occurred or that the device is poor.
Confirmed decision: Agree under R1. Cycling and before/after washing or immersion curves do not define a failure decision rule.</t>
  </si>
  <si>
    <t>PDF pp 6-8, Fig 3 and applications; supplement pp 1-3</t>
  </si>
  <si>
    <t>Agree. Agree under R1. Cycling and before/after washing or immersion curves do not define a failure decision rule.</t>
  </si>
  <si>
    <t>Five-hundred-cycle response and curves before/after washing or immersion are shown. Frequency and overshoot observations are reported without a stated stability/failure criterion.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</si>
  <si>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R1 | Method quality 39!S16</t>
  </si>
  <si>
    <t>R2 | Quality!G270</t>
  </si>
  <si>
    <t>R2 | Quality!G271</t>
  </si>
  <si>
    <t>An 8 cm-long,8 cm-diameter sleeve is fabricated; wrist, arm, elbow and other body placements are described with snug-fit language. Sleeve dimensions and sites are specified, but person-specific fit and controlled initial strain remain incomplete.</t>
  </si>
  <si>
    <t>PDF p 3 section 2.3 and pp 7-8 Figs 4-5</t>
  </si>
  <si>
    <t>R2 | Quality!G272</t>
  </si>
  <si>
    <t>R2 | Quality!G273</t>
  </si>
  <si>
    <t>Azza personally approved; confirmed directly by Pooja in this conversation, 14 October 2026. 02_Azza_Original_39_20261014.xlsx | Other applications row 21</t>
  </si>
  <si>
    <t>R1 | Method quality 39!F17</t>
  </si>
  <si>
    <t>R2 | Quality!G290</t>
  </si>
  <si>
    <t>R1 | Method quality 39!G17</t>
  </si>
  <si>
    <t>R2 | Quality!G291</t>
  </si>
  <si>
    <t>R1 | Method quality 39!H17</t>
  </si>
  <si>
    <t>R2 | Quality!G292</t>
  </si>
  <si>
    <t>Participants: 23; participant details: Twenty-three participants; additional demographics was not reported in the available full text</t>
  </si>
  <si>
    <t>R1 | Method quality 39!I17; R1 | Method quality 39!J17</t>
  </si>
  <si>
    <t>R2 | Quality!G293</t>
  </si>
  <si>
    <t>R2 | Quality!G294</t>
  </si>
  <si>
    <t>R2 | Quality!G295</t>
  </si>
  <si>
    <t>Known-resistor conversion and a stated input-feature/training/test classification pipeline provide a partial documented input-output basis. Retain existing 1 for scope consistency; no explicit joint-angle calibration is inferred.</t>
  </si>
  <si>
    <t>Main PDF p 5, voltage-divider equation; pp 7–9, training and task classification</t>
  </si>
  <si>
    <t>R1 | Method quality 39!M17</t>
  </si>
  <si>
    <t>R2 | Quality!G296</t>
  </si>
  <si>
    <t>Mean ± SD resistance reported; Random Forest and KNN classification accuracies reported</t>
  </si>
  <si>
    <t>R1 | Method quality 39!N17</t>
  </si>
  <si>
    <t>R2 | Quality!G297</t>
  </si>
  <si>
    <t>Activities recorded using an Arduino-based offline acquisition system; complete conditions was not reported in the available full text</t>
  </si>
  <si>
    <t>p.6, Fig. 3</t>
  </si>
  <si>
    <t>R1 | Method quality 39!O17</t>
  </si>
  <si>
    <t>R2 | Quality!G298</t>
  </si>
  <si>
    <t>R2 | Quality!G299</t>
  </si>
  <si>
    <t>Not reported — no environmental exposure test identified</t>
  </si>
  <si>
    <t>R1 | Method quality 39!Q17</t>
  </si>
  <si>
    <t>R2 | Quality!G300</t>
  </si>
  <si>
    <t>R1 | Method quality 39!R17</t>
  </si>
  <si>
    <t>R2 | Quality!G301</t>
  </si>
  <si>
    <t>The manuscript uses an existing sensor design and evaluates ADL classification. It does not provide an operational sensor-stability/failure criterion; Gini/model selection does not supply one.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</si>
  <si>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PDF pp 3-4 and classification methods/results</t>
  </si>
  <si>
    <t>Twenty-three participants were evaluated; the exact subject-independent validation strategy was not reported</t>
  </si>
  <si>
    <t>R1 | Method quality 39!S17</t>
  </si>
  <si>
    <t>R2 | Quality!G302</t>
  </si>
  <si>
    <t>R2 | Quality!G303</t>
  </si>
  <si>
    <t>R2 | Quality!G304</t>
  </si>
  <si>
    <t>R2 | Quality!G305</t>
  </si>
  <si>
    <t>p 15, Conclusion / Acknowledgement; full main text</t>
  </si>
  <si>
    <t>R1 | Method quality 39!F18</t>
  </si>
  <si>
    <t>R2 | Quality!G306</t>
  </si>
  <si>
    <t>R1 | Method quality 39!G18</t>
  </si>
  <si>
    <t>R2 | Quality!G307</t>
  </si>
  <si>
    <t>R1 | Method quality 39!H18</t>
  </si>
  <si>
    <t>R2 | Quality!G308</t>
  </si>
  <si>
    <t>Participants: At least one volunteer; exact number not reported in the reviewed source; participant details: Not reported</t>
  </si>
  <si>
    <t>R1 | Method quality 39!I18; R1 | Method quality 39!J18</t>
  </si>
  <si>
    <t>R2 | Quality!G309</t>
  </si>
  <si>
    <t>R2 | Quality!G310</t>
  </si>
  <si>
    <t>R2 | Quality!G311</t>
  </si>
  <si>
    <t>Azza personally approved; confirmed directly by Pooja in this conversation, 14 October 2026. 02_Azza_Original_39_20261014.xlsx | Other applications row 22</t>
  </si>
  <si>
    <t>R1 | Method quality 39!M18</t>
  </si>
  <si>
    <t>R2 | Quality!G312</t>
  </si>
  <si>
    <t>R1 | Method quality 39!N18</t>
  </si>
  <si>
    <t>R2 | Quality!G313</t>
  </si>
  <si>
    <t>5,000 cycles; uniaxial and 50% × 50% multiaxial strain; humidity, sweat, temperature and light exposures</t>
  </si>
  <si>
    <t>R1 | Method quality 39!O18</t>
  </si>
  <si>
    <t>R2 | Quality!G314</t>
  </si>
  <si>
    <t>R2 | Quality!G315</t>
  </si>
  <si>
    <t>No formal environmental or washing standard identified in the reviewed source</t>
  </si>
  <si>
    <t>R1 | Method quality 39!Q18</t>
  </si>
  <si>
    <t>R2 | Quality!G316</t>
  </si>
  <si>
    <t>Stable operation over 5,000 cycles; explicit numerical failure limit not identified</t>
  </si>
  <si>
    <t>R1 | Method quality 39!R18</t>
  </si>
  <si>
    <t>R2 | Quality!G317</t>
  </si>
  <si>
    <t>Azza's returned quality confirmation, review date 2026-10-01. Azza_Quality_Confirmation_39_Gai_Closed_20261001.xlsx, Score changes row 44.</t>
  </si>
  <si>
    <t>Response is described as stable after initial changes during the first 100 of 5000 cycles at 20% strain; damaged/washed operation is demonstrated. These observations do not state an acceptance limit or prospectively defined failure endpoint. Under the explicit-criterion interpretation, post-test stability/drift/retention or task/classifier thresholds do not satisfy Q12. Score 0 means the requested criterion was not identified in the inspected sources, not that no robustness testing occurred or that the device is poor.
Confirmed decision: Agree under R1. Stable response after conditioning and continued operation after damage/washing do not define an allowable loss or failure rule.</t>
  </si>
  <si>
    <t>PDF p 7 Fig 5 g and p 8 damage/wash demonstrations; supplement pp 5-7</t>
  </si>
  <si>
    <t>REC-01593_10.1016_j.jmrt.2023.07.185.pdf; 1-s2.0-S2238785423017131-mmc1.pdf</t>
  </si>
  <si>
    <t>Agree. Agree under R1. Stable response after conditioning and continued operation after damage/washing do not define an allowable loss or failure rule.</t>
  </si>
  <si>
    <t>Response is described as stable after initial changes during the first 100 of 5000 cycles at 20% strain; damaged/washed operation is demonstrated. These observations do not state an acceptance limit or defined failure endpoint.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</si>
  <si>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R1 | Method quality 39!S18</t>
  </si>
  <si>
    <t>R2 | Quality!G318</t>
  </si>
  <si>
    <t>R2 | Quality!G319</t>
  </si>
  <si>
    <t>R2 | Quality!G320</t>
  </si>
  <si>
    <t>R2 | Quality!G321</t>
  </si>
  <si>
    <t>Azza personally approved; confirmed directly by Pooja in this conversation, 14 October 2026. 02_Azza_Original_39_20261014.xlsx | Other applications row 23</t>
  </si>
  <si>
    <t>R1 | Method quality 39!F19</t>
  </si>
  <si>
    <t>R2 | Quality!G322</t>
  </si>
  <si>
    <t>R1 | Method quality 39!G19</t>
  </si>
  <si>
    <t>R2 | Quality!G323</t>
  </si>
  <si>
    <t>R1 | Method quality 39!H19</t>
  </si>
  <si>
    <t>R2 | Quality!G324</t>
  </si>
  <si>
    <t>Participants: 8; participant details: Eight healthy participants (2 men, 6 women); height 169 ± 7 cm and mass 62 ± 9 kg</t>
  </si>
  <si>
    <t>R1 | Method quality 39!I19; R1 | Method quality 39!J19</t>
  </si>
  <si>
    <t>R2 | Quality!G325</t>
  </si>
  <si>
    <t>Azza's returned quality confirmation, review date 2026-10-01. Azza_Quality_Confirmation_39_Gai_Closed_20261001.xlsx, Score changes row 21.</t>
  </si>
  <si>
    <t>The evaluated volunteer group contains 8 healthy participants,2 men and 6 women, with height 169±7 cm and mass 62±9 kg. Static/dynamic tests are described. Number, population, sex and relevant anthropometry satisfy the reporting definition. Do not conflate this evaluation group with the separate five-man scanning/design group.
Confirmed decision: Agree. Eight evaluated volunteers, sex and relevant anthropometry are reported. Keep the separate scanning/design group distinct.</t>
  </si>
  <si>
    <t>PDF p 8, volunteer evaluation paragraph</t>
  </si>
  <si>
    <t>Agree. Agree. Eight evaluated volunteers, sex and relevant anthropometry are reported. Keep the separate scanning/design group distinct.</t>
  </si>
  <si>
    <t>R2 | Quality!G326</t>
  </si>
  <si>
    <t>R2 | Quality!G327</t>
  </si>
  <si>
    <t>Calibration curves and cyclic characterization after textile integration provide partial controlled input-output calibration. Retain the existing score under the clarified boundary.</t>
  </si>
  <si>
    <t>Main PDF pp 6–8, integrated-sensor static/cyclic characterization</t>
  </si>
  <si>
    <t>Yes — Zephyr BioHarness 3 at 25 Hz; placement study used 10-camera motion capture with 89 markers</t>
  </si>
  <si>
    <t>R1 | Method quality 39!M19</t>
  </si>
  <si>
    <t>R2 | Quality!G328</t>
  </si>
  <si>
    <t>Participant descriptors reported as mean ± SD; MAE reported for both sensors and their combined estimate</t>
  </si>
  <si>
    <t>R1 | Method quality 39!N19</t>
  </si>
  <si>
    <t>R2 | Quality!G329</t>
  </si>
  <si>
    <t>Sitting, standing, walking, running and stair activity; 60-s stages and 50-s running/stair stages</t>
  </si>
  <si>
    <t>R1 | Method quality 39!O19</t>
  </si>
  <si>
    <t>R2 | Quality!G330</t>
  </si>
  <si>
    <t>R2 | Quality!G331</t>
  </si>
  <si>
    <t>Two differently located integrated sensors are characterized, without manufacturing-reproducibility comparison across independent devices.</t>
  </si>
  <si>
    <t>Main PDF pp 4–8, sensor placement and characterization</t>
  </si>
  <si>
    <t>Not reported — no environmental exposure study identified</t>
  </si>
  <si>
    <t>R1 | Method quality 39!Q19</t>
  </si>
  <si>
    <t>R2 | Quality!G332</t>
  </si>
  <si>
    <t>Hysteresis spans reported; no durability-based failure criterion</t>
  </si>
  <si>
    <t>R1 | Method quality 39!R19</t>
  </si>
  <si>
    <t>R2 | Quality!G333</t>
  </si>
  <si>
    <t>Repeated response and hysteresis are measured during defined strain protocols, without an allowable drift/retention limit or sensor-failure endpoint.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</si>
  <si>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PDF pp 6-8, electromechanical tests and volunteer evaluation</t>
  </si>
  <si>
    <t>Eight-participant evaluation with individual and averaged results; no separate leave-one-user-out model identified</t>
  </si>
  <si>
    <t>R1 | Method quality 39!S19</t>
  </si>
  <si>
    <t>R2 | Quality!G334</t>
  </si>
  <si>
    <t>R2 | Quality!G335</t>
  </si>
  <si>
    <t>R2 | Quality!G336</t>
  </si>
  <si>
    <t>R2 | Quality!G337</t>
  </si>
  <si>
    <t>Azza personally approved; confirmed directly by Pooja in this conversation, 14 October 2026. 02_Azza_Original_39_20261014.xlsx | Other applications row 24</t>
  </si>
  <si>
    <t>Sensor batches produced; four sensors installed in the prototype; exact total fabricated count not stated</t>
  </si>
  <si>
    <t>R1 | Method quality 39!F20</t>
  </si>
  <si>
    <t>R2 | Quality!G338</t>
  </si>
  <si>
    <t>Batches mentioned; exact independent batch count not reported</t>
  </si>
  <si>
    <t>p.4, Fig. 2</t>
  </si>
  <si>
    <t>R1 | Method quality 39!G20</t>
  </si>
  <si>
    <t>R2 | Quality!G339</t>
  </si>
  <si>
    <t>Four sensors in one shorts prototype; benchtop sample counts was not reported in the available full text</t>
  </si>
  <si>
    <t>R1 | Method quality 39!H20</t>
  </si>
  <si>
    <t>R2 | Quality!G340</t>
  </si>
  <si>
    <t>Participants: 12; participant details: 2 women and 10 men, age 22–31 years; anthropometrics reported as mean ± SD</t>
  </si>
  <si>
    <t>R1 | Method quality 39!I20; R1 | Method quality 39!J20</t>
  </si>
  <si>
    <t>R2 | Quality!G341</t>
  </si>
  <si>
    <t>R2 | Quality!G342</t>
  </si>
  <si>
    <t>R2 | Quality!G343</t>
  </si>
  <si>
    <t>Static optical calibration and participant-specific model training are documented. Retain existing 2 for this scope-consistency audit.</t>
  </si>
  <si>
    <t>Main PDF pp 8–10, static optical calibration and machine-learning model</t>
  </si>
  <si>
    <t>Six-camera optical motion capture at 100 Hz</t>
  </si>
  <si>
    <t>R1 | Method quality 39!M20</t>
  </si>
  <si>
    <t>R2 | Quality!G344</t>
  </si>
  <si>
    <t>R², RMSE and NRMSE reported as mean ± SD across participants</t>
  </si>
  <si>
    <t>p.4, Fig. 1</t>
  </si>
  <si>
    <t>R1 | Method quality 39!N20</t>
  </si>
  <si>
    <t>R2 | Quality!G345</t>
  </si>
  <si>
    <t>Running at 2.0 m/s; 0–30% benchtop strain, 0.1–20 Hz, 10,000-s drift and 300-cycle tests</t>
  </si>
  <si>
    <t>R1 | Method quality 39!O20</t>
  </si>
  <si>
    <t>R2 | Quality!G346</t>
  </si>
  <si>
    <t>R2 | Quality!G347</t>
  </si>
  <si>
    <t>Four installed sensors have different functional positions. Channel count does not establish replicate device agreement.</t>
  </si>
  <si>
    <t>Main PDF pp 4–5, four sensor placements</t>
  </si>
  <si>
    <t>Sweat challenge and electromagnetic-field susceptibility evaluated without a formal standard</t>
  </si>
  <si>
    <t>R1 | Method quality 39!Q20</t>
  </si>
  <si>
    <t>R2 | Quality!G348</t>
  </si>
  <si>
    <t>Maximum drift 0.48% over 10,000 s; hysteresis onset above 4 Hz described</t>
  </si>
  <si>
    <t>R1 | Method quality 39!R20</t>
  </si>
  <si>
    <t>R2 | Quality!G349</t>
  </si>
  <si>
    <t>Drift of 0.48% over 10,000 seconds and 300 trapezoidal cycles at 5-30% strain/10% persecond are measured. The reported drift is not a defined allowed drift; further environmental/wash tests are future work.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</si>
  <si>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PDF pp 13-15, sections 3.4 and 3.7</t>
  </si>
  <si>
    <t>Twelve users tested, but models were participant-specific; authors identify interparticipant calibration as future work</t>
  </si>
  <si>
    <t>R1 | Method quality 39!S20</t>
  </si>
  <si>
    <t>R2 | Quality!G350</t>
  </si>
  <si>
    <t>R2 | Quality!G351</t>
  </si>
  <si>
    <t>R2 | Quality!G352</t>
  </si>
  <si>
    <t>R2 | Quality!G353</t>
  </si>
  <si>
    <t>Azza personally approved; confirmed directly by Pooja in this conversation, 14 October 2026. 02_Azza_Original_39_20261014.xlsx | Other applications row 25; final Q16 confirmation supersedes historical pending status</t>
  </si>
  <si>
    <t>Final Q16 = 0, explicitly confirmed by Azza after the main article and complete supplied supplement were checked. No usable underlying-data/code availability statement or access route was located. Supplementary methods and derived results alone do not establish availability reporting. This closes the historical missing-supplement question; it does not imply that data do not exist.</t>
  </si>
  <si>
    <t>Main article end matter and complete supplement: Tavassolian SI pp.1–6; Raiano supplement pp.1–5. Final approval: Azza_Q16_Confirmation_20261014.txt.</t>
  </si>
  <si>
    <t>02_Azza_Original_39_20261014.xlsx | Other applications row 25; final Q16 confirmation supersedes historical pending status</t>
  </si>
  <si>
    <t>Three sleeve devices reported</t>
  </si>
  <si>
    <t>R1 | Method quality 39!F21</t>
  </si>
  <si>
    <t>R2 | Quality!G354</t>
  </si>
  <si>
    <t>R1 | Method quality 39!G21</t>
  </si>
  <si>
    <t>R2 | Quality!G355</t>
  </si>
  <si>
    <t>Three knee-sleeve devices, each with sixteen sensors</t>
  </si>
  <si>
    <t>R1 | Method quality 39!H21</t>
  </si>
  <si>
    <t>R2 | Quality!G356</t>
  </si>
  <si>
    <t>Participants: 18; participant details: Healthy participants; complete demographics was not reported in the available full text</t>
  </si>
  <si>
    <t>R1 | Method quality 39!I21; R1 | Method quality 39!J21</t>
  </si>
  <si>
    <t>R2 | Quality!G357</t>
  </si>
  <si>
    <t>Eighteen healthy participants,9 men and 9 women, age 20-47 years (27.4±7.1), with BMI range 18.3-33.9 and tabulated demographics are reported. Clear participant reporting supports 2.</t>
  </si>
  <si>
    <t>PDF pp 4-5, Participants / Table 1</t>
  </si>
  <si>
    <t>R2 | Quality!G358</t>
  </si>
  <si>
    <t>Azza's returned quality confirmation, review date 2026-10-01. Azza_Quality_Confirmation_39_Gai_Closed_20261001.xlsx, Score changes row 23.</t>
  </si>
  <si>
    <t>Participants perform a 60-second knee-motion task with two-second movement phases. Tenfold validation partitions within-participant task data. Movement repetitions and cross-validation folds are not independent sessions, days or donning cycles. No qualifying repeated-session schedule is established; change 1 to 0.
Confirmed decision: Agree. The 60-second task and within-subject cross-validation do not establish independent sessions, days or donning cycles.</t>
  </si>
  <si>
    <t>PDF pp 4-5, experimental protocol and model-validation procedures</t>
  </si>
  <si>
    <t>Agree. Agree. The 60-second task and within-subject cross-validation do not establish independent sessions, days or donning cycles.</t>
  </si>
  <si>
    <t>R2 | Quality!G359</t>
  </si>
  <si>
    <t>Subject-specific/device-specific models and a described cross-validation pipeline relate measured signals to motion-capture knee angles. Retain existing 2.</t>
  </si>
  <si>
    <t>Main PDF pp 5–7, Modeling and Predictions</t>
  </si>
  <si>
    <t>Optical motion capture</t>
  </si>
  <si>
    <t>R1 | Method quality 39!M21</t>
  </si>
  <si>
    <t>R2 | Quality!G360</t>
  </si>
  <si>
    <t>RMSE and R² used; group-average errors reported for both rotation axes</t>
  </si>
  <si>
    <t>R1 | Method quality 39!N21</t>
  </si>
  <si>
    <t>R2 | Quality!G361</t>
  </si>
  <si>
    <t>Open-chain knee rehabilitation exercises; complete sampling and load conditions was not reported in the available full text</t>
  </si>
  <si>
    <t>R1 | Method quality 39!O21</t>
  </si>
  <si>
    <t>R2 | Quality!G362</t>
  </si>
  <si>
    <t>R2 | Quality!G363</t>
  </si>
  <si>
    <t>Three independently assembled sleeves have device-specific prediction metrics. Participants differ substantially between devices, so this is a partial between-device comparison, not a controlled equivalence demonstration. Retain 1.</t>
  </si>
  <si>
    <t>Main PDF pp 6–7, three sleeves and Table 2</t>
  </si>
  <si>
    <t>R1 | Method quality 39!Q21</t>
  </si>
  <si>
    <t>R2 | Quality!G364</t>
  </si>
  <si>
    <t>Repeatable/reusable operation claimed; explicit failure threshold not reported</t>
  </si>
  <si>
    <t>R1 | Method quality 39!R21</t>
  </si>
  <si>
    <t>R2 | Quality!G365</t>
  </si>
  <si>
    <t>Severed wires are observed in two participants, and negativeR-squared models are diagnosed as failed. Posthoc hardware/model failures are not a predefined sensor-stability acceptance criterion.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</si>
  <si>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PDF pp 4-5 and 10-12, procedures and failure discussion</t>
  </si>
  <si>
    <t>Severed wires are observed in two participants, and negativeR-squared models are diagnosed as failed. Posthoc hardware/model failures are not a stated sensor-stability acceptance criterion.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</si>
  <si>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Eighteen users tested; reported models were within-subject/device-specific and did not establish unseen-user prediction</t>
  </si>
  <si>
    <t>R1 | Method quality 39!S21</t>
  </si>
  <si>
    <t>R2 | Quality!G366</t>
  </si>
  <si>
    <t>R2 | Quality!G367</t>
  </si>
  <si>
    <t>R2 | Quality!G368</t>
  </si>
  <si>
    <t>R2 | Quality!G369</t>
  </si>
  <si>
    <t>Azza personally approved; confirmed directly by Pooja in this conversation, 14 October 2026. 02_Azza_Original_39_20261014.xlsx | Other applications row 26</t>
  </si>
  <si>
    <t>R1 | Method quality 39!F22</t>
  </si>
  <si>
    <t>R2 | Quality!G370</t>
  </si>
  <si>
    <t>R1 | Method quality 39!G22</t>
  </si>
  <si>
    <t>R2 | Quality!G371</t>
  </si>
  <si>
    <t>p.40</t>
  </si>
  <si>
    <t>R1 | Method quality 39!H22</t>
  </si>
  <si>
    <t>R2 | Quality!G372</t>
  </si>
  <si>
    <t>Participants: 10; participant details: Ten participants; complete demographics was not reported in the available full text</t>
  </si>
  <si>
    <t>R1 | Method quality 39!I22; R1 | Method quality 39!J22</t>
  </si>
  <si>
    <t>R2 | Quality!G373</t>
  </si>
  <si>
    <t>R2 | Quality!G374</t>
  </si>
  <si>
    <t>R2 | Quality!G375</t>
  </si>
  <si>
    <t>The source explicitly describes device/belt calibration to circumferential change. Retain existing 2 for scope consistency; no new reviewer confirmation is inferred.</t>
  </si>
  <si>
    <t>Main PDF section 2, Structural Design, Materials, Fabrication and Calibration, beginning p 6</t>
  </si>
  <si>
    <t>Biodex 3 dynamometer measuring torque at 1,500 Hz</t>
  </si>
  <si>
    <t>p.20, Fig. 8</t>
  </si>
  <si>
    <t>R1 | Method quality 39!M22</t>
  </si>
  <si>
    <t>R2 | Quality!G376</t>
  </si>
  <si>
    <t>Mean correlation coefficient reported as 0.938 ± 0.050</t>
  </si>
  <si>
    <t>R1 | Method quality 39!N22</t>
  </si>
  <si>
    <t>R2 | Quality!G377</t>
  </si>
  <si>
    <t>Maximum voluntary isometric contractions held for 2 s at five fixed elbow positions</t>
  </si>
  <si>
    <t>R1 | Method quality 39!O22</t>
  </si>
  <si>
    <t>R2 | Quality!G378</t>
  </si>
  <si>
    <t>R2 | Quality!G379</t>
  </si>
  <si>
    <t>A multi-element belt and nominally similar component properties are described, not a quantified independently manufactured-device comparison.</t>
  </si>
  <si>
    <t>Main PDF p 9, sensing belt; p 36, discussion</t>
  </si>
  <si>
    <t>R1 | Method quality 39!Q22</t>
  </si>
  <si>
    <t>R2 | Quality!G380</t>
  </si>
  <si>
    <t>R1 | Method quality 39!R22</t>
  </si>
  <si>
    <t>R2 | Quality!G381</t>
  </si>
  <si>
    <t>A 100,000-cycle fatigue life, measurement error below 5% and hysteresis are described as sensor properties; an operational allowed-degradation threshold or declared failure definition is not identified.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</si>
  <si>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PDF p 5 and methods/results, sensor properties and LGMS evaluation</t>
  </si>
  <si>
    <t>Ten-participant correlation analysis</t>
  </si>
  <si>
    <t>R1 | Method quality 39!S22</t>
  </si>
  <si>
    <t>R2 | Quality!G382</t>
  </si>
  <si>
    <t>p.33</t>
  </si>
  <si>
    <t>R2 | Quality!G383</t>
  </si>
  <si>
    <t>R2 | Quality!G384</t>
  </si>
  <si>
    <t>R2 | Quality!G385</t>
  </si>
  <si>
    <t>No underlying-data/code availability statement or route was identified in the complete checked accepted manuscript.</t>
  </si>
  <si>
    <t>pp 38–39, conclusion / Acknowledgements / References; full main text</t>
  </si>
  <si>
    <t>R1 | Method quality 39!F23</t>
  </si>
  <si>
    <t>R2 | Quality!G386</t>
  </si>
  <si>
    <t>R1 | Method quality 39!G23</t>
  </si>
  <si>
    <t>R2 | Quality!G387</t>
  </si>
  <si>
    <t>R1 | Method quality 39!H23</t>
  </si>
  <si>
    <t>R2 | Quality!G388</t>
  </si>
  <si>
    <t>Participants: 10; participant details: Ten healthy male participants</t>
  </si>
  <si>
    <t>R1 | Method quality 39!I23; R1 | Method quality 39!J23</t>
  </si>
  <si>
    <t>R2 | Quality!G389</t>
  </si>
  <si>
    <t>R2 | Quality!G390</t>
  </si>
  <si>
    <t>R2 | Quality!G391</t>
  </si>
  <si>
    <t>PCA selection, filtering and respiratory-rate comparison with a flowmeter are described. No controlled strain-response calibration or fitted calibration mapping is identified in these methods. Comparator-based evaluation alone is not calibration.</t>
  </si>
  <si>
    <t>Main PDF pp 2–4, smart garment, sensor-selection algorithm and data analysis</t>
  </si>
  <si>
    <t>Respiratory flowmeter</t>
  </si>
  <si>
    <t>R1 | Method quality 39!M23</t>
  </si>
  <si>
    <t>R2 | Quality!G392</t>
  </si>
  <si>
    <t>Average and breath-by-breath RR agreement assessed; exact metrics was not reported in the available full text</t>
  </si>
  <si>
    <t>R1 | Method quality 39!N23</t>
  </si>
  <si>
    <t>R2 | Quality!G393</t>
  </si>
  <si>
    <t>Rest; walking at 1.6, 3.0, 5.0 and 6.6 km/h; running at 8.0 km/h</t>
  </si>
  <si>
    <t>R1 | Method quality 39!O23</t>
  </si>
  <si>
    <t>R2 | Quality!G394</t>
  </si>
  <si>
    <t>R2 | Quality!G395</t>
  </si>
  <si>
    <t>Six differently positioned channels are selected for respiratory performance. Channel correlation is not independent manufactured-device reproducibility.</t>
  </si>
  <si>
    <t>Main PDF pp 2–4, six sensors and PCA selection</t>
  </si>
  <si>
    <t>R1 | Method quality 39!Q23</t>
  </si>
  <si>
    <t>R2 | Quality!G396</t>
  </si>
  <si>
    <t>Sensors with correlation &gt;0.8 were reduced according to PCA weight; no device-failure criterion</t>
  </si>
  <si>
    <t>R1 | Method quality 39!R23</t>
  </si>
  <si>
    <t>R2 | Quality!G397</t>
  </si>
  <si>
    <t>Feature-correlation thresholds and temporal/amplitude peak thresholds define respiratory processing, not stability or failure acceptance.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</si>
  <si>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PDF pp 3-4, algorithm and respiratory-frequency methods</t>
  </si>
  <si>
    <t>Ten participants evaluated; all male and cross-user model details was not reported in the available full text</t>
  </si>
  <si>
    <t>R1 | Method quality 39!S23</t>
  </si>
  <si>
    <t>R2 | Quality!G398</t>
  </si>
  <si>
    <t>R2 | Quality!G399</t>
  </si>
  <si>
    <t>R2 | Quality!G400</t>
  </si>
  <si>
    <t>R2 | Quality!G401</t>
  </si>
  <si>
    <t>Azza personally approved; confirmed directly by Pooja in this conversation, 14 October 2026. 02_Azza_Original_39_20261014.xlsx | Other applications row 27; final Q16 confirmation supersedes historical pending status</t>
  </si>
  <si>
    <t>02_Azza_Original_39_20261014.xlsx | Other applications row 27; final Q16 confirmation supersedes historical pending status</t>
  </si>
  <si>
    <t>R1 | Method quality 39!F24</t>
  </si>
  <si>
    <t>R2 | Quality!G402</t>
  </si>
  <si>
    <t>R1 | Method quality 39!G24</t>
  </si>
  <si>
    <t>R2 | Quality!G403</t>
  </si>
  <si>
    <t>R1 | Method quality 39!H24</t>
  </si>
  <si>
    <t>R2 | Quality!G404</t>
  </si>
  <si>
    <t>R1 | Method quality 39!I24; R1 | Method quality 39!J24</t>
  </si>
  <si>
    <t>R2 | Quality!G405</t>
  </si>
  <si>
    <t>R2 | Quality!G406</t>
  </si>
  <si>
    <t>R2 | Quality!G407</t>
  </si>
  <si>
    <t>Azza personally approved; confirmed directly by Pooja in this conversation, 14 October 2026. 02_Azza_Original_39_20261014.xlsx | Other applications row 28</t>
  </si>
  <si>
    <t>R1 | Method quality 39!M24</t>
  </si>
  <si>
    <t>R2 | Quality!G408</t>
  </si>
  <si>
    <t>R1 | Method quality 39!N24</t>
  </si>
  <si>
    <t>R2 | Quality!G409</t>
  </si>
  <si>
    <t>R1 | Method quality 39!O24</t>
  </si>
  <si>
    <t>R2 | Quality!G410</t>
  </si>
  <si>
    <t>R2 | Quality!G411</t>
  </si>
  <si>
    <t>R1 | Method quality 39!Q24</t>
  </si>
  <si>
    <t>R2 | Quality!G412</t>
  </si>
  <si>
    <t>R1 | Method quality 39!R24</t>
  </si>
  <si>
    <t>R2 | Quality!G413</t>
  </si>
  <si>
    <t>Azza's returned quality confirmation, review date 2026-10-01. Azza_Quality_Confirmation_39_Gai_Closed_20261001.xlsx, Score changes row 28.</t>
  </si>
  <si>
    <t>Washing, rubbing, illumination and 3000 cycles at 20% strain/1 Hz are described. Similar curves or slight drift report outcomes; no prospectively specified acceptable drift/retention criterion is identified. Under the explicit-criterion interpretation, post-test stability/drift/retention or task/classifier thresholds do not satisfy Q12. Score 0 means the requested criterion was not identified in the inspected sources, not that no robustness testing occurred or that the device is poor.
Confirmed decision: Agree under R1. Rubbing, washing, light exposure and cycling are documented, but no functional pass/fail rule is identified in the cited evidence.</t>
  </si>
  <si>
    <t>PDF pp 4 and 7-12, durability/environmental protocols and results</t>
  </si>
  <si>
    <t>Agree. Agree under R1. Rubbing, washing, light exposure and cycling are documented, but no functional pass/fail rule is identified in the cited evidence.</t>
  </si>
  <si>
    <t>Washing, rubbing, illumination and 3000 cycles at 20% strain/1 Hz are described. Similar curves or slight drift report outcomes; no specified acceptable drift/retention criterion is identified.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</si>
  <si>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R1 | Method quality 39!S24</t>
  </si>
  <si>
    <t>R2 | Quality!G414</t>
  </si>
  <si>
    <t>R2 | Quality!G415</t>
  </si>
  <si>
    <t>Sensor locations include neck, wrist, finger, elbow, knee, cheek and eye regions for motion and physiological demonstrations. Retain partial anatomical-placement credit; these locations are not a reproducible sizing/pretension protocol.</t>
  </si>
  <si>
    <t>PDF pp 10-12, human activity demonstrations</t>
  </si>
  <si>
    <t>R2 | Quality!G416</t>
  </si>
  <si>
    <t>R2 | Quality!G417</t>
  </si>
  <si>
    <t>Azza personally approved; confirmed directly by Pooja in this conversation, 14 October 2026. 02_Azza_Original_39_20261014.xlsx | Other applications row 29</t>
  </si>
  <si>
    <t>R1 | Method quality 39!F25</t>
  </si>
  <si>
    <t>R2 | Quality!G418</t>
  </si>
  <si>
    <t>R1 | Method quality 39!G25</t>
  </si>
  <si>
    <t>R2 | Quality!G419</t>
  </si>
  <si>
    <t>R1 | Method quality 39!H25</t>
  </si>
  <si>
    <t>R2 | Quality!G420</t>
  </si>
  <si>
    <t>Participants: Not reported; participant details: Glove demonstration reported; participant information not reported</t>
  </si>
  <si>
    <t>R1 | Method quality 39!I25; R1 | Method quality 39!J25</t>
  </si>
  <si>
    <t>R2 | Quality!G421</t>
  </si>
  <si>
    <t>R2 | Quality!G422</t>
  </si>
  <si>
    <t>R2 | Quality!G423</t>
  </si>
  <si>
    <t>Azza personally approved; confirmed directly by Pooja in this conversation, 14 October 2026. 02_Azza_Original_39_20261014.xlsx | Other applications row 30</t>
  </si>
  <si>
    <t>No external finger-angle reference; approximately 90° partial bend described</t>
  </si>
  <si>
    <t>R1 | Method quality 39!M25</t>
  </si>
  <si>
    <t>R2 | Quality!G424</t>
  </si>
  <si>
    <t>R², nonlinearity error, standard deviation and defined sample counts reported</t>
  </si>
  <si>
    <t>R1 | Method quality 39!N25</t>
  </si>
  <si>
    <t>R2 | Quality!G425</t>
  </si>
  <si>
    <t>0–60% sensing range; 1,000 mechanical cycles; 0–50 °C; 64–94% RH; hand washing</t>
  </si>
  <si>
    <t>p.7, Fig. 1i</t>
  </si>
  <si>
    <t>R1 | Method quality 39!O25</t>
  </si>
  <si>
    <t>R2 | Quality!G426</t>
  </si>
  <si>
    <t>R2 | Quality!G427</t>
  </si>
  <si>
    <t>The stated 6000 samples are signal samples across cycles, not 6000 independent sensors. No independent-device sensing comparison is identified.</t>
  </si>
  <si>
    <t>Main PDF p 16, statistical analysis</t>
  </si>
  <si>
    <t>Custom hand-wash, temperature and humidity protocols; no formal standard identified</t>
  </si>
  <si>
    <t>R1 | Method quality 39!Q25</t>
  </si>
  <si>
    <t>R2 | Quality!G428</t>
  </si>
  <si>
    <t>3.21% capacitance decrease after 1,000 cycles; stabilization after about 400 cycles; 1.2% post-wash/mechanical deviation</t>
  </si>
  <si>
    <t>R1 | Method quality 39!R25</t>
  </si>
  <si>
    <t>R2 | Quality!G429</t>
  </si>
  <si>
    <t>Azza's returned quality confirmation, review date 2026-10-01. Azza_Quality_Confirmation_39_Gai_Closed_20261001.xlsx, Score changes row 30.</t>
  </si>
  <si>
    <t>Nominal capacitance decreases 3.21% over 1000 cycles and stabilizes within 1.5% after 400 cycles; the text calls remaining linearity acceptable. These are post-test observations, not a defined allowable limit. Stitch geometry minimizing thread strain is a design rule, not a declared failure endpoint. Under the explicit-criterion interpretation, post-test stability/drift/retention or task/classifier thresholds do not satisfy Q12. Score 0 means the requested criterion was not identified in the inspected sources, not that no robustness testing occurred or that the device is poor.
Confirmed decision: Agree under R1. The 3.21% decrease and later 1.5% variation describe results. Calling remaining linearity acceptable does not define an acceptance threshold.</t>
  </si>
  <si>
    <t>PDF pp 8 and 15-16, stitch design, section 4.6 and washability</t>
  </si>
  <si>
    <t>Agree. Agree under R1. The 3.21% decrease and later 1.5% variation describe results. Calling remaining linearity acceptable does not define an acceptance threshold.</t>
  </si>
  <si>
    <t>Nominal capacitance decreases 3.21% over 1000 cycles and stabilizes within 1.5% after 400 cycles; the text calls remaining linearity acceptable. These are post-test observations, not a defined allowable limit. Stitch geometry minimizing thread strain is a design rule, not a declared failure endpoint.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</si>
  <si>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R1 | Method quality 39!S25</t>
  </si>
  <si>
    <t>R2 | Quality!G430</t>
  </si>
  <si>
    <t>p.20</t>
  </si>
  <si>
    <t>R2 | Quality!G431</t>
  </si>
  <si>
    <t>R2 | Quality!G432</t>
  </si>
  <si>
    <t>R2 | Quality!G433</t>
  </si>
  <si>
    <t>Azza personally approved; confirmed directly by Pooja in this conversation, 14 October 2026. 02_Azza_Original_39_20261014.xlsx | Six cases row 12</t>
  </si>
  <si>
    <t>p.7, Table II</t>
  </si>
  <si>
    <t>R1 | Method quality 39!F26</t>
  </si>
  <si>
    <t>R2 | Quality!G434</t>
  </si>
  <si>
    <t>Azza's returned quality confirmation, review date 2026-10-01. Azza_Quality_Confirmation_39_Gai_Closed_20261001.xlsx, Score changes row 14.</t>
  </si>
  <si>
    <t>Eight sensor specimens were fabricated. Two with baseline resistance greater than 10 kΩ were omitted for fabrication errors and one for synchronization error, leaving five specimens for the benchtop analysis. Fabricated and analyzed n, reasons for attrition, and the physical sensor unit are explicitly distinguished; this supports 2 rather than 1. Exclusion transparency is reporting, not an endorsement of excluding fabrication failures.
Confirmed decision: Agree. Eight fabricated and five analyzed sensors are distinguished, with reasons for excluding three samples. This documents attrition without endorsing the exclusions.</t>
  </si>
  <si>
    <t>Saved main PDF p 5, Study 1 specimen paragraph; p 9 Fig 3</t>
  </si>
  <si>
    <t>Agree. Agree. Eight fabricated and five analyzed sensors are distinguished, with reasons for excluding three samples. This documents attrition without endorsing the exclusions.</t>
  </si>
  <si>
    <t>R1 | Method quality 39!G26</t>
  </si>
  <si>
    <t>R2 | Quality!G435</t>
  </si>
  <si>
    <t>R1 | Method quality 39!H26</t>
  </si>
  <si>
    <t>R2 | Quality!G436</t>
  </si>
  <si>
    <t>Participants: 1; participant details: One astronaut/participant in an ISS proof-of-concept exercise protocol</t>
  </si>
  <si>
    <t>R1 | Method quality 39!I26; R1 | Method quality 39!J26</t>
  </si>
  <si>
    <t>R2 | Quality!G437</t>
  </si>
  <si>
    <t>One consenting adult ISS participant is monitored during an eight-day period, with exercise on flight days 6,7,8. Participant number/population and sessions are available, but demographics are limited.</t>
  </si>
  <si>
    <t>PDF pp 6-7, Study 2 ISS exercise protocol</t>
  </si>
  <si>
    <t>R2 | Quality!G438</t>
  </si>
  <si>
    <t>R2 | Quality!G439</t>
  </si>
  <si>
    <t>Controlled electromechanical characterization is followed by an explicitly described supervised training/test pipeline. Retain existing 2 for scope consistency.</t>
  </si>
  <si>
    <t>Main PDF pp 4–7, benchtop characterization and classifier training</t>
  </si>
  <si>
    <t>No external joint-angle reference; IMU/gyroscope used as an additional input modality</t>
  </si>
  <si>
    <t>R1 | Method quality 39!M26</t>
  </si>
  <si>
    <t>R2 | Quality!G440</t>
  </si>
  <si>
    <t>Azza's returned quality confirmation, review date 2026-10-01. Azza_Quality_Confirmation_39_Gai_Closed_20261001.xlsx, Score changes row 16.</t>
  </si>
  <si>
    <t>A button indicator synchronizes sensor data to video. Activities are manually annotated using video timestamps and the sensor records are divided into three-second labelled segments for classification. The external video reference and synchronization/label-generation procedure are described. Upgrade 1 to 2 is about reference reporting, not proof of blinded annotation or generalizable classification.
Confirmed decision: Agree. Video provides the external activity labels, with button-based synchronization and manual time stamping described on pp 6–7.</t>
  </si>
  <si>
    <t>PDF pp 6-7, Study 2 protocol and video annotation / synchronization</t>
  </si>
  <si>
    <t>Agree. Agree. Video provides the external activity labels, with button-based synchronization and manual time stamping described on pp 6–7.</t>
  </si>
  <si>
    <t>Recall by movement and mean recall reported; full uncertainty statistics was not reported in the available full text</t>
  </si>
  <si>
    <t>R1 | Method quality 39!N26</t>
  </si>
  <si>
    <t>R2 | Quality!G441</t>
  </si>
  <si>
    <t>Benchtop mechanical tests plus operational microgravity garment use on the ISS</t>
  </si>
  <si>
    <t>R1 | Method quality 39!O26</t>
  </si>
  <si>
    <t>R2 | Quality!G442</t>
  </si>
  <si>
    <t>R2 | Quality!G443</t>
  </si>
  <si>
    <t>Azza's returned quality confirmation, review date 2026-10-01. Azza_Quality_Confirmation_39_Gai_Closed_20261001.xlsx, Score changes row 15.</t>
  </si>
  <si>
    <t>GF and hysteresis are averaged across five sensor samples. GF values across profiles are 3.77±1.47,2.62±1.08 and 1.89±0.84. The discussion explicitly describes baseline-resistance variability, a visible outlier and reduced inter-sample consistency at the largest strain. Independent samples and comparative electrical-response variability are explicitly assessed, supporting 2 rather than 0. This does not mean agreement is good; the reported variability and fabrication limitations remain visible.
Confirmed decision: Agree. The five sensors have comparable electrical tests and reported between-sensor variability. Poor agreement does not negate reproducibility reporting.</t>
  </si>
  <si>
    <t>Saved main PDF pp 6 and 9, GF/hysteresis averages and Fig 3; pp 11–12 between-sample discussion</t>
  </si>
  <si>
    <t>Agree. Agree. The five sensors have comparable electrical tests and reported between-sensor variability. Poor agreement does not negate reproducibility reporting.</t>
  </si>
  <si>
    <t>GF and hysteresis are averaged across five sensor samples, with explicit variability, baseline differences and outlier discussion. This directly reports independent-sample sensing outputs.</t>
  </si>
  <si>
    <t>Main PDF pp 6 and 9, Fig 3; pp 11–12, inter-sample discussion</t>
  </si>
  <si>
    <t>Operational ISS exposure; no formal environmental-test standard identified</t>
  </si>
  <si>
    <t>R1 | Method quality 39!Q26</t>
  </si>
  <si>
    <t>R2 | Quality!G444</t>
  </si>
  <si>
    <t>Cycle stability and hysteresis were assessed; no explicit pass/fail threshold was defined</t>
  </si>
  <si>
    <t>R1 | Method quality 39!R26</t>
  </si>
  <si>
    <t>R2 | Quality!G445</t>
  </si>
  <si>
    <t>Azza's returned quality confirmation, review date 2026-10-01. Azza_Quality_Confirmation_39_Gai_Closed_20261001.xlsx, Score changes row 32.</t>
  </si>
  <si>
    <t>Bench signal behaviour, conditioning and movement-classification performance are reported. Activity thresholds and physical configuration limits are not a predefined stability/failure criterion. Under the explicit-criterion interpretation, post-test stability/drift/retention or task/classifier thresholds do not satisfy Q12. Score 0 means the requested criterion was not identified in the inspected sources, not that no robustness testing occurred or that the device is poor.
Confirmed decision: Agree under R1. Characterization and activity thresholds do not define acceptable sensor degradation or service failure.</t>
  </si>
  <si>
    <t>PDF pp 4-8, bench characterization and activity study</t>
  </si>
  <si>
    <t>Agree. Agree under R1. Characterization and activity thresholds do not define acceptable sensor degradation or service failure.</t>
  </si>
  <si>
    <t>Bench signal behaviour, conditioning and movement-classification performance are reported. Activity thresholds and physical configuration limits are not a stated stability/failure criterion.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</si>
  <si>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Not assessable — single participant</t>
  </si>
  <si>
    <t>R1 | Method quality 39!S26</t>
  </si>
  <si>
    <t>R2 | Quality!G446</t>
  </si>
  <si>
    <t>R2 | Quality!G447</t>
  </si>
  <si>
    <t>R2 | Quality!G448</t>
  </si>
  <si>
    <t>R2 | Quality!G449</t>
  </si>
  <si>
    <t>No underlying-data/code availability statement or route was identified in the complete checked article.</t>
  </si>
  <si>
    <t>p 15, conclusions / Acknowledgment; full publisher text</t>
  </si>
  <si>
    <t>R1 | Method quality 39!F27</t>
  </si>
  <si>
    <t>R2 | Quality!G450</t>
  </si>
  <si>
    <t>R1 | Method quality 39!G27</t>
  </si>
  <si>
    <t>R2 | Quality!G451</t>
  </si>
  <si>
    <t>p.7, Fig. 5</t>
  </si>
  <si>
    <t>R1 | Method quality 39!H27</t>
  </si>
  <si>
    <t>R2 | Quality!G452</t>
  </si>
  <si>
    <t>R1 | Method quality 39!I27; R1 | Method quality 39!J27</t>
  </si>
  <si>
    <t>R2 | Quality!G453</t>
  </si>
  <si>
    <t>R2 | Quality!G454</t>
  </si>
  <si>
    <t>R2 | Quality!G455</t>
  </si>
  <si>
    <t>Azza personally approved; confirmed directly by Pooja in this conversation, 14 October 2026. 02_Azza_Original_39_20261014.xlsx | Other applications row 31</t>
  </si>
  <si>
    <t>Robotic-hand synchronization demonstrated; no external human-joint reference</t>
  </si>
  <si>
    <t>R1 | Method quality 39!M27</t>
  </si>
  <si>
    <t>R2 | Quality!G456</t>
  </si>
  <si>
    <t>R1 | Method quality 39!N27</t>
  </si>
  <si>
    <t>R2 | Quality!G457</t>
  </si>
  <si>
    <t>0–32% strain, response/recovery at 20% strain, 1,500 cycles and air-permeability testing at 300 Pa</t>
  </si>
  <si>
    <t>R1 | Method quality 39!O27</t>
  </si>
  <si>
    <t>R2 | Quality!G458</t>
  </si>
  <si>
    <t>R2 | Quality!G459</t>
  </si>
  <si>
    <t>No formal environmental standard identified</t>
  </si>
  <si>
    <t>R1 | Method quality 39!Q27</t>
  </si>
  <si>
    <t>R2 | Quality!G460</t>
  </si>
  <si>
    <t>Repeatable output over 1,500 cycles; explicit numerical failure threshold not reported</t>
  </si>
  <si>
    <t>R1 | Method quality 39!R27</t>
  </si>
  <si>
    <t>R2 | Quality!G461</t>
  </si>
  <si>
    <t>Azza's returned quality confirmation, review date 2026-10-01. Azza_Quality_Confirmation_39_Gai_Closed_20261001.xlsx, Score changes row 38.</t>
  </si>
  <si>
    <t>During 1500 cycles at 20% strain, waveform shape remains distinguishable with slight baseline fluctuation. Encapsulation and the setup are specified; no numerical acceptance limit or declared failure endpoint is identified. Under the explicit-criterion interpretation, post-test stability/drift/retention or task/classifier thresholds do not satisfy Q12. Score 0 means the requested criterion was not identified in the inspected sources, not that no robustness testing occurred or that the device is poor.
Confirmed decision: Agree under R1. The 1500-cycle response and slight baseline fluctuation are observations, without a stated functional acceptance limit.</t>
  </si>
  <si>
    <t>PDF pp 7-8 sections 2.4-2.7; supplement pp 6-7 FigsS 13-S 14</t>
  </si>
  <si>
    <t>REC-00683_10.1016_j.sna.2026.118233.pdf; REC-00683-SI.pdf</t>
  </si>
  <si>
    <t>Agree. Agree under R1. The 1500-cycle response and slight baseline fluctuation are observations, without a stated functional acceptance limit.</t>
  </si>
  <si>
    <t>During 1500 cycles at 20% strain, waveform shape remains distinguishable with slight baseline fluctuation. Encapsulation and the setup are specified; no numerical acceptance limit or declared failure endpoint is identified.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</si>
  <si>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R1 | Method quality 39!S27</t>
  </si>
  <si>
    <t>R2 | Quality!G462</t>
  </si>
  <si>
    <t>R2 | Quality!G463</t>
  </si>
  <si>
    <t>Sensors are attached to finger, wrist, elbow and knee; glove sensors at finger joints control a robotic hand. VHB encapsulation is specified for the cyclic tensile setup. Placement and test encapsulation are available, but garment sizing and initial sensor tension are not quantified.</t>
  </si>
  <si>
    <t>PDF pp 7-8, sections 2.5-2.7 / Figs 4-5</t>
  </si>
  <si>
    <t>p.7, Fig. 5a</t>
  </si>
  <si>
    <t>R2 | Quality!G464</t>
  </si>
  <si>
    <t>R2 | Quality!G465</t>
  </si>
  <si>
    <t>R1 | Method quality 39!F28</t>
  </si>
  <si>
    <t>R2 | Quality!G466</t>
  </si>
  <si>
    <t>R1 | Method quality 39!G28</t>
  </si>
  <si>
    <t>R2 | Quality!G467</t>
  </si>
  <si>
    <t>R1 | Method quality 39!H28</t>
  </si>
  <si>
    <t>R2 | Quality!G468</t>
  </si>
  <si>
    <t>R1 | Method quality 39!I28; R1 | Method quality 39!J28</t>
  </si>
  <si>
    <t>R2 | Quality!G469</t>
  </si>
  <si>
    <t>R2 | Quality!G470</t>
  </si>
  <si>
    <t>R2 | Quality!G471</t>
  </si>
  <si>
    <t>Azza personally approved; confirmed directly by Pooja in this conversation, 14 October 2026. 02_Azza_Original_39_20261014.xlsx | Other applications row 32</t>
  </si>
  <si>
    <t>R1 | Method quality 39!M28</t>
  </si>
  <si>
    <t>R2 | Quality!G472</t>
  </si>
  <si>
    <t>R1 | Method quality 39!N28</t>
  </si>
  <si>
    <t>R2 | Quality!G473</t>
  </si>
  <si>
    <t>&gt;10,000 cycles plus sweat, abrasion and breathability tests</t>
  </si>
  <si>
    <t>p.9, Fig. 2d</t>
  </si>
  <si>
    <t>R1 | Method quality 39!O28</t>
  </si>
  <si>
    <t>R2 | Quality!G474</t>
  </si>
  <si>
    <t>R2 | Quality!G475</t>
  </si>
  <si>
    <t>Sweat and abrasion protocols was not reported in the available full text</t>
  </si>
  <si>
    <t>R1 | Method quality 39!Q28</t>
  </si>
  <si>
    <t>R2 | Quality!G476</t>
  </si>
  <si>
    <t>Sweat exposure lasts 4 h; sensing fabric and cotton are rubbed with sandpaper and compared by damage at specified rub counts. Supplement NoteS 13 identifies ordinary-warp breakage and later whole-fabric rupture. Tests are identifiable, but sandpaper load/motion/grade and a fully specified sweat formulation/protocol are not supplied in the inspected descriptions. Retain partial, not standardized-method credit.</t>
  </si>
  <si>
    <t>PDF pp 14-16, sweat/friction/air-permeability tests; supplement pp 6-7 NoteS 13</t>
  </si>
  <si>
    <t>Stable beyond 10,000 cycles and no liquid-metal leakage reported; numerical failure limit not identified</t>
  </si>
  <si>
    <t>R1 | Method quality 39!R28</t>
  </si>
  <si>
    <t>R2 | Quality!G477</t>
  </si>
  <si>
    <t>Azza's returned quality confirmation, review date 2026-10-01. Azza_Quality_Confirmation_39_Gai_Closed_20261001.xlsx, Score changes row 40.</t>
  </si>
  <si>
    <t>The supplement reports 7000 cycles at 50% strain afterfreezing and observed warp damage at 120/150 rubs, followed by whole-fabric rupture at 170 rubs. It does not define these observations prospectively as a standardized sensor-failure endpoint or allowed output loss. Under the explicit-criterion interpretation, post-test stability/drift/retention or task/classifier thresholds do not satisfy Q12. Score 0 means the requested criterion was not identified in the inspected sources, not that no robustness testing occurred or that the device is poor.
Confirmed decision: Agree under R1 and the functional scope in R2. Note S13 reports fabric rupture at 170 rubs while sensing yarns remain unbroken. This is not a stated electrical/service failure criterion.</t>
  </si>
  <si>
    <t>PDF pp 13-16, robustness; supplement pp 3 and 6-7 NotesS 5/S 13</t>
  </si>
  <si>
    <t>Agree. Agree under R1 and the functional scope in R2. Note S13 reports fabric rupture at 170 rubs while sensing yarns remain unbroken. This is not a stated electrical/service failure criterion.</t>
  </si>
  <si>
    <t>The supplement reports 7000 cycles at 50% strain afterfreezing and observed warp damage at 120/150 rubs, followed by whole-fabric rupture at 170 rubs. It does not define these observations as a functional sensor-failure endpoint or allowed output loss.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</si>
  <si>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R1 | Method quality 39!S28</t>
  </si>
  <si>
    <t>R2 | Quality!G478</t>
  </si>
  <si>
    <t>R2 | Quality!G479</t>
  </si>
  <si>
    <t>Finger/elbow/knee and neck/swallowing demonstrations provide anatomical sites and attached/woven use. Sizing and pretension are not operationalized, supporting only partial credit.</t>
  </si>
  <si>
    <t>PDF pp 14-16, wearable demonstrations</t>
  </si>
  <si>
    <t>R2 | Quality!G480</t>
  </si>
  <si>
    <t>R2 | Quality!G481</t>
  </si>
  <si>
    <t>Besides supplementary outputs, the authors explicitly offer generated/analyzed datasets from the corresponding author on reasonable request.</t>
  </si>
  <si>
    <t>p 18, Data Availability</t>
  </si>
  <si>
    <t>R1 | Method quality 39!F29</t>
  </si>
  <si>
    <t>R2 | Quality!G482</t>
  </si>
  <si>
    <t>R1 | Method quality 39!G29</t>
  </si>
  <si>
    <t>R2 | Quality!G483</t>
  </si>
  <si>
    <t>R1 | Method quality 39!H29</t>
  </si>
  <si>
    <t>R2 | Quality!G484</t>
  </si>
  <si>
    <t>Participants: Not reported; participant details: Gym wearer demonstrations reported; participant count/demographics not reported</t>
  </si>
  <si>
    <t>R1 | Method quality 39!I29; R1 | Method quality 39!J29</t>
  </si>
  <si>
    <t>R2 | Quality!G485</t>
  </si>
  <si>
    <t>R2 | Quality!G486</t>
  </si>
  <si>
    <t>R2 | Quality!G487</t>
  </si>
  <si>
    <t>Azza personally approved; confirmed directly by Pooja in this conversation, 14 October 2026. 02_Azza_Original_39_20261014.xlsx | Other applications row 33</t>
  </si>
  <si>
    <t>R1 | Method quality 39!M29</t>
  </si>
  <si>
    <t>R2 | Quality!G488</t>
  </si>
  <si>
    <t>Linearity and sensitivity reported; replicate counts/uncertainty was not reported in the available full text</t>
  </si>
  <si>
    <t>R1 | Method quality 39!N29</t>
  </si>
  <si>
    <t>R2 | Quality!G489</t>
  </si>
  <si>
    <t>100 cycles at 20% strain and gym exercise demonstrations</t>
  </si>
  <si>
    <t>R1 | Method quality 39!O29</t>
  </si>
  <si>
    <t>R2 | Quality!G490</t>
  </si>
  <si>
    <t>R2 | Quality!G491</t>
  </si>
  <si>
    <t>Different stitch lengths/configurations are tested. Design comparisons do not establish reproducibility of independently fabricated equivalent sensing devices.</t>
  </si>
  <si>
    <t>Main PDF p 3, testing; comparative geometry results</t>
  </si>
  <si>
    <t>R1 | Method quality 39!Q29</t>
  </si>
  <si>
    <t>R2 | Quality!G492</t>
  </si>
  <si>
    <t>Repeatability across 100 cycles reported; explicit failure threshold not identified</t>
  </si>
  <si>
    <t>R1 | Method quality 39!R29</t>
  </si>
  <si>
    <t>R2 | Quality!G493</t>
  </si>
  <si>
    <t>Azza's returned quality confirmation, review date 2026-10-01. Azza_Quality_Confirmation_39_Gai_Closed_20261001.xlsx, Score changes row 41.</t>
  </si>
  <si>
    <t>GFchanges 1.60 to 1.56 and baseline/R-squared changes acrosscycles 2 to 99 are tabulated. These are observed drift; software debounce/leg-bend thresholds are event-detection parameters, not reliability limits. Under the explicit-criterion interpretation, post-test stability/drift/retention or task/classifier thresholds do not satisfy Q12. Score 0 means the requested criterion was not identified in the inspected sources, not that no robustness testing occurred or that the device is poor.
Confirmed decision: Agree under R1. Observed GF/baseline changes and event-detection thresholds are not reliability acceptance limits.</t>
  </si>
  <si>
    <t>PDF pp 3 and 8, mechanical properties / event algorithm; supplement pp 1-3 TablesS 2-S 3</t>
  </si>
  <si>
    <t>Agree. Agree under R1. Observed GF/baseline changes and event-detection thresholds are not reliability acceptance limits.</t>
  </si>
  <si>
    <t>GFchanges 1.60 to 1.56 and baseline/R-squared changes acrosscycles 2 to 99 are tabulated. These are observed drift; software debounce/leg-bend thresholds are event-detection parameters, not reliability limits.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</si>
  <si>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R1 | Method quality 39!S29</t>
  </si>
  <si>
    <t>R2 | Quality!G494</t>
  </si>
  <si>
    <t>p.5, Fig. 3a</t>
  </si>
  <si>
    <t>R2 | Quality!G495</t>
  </si>
  <si>
    <t>R2 | Quality!G496</t>
  </si>
  <si>
    <t>R2 | Quality!G497</t>
  </si>
  <si>
    <t>Statement says no data was used for the described research. This is not a route for obtaining the underlying experimental data; do not transform that unsupported claim into reviewer NA. Retain 0 for available evidence.</t>
  </si>
  <si>
    <t>R1 | Method quality 39!F30</t>
  </si>
  <si>
    <t>R2 | Quality!G498</t>
  </si>
  <si>
    <t>R1 | Method quality 39!G30</t>
  </si>
  <si>
    <t>R2 | Quality!G499</t>
  </si>
  <si>
    <t>p.8, Fig. 8a</t>
  </si>
  <si>
    <t>R1 | Method quality 39!H30</t>
  </si>
  <si>
    <t>R2 | Quality!G500</t>
  </si>
  <si>
    <t>R1 | Method quality 39!I30; R1 | Method quality 39!J30</t>
  </si>
  <si>
    <t>R2 | Quality!G501</t>
  </si>
  <si>
    <t>R2 | Quality!G502</t>
  </si>
  <si>
    <t>R2 | Quality!G503</t>
  </si>
  <si>
    <t>Azza personally approved; confirmed directly by Pooja in this conversation, 14 October 2026. 02_Azza_Original_39_20261014.xlsx | Other applications row 34</t>
  </si>
  <si>
    <t>R1 | Method quality 39!M30</t>
  </si>
  <si>
    <t>R2 | Quality!G504</t>
  </si>
  <si>
    <t>Maximum GF was reported; replicate-level uncertainty was not reported</t>
  </si>
  <si>
    <t>R1 | Method quality 39!N30</t>
  </si>
  <si>
    <t>R2 | Quality!G505</t>
  </si>
  <si>
    <t>&gt;2,500 stretch–release cycles plus washing and peeling/rubbing resistance</t>
  </si>
  <si>
    <t>p.5, Fig. 4e</t>
  </si>
  <si>
    <t>R1 | Method quality 39!O30</t>
  </si>
  <si>
    <t>R2 | Quality!G506</t>
  </si>
  <si>
    <t>R2 | Quality!G507</t>
  </si>
  <si>
    <t>Material-composition variants and multiple glove/sweater channels are not an explicit comparison of equivalent independently fabricated devices.</t>
  </si>
  <si>
    <t>Main PDF pp 4–5, material variants; garment applications</t>
  </si>
  <si>
    <t>Washing/peeling protocols was not reported in the available full text; no standard identified</t>
  </si>
  <si>
    <t>R1 | Method quality 39!Q30</t>
  </si>
  <si>
    <t>R2 | Quality!G508</t>
  </si>
  <si>
    <t>Durability beyond 2,500 cycles; explicit numerical failure threshold not reported</t>
  </si>
  <si>
    <t>R1 | Method quality 39!R30</t>
  </si>
  <si>
    <t>R2 | Quality!G509</t>
  </si>
  <si>
    <t>Azza's returned quality confirmation, review date 2026-10-01. Azza_Quality_Confirmation_39_Gai_Closed_20261001.xlsx, Score changes row 42.</t>
  </si>
  <si>
    <t>Average resistance changes less than 10% afterharsh treatments and stable response over 2500 cycles at 20% strain are reported. Less than 10% is an observed outcome, not a prespecified allowable limit. Under the explicit-criterion interpretation, post-test stability/drift/retention or task/classifier thresholds do not satisfy Q12. Score 0 means the requested criterion was not identified in the inspected sources, not that no robustness testing occurred or that the device is poor.
Confirmed decision: Agree under R1. Less than 10% resistance change is reported as an outcome, not as the criterion used to decide pass or fail.</t>
  </si>
  <si>
    <t>PDF pp 6-7, section 3.3 / Fig 5</t>
  </si>
  <si>
    <t>Agree. Agree under R1. Less than 10% resistance change is reported as an outcome, not as the criterion used to decide pass or fail.</t>
  </si>
  <si>
    <t>Average resistance changes less than 10% afterharsh treatments and stable response over 2500 cycles at 20% strain are reported. Less than 10% is an observed outcome, not a stated allowable limit.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</si>
  <si>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R1 | Method quality 39!S30</t>
  </si>
  <si>
    <t>R2 | Quality!G510</t>
  </si>
  <si>
    <t>R2 | Quality!G511</t>
  </si>
  <si>
    <t>R2 | Quality!G512</t>
  </si>
  <si>
    <t>p.8, Fig. 8e</t>
  </si>
  <si>
    <t>R2 | Quality!G513</t>
  </si>
  <si>
    <t>Supporting data available from corresponding author on reasonable request. Explicit partial availability route.</t>
  </si>
  <si>
    <t>p 10, Data Availability Statement</t>
  </si>
  <si>
    <t>H3078-core and PEU-core sensor types were fabricated; exact total sample count was not reported</t>
  </si>
  <si>
    <t>R1 | Method quality 39!F31</t>
  </si>
  <si>
    <t>R2 | Quality!G514</t>
  </si>
  <si>
    <t>R1 | Method quality 39!G31</t>
  </si>
  <si>
    <t>R2 | Quality!G515</t>
  </si>
  <si>
    <t>Eighteen conditioned sensors in one garment prototype; four sensor variants in the 4-h comparison</t>
  </si>
  <si>
    <t>R1 | Method quality 39!H31</t>
  </si>
  <si>
    <t>R2 | Quality!G516</t>
  </si>
  <si>
    <t>Participants: 12; participant details: Twelve participants completed eight uniaxial and multiaxial movement types</t>
  </si>
  <si>
    <t>R1 | Method quality 39!I31; R1 | Method quality 39!J31</t>
  </si>
  <si>
    <t>R2 | Quality!G517</t>
  </si>
  <si>
    <t>R2 | Quality!G518</t>
  </si>
  <si>
    <t>R2 | Quality!G519</t>
  </si>
  <si>
    <t>Random strain patterns train the sensor model, followed by participant-specific motion-capture calibration. Existing 2 is consistent with the clarified boundary.</t>
  </si>
  <si>
    <t>Main PDF p 5 and pp 9–10, random-strain training and participant models</t>
  </si>
  <si>
    <t>R1 | Method quality 39!M31</t>
  </si>
  <si>
    <t>R2 | Quality!G520</t>
  </si>
  <si>
    <t>NRMSE, RMSE and R² reported; angle RMSE averaged across movement conditions</t>
  </si>
  <si>
    <t>R1 | Method quality 39!N31</t>
  </si>
  <si>
    <t>R2 | Quality!G521</t>
  </si>
  <si>
    <t>0–30% benchtop strain; 5–20% random wave at up to 15% s−1 for 4 h; eight trunk-motion tasks</t>
  </si>
  <si>
    <t>R1 | Method quality 39!O31</t>
  </si>
  <si>
    <t>R2 | Quality!G522</t>
  </si>
  <si>
    <t>R2 | Quality!G523</t>
  </si>
  <si>
    <t>Different core materials and conditioning states plus within-device random-cycle testing do not establish manufactured-device agreement.</t>
  </si>
  <si>
    <t>Main PDF pp 4–5, sensor variants and conditioning; participant methods</t>
  </si>
  <si>
    <t>R1 | Method quality 39!Q31</t>
  </si>
  <si>
    <t>R2 | Quality!G524</t>
  </si>
  <si>
    <t>Stable baseline after conditioning; random-wave NRMSE and 100-cycle traces used, but no explicit failure threshold</t>
  </si>
  <si>
    <t>R1 | Method quality 39!R31</t>
  </si>
  <si>
    <t>R2 | Quality!G525</t>
  </si>
  <si>
    <t>Random/100-cycle testing, working strain and conditioning remove first-cycle drift; mechanistic sheath cracking is discussed later. No predefined pass/fail/retention criterion is stated. Percolation and model-fit criteria are different constructs.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</si>
  <si>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PDF pp 4-5 and 10-13, characterization and conditioning</t>
  </si>
  <si>
    <t>Random/100-cycle testing, working strain and conditioning remove first-cycle drift; mechanistic sheath cracking is discussed later. No stated pass/fail/retention criterion is stated. Percolation and model-fit criteria are different constructs.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</si>
  <si>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Models were participant-specific and evaluated using three-fold cross-validation within each participant; cross-participant transfer was not tested</t>
  </si>
  <si>
    <t>R1 | Method quality 39!S31</t>
  </si>
  <si>
    <t>R2 | Quality!G526</t>
  </si>
  <si>
    <t>R2 | Quality!G527</t>
  </si>
  <si>
    <t>R2 | Quality!G528</t>
  </si>
  <si>
    <t>R2 | Quality!G529</t>
  </si>
  <si>
    <t>Azza personally approved; confirmed directly by Pooja in this conversation, 14 October 2026. 02_Azza_Original_39_20261014.xlsx | Other applications row 35</t>
  </si>
  <si>
    <t>Two garment sensors plus several inductor/sensor geometry prototypes; exact total fabricated count not stated</t>
  </si>
  <si>
    <t>R1 | Method quality 39!F32</t>
  </si>
  <si>
    <t>R2 | Quality!G530</t>
  </si>
  <si>
    <t>R1 | Method quality 39!G32</t>
  </si>
  <si>
    <t>R2 | Quality!G531</t>
  </si>
  <si>
    <t>One sensorised leggings prototype with two capacitive sensors and one textile inductor</t>
  </si>
  <si>
    <t>R1 | Method quality 39!H32</t>
  </si>
  <si>
    <t>R2 | Quality!G532</t>
  </si>
  <si>
    <t>Participants: 1; participant details: One participant with written consent</t>
  </si>
  <si>
    <t>R1 | Method quality 39!I32; R1 | Method quality 39!J32</t>
  </si>
  <si>
    <t>R2 | Quality!G533</t>
  </si>
  <si>
    <t>R2 | Quality!G534</t>
  </si>
  <si>
    <t>R2 | Quality!G535</t>
  </si>
  <si>
    <t>Defined strain levels, preconditioning, step-hold tests and circuit characterization establish partial calibration. Retain existing 1; this scope audit does not re-adjudicate the classification model depth.</t>
  </si>
  <si>
    <t>Main PDF pp 6–9, bench characterization and activity models</t>
  </si>
  <si>
    <t>No external biomechanical comparator; prescribed activity labels</t>
  </si>
  <si>
    <t>R1 | Method quality 39!M32</t>
  </si>
  <si>
    <t>R2 | Quality!G536</t>
  </si>
  <si>
    <t>Cycle means/SD, accuracy and weighted F1 reported; fourfold cross-validation and held-out cycles used</t>
  </si>
  <si>
    <t>R1 | Method quality 39!N32</t>
  </si>
  <si>
    <t>R2 | Quality!G537</t>
  </si>
  <si>
    <t>Static 4-s holds, continuous dynamic cycles, three-day repeat test and 0–30% benchtop strain</t>
  </si>
  <si>
    <t>R1 | Method quality 39!O32</t>
  </si>
  <si>
    <t>R2 | Quality!G538</t>
  </si>
  <si>
    <t>R2 | Quality!G539</t>
  </si>
  <si>
    <t>Multiple channels and repeated donning/doffing of the same prototype assess within-system or session variation, not independent manufacturing reproducibility.</t>
  </si>
  <si>
    <t>Main PDF pp 6–9, bench tests and repeated sessions</t>
  </si>
  <si>
    <t>Not reported for this study — environmental and wash results were cited from prior work</t>
  </si>
  <si>
    <t>R1 | Method quality 39!Q32</t>
  </si>
  <si>
    <t>R2 | Quality!G540</t>
  </si>
  <si>
    <t>At least 1 MHz resonant-peak separation used as a circuit-design exclusion threshold; no durability failure threshold</t>
  </si>
  <si>
    <t>R1 | Method quality 39!R32</t>
  </si>
  <si>
    <t>R2 | Quality!G541</t>
  </si>
  <si>
    <t>Ten stretch-release cycles at each strain and step-hold results are reported. The 1 MHz minimum resonance separation is a sensor-design selection rule, while 15/20% thresholds generate activity labels; neither is an operational stability/failure endpoint.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</si>
  <si>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PDF pp 6-9 and 12, sensor characterization and classification</t>
  </si>
  <si>
    <t>R1 | Method quality 39!S32</t>
  </si>
  <si>
    <t>R2 | Quality!G542</t>
  </si>
  <si>
    <t>R2 | Quality!G543</t>
  </si>
  <si>
    <t>R2 | Quality!G544</t>
  </si>
  <si>
    <t>R2 | Quality!G545</t>
  </si>
  <si>
    <t>Authors state raw data supporting the conclusions will be made available without undue reservation. Explicit author-mediated route supports partial availability, not a verified public repository.</t>
  </si>
  <si>
    <t>p 15, Data availability statement</t>
  </si>
  <si>
    <t>One complete smart crop-top prototype described; exact number of sensor coupons not stated</t>
  </si>
  <si>
    <t>R1 | Method quality 39!F33</t>
  </si>
  <si>
    <t>R2 | Quality!G546</t>
  </si>
  <si>
    <t>R1 | Method quality 39!G33</t>
  </si>
  <si>
    <t>R2 | Quality!G547</t>
  </si>
  <si>
    <t>One garment with four knitted sensors and integrated interconnects</t>
  </si>
  <si>
    <t>R1 | Method quality 39!H33</t>
  </si>
  <si>
    <t>R2 | Quality!G548</t>
  </si>
  <si>
    <t>Participants: 1; participant details: One healthy male subject</t>
  </si>
  <si>
    <t>R1 | Method quality 39!I33; R1 | Method quality 39!J33</t>
  </si>
  <si>
    <t>R2 | Quality!G549</t>
  </si>
  <si>
    <t>A single healthy male adult is scanned, and the custom garment is explicitly tested on only one user (n=1). The participant number and sex/health status are clear; age and other relevant demographics remain limited.</t>
  </si>
  <si>
    <t>PDF p 6 participant scanning and p 21 final Experimental Section paragraph</t>
  </si>
  <si>
    <t>R2 | Quality!G550</t>
  </si>
  <si>
    <t>R2 | Quality!G551</t>
  </si>
  <si>
    <t>Four sensor streams are synchronized with Vicon joint angles for regression training. Existing 2 is consistent with the clarified boundary.</t>
  </si>
  <si>
    <t>Main PDF pp 9–11, regression model and Vicon synchronization</t>
  </si>
  <si>
    <t>Eight-camera Vicon system with 12 reflective markers</t>
  </si>
  <si>
    <t>R1 | Method quality 39!M33</t>
  </si>
  <si>
    <t>R2 | Quality!G552</t>
  </si>
  <si>
    <t>Joint-angle and ergonomics RMSE reported; no cohort-level uncertainty possible with one subject</t>
  </si>
  <si>
    <t>R1 | Method quality 39!N33</t>
  </si>
  <si>
    <t>R2 | Quality!G553</t>
  </si>
  <si>
    <t>Shoulder flexion/extension, abduction/adduction, horizontal abduction/adduction, elbow flexion/extension and pick-and-hold</t>
  </si>
  <si>
    <t>R1 | Method quality 39!O33</t>
  </si>
  <si>
    <t>R2 | Quality!G554</t>
  </si>
  <si>
    <t>R2 | Quality!G555</t>
  </si>
  <si>
    <t>Four differently positioned sensor elements are in one garment. This does not establish reproducibility across independently fabricated garments/devices.</t>
  </si>
  <si>
    <t>Main PDF pp 6–7, four sensors in the garment</t>
  </si>
  <si>
    <t>R1 | Method quality 39!Q33</t>
  </si>
  <si>
    <t>R2 | Quality!G556</t>
  </si>
  <si>
    <t>Consistent repeated ROM signals stated; no durability-based pass/fail criterion</t>
  </si>
  <si>
    <t>R1 | Method quality 39!R33</t>
  </si>
  <si>
    <t>R2 | Quality!G557</t>
  </si>
  <si>
    <t>Loading/unloading and consistency across five repetitions/three sets are shown without a quantified allowed-change or predefined failure criterion. Approved Figure 6 E2=0/E3=1 are unaffected by this different domain.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</si>
  <si>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PDF pp 6 and 19-21, garment validation; supplement pp 4 and 6 FigsS 5/S 9</t>
  </si>
  <si>
    <t>Loading/unloading and consistency across five repetitions/three sets are shown without a quantified allowed-change or stated failure criterion. Approved Figure 6 E2=0/E3=1 are unaffected by this different domain.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</si>
  <si>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Not assessable — single subject</t>
  </si>
  <si>
    <t>R1 | Method quality 39!S33</t>
  </si>
  <si>
    <t>R2 | Quality!G558</t>
  </si>
  <si>
    <t>R2 | Quality!G559</t>
  </si>
  <si>
    <t>R2 | Quality!G560</t>
  </si>
  <si>
    <t>R2 | Quality!G561</t>
  </si>
  <si>
    <t>Azza personally approved; confirmed directly by Pooja in this conversation, 14 October 2026. 02_Azza_Original_39_20261014.xlsx | Other applications row 36</t>
  </si>
  <si>
    <t>Replicate CLPT30 sensors were tested; exact sample number is not stated in the main text</t>
  </si>
  <si>
    <t>R1 | Method quality 39!F34</t>
  </si>
  <si>
    <t>R2 | Quality!G562</t>
  </si>
  <si>
    <t>Azza follow-up confirmation supplied by Pooja in this conversation, recorded 2026-10-01. Message date not supplied. Original independent ratings unchanged.</t>
  </si>
  <si>
    <t>S12 evidence verified for agreed score; original R2 evidence retained in I</t>
  </si>
  <si>
    <t>Figure S12 explicitly reports five independently prepared samples (n = 5) for resistance variation after 14 consecutive days of storage. S12 n = 5 and its SD definition apply to the 14-day storage experiment only. Do not extend them to S8. S8 labelling issues remain noted. Initial main-text-only proposal was 1; revised to 2 after S12 was obtained.</t>
  </si>
  <si>
    <t>Supporting Information, Figure S12 and caption, rendered p 13. DOI: 10.1007/s42114-026-01978-2.</t>
  </si>
  <si>
    <t>42114_2026_1978_MOESM1_ESM.docx</t>
  </si>
  <si>
    <t>Agree. Follow-up: Azza agrees with 2 on S12. Earlier proposal 1 and Discuss response are superseded. Recorded 2026-10-01; message undated. S12 n = 5 and its SD definition apply to the 14-day storage experiment only. Do not extend them to S8. S8 labelling issues remain noted.</t>
  </si>
  <si>
    <t>Several ultrasonic-treatment variants were fabricated; independent batch count not reported</t>
  </si>
  <si>
    <t>R1 | Method quality 39!G34</t>
  </si>
  <si>
    <t>R2 | Quality!G563</t>
  </si>
  <si>
    <t>Multiple sensor replicates plus glove and insole prototypes</t>
  </si>
  <si>
    <t>R1 | Method quality 39!H34</t>
  </si>
  <si>
    <t>R2 | Quality!G564</t>
  </si>
  <si>
    <t>Participants: 3 for skin compatibility; motion-demonstration count not reported; participant details: Three healthy men aged 24–25 years completed the five-day skin test</t>
  </si>
  <si>
    <t>R1 | Method quality 39!I34; R1 | Method quality 39!J34</t>
  </si>
  <si>
    <t>R2 | Quality!G565</t>
  </si>
  <si>
    <t>Azza's returned quality confirmation, review date 2026-10-01. Azza_Quality_Confirmation_39_Gai_Closed_20261001.xlsx, Score changes row 19.</t>
  </si>
  <si>
    <t>The skin-compatibility subsection explicitly recruits one healthy 24-year-old male and two healthy 25-year-old men. Motion/physiological/HMI demonstrations elsewhere do not enumerate their overall participant cohort in the inspected passages. The three-person skin-compatibility group establishes participant information, invalidating 0. Propose partial 1 for the study-wide domain because the separate human-sensing demonstrations are not fully enumerated; do not reuse n=3 as their confirmed cohort.
Confirmed decision: Agree. Three men are explicitly reported for skin compatibility. The separate sensing/HMI cohort is not fully enumerated, so study-wide participant reporting remains partial.</t>
  </si>
  <si>
    <t>Saved main PDF p 7, section 2.6; p 15 skin-compatibility results; pp 21–26 motion/HMI demonstrations</t>
  </si>
  <si>
    <t>Agree. Agree. Three men are explicitly reported for skin compatibility. The separate sensing/HMI cohort is not fully enumerated, so study-wide participant reporting remains partial.</t>
  </si>
  <si>
    <t>R2 | Quality!G566</t>
  </si>
  <si>
    <t>R2 | Quality!G567</t>
  </si>
  <si>
    <t>Azza personally approved; confirmed directly by Pooja in this conversation, 14 October 2026. 02_Azza_Original_39_20261014.xlsx | Other applications row 37</t>
  </si>
  <si>
    <t>R1 | Method quality 39!M34</t>
  </si>
  <si>
    <t>R2 | Quality!G568</t>
  </si>
  <si>
    <t>Mean ± variation reported for material properties, permeability, conductivity, linear range, GF and linearity</t>
  </si>
  <si>
    <t>R1 | Method quality 39!N34</t>
  </si>
  <si>
    <t>R2 | Quality!G569</t>
  </si>
  <si>
    <t>Figure S12 defines its error bars as standard deviations of resistance variation measured from five independently prepared samples. S12 n = 5 and its SD definition apply to the 14-day storage experiment only. Do not extend them to S8. S8 labelling issues remain noted. Initial main-text-only proposal was 1; revised to 2 after S12 was obtained.</t>
  </si>
  <si>
    <t>100 mm/min tensile testing; 0–359% strain; 3,000 cycles at 10% and 50%; sweat, temperature, permeability and storage tests</t>
  </si>
  <si>
    <t>R1 | Method quality 39!O34</t>
  </si>
  <si>
    <t>R2 | Quality!G570</t>
  </si>
  <si>
    <t>R2 | Quality!G571</t>
  </si>
  <si>
    <t>Figure S12 reports electrical resistance variation after storage across five independently prepared samples, with SD error bars. This supports reporting of between-device electrical stability, not proof of overall methodological rigor. S12 n = 5 and its SD definition apply to the 14-day storage experiment only. Do not extend them to S8. S8 labelling issues remain noted. Initial main-text-only proposal was 1; revised to 2 after S12 was obtained.</t>
  </si>
  <si>
    <t>Five independently prepared sensors and SD error bars report resistance variation after 14 days of storage. Azza explicitly confirmed score 2. S12 n and SD must not be transferred to S8.</t>
  </si>
  <si>
    <t>Supporting Information, Figure S12 and caption, rendered p 13</t>
  </si>
  <si>
    <t>Custom artificial-sweat, permeability and 35–70 °C protocols; no formal standard identified</t>
  </si>
  <si>
    <t>R1 | Method quality 39!Q34</t>
  </si>
  <si>
    <t>R2 | Quality!G572</t>
  </si>
  <si>
    <t>Initial resistance change &lt;0.5% after 14 days; stability after 3,000 cycles reported without a formal failure limit</t>
  </si>
  <si>
    <t>R1 | Method quality 39!R34</t>
  </si>
  <si>
    <t>R2 | Quality!G573</t>
  </si>
  <si>
    <t>Azza's returned quality confirmation, review date 2026-10-01. Azza_Quality_Confirmation_39_Gai_Closed_20261001.xlsx, Score changes row 43.</t>
  </si>
  <si>
    <t>Stable response after 3000 cycles at 10% and 50% strain and ambient-storage stability are observed. Elongation at break is a material-property result and network cracking is a mechanism. No explicit tensile-to-failure protocol, permitted signal degradation or service-failure decision rule is identified. Under the explicit-criterion interpretation, post-test stability/drift/retention or task/classifier thresholds do not satisfy Q12. Score 0 means the requested criterion was not identified in the inspected sources, not that no robustness testing occurred or that the device is poor.
Confirmed decision: Agree under R1 and the functional scope in R2. Cycling/storage stability and material breakage do not establish a stated electrical/service failure criterion.</t>
  </si>
  <si>
    <t>PDF pp 8 and 17-19, mechanical properties / Fig 3 g stability and sensing mechanism</t>
  </si>
  <si>
    <t>Agree. Agree under R1 and the functional scope in R2. Cycling/storage stability and material breakage do not establish a stated electrical/service failure criterion.</t>
  </si>
  <si>
    <t>Stable response after 3000 cycles at 10% and 50% strain and ambient-storage stability are observed. Elongation at break is a material-property result and network cracking is a mechanism. No explicit tensile-to-failure protocol, permitted signal degradation or service-failure decision rule is identified.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</si>
  <si>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Not reported for sensing performance; three-person test assessed only skin compatibility</t>
  </si>
  <si>
    <t>R1 | Method quality 39!S34</t>
  </si>
  <si>
    <t>R2 | Quality!G574</t>
  </si>
  <si>
    <t>R2 | Quality!G575</t>
  </si>
  <si>
    <t>Wrist-artery, blink, mask-breathing, forehead, finger/wrist/elbow and key glove positions are described. Placement is available but garment sizing and a controlled pretension procedure are not.</t>
  </si>
  <si>
    <t>PDF pp 21 and 23, Fig 5 human monitoring / Fig 6 HMI glove</t>
  </si>
  <si>
    <t>R2 | Quality!G576</t>
  </si>
  <si>
    <t>p.30</t>
  </si>
  <si>
    <t>R2 | Quality!G577</t>
  </si>
  <si>
    <t>Supporting data available from corresponding author on reasonable request. Explicit partial availability route. This is unrelated to the separately confirmed S12 Q1/Q8/Q10 scores.</t>
  </si>
  <si>
    <t>p 30, Data availability</t>
  </si>
  <si>
    <t>R1 | Method quality 39!F35</t>
  </si>
  <si>
    <t>R2 | Quality!G578</t>
  </si>
  <si>
    <t>R1 | Method quality 39!G35</t>
  </si>
  <si>
    <t>R2 | Quality!G579</t>
  </si>
  <si>
    <t>One textile capacitive sensor was worn on the right knee pad per participant</t>
  </si>
  <si>
    <t>R1 | Method quality 39!H35</t>
  </si>
  <si>
    <t>R2 | Quality!G580</t>
  </si>
  <si>
    <t>Participants wear a knee pad with a Velcro-attached capacitive textile sensor linked to a DFRobot Beetle BLE/battery unit. The tested assembly is described; independent assembly count and whether one assembly is reused across participants are not explicit.</t>
  </si>
  <si>
    <t>PDF pp 9-10, sectionIV / Fig 10</t>
  </si>
  <si>
    <t>Participants: not reported; participant details: 16 volunteers (11 male, 5 female), 20-33 years, height 160-190 cm</t>
  </si>
  <si>
    <t>R1 | Method quality 39!I35; R1 | Method quality 39!J35</t>
  </si>
  <si>
    <t>R2 | Quality!G581</t>
  </si>
  <si>
    <t>R2 | Quality!G582</t>
  </si>
  <si>
    <t>R2 | Quality!G583</t>
  </si>
  <si>
    <t>Labeled stride lengths, calibration/data normalization and a described supervised learning pipeline provide a documented input-output model. Retain existing 2.</t>
  </si>
  <si>
    <t>Main PDF pp 4–7 and 9–10, calibration and supervised stride-length model</t>
  </si>
  <si>
    <t>Predetermined path stride lengths and smartphone IMUs</t>
  </si>
  <si>
    <t>R1 | Method quality 39!M35</t>
  </si>
  <si>
    <t>R2 | Quality!G584</t>
  </si>
  <si>
    <t>Real-time SVR MAE 8.735 cm and R² 0.841; additional error distributions were reported by model and stride length</t>
  </si>
  <si>
    <t>R1 | Method quality 39!N35</t>
  </si>
  <si>
    <t>R2 | Quality!G585</t>
  </si>
  <si>
    <t>Controlled indoor walking paths with predetermined stride lengths</t>
  </si>
  <si>
    <t>R1 | Method quality 39!O35</t>
  </si>
  <si>
    <t>R2 | Quality!G586</t>
  </si>
  <si>
    <t>R2 | Quality!G587</t>
  </si>
  <si>
    <t>Not reported — no environmental exposure evidence identified</t>
  </si>
  <si>
    <t>R1 | Method quality 39!Q35</t>
  </si>
  <si>
    <t>R2 | Quality!G588</t>
  </si>
  <si>
    <t>R1 | Method quality 39!R35</t>
  </si>
  <si>
    <t>R2 | Quality!G589</t>
  </si>
  <si>
    <t>Stride-task ground truth, regression metrics and real-time evaluation are specified, but no sensor-retention/failure criterion is identified.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</si>
  <si>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PDF pp 9-10, experimental setup / model generation / metrics</t>
  </si>
  <si>
    <t>Adaptive calibration used age, height, weight, gender, and incoming-signal statistics; models were evaluated on held-out data, but leave-one-participant-out validation was not reported</t>
  </si>
  <si>
    <t>R1 | Method quality 39!S35</t>
  </si>
  <si>
    <t>R2 | Quality!G590</t>
  </si>
  <si>
    <t>R2 | Quality!G591</t>
  </si>
  <si>
    <t>R2 | Quality!G592</t>
  </si>
  <si>
    <t>R2 | Quality!G593</t>
  </si>
  <si>
    <t>pp 12–13, concluding discussion; full publisher text</t>
  </si>
  <si>
    <t>Six sensing elements with varied dimensions; total fabricated count not reported</t>
  </si>
  <si>
    <t>R1 | Method quality 39!F36</t>
  </si>
  <si>
    <t>R2 | Quality!G594</t>
  </si>
  <si>
    <t>R1 | Method quality 39!G36</t>
  </si>
  <si>
    <t>R2 | Quality!G595</t>
  </si>
  <si>
    <t>One six-element smart-textile prototype</t>
  </si>
  <si>
    <t>p.11, Fig 5</t>
  </si>
  <si>
    <t>R1 | Method quality 39!H36</t>
  </si>
  <si>
    <t>R2 | Quality!G596</t>
  </si>
  <si>
    <t>Participants: 4; participant details: Four healthy volunteers</t>
  </si>
  <si>
    <t>R1 | Method quality 39!I36; R1 | Method quality 39!J36</t>
  </si>
  <si>
    <t>R2 | Quality!G597</t>
  </si>
  <si>
    <t>R2 | Quality!G598</t>
  </si>
  <si>
    <t>R2 | Quality!G599</t>
  </si>
  <si>
    <t>Known strain and sensor output are recorded during repeated tests, with a quadratic calibration curve and uncertainty. Existing 1 meets the clarified partial boundary. This scope audit does not elevate its depth score.</t>
  </si>
  <si>
    <t>Main PDF pp 3–4, static calibration and sensitivity analysis</t>
  </si>
  <si>
    <t>Optical motion-capture system</t>
  </si>
  <si>
    <t>R1 | Method quality 39!M36</t>
  </si>
  <si>
    <t>R2 | Quality!G600</t>
  </si>
  <si>
    <t>Bland-Altman analysis: quiet-breathing MOD ≤0.05 bpm and LOA ≤1.97 bpm; tachypnoea MOD ≤0.27 bpm and LOA ≤11.27 bpm</t>
  </si>
  <si>
    <t>p.4, Fig. 3</t>
  </si>
  <si>
    <t>R1 | Method quality 39!N36</t>
  </si>
  <si>
    <t>R2 | Quality!G601</t>
  </si>
  <si>
    <t>Quiet breathing and tachypnoea over a range of respiratory frequencies</t>
  </si>
  <si>
    <t>R1 | Method quality 39!O36</t>
  </si>
  <si>
    <t>R2 | Quality!G602</t>
  </si>
  <si>
    <t>R2 | Quality!G603</t>
  </si>
  <si>
    <t>Calibration across different element dimensions and repeated trials is not equivalent-device manufacturing agreement.</t>
  </si>
  <si>
    <t>Main PDF pp 3–4, elements of different lengths/widths</t>
  </si>
  <si>
    <t>R1 | Method quality 39!Q36</t>
  </si>
  <si>
    <t>R2 | Quality!G604</t>
  </si>
  <si>
    <t>R1 | Method quality 39!R36</t>
  </si>
  <si>
    <t>R2 | Quality!G605</t>
  </si>
  <si>
    <t>Redundant sensing elements are intended to avoid interruption if an element fails or disconnects. This design motivation is not an operationalized test endpoint or permitted performance-loss criterion.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</si>
  <si>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PDF pp 7-8, system construction / respiratory validation</t>
  </si>
  <si>
    <t>Four volunteers assessed; cross-user calibration/transfer was not reported</t>
  </si>
  <si>
    <t>R1 | Method quality 39!S36</t>
  </si>
  <si>
    <t>R2 | Quality!G606</t>
  </si>
  <si>
    <t>R2 | Quality!G607</t>
  </si>
  <si>
    <t>Three adjustable elastic torso bands each contain two elements; rib-cage/abdominal positions and circumference/spacing adjustment using Velcro are explained. Fit adjustment is described but quantified initial strain/pretension is not reported.</t>
  </si>
  <si>
    <t>PDF pp 7-8, sectionIV / Fig 5</t>
  </si>
  <si>
    <t>R2 | Quality!G608</t>
  </si>
  <si>
    <t>R2 | Quality!G609</t>
  </si>
  <si>
    <t>pp 11–12, conclusion; full publisher text</t>
  </si>
  <si>
    <t>R1 | Method quality 39!F37</t>
  </si>
  <si>
    <t>R2 | Quality!G610</t>
  </si>
  <si>
    <t>R1 | Method quality 39!G37</t>
  </si>
  <si>
    <t>R2 | Quality!G611</t>
  </si>
  <si>
    <t>R1 | Method quality 39!H37</t>
  </si>
  <si>
    <t>R2 | Quality!G612</t>
  </si>
  <si>
    <t>Participants: Simulated training/clinical setting; exact participant count NR; participant details: Not reported</t>
  </si>
  <si>
    <t>R1 | Method quality 39!I37; R1 | Method quality 39!J37</t>
  </si>
  <si>
    <t>R2 | Quality!G613</t>
  </si>
  <si>
    <t>A healthy volunteer wears the sleeve for 50 flexion-extension cycles after 1,5,15,25,50 and 75 washes; ethics approval and written consent are stated. A single-user demonstration is identifiable, but relevant participant demographics are not supplied.</t>
  </si>
  <si>
    <t>PDF p 9 (printed p 8536 S), knitted conductive sleeve testing</t>
  </si>
  <si>
    <t>R2 | Quality!G614</t>
  </si>
  <si>
    <t>R2 | Quality!G615</t>
  </si>
  <si>
    <t>Instron-measured elongation and four-wire electrical response are collected with stated geometry, amplitude and rate. Retain 1 under the accepted partial-calibration rule; do not equate suggested future wash recalibration with a performed procedure.</t>
  </si>
  <si>
    <t>Main PDF pp 8–9, Testing procedure</t>
  </si>
  <si>
    <t>R1 | Method quality 39!M37</t>
  </si>
  <si>
    <t>R2 | Quality!G616</t>
  </si>
  <si>
    <t>R1 | Method quality 39!N37</t>
  </si>
  <si>
    <t>R2 | Quality!G617</t>
  </si>
  <si>
    <t>R1 | Method quality 39!O37</t>
  </si>
  <si>
    <t>R2 | Quality!G618</t>
  </si>
  <si>
    <t>R2 | Quality!G619</t>
  </si>
  <si>
    <t>Azza personally approved; confirmed directly by Pooja in this conversation, 14 October 2026. 02_Azza_Original_39_20261014.xlsx | Other applications row 38</t>
  </si>
  <si>
    <t>R1 | Method quality 39!Q37</t>
  </si>
  <si>
    <t>R2 | Quality!G620</t>
  </si>
  <si>
    <t>R1 | Method quality 39!R37</t>
  </si>
  <si>
    <t>R2 | Quality!G621</t>
  </si>
  <si>
    <t>The test specifies 1500 stretch-recoverycycles and repeated sleeve measurements afterup to 75 washes. Observed resistance/response changes are reported; the commercial-yarn extension atbreak property is not an operational device-failure criterion.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</si>
  <si>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PDF pp 8-9, Testing procedure and wash-results paragraphs</t>
  </si>
  <si>
    <t>R1 | Method quality 39!S37</t>
  </si>
  <si>
    <t>R2 | Quality!G622</t>
  </si>
  <si>
    <t>R2 | Quality!G623</t>
  </si>
  <si>
    <t>R2 | Quality!G624</t>
  </si>
  <si>
    <t>R2 | Quality!G625</t>
  </si>
  <si>
    <t>p 19, Acknowledgments / declarations; full main text</t>
  </si>
  <si>
    <t>R1 | Method quality 39!F38</t>
  </si>
  <si>
    <t>R2 | Quality!G626</t>
  </si>
  <si>
    <t>R1 | Method quality 39!G38</t>
  </si>
  <si>
    <t>R2 | Quality!G627</t>
  </si>
  <si>
    <t>Two fabric strain sensors per participant</t>
  </si>
  <si>
    <t>R1 | Method quality 39!H38</t>
  </si>
  <si>
    <t>R2 | Quality!G628</t>
  </si>
  <si>
    <t>Participants: 12; participant details: Twelve male volunteers</t>
  </si>
  <si>
    <t>R1 | Method quality 39!I38; R1 | Method quality 39!J38</t>
  </si>
  <si>
    <t>R2 | Quality!G629</t>
  </si>
  <si>
    <t>R2 | Quality!G630</t>
  </si>
  <si>
    <t>R2 | Quality!G631</t>
  </si>
  <si>
    <t>Sensor outputs are related to lumbar angles from concurrent 3D scans in defined postures. Retain existing 2 for scope consistency.</t>
  </si>
  <si>
    <t>Main PDF pp 4–5, instrumentation and procedure; results and discussion p 9</t>
  </si>
  <si>
    <t>Static 3D body scans with anatomical landmarks</t>
  </si>
  <si>
    <t>R1 | Method quality 39!M38</t>
  </si>
  <si>
    <t>R2 | Quality!G632</t>
  </si>
  <si>
    <t>Mean R² ± SD and estimated 95% angular error reported</t>
  </si>
  <si>
    <t>R1 | Method quality 39!N38</t>
  </si>
  <si>
    <t>R2 | Quality!G633</t>
  </si>
  <si>
    <t>Unsuited, unloaded static sagittal flexion and lateral bending</t>
  </si>
  <si>
    <t>R1 | Method quality 39!O38</t>
  </si>
  <si>
    <t>R2 | Quality!G634</t>
  </si>
  <si>
    <t>R2 | Quality!G635</t>
  </si>
  <si>
    <t>Two sensors measuring distinct lumbar directions and between-subject effects are not independent-device reproducibility.</t>
  </si>
  <si>
    <t>Main PDF pp 4–5, two sensor placements</t>
  </si>
  <si>
    <t>R1 | Method quality 39!Q38</t>
  </si>
  <si>
    <t>R2 | Quality!G636</t>
  </si>
  <si>
    <t>R1 | Method quality 39!R38</t>
  </si>
  <si>
    <t>R2 | Quality!G637</t>
  </si>
  <si>
    <t>Manufacturer elongation/sensitivity specifications and twice-repeated static postures are described. These are not a declared sensor-stability/failure criterion.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</si>
  <si>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PDF pp 4-5, instrumentation / procedure</t>
  </si>
  <si>
    <t>Twelve participants included; anthropometry-related variation limited generalizability</t>
  </si>
  <si>
    <t>R1 | Method quality 39!S38</t>
  </si>
  <si>
    <t>R2 | Quality!G638</t>
  </si>
  <si>
    <t>R2 | Quality!G639</t>
  </si>
  <si>
    <t>R2 | Quality!G640</t>
  </si>
  <si>
    <t>R2 | Quality!G641</t>
  </si>
  <si>
    <t>Azza personally approved; confirmed directly by Pooja in this conversation, 14 October 2026. 02_Azza_Original_39_20261014.xlsx | Other applications row 39</t>
  </si>
  <si>
    <t>R1 | Method quality 39!F39</t>
  </si>
  <si>
    <t>R2 | Quality!G642</t>
  </si>
  <si>
    <t>R1 | Method quality 39!G39</t>
  </si>
  <si>
    <t>R2 | Quality!G643</t>
  </si>
  <si>
    <t>One brace instrumented with two sensors; repeat device count not reported</t>
  </si>
  <si>
    <t>R1 | Method quality 39!H39</t>
  </si>
  <si>
    <t>R2 | Quality!G644</t>
  </si>
  <si>
    <t>Two stretch sensors form the wearable brace assembly. The component arrangement is reported, but independent complete-brace count and reuse are not explicit.</t>
  </si>
  <si>
    <t>PDF p 5, brace/system configuration</t>
  </si>
  <si>
    <t>Participants: 2; participant details: Two subjects (A and B)</t>
  </si>
  <si>
    <t>R1 | Method quality 39!I39; R1 | Method quality 39!J39</t>
  </si>
  <si>
    <t>R2 | Quality!G645</t>
  </si>
  <si>
    <t>Two healthy men are described with age 26±1 years, height and body-mass summaries, plus ethics/consent. Participant number, population and demographics are available. Source numerical values are not silently corrected or expanded.</t>
  </si>
  <si>
    <t>PDF p 5, sectionIV.A Setup / participants</t>
  </si>
  <si>
    <t>R2 | Quality!G646</t>
  </si>
  <si>
    <t>R2 | Quality!G647</t>
  </si>
  <si>
    <t>User-specific GMM calibration at five brace-shift positions and reciprocal train/test sets are specified. Retain existing 2.</t>
  </si>
  <si>
    <t>Main PDF p 7, Training and Test of Proposed/Comparative Methods</t>
  </si>
  <si>
    <t>Optical marker-based motion capture</t>
  </si>
  <si>
    <t>R1 | Method quality 39!M39</t>
  </si>
  <si>
    <t>R2 | Quality!G648</t>
  </si>
  <si>
    <t>RMSE at each shift and overall mean ± variation reported for proposed and comparison models</t>
  </si>
  <si>
    <t>R1 | Method quality 39!N39</t>
  </si>
  <si>
    <t>R2 | Quality!G649</t>
  </si>
  <si>
    <t>Squat flexion/extension with brace shifts at 0, 5, 10, 15 and 20 mm</t>
  </si>
  <si>
    <t>R1 | Method quality 39!O39</t>
  </si>
  <si>
    <t>R2 | Quality!G650</t>
  </si>
  <si>
    <t>R2 | Quality!G651</t>
  </si>
  <si>
    <t>The study varies placement of one brace instead of comparing independently fabricated braces.</t>
  </si>
  <si>
    <t>Main PDF pp 5–7, brace placement and shifts</t>
  </si>
  <si>
    <t>R1 | Method quality 39!Q39</t>
  </si>
  <si>
    <t>R2 | Quality!G652</t>
  </si>
  <si>
    <t>No material durability failure criterion; algorithm performance evaluated by joint-angle RMSE</t>
  </si>
  <si>
    <t>R1 | Method quality 39!R39</t>
  </si>
  <si>
    <t>R2 | Quality!G653</t>
  </si>
  <si>
    <t>The study evaluates user-specific motion modelling and discusses fit/donning issues; no operational stability/failure endpoint is identified.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</si>
  <si>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PDF pp 5-9, system/protocol and user-specific analysis</t>
  </si>
  <si>
    <t>Not established — models were user-specific and tested on two subjects</t>
  </si>
  <si>
    <t>R1 | Method quality 39!S39</t>
  </si>
  <si>
    <t>R2 | Quality!G654</t>
  </si>
  <si>
    <t>Azza's returned quality confirmation, review date 2026-10-01. Azza_Quality_Confirmation_39_Gai_Closed_20261001.xlsx, Score changes row 22.</t>
  </si>
  <si>
    <t>Gaussian-mixture modelling and cross-validation use individual-user data. The discussion treats individual data and unexamined changes after donning/doffing as limitations. Within-user testing across shifts is not transfer to an unseen user. No cross-user held-out assessment is established; change 1 to 0 rather than manufacture inter-user evidence.
Confirmed decision: Agree. The models and cross-validation are user-specific. Adaptation to brace shifts within a user does not establish transfer to an unseen user.</t>
  </si>
  <si>
    <t>PDF pp 7 and 9, user-specific modelling / discussion of recalibration</t>
  </si>
  <si>
    <t>Agree. Agree. The models and cross-validation are user-specific. Adaptation to brace shifts within a user does not establish transfer to an unseen user.</t>
  </si>
  <si>
    <t>R2 | Quality!G655</t>
  </si>
  <si>
    <t>R2 | Quality!G656</t>
  </si>
  <si>
    <t>R2 | Quality!G657</t>
  </si>
  <si>
    <t>pp 9–10, concluding discussion; full publisher text</t>
  </si>
  <si>
    <t>Three 10-cm sensor pieces installed in three bands; total fabricated count not reported</t>
  </si>
  <si>
    <t>R1 | Method quality 39!F40</t>
  </si>
  <si>
    <t>R2 | Quality!G658</t>
  </si>
  <si>
    <t>R1 | Method quality 39!G40</t>
  </si>
  <si>
    <t>R2 | Quality!G659</t>
  </si>
  <si>
    <t>Three torso bands per participant</t>
  </si>
  <si>
    <t>R1 | Method quality 39!H40</t>
  </si>
  <si>
    <t>R2 | Quality!G660</t>
  </si>
  <si>
    <t>Three 10 cm sensing pieces are integrated into upper-chest, lower-chest and abdominal bands and fitted for each participant. The system configuration is described; independent complete-system count and reuse are not explicit.</t>
  </si>
  <si>
    <t>PDF pp 3-4, sections 2.2-2.4 / Fig 2</t>
  </si>
  <si>
    <t>Participants: 15; participant details: 15 healthy students aged 19–30 years; 6 women, 9 men; anthropometrics reported as mean ± SD</t>
  </si>
  <si>
    <t>R1 | Method quality 39!I40; R1 | Method quality 39!J40</t>
  </si>
  <si>
    <t>R2 | Quality!G661</t>
  </si>
  <si>
    <t>R2 | Quality!G662</t>
  </si>
  <si>
    <t>R2 | Quality!G663</t>
  </si>
  <si>
    <t>Voltage-to-resistance processing and a documented intra-subject classifier with training and cross-validation are described. Retain existing 2 for scope consistency.</t>
  </si>
  <si>
    <t>Main PDF pp 5–6, feature extraction and classification</t>
  </si>
  <si>
    <t>Protocol labels only; no external respiratory-flow, audio or video reference</t>
  </si>
  <si>
    <t>R1 | Method quality 39!M40</t>
  </si>
  <si>
    <t>R2 | Quality!G664</t>
  </si>
  <si>
    <t>A scheduled protocol alternates two-minute talking/quiet periods in sitting, standing and walking; participants read a news article, and reference/predicted labels are shown. A protocol-based reference is identifiable, but a separate verified speech reference and synchronization/annotation procedure are incompletely specified. Retain partial credit.</t>
  </si>
  <si>
    <t>PDF p 4 section 2.4, p 7 metrics and p 8 Fig 7</t>
  </si>
  <si>
    <t>Accuracy, TPR, FPR, AUC and segment accuracy reported; anthropometrics reported as mean ± SD</t>
  </si>
  <si>
    <t>R1 | Method quality 39!N40</t>
  </si>
  <si>
    <t>R2 | Quality!G665</t>
  </si>
  <si>
    <t>Sitting, standing and treadmill walking at 2 mph; activity order randomized; 1.5-h visit including setup</t>
  </si>
  <si>
    <t>R1 | Method quality 39!O40</t>
  </si>
  <si>
    <t>R2 | Quality!G666</t>
  </si>
  <si>
    <t>R2 | Quality!G667</t>
  </si>
  <si>
    <t>Three bands in different anatomical positions are tested together; no equivalent independent-device comparison is identified.</t>
  </si>
  <si>
    <t>Main PDF pp 3–4, three sensor bands</t>
  </si>
  <si>
    <t>R1 | Method quality 39!Q40</t>
  </si>
  <si>
    <t>R2 | Quality!G668</t>
  </si>
  <si>
    <t>No device failure criterion; algorithm evaluated with classification metrics</t>
  </si>
  <si>
    <t>R1 | Method quality 39!R40</t>
  </si>
  <si>
    <t>R2 | Quality!G669</t>
  </si>
  <si>
    <t>Azza's returned quality confirmation, review date 2026-10-01. Azza_Quality_Confirmation_39_Gai_Closed_20261001.xlsx, Score changes row 45.</t>
  </si>
  <si>
    <t>Band fitting, scheduled tasks and classification accuracy are reported, but no operational sensor-stability/failure criterion is specified. Under the explicit-criterion interpretation, post-test stability/drift/retention or task/classifier thresholds do not satisfy Q12. Score 0 means the requested criterion was not identified in the inspected sources, not that no robustness testing occurred or that the device is poor.
Confirmed decision: Agree under R1. Band fitting, task schedules and classification accuracy do not state a sensor-stability/failure criterion.</t>
  </si>
  <si>
    <t>PDF pp 3-4 and 6-8, band protocol and talking-classification evaluation</t>
  </si>
  <si>
    <t>Agree. Agree under R1. Band fitting, task schedules and classification accuracy do not state a sensor-stability/failure criterion.</t>
  </si>
  <si>
    <t>Band fitting, scheduled tasks and classification accuracy are reported, but no operational sensor-stability/failure criterion is specified. Under the explicit-criterion interpretation, post-test stability/drift/retention or task/classifier thresholds do not satisfy Q12. Score 0 means the requested criterion was not identified in the inspected sources, not that no robustness testing occurred or that the device is poor.</t>
  </si>
  <si>
    <t>Intra-subject analysis only; user-independent transfer not tested</t>
  </si>
  <si>
    <t>R1 | Method quality 39!S40</t>
  </si>
  <si>
    <t>R2 | Quality!G670</t>
  </si>
  <si>
    <t>R2 | Quality!G671</t>
  </si>
  <si>
    <t>Bands are located at upper/lower chest and abdomen, with elastic stitching; tightness is adjusted using participant feedback to a comfortable exercise-shirt-like fit. Fit method and placement are described qualitatively, without quantified pretension.</t>
  </si>
  <si>
    <t>R2 | Quality!G672</t>
  </si>
  <si>
    <t>R2 | Quality!G673</t>
  </si>
  <si>
    <t>Azza personally approved; confirmed directly by Pooja in this conversation, 14 October 2026. 02_Azza_Original_39_20261014.xlsx | Other applications row 40</t>
  </si>
  <si>
    <t>Added to41-study synthesis by author approval13October2026.</t>
  </si>
  <si>
    <t>Azza personally approved; confirmed directly by Pooja in this conversation, 14 October 2026. 01_Azza_Added_Studies_20261014.xlsx | Two added studies row 26</t>
  </si>
  <si>
    <t>Original main/SI evidence checked</t>
  </si>
  <si>
    <t>Three sensors are used for humidity tests and another three identical sensors for temperature tests. Specimen counts are explicit for these tests; do not extend them to every experiment.</t>
  </si>
  <si>
    <t>new_study_proposal</t>
  </si>
  <si>
    <t>Azza personally approved; confirmed directly by Pooja in this conversation, 14 October 2026. 01_Azza_Added_Studies_20261014.xlsx | Two added studies row 27</t>
  </si>
  <si>
    <t>Independent manufacturing-batch or production-run count is not identified.</t>
  </si>
  <si>
    <t>Azza personally approved; confirmed directly by Pooja in this conversation, 14 October 2026. 01_Azza_Added_Studies_20261014.xlsx | Two added studies row 28</t>
  </si>
  <si>
    <t>A three-channel glove, a sensing bandage and kinesiology-tape configurations are described; total independent complete wearable assemblies tested is not specified.</t>
  </si>
  <si>
    <t>Azza personally approved; confirmed directly by Pooja in this conversation, 14 October 2026. 01_Azza_Added_Studies_20261014.xlsx | Two added studies row 29</t>
  </si>
  <si>
    <t>Written consent is reported, but total unique participant number, demographics and population are not specified. The singular wording subject does not establish total n.</t>
  </si>
  <si>
    <t>Azza personally approved; confirmed directly by Pooja in this conversation, 14 October 2026. 01_Azza_Added_Studies_20261014.xlsx | Two added studies row 30</t>
  </si>
  <si>
    <t>Within-task repeats are shown, but independent sessions, days or re-donning repetitions per participant are not identified.</t>
  </si>
  <si>
    <t>Azza personally approved; confirmed directly by Pooja in this conversation, 14 October 2026. 01_Azza_Added_Studies_20261014.xlsx | Two added studies row 31</t>
  </si>
  <si>
    <t>Instron-controlled strain with simultaneous multimeter capacitance establishes instrumented bench calibration inputs. No independent or transferable human-output calibration model is described.</t>
  </si>
  <si>
    <t>Azza personally approved; confirmed directly by Pooja in this conversation, 14 October 2026. 01_Azza_Added_Studies_20261014.xlsx | Two added studies row 32</t>
  </si>
  <si>
    <t>No external reference measurement or criterion validation for the intended human output is identified. Bench material/cutting controls are retained as engineering characterization.</t>
  </si>
  <si>
    <t>Azza personally approved; confirmed directly by Pooja in this conversation, 14 October 2026. 01_Azza_Added_Studies_20261014.xlsx | Two added studies row 33</t>
  </si>
  <si>
    <t>Supporting FigureS13 explicitly identifies three samples and shaded error bars for humidity and temperature curves. The error-bar statistic is not defined as SD,SE,CI or range, so uncertainty reporting remains partial.</t>
  </si>
  <si>
    <t>Azza personally approved; confirmed directly by Pooja in this conversation, 14 October 2026. 01_Azza_Added_Studies_20261014.xlsx | Two added studies row 34</t>
  </si>
  <si>
    <t>Strain amplitudes/rates, thermal equilibration, humidity levels, instruments and worn sensor positioning are reported with interpretable conditions.</t>
  </si>
  <si>
    <t>Azza personally approved; confirmed directly by Pooja in this conversation, 14 October 2026. 01_Azza_Added_Studies_20261014.xlsx | Two added studies row 35</t>
  </si>
  <si>
    <t>Electrical stability of three equivalent sensors in each exposure experiment is summarized with shaded error bars. The dispersion statistic is undefined, limiting appraisal of between-device variability. This partial comparison concerns equivalent-device electrical stability, not different sensor geometries.</t>
  </si>
  <si>
    <t>Azza personally approved; confirmed directly by Pooja in this conversation, 14 October 2026. 01_Azza_Added_Studies_20261014.xlsx | Two added studies row 36</t>
  </si>
  <si>
    <t>Three-sensor humidity alternation each hour and temperature exposure with1h equilibration, instruments and ranges provide an explicit non-standardized environmental protocol.</t>
  </si>
  <si>
    <t>Azza personally approved; confirmed directly by Pooja in this conversation, 14 October 2026. 01_Azza_Added_Studies_20261014.xlsx | Two added studies row 37</t>
  </si>
  <si>
    <t>Cutting, cycling and environmental outcomes are reported, but no operational permitted-change or loss-of-function decision criterion is specified for the wearable measurement. Continued signals alone do not establish the clarified Q12 criterion.</t>
  </si>
  <si>
    <t>Azza personally approved; confirmed directly by Pooja in this conversation, 14 October 2026. 01_Azza_Added_Studies_20261014.xlsx | Two added studies row 38</t>
  </si>
  <si>
    <t>No calibration transfer or held-out-user evaluation is reported.</t>
  </si>
  <si>
    <t>Azza personally approved; confirmed directly by Pooja in this conversation, 14 October 2026. 01_Azza_Added_Studies_20261014.xlsx | Two added studies row 39</t>
  </si>
  <si>
    <t>Finger placement spans middle/proximal phalanges, sensor orientation follows bandage stretch, respiration bandage is wrapped without pre-stretch, and tape/knee alignment is described.</t>
  </si>
  <si>
    <t>Azza personally approved; confirmed directly by Pooja in this conversation, 14 October 2026. 01_Azza_Added_Studies_20261014.xlsx | Two added studies row 40</t>
  </si>
  <si>
    <t>Hook-up wires, sealing and tethered PXIe-4082 multimeter acquisition are described. Sampling/power and an implemented portable wireless acquisition system are not specified.</t>
  </si>
  <si>
    <t>Azza personally approved; confirmed directly by Pooja in this conversation, 14 October 2026. 01_Azza_Added_Studies_20261014.xlsx | Two added studies row 41</t>
  </si>
  <si>
    <t>Supporting plots and demonstration videos are listed, but no usable underlying research-data or code access statement is identified in the assessed main article. Supporting media do not establish an underlying-data route.</t>
  </si>
  <si>
    <t>Azza personally approved; confirmed directly by Pooja in this conversation, 14 October 2026. 01_Azza_Added_Studies_20261014.xlsx | Two added studies row 42</t>
  </si>
  <si>
    <t>No explicit independent fabricated sensor specimen count is identified; course/wale variants and repeated cycles are not specimen n.</t>
  </si>
  <si>
    <t>Azza personally approved; confirmed directly by Pooja in this conversation, 14 October 2026. 01_Azza_Added_Studies_20261014.xlsx | Two added studies row 43</t>
  </si>
  <si>
    <t>Independent fabrication batches/runs are not specified.</t>
  </si>
  <si>
    <t>Azza personally approved; confirmed directly by Pooja in this conversation, 14 October 2026. 01_Azza_Added_Studies_20261014.xlsx | Two added studies row 44</t>
  </si>
  <si>
    <t>Wrist and finger configurations are demonstrated; a total complete-device count and reuse scheme are not specified.</t>
  </si>
  <si>
    <t>Azza personally approved; confirmed directly by Pooja in this conversation, 14 October 2026. 01_Azza_Added_Studies_20261014.xlsx | Two added studies row 45</t>
  </si>
  <si>
    <t>Total unique participant number, demographics and population are not specified. A photograph or singular subject wording does not establish n.</t>
  </si>
  <si>
    <t>Azza personally approved; confirmed directly by Pooja in this conversation, 14 October 2026. 01_Azza_Added_Studies_20261014.xlsx | Two added studies row 46</t>
  </si>
  <si>
    <t>Illustrative repeated bends are shown; independent repeated sessions/days are not specified.</t>
  </si>
  <si>
    <t>Azza personally approved; confirmed directly by Pooja in this conversation, 14 October 2026. 01_Azza_Added_Studies_20261014.xlsx | Two added studies row 47</t>
  </si>
  <si>
    <t>Controlled strain inputs,0.1V readout and GF definition support bench calibration-related reporting. No calibrated human measurement model is evaluated.</t>
  </si>
  <si>
    <t>Azza personally approved; confirmed directly by Pooja in this conversation, 14 October 2026. 01_Azza_Added_Studies_20261014.xlsx | Two added studies row 48</t>
  </si>
  <si>
    <t>No external human motion or pulse reference is identified. Bench loudspeaker traces address a separate non-worn experiment.</t>
  </si>
  <si>
    <t>Azza personally approved; confirmed directly by Pooja in this conversation, 14 October 2026. 01_Azza_Added_Studies_20261014.xlsx | Two added studies row 49</t>
  </si>
  <si>
    <t>No defined statistical uncertainty, error bars, confidence intervals or device/human output distributions are identified in the main article.</t>
  </si>
  <si>
    <t>Azza personally approved; confirmed directly by Pooja in this conversation, 14 October 2026. 01_Azza_Added_Studies_20261014.xlsx | Two added studies row 50</t>
  </si>
  <si>
    <t>Voltage, strain, loading rate, cycle count and frequency settings are explicitly reported for the sensing tests.</t>
  </si>
  <si>
    <t>Azza personally approved; confirmed directly by Pooja in this conversation, 14 October 2026. 01_Azza_Added_Studies_20261014.xlsx | Two added studies row 51</t>
  </si>
  <si>
    <t>Direction variants and repeated-cycle traces do not establish functional-output comparison across independently fabricated equivalent sensors.</t>
  </si>
  <si>
    <t>Azza personally approved; confirmed directly by Pooja in this conversation, 14 October 2026. 01_Azza_Added_Studies_20261014.xlsx | Two added studies row 52</t>
  </si>
  <si>
    <t>PDMS protection is claimed, but no interpretable laundering, moisture, sweat, oxidation or temperature exposure/sensing protocol is identified. TGA concerns material decomposition.</t>
  </si>
  <si>
    <t>Azza personally approved; confirmed directly by Pooja in this conversation, 14 October 2026. 01_Azza_Added_Studies_20261014.xlsx | Two added studies row 53</t>
  </si>
  <si>
    <t>Repeated-waveform survival and qualitative stability are outcomes; no stated functional stability limit or failure decision endpoint is identified.</t>
  </si>
  <si>
    <t>Azza personally approved; confirmed directly by Pooja in this conversation, 14 October 2026. 01_Azza_Added_Studies_20261014.xlsx | Two added studies row 54</t>
  </si>
  <si>
    <t>No cross-user or unseen-user calibration/measurement evaluation is identified.</t>
  </si>
  <si>
    <t>Azza personally approved; confirmed directly by Pooja in this conversation, 14 October 2026. 01_Azza_Added_Studies_20261014.xlsx | Two added studies row 55</t>
  </si>
  <si>
    <t>Wrist/finger placement and polyimide-tape attachment are stated. Pretension, fit standardization and repeated placement are not specified.</t>
  </si>
  <si>
    <t>Azza personally approved; confirmed directly by Pooja in this conversation, 14 October 2026. 01_Azza_Added_Studies_20261014.xlsx | Two added studies row 56</t>
  </si>
  <si>
    <t>Copper/silver-paste interconnects and Keithley2614B source meter at0.1V are described. Sampling/power and portable wearable readout are not specified.</t>
  </si>
  <si>
    <t>Azza personally approved; confirmed directly by Pooja in this conversation, 14 October 2026. 01_Azza_Added_Studies_20261014.xlsx | Two added studies row 57</t>
  </si>
  <si>
    <t>Authors explicitly state that presented data are available within the article. This is partial availability-status reporting; an underlying raw-data or code repository/access route is not established.</t>
  </si>
  <si>
    <t>Methodological reporting: 41-study analysis</t>
  </si>
  <si>
    <t>Confirmation status</t>
  </si>
  <si>
    <t>656 entries. Historical status: 114 explicitly confirmed and 542 retained Reviewer 2 assessments. Subsequently, all 123 Q10/Q12/Q16 assignments received second-reviewer source verification, as confirmed by Pooja. These include 56 previously confirmed and 67 previously retained entries. Original ratings and adjudications remain preserved; verification does not constitute a new independent rating series.</t>
  </si>
  <si>
    <t>Score definitions</t>
  </si>
  <si>
    <t>0 = no assessable reporting; 1 = partial reporting; 2 = sufficiently described; NA = genuinely inapplicable. Pending is never counted as 0. These scores describe reporting, not demonstrated methodological rigor.</t>
  </si>
  <si>
    <t>Denominators</t>
  </si>
  <si>
    <t>All-study and applicable-study denominators are 41 (no NA). Percentages use the approved current analysis. Original independent ratings and agreement statistics remain separate.</t>
  </si>
  <si>
    <t>Unscored</t>
  </si>
  <si>
    <t>Applicable</t>
  </si>
  <si>
    <t>Reviewer confirmed</t>
  </si>
  <si>
    <t>Analyst proposed</t>
  </si>
  <si>
    <t>R2 retained</t>
  </si>
  <si>
    <t>All requested quality confirmations are incorporated. The matrix contains 114 explicitly confirmed decisions and 542 retained Reviewer 2 assessments; it is not a complete paired independent risk-of-bias assessment.</t>
  </si>
  <si>
    <t>Original ratings, explicit confirmations, current analysis scores and their provenance are retained as separate labelled fields in S10 quality evidence. The two added studies do not have original independent R1/R2 score series.</t>
  </si>
  <si>
    <t>Q16 reports availability information, not actual openness. Zhou: explicit non-sharing with insufficient detail. Bellisle: a persistent data/code DOI is reported, but repository contents were not verified.</t>
  </si>
  <si>
    <t>No overall quality total or quality-assessment kappa is calculated. The original independent Figure 5 and Figure 6 ratings remain separate from these later decisions.</t>
  </si>
  <si>
    <t>Paired ratings</t>
  </si>
  <si>
    <t>Exact matches</t>
  </si>
  <si>
    <t>Exact agreement</t>
  </si>
  <si>
    <t>Kappa</t>
  </si>
  <si>
    <t>95% CI lower</t>
  </si>
  <si>
    <t>95% CI upper</t>
  </si>
  <si>
    <t>Weighting</t>
  </si>
  <si>
    <t>Valid bootstrap resamples</t>
  </si>
  <si>
    <t>Eligibility (42 candidates)</t>
  </si>
  <si>
    <t>Unweighted</t>
  </si>
  <si>
    <t>Independent scores; 10,000 study-cluster bootstrap resamples, seed 2026. Different reviewer codebooks limit interpretation.</t>
  </si>
  <si>
    <t>Figure 5 pooled</t>
  </si>
  <si>
    <t>Quadratic weighted</t>
  </si>
  <si>
    <t>Figure 6 pooled</t>
  </si>
  <si>
    <t>Undefined kappa: no score variation despite exact agreement</t>
  </si>
  <si>
    <t>All textile strain-sensor studies</t>
  </si>
  <si>
    <t>Wearable or garment claim</t>
  </si>
  <si>
    <t>Physiological, rehabilitation or clinical claim</t>
  </si>
  <si>
    <t>Minimum information to report</t>
  </si>
  <si>
    <t>Textile architecture and construction</t>
  </si>
  <si>
    <t>Required</t>
  </si>
  <si>
    <t>Textile form, construction, dimensions and sensing-element location.</t>
  </si>
  <si>
    <t>Supplementary_Information_Final.docx; Supplementary Table S9 (conceptual checklist retained)</t>
  </si>
  <si>
    <t>Conductive materials and fabrication</t>
  </si>
  <si>
    <t>Conductive material, substrate, formulation and fabrication/integration steps.</t>
  </si>
  <si>
    <t>Usable strain interval and test conditions.</t>
  </si>
  <si>
    <t>Gauge factor and corresponding strain interval</t>
  </si>
  <si>
    <t>Required when applicable</t>
  </si>
  <si>
    <t>Gauge factor or equivalent sensitivity with the exact strain interval used.</t>
  </si>
  <si>
    <t>Linearity, hysteresis and drift</t>
  </si>
  <si>
    <t>Quantitative definitions, calculation method and test range.</t>
  </si>
  <si>
    <t>Response and recovery</t>
  </si>
  <si>
    <t>Required when claimed</t>
  </si>
  <si>
    <t>Response/recovery definition, loading rate and measurement method.</t>
  </si>
  <si>
    <t>Cyclic durability and testing conditions</t>
  </si>
  <si>
    <t>Cycle count, strain amplitude, frequency/rate, environment and stability/failure criterion.</t>
  </si>
  <si>
    <t>Device-to-device reproducibility</t>
  </si>
  <si>
    <t>Number of devices/batches and between-device variation or uncertainty.</t>
  </si>
  <si>
    <t>Washability, sweat, moisture and abrasion</t>
  </si>
  <si>
    <t>Report when tested</t>
  </si>
  <si>
    <t>Required when relevant to use</t>
  </si>
  <si>
    <t>Protocol or standard, exposure level, number of cycles and post-test performance.</t>
  </si>
  <si>
    <t>Breathability and comfort</t>
  </si>
  <si>
    <t>Required for prolonged-wear claims</t>
  </si>
  <si>
    <t>Assessment method, duration and participant/user feedback where applicable.</t>
  </si>
  <si>
    <t>Garment fit, placement and pretension</t>
  </si>
  <si>
    <t>Not usually applicable</t>
  </si>
  <si>
    <t>Garment size/fit, sensor location, attachment and pretension or baseline condition.</t>
  </si>
  <si>
    <t>Participant and session information</t>
  </si>
  <si>
    <t>Not applicable to bench-only studies</t>
  </si>
  <si>
    <t>Required for human testing</t>
  </si>
  <si>
    <t>Participant number and characteristics, sessions, repetitions and ethics approval.</t>
  </si>
  <si>
    <t>Calibration and reference validation</t>
  </si>
  <si>
    <t>Report when performed</t>
  </si>
  <si>
    <t>Required for quantitative wearable claims</t>
  </si>
  <si>
    <t>Calibration procedure, external comparator, synchronisation and error/agreement statistics.</t>
  </si>
  <si>
    <t>Readout electronics, interconnects and power</t>
  </si>
  <si>
    <t>Circuit/readout, sampling, filtering, connectors, power source and wash/disconnection strategy.</t>
  </si>
  <si>
    <t>Availability statement for raw/processed data, scoring sheets and analysis code.</t>
  </si>
  <si>
    <t>Human monitoring is the central experimental objective.</t>
  </si>
  <si>
    <t>The study experimentally evaluates motion, posture, respiration, rehabilitation, physiological deformation or another human-monitoring outcome.</t>
  </si>
  <si>
    <t>R2 | Codebook!A2:F2</t>
  </si>
  <si>
    <t>An actual participant-worn human experiment is explicitly reported.</t>
  </si>
  <si>
    <t>A volunteer wears the sensor or sensor-containing textile during the reported experiment.</t>
  </si>
  <si>
    <t>R2 | Codebook!A3:F3</t>
  </si>
  <si>
    <t>The sensing configuration tested on the participant is textile-integrated.</t>
  </si>
  <si>
    <t>A sensor knitted, woven, embroidered, sewn, printed or otherwise integrated into a textile qualifies. A free fibre taped directly to skin does not.</t>
  </si>
  <si>
    <t>R2 | Codebook!A4:F4</t>
  </si>
  <si>
    <t>The principal human output arises from tensile strain, stretch, bending or deformation.</t>
  </si>
  <si>
    <t>A resistance or capacitance signal changes with joint bending or respiratory expansion.</t>
  </si>
  <si>
    <t>R2 | Codebook!A5:F5</t>
  </si>
  <si>
    <t>A numerical or otherwise analyzable quantitative human-wear result is reported.</t>
  </si>
  <si>
    <t>Examples include angle error, classification accuracy, signal amplitude, correlation or respiratory rate.</t>
  </si>
  <si>
    <t>R2 | Codebook!A6:F6</t>
  </si>
  <si>
    <t>Structured human validation is present, or at least two robustness domains D1-D6 are reported.</t>
  </si>
  <si>
    <t>A participant protocol with a comparator qualifies; alternatively, washing plus cyclic testing qualifies.</t>
  </si>
  <si>
    <t>R2 | Codebook!A7:F7</t>
  </si>
  <si>
    <t>Robustness</t>
  </si>
  <si>
    <t>D1</t>
  </si>
  <si>
    <t>Laundry or washing evidence.</t>
  </si>
  <si>
    <t>Wash count, washing procedure or post-wash performance.</t>
  </si>
  <si>
    <t>Used for S6</t>
  </si>
  <si>
    <t>R2 | Codebook!A8:F8</t>
  </si>
  <si>
    <t>D2</t>
  </si>
  <si>
    <t>Moisture, sweat, humidity, temperature, ultraviolet or other environmental exposure evidence.</t>
  </si>
  <si>
    <t>Artificial-sweat exposure with post-test sensor response.</t>
  </si>
  <si>
    <t>R2 | Codebook!A9:F9</t>
  </si>
  <si>
    <t>D3</t>
  </si>
  <si>
    <t>Abrasion or rubbing evidence.</t>
  </si>
  <si>
    <t>Martindale abrasion cycles or another stated rubbing protocol.</t>
  </si>
  <si>
    <t>R2 | Codebook!A10:F10</t>
  </si>
  <si>
    <t>D4</t>
  </si>
  <si>
    <t>Linearity, hysteresis, drift, repeatability or other signal-integrity evidence.</t>
  </si>
  <si>
    <t>Numerical hysteresis, baseline drift or repeated-trial agreement.</t>
  </si>
  <si>
    <t>R2 | Codebook!A11:F11</t>
  </si>
  <si>
    <t>D5</t>
  </si>
  <si>
    <t>Device-to-device, batch-to-batch or independent-replicate reproducibility evidence.</t>
  </si>
  <si>
    <t>Performance reported for three independently fabricated devices.</t>
  </si>
  <si>
    <t>R2 | Codebook!A12:F12</t>
  </si>
  <si>
    <t>D6</t>
  </si>
  <si>
    <t>At least 100 loading cycles are reported.</t>
  </si>
  <si>
    <t>One thousand stretch-release cycles at a stated strain.</t>
  </si>
  <si>
    <t>R2 | Codebook!A13:F13</t>
  </si>
  <si>
    <t>R2 | Codebook!A27:F27</t>
  </si>
  <si>
    <t>R2 | Codebook!A31:F31</t>
  </si>
  <si>
    <t>R2 | Codebook!A35:F35</t>
  </si>
  <si>
    <t>R2 | Codebook!A55:F55</t>
  </si>
  <si>
    <t>Methodological quality</t>
  </si>
  <si>
    <t>0 / 1 / 2 / NA</t>
  </si>
  <si>
    <t>Fabricated samples: Number of independently fabricated sensor specimens and whether the unit of analysis is clear. Score 0 when no assessable information is reported; 1 when partially described; 2 when clearly described with enough detail for appraisal or replication; NA only when genuinely irrelevant.</t>
  </si>
  <si>
    <t>Report the specimen count and distinguish repeated tests on one specimen from independent specimens.</t>
  </si>
  <si>
    <t>Record evidence location for every score</t>
  </si>
  <si>
    <t>R2 | Codebook!A60:F60</t>
  </si>
  <si>
    <t>Manufacturing batches: Number of independent fabrication batches or production runs. Score 0 when no assessable information is reported; 1 when partially described; 2 when clearly described with enough detail for appraisal or replication; NA only when genuinely irrelevant.</t>
  </si>
  <si>
    <t>State batch count or explicitly state that all specimens came from one batch.</t>
  </si>
  <si>
    <t>R2 | Codebook!A61:F61</t>
  </si>
  <si>
    <t>Devices tested: Number of complete devices or wearable assemblies tested. Score 0 when no assessable information is reported; 1 when partially described; 2 when clearly described with enough detail for appraisal or replication; NA only when genuinely irrelevant.</t>
  </si>
  <si>
    <t>State the number of devices and whether the same unit was reused across participants.</t>
  </si>
  <si>
    <t>R2 | Codebook!A62:F62</t>
  </si>
  <si>
    <t>Participants: Participant number, population and relevant demographics. Score 0 when no assessable information is reported; 1 when partially described; 2 when clearly described with enough detail for appraisal or replication; NA only when genuinely irrelevant.</t>
  </si>
  <si>
    <t>Give total n and relevant age, sex, health or patient characteristics.</t>
  </si>
  <si>
    <t>R2 | Codebook!A63:F63</t>
  </si>
  <si>
    <t>Repeated sessions: Independent sessions, days or donning cycles per participant. Score 0 when no assessable information is reported; 1 when partially described; 2 when clearly described with enough detail for appraisal or replication; NA only when genuinely irrelevant.</t>
  </si>
  <si>
    <t>State the number and timing of repeated sessions.</t>
  </si>
  <si>
    <t>R2 | Codebook!A64:F64</t>
  </si>
  <si>
    <t>Calibration procedure: Calibration inputs, model and whether calibration is individual or general. Score 0 when no assessable information is reported; 1 when partially described; 2 when clearly described with enough detail for appraisal or replication; NA only when genuinely irrelevant.</t>
  </si>
  <si>
    <t>Describe calibration movements/loads, equations and train/test separation where applicable.</t>
  </si>
  <si>
    <t>R2 | Codebook!A65:F65</t>
  </si>
  <si>
    <t>External reference or comparator: Reference instrument, comparator method or ground truth used for validation. Score 0 when no assessable information is reported; 1 when partially described; 2 when clearly described with enough detail for appraisal or replication; NA only when genuinely irrelevant.</t>
  </si>
  <si>
    <t>Identify the reference and synchronization/comparison procedure.</t>
  </si>
  <si>
    <t>R2 | Codebook!A66:F66</t>
  </si>
  <si>
    <t>Statistical uncertainty: Variability or uncertainty around sensor/device/human outcomes. Score 0 when no assessable information is reported; 1 when partially described; 2 when clearly described with enough detail for appraisal or replication; NA only when genuinely irrelevant.</t>
  </si>
  <si>
    <t>Report SD, SE, confidence intervals, distributions or clearly defined error measures.</t>
  </si>
  <si>
    <t>R2 | Codebook!A67:F67</t>
  </si>
  <si>
    <t>Testing conditions: Mechanical, environmental and human-test conditions needed to interpret results. Score 0 when no assessable information is reported; 1 when partially described; 2 when clearly described with enough detail for appraisal or replication; NA only when genuinely irrelevant.</t>
  </si>
  <si>
    <t>State strain, rate/frequency, preload, temperature and task conditions as applicable.</t>
  </si>
  <si>
    <t>R2 | Codebook!A68:F68</t>
  </si>
  <si>
    <t>Device reproducibility: Agreement across independently fabricated devices or specimens. Score 0 when no assessable information is reported; 1 when partially described; 2 when clearly described with enough detail for appraisal or replication; NA only when genuinely irrelevant.</t>
  </si>
  <si>
    <t>Report between-device variability rather than repeated cycles from one device only.</t>
  </si>
  <si>
    <t>R2 | Codebook!A69:F69</t>
  </si>
  <si>
    <t>Environmental standard: Recognized standard or fully specified protocol for washing, abrasion, sweat, moisture or temperature tests. Score 0 when no assessable information is reported; 1 when partially described; 2 when clearly described with enough detail for appraisal or replication; NA only when genuinely irrelevant.</t>
  </si>
  <si>
    <t>Name the ISO/AATCC/ASTM method or provide equivalent procedural detail.</t>
  </si>
  <si>
    <t>R2 | Codebook!A70:F70</t>
  </si>
  <si>
    <t>Stability or failure criteria: Predefined stability threshold, failure endpoint or retained-performance criterion. Score 0 when no assessable information is reported; 1 when partially described; 2 when clearly described with enough detail for appraisal or replication; NA only when genuinely irrelevant.</t>
  </si>
  <si>
    <t>State the permitted drift, failure definition or retained sensitivity after cycling.</t>
  </si>
  <si>
    <t>R2 | Codebook!A71:F71</t>
  </si>
  <si>
    <t>Inter-user transferability: Performance when calibration/models are transferred across users or evaluated on unseen users. Score 0 when no assessable information is reported; 1 when partially described; 2 when clearly described with enough detail for appraisal or replication; NA only when genuinely irrelevant.</t>
  </si>
  <si>
    <t>Report leave-one-subject-out or cross-user performance.</t>
  </si>
  <si>
    <t>R2 | Codebook!A72:F72</t>
  </si>
  <si>
    <t>Fit, placement and pretension: Garment sizing, sensor placement, attachment and initial strain/pretension. Score 0 when no assessable information is reported; 1 when partially described; 2 when clearly described with enough detail for appraisal or replication; NA only when genuinely irrelevant.</t>
  </si>
  <si>
    <t>State anatomical position, fit method and how pretension was controlled.</t>
  </si>
  <si>
    <t>R2 | Codebook!A73:F73</t>
  </si>
  <si>
    <t>Electronics, interconnects and power: Acquisition hardware, sampling, interconnects, power and wireless/tethered arrangement. Score 0 when no assessable information is reported; 1 when partially described; 2 when clearly described with enough detail for appraisal or replication; NA only when genuinely irrelevant.</t>
  </si>
  <si>
    <t>Identify the readout circuit, sampling rate, battery/power and communication route.</t>
  </si>
  <si>
    <t>R2 | Codebook!A74:F74</t>
  </si>
  <si>
    <t>Data and code availability: Availability statement and persistent location for data, code or analysis models. Score 0 when no assessable information is reported; 1 when partially described; 2 when clearly described with enough detail for appraisal or replication; NA only when genuinely irrelevant.</t>
  </si>
  <si>
    <t>Provide a repository link, DOI or a clear restriction statement.</t>
  </si>
  <si>
    <t>R2 | Codebook!A75:F75</t>
  </si>
  <si>
    <t>R1 original: Screening</t>
  </si>
  <si>
    <t>R1 | Codebook!A2:C2</t>
  </si>
  <si>
    <t>R1 | Codebook!A3:C3</t>
  </si>
  <si>
    <t>The sensing configuration tested on the participant is textile-integrated; a free fibre/yarn taped to skin does not qualify.</t>
  </si>
  <si>
    <t>R1 | Codebook!A4:C4</t>
  </si>
  <si>
    <t>Human output principally arises from strain, stretch, bending or deformation.</t>
  </si>
  <si>
    <t>R1 | Codebook!A5:C5</t>
  </si>
  <si>
    <t>A numerical or otherwise analyzable quantitative human-wear output is reported.</t>
  </si>
  <si>
    <t>R1 | Codebook!A6:C6</t>
  </si>
  <si>
    <t>R1 | Codebook!A7:C7</t>
  </si>
  <si>
    <t>R1 original: Robustness</t>
  </si>
  <si>
    <t>R1 | Codebook!A8:C8</t>
  </si>
  <si>
    <t>Moisture, sweat, humidity, temperature, UV or other environmental exposure evidence.</t>
  </si>
  <si>
    <t>R1 | Codebook!A9:C9</t>
  </si>
  <si>
    <t>R1 | Codebook!A10:C10</t>
  </si>
  <si>
    <t>Linearity, hysteresis, drift, repeatability or signal-integrity evidence.</t>
  </si>
  <si>
    <t>R1 | Codebook!A11:C11</t>
  </si>
  <si>
    <t>R1 | Codebook!A12:C12</t>
  </si>
  <si>
    <t>At least 100 loading cycles.</t>
  </si>
  <si>
    <t>R1 | Codebook!A13:C13</t>
  </si>
  <si>
    <t>R1 original: Missingness</t>
  </si>
  <si>
    <t>The complete available article was checked and did not report the item.</t>
  </si>
  <si>
    <t>R1 | Codebook!A14:C14</t>
  </si>
  <si>
    <t>Use only when the item is genuinely irrelevant to the study design; do not use it for absent reporting.</t>
  </si>
  <si>
    <t>R1 | Codebook!A15:C15</t>
  </si>
  <si>
    <t>R1 original: Interpretation</t>
  </si>
  <si>
    <t>Reporting framework</t>
  </si>
  <si>
    <t>Figure 6 primarily assesses reporting completeness. It should not be interpreted as methodological quality unless the evidence permits a quality judgment.</t>
  </si>
  <si>
    <t>R1 | Codebook!A19:C19</t>
  </si>
  <si>
    <t>R1 original: Verification</t>
  </si>
  <si>
    <t>Reviewer 1 entry has not yet been independently checked.</t>
  </si>
  <si>
    <t>R1 | Codebook!A22:C22</t>
  </si>
  <si>
    <t>Consensus</t>
  </si>
  <si>
    <t>Keep both ratings for a discrepancy, revisit the complete text, record the evidence location, and document the agreed resolution.</t>
  </si>
  <si>
    <t>R1 | Codebook!A23:C23</t>
  </si>
  <si>
    <t>Master status</t>
  </si>
  <si>
    <t>Needs adjudication</t>
  </si>
  <si>
    <t>R1 and R2 ordinal scores differ and no signed consensus for this item is present.</t>
  </si>
  <si>
    <t>Leave final score blank until an evidence-based resolution is documented.</t>
  </si>
  <si>
    <t>Text match</t>
  </si>
  <si>
    <t>Extracted wording matches after case/whitespace normalization. This is an alignment check, not a new full-text verification.</t>
  </si>
  <si>
    <t>Recheck against article before manuscript use.</t>
  </si>
  <si>
    <t>R1 quality entries are narrative. R2 quality entries are ordinal. A paired independent quality score is unavailable.</t>
  </si>
  <si>
    <t>Do not calculate quality kappa from these incompatible inputs.</t>
  </si>
  <si>
    <t>Evidence scope</t>
  </si>
  <si>
    <t>Reporting quality</t>
  </si>
  <si>
    <t>The available Q1-Q16 rubric primarily grades completeness of reported methods. It does not automatically establish actual methodological rigor.</t>
  </si>
  <si>
    <t>Keep reporting completeness distinct from critical appraisal.</t>
  </si>
  <si>
    <t>R2 | Codebook!A60:F75</t>
  </si>
  <si>
    <t>Quality adjudication clarification</t>
  </si>
  <si>
    <t>No stated functional/electrical-service stability or failure decision rule. Stable curves, cycle counts, measured retention and mechanical fracture alone do not qualify. Preregistration is not required.</t>
  </si>
  <si>
    <t>A stable-looking 1000-cycle trace without a stated acceptance/failure rule is not a predefined criterion.</t>
  </si>
  <si>
    <t>Functional/electrical-service scope. Agreed during adjudication, not a prespecified common independent rubric.</t>
  </si>
  <si>
    <t>Azza returned Rules R1 and R2, 2026-10-01</t>
  </si>
  <si>
    <t>A functional/electrical-service rule or endpoint is stated, but its limit, endpoint definition or test context is incomplete.</t>
  </si>
  <si>
    <t>Criterion named but threshold or testing context incomplete.</t>
  </si>
  <si>
    <t>A defined functional/electrical-service endpoint or permitted-change rule is reported with test conditions. Mechanical fracture counts only if explicitly linked to loss of sensor function.</t>
  </si>
  <si>
    <t>Choi: Martindale abrasion with explicit conductive-yarn breakage/loss of continuity endpoint.</t>
  </si>
  <si>
    <t>Category interpretation</t>
  </si>
  <si>
    <t>Applications</t>
  </si>
  <si>
    <t>Count demonstrated outcomes; multiple application labels can apply. Count each study once per label.</t>
  </si>
  <si>
    <t>Thermal/humidity functions are not automatically human strain-monitoring applications.</t>
  </si>
  <si>
    <t>Denominator all 39, percentages may sum above 100%</t>
  </si>
  <si>
    <t>2026-10-01 category source audit</t>
  </si>
  <si>
    <t>Numerical extraction</t>
  </si>
  <si>
    <t>Variants / units</t>
  </si>
  <si>
    <t>Match gauge factor, strain interval, durability and conditions to the same device variant. Preserve source units and internal conflicts.</t>
  </si>
  <si>
    <t>V/%, ohm/mm and frequency-normalized sensitivity are not interchangeable with resistance-normalized GF.</t>
  </si>
  <si>
    <t>Do not pool into an unqualified GF scatterplot</t>
  </si>
  <si>
    <t>2026-10-01 source reconciliation</t>
  </si>
  <si>
    <t>Scope</t>
  </si>
  <si>
    <t>Known strain inputs and instrumented electrical-response characterization qualify for partial calibration credit. This is not automatically a human-output calibration model.</t>
  </si>
  <si>
    <t>Lee REC-00119 = 1.</t>
  </si>
  <si>
    <t>Apply across all 39 studies; original row 65 is retained.</t>
  </si>
  <si>
    <t>Azza Rules R3, 2026-10-01</t>
  </si>
  <si>
    <t>Compare sensing outputs across independently fabricated devices or specimens. Mechanical replication or repeated cycles on one sensor alone do not qualify.</t>
  </si>
  <si>
    <t>Wang REC-00483 = 0; Gai = 2 from S12 electrical storage measurements.</t>
  </si>
  <si>
    <t>Apply across all 39 studies; original row 69 is retained.</t>
  </si>
  <si>
    <t>Azza Rules R5 and Gai follow-up</t>
  </si>
  <si>
    <t>Use NA only when the criterion is genuinely inapplicable, not because no rule is reported.</t>
  </si>
  <si>
    <t>An absent acceptance rule is 0, not NA.</t>
  </si>
  <si>
    <t>Original row 71 is retained; rows 105:107 define clarified numeric scope.</t>
  </si>
  <si>
    <t>Azza Rules R1 and R2</t>
  </si>
  <si>
    <t>At least an underlying-data/code availability statement or access route is required for partial credit. Supplementary plots and demonstration videos alone are insufficient.</t>
  </si>
  <si>
    <t>Yang REC-00145 = 0. A request route is not an open repository.</t>
  </si>
  <si>
    <t>The 1-versus-2 boundary for on-request statements must not be invented. Original row 75 is retained.</t>
  </si>
  <si>
    <t>Azza Rules R4, 2026-10-01</t>
  </si>
  <si>
    <t>Proposed quality clarification</t>
  </si>
  <si>
    <t>No assessable functional sensing-output comparison across independently fabricated devices is reported. Counts, different formulations, mechanical replicas and repeated readings or cycles on one device alone do not qualify.</t>
  </si>
  <si>
    <t>Liu and Zhou: proposed 0.</t>
  </si>
  <si>
    <t>Operationalizes confirmed R5. Awaiting final score confirmation.</t>
  </si>
  <si>
    <t>Original row 69 preserved; evidence audit 2026-10-01</t>
  </si>
  <si>
    <t>A between-device functional sensing-output comparison is identifiable but incompletely described; sample count alone is not partial comparison evidence.</t>
  </si>
  <si>
    <t>Comparison must concern independently made sensing devices.</t>
  </si>
  <si>
    <t>Specimen counts alone do not qualify.</t>
  </si>
  <si>
    <t>Evidence audit 2026-10-01</t>
  </si>
  <si>
    <t>Independent devices and functional sensing outputs or electrical stability results are compared with sufficient detail to appraise between-device variability; low variability is not required for reporting credit.</t>
  </si>
  <si>
    <t>Gai remains confirmed 2 from S12.</t>
  </si>
  <si>
    <t>Do not extend the S12 sample count or SD meaning to S8.</t>
  </si>
  <si>
    <t>No usable statement or route concerning underlying research data or relevant code/models is provided. Supplementary plots, summary tables and demonstration videos alone do not qualify. An unexplained 'not applicable' or 'no data used' declaration that does not address the study's newly generated experimental data is not an adequate availability statement.</t>
  </si>
  <si>
    <t>See six-case confirmation attachment.</t>
  </si>
  <si>
    <t>New explicit boundary requires Azza approval. Original row 75 retained.</t>
  </si>
  <si>
    <t>Q16 source review 2026-10-01</t>
  </si>
  <si>
    <t>Availability status is explicitly reported but the access or restriction information is incomplete. This includes generic author-request routes, general promises to supply raw data, and explicit non-sharing declarations without sufficient reason/conditions. A generic privacy reason paired with 'contact the corresponding author' remains request-only partial reporting unless the restricted materials and access arrangements are described sufficiently.</t>
  </si>
  <si>
    <t>Zhou non-sharing statement receives partial reporting credit, not data access.</t>
  </si>
  <si>
    <t>Underlying data and/or relevant code/models are identified with a persistent retrieval location such as a dataset/code DOI or repository record; alternatively, non-public access or non-release is sufficiently documented by identifying the restricted materials, explaining the restriction and giving the applicable access process/conditions or an explicit justified no-access policy. Actual repository contents and successful access are verified separately and must not be inferred from the score.</t>
  </si>
  <si>
    <t>Use only when the availability construct is genuinely irrelevant to all underlying research data/code for that study, with a documented study-specific justification. Do not use overall Q16 NA because code alone is inapplicable, data are not shared, or authors used an unsupported NA/no-data boilerplate. All 39 experimental studies have applicable research-data availability; no Q16 NA is proposed.</t>
  </si>
  <si>
    <t>Approved adjudication clarification20261014</t>
  </si>
  <si>
    <t>No identifiable comparison across independently fabricated equivalent sensing specimens of functional output or electrical stability during a defined operating/exposure challenge. Counts, composition-only conductivity, mechanical replicates and same-device cycles alone do not qualify.</t>
  </si>
  <si>
    <t>Apply consistently; retain original independent scoring provenance.</t>
  </si>
  <si>
    <t>Later adjudication clarification, not retrospectively prespecified.</t>
  </si>
  <si>
    <t>Azza approved; Pooja confirmed personal review. 02_Azza_Original_39_20261014.xlsx | Rules</t>
  </si>
  <si>
    <t>Equivalent-specimen functional-output/electrical-stability comparison identifiable but incomplete. Undefined statistic/unit linkage cannot justify2.</t>
  </si>
  <si>
    <t>Equivalent independent sensing specimens, tested outputs/stability, conditions and between-specimen variability described sufficiently for appraisal; low variability is not required.</t>
  </si>
  <si>
    <t>Only if device-reproducibility construct genuinely irrelevant; absence of comparison is0, notNA.</t>
  </si>
  <si>
    <t>No usable underlying-data/code availability statement or access route. Supplemental outputs alone and unsupported authorNA statements do not qualify.</t>
  </si>
  <si>
    <t>Incomplete availability status/access reporting, including generic requests, article-contained-data status and incomplete non-sharing declarations.</t>
  </si>
  <si>
    <t>Persistent underlying-data/code retrieval location or sufficiently documented justified restriction/access process. Credit does not certify successful access.</t>
  </si>
  <si>
    <t>Only if availability construct genuinely irrelevant to all underlying research data/code, with study-specific justification. Code-onlyNA does not establish overallNA.</t>
  </si>
  <si>
    <t>Source ID</t>
  </si>
  <si>
    <t>Source filename</t>
  </si>
  <si>
    <t>File SHA-256</t>
  </si>
  <si>
    <t>Use</t>
  </si>
  <si>
    <t>Reviewer1_Final_Full_Text_Screening_and_Extraction_39_Studies_20260909.xlsx</t>
  </si>
  <si>
    <t>262a44492e1c2364cb081b837ea768b3d757030e9f54e896a0e30fe15fc35880</t>
  </si>
  <si>
    <t>Independent reviewer 1 eligibility, extraction, narrative quality and scores.</t>
  </si>
  <si>
    <t>R2</t>
  </si>
  <si>
    <t>Reviewer2_Azza_Assessment_42_Studies.xlsx</t>
  </si>
  <si>
    <t>92f0acc04d20765c1ea221ccbbc388ec75528cca71a9d94da7b6230775b146e4</t>
  </si>
  <si>
    <t>Returned independent reviewer 2 assessment.</t>
  </si>
  <si>
    <t>SIGNED</t>
  </si>
  <si>
    <t>Azza_Consensus_Review_Eligibility_V1_20260928 (2).xlsx</t>
  </si>
  <si>
    <t>e5838cde5c0a47305561652cfcc7c8e1f047b377592fc994ed139fc02c461ddb</t>
  </si>
  <si>
    <t>Azza signed eligibility and V1 adjudications.</t>
  </si>
  <si>
    <t>CONS</t>
  </si>
  <si>
    <t>Final_Reviewer_Consensus_Eligibility_V1_20260928.xlsx</t>
  </si>
  <si>
    <t>34e7da7bdf7b29c9edb2de7282cab60c08a5b2f749acab8cfcbee8247ec5d739</t>
  </si>
  <si>
    <t>Finalized eligibility and V1 consensus log; its summary is not evidence of consensus on other items.</t>
  </si>
  <si>
    <t>MASTER</t>
  </si>
  <si>
    <t>Master_39_Studies_Evidence_and_Consensus_20260928.xlsx</t>
  </si>
  <si>
    <t>cd65bda37f4095fd5862860887b097c5c8fbf2973fd34aa85beeca4f880dc874</t>
  </si>
  <si>
    <t>Approved 39-study inclusion set and recorded reviewer values.</t>
  </si>
  <si>
    <t>PROPOSALS</t>
  </si>
  <si>
    <t>workbook_data.json</t>
  </si>
  <si>
    <t>f0f4e37fde73c74e685e561eb3858a9108bdccc6a7e15265ad4326363404b04c</t>
  </si>
  <si>
    <t>Only category, scoring, extraction and quality-location proposals for the 39 studies. No new screening records used.</t>
  </si>
  <si>
    <t>SCORES20261001</t>
  </si>
  <si>
    <t>Figures_5_6_Consensus_39_20261001.xlsx</t>
  </si>
  <si>
    <t>c0007042295b89cb2c20935e6c027d9bac9f038343ffbd855832dddd04b1dea7</t>
  </si>
  <si>
    <t>Confirmed Figure 5/6 scores and approved adjudication rules. 39 studies, 78 Figure 5 ratings, 351 Figure 6 scores; none pending.</t>
  </si>
  <si>
    <t>APPROVAL20261001</t>
  </si>
  <si>
    <t>Azza written confirmation supplied by Pooja</t>
  </si>
  <si>
    <t>Tan E2=0 and E3=1 approved after checking S5 and S9. Recorded 2026-10-01; the original independent ratings for kappa remain unchanged.</t>
  </si>
  <si>
    <t>1-s2.0-S0266353825000028-mmc1.docx</t>
  </si>
  <si>
    <t>3b108d90a666dcc773d04bbf7304c9d504f70e6b89c54f0697a9b94c372a44cb</t>
  </si>
  <si>
    <t>Written supplement including Notes S1/S2 and table; relevant embedded plots visually checked, including Fig. S16 on converted PDF page 12 and Fig. S20.</t>
  </si>
  <si>
    <t>REC-00775-SI.docx</t>
  </si>
  <si>
    <t>9df8b96591202265654f2291ef92ad3c02ba374500d6330641460fc5db4c0120</t>
  </si>
  <si>
    <t>Written supplementary captions and notes read; original embedded Figures S2–S5 visually inspected.</t>
  </si>
  <si>
    <t>REC-00754-SI.docx</t>
  </si>
  <si>
    <t>bc13ad927e91499fdabe24cd96df20b65dc4860ce3883ec5a5df6a098df43197</t>
  </si>
  <si>
    <t>; SI Figure S2 (DOCX paragraph 11), Figure S5 (paragraph 20), Figure S6 (paragraph 23); images individually inspected.</t>
  </si>
  <si>
    <t>1-s2.0-S2238785423017131-mmc1.docx</t>
  </si>
  <si>
    <t>d547f2bf323965d5f11990e545e4e523f26f08dd1802d19bbb80b35c6b4f0388</t>
  </si>
  <si>
    <t>; SI Tables S1–S2 and Figures S1–S4; DOCX paragraphs 26–33 and 65; material-resistance tables read.</t>
  </si>
  <si>
    <t>REC-00683-SI.docx</t>
  </si>
  <si>
    <t>8e04b11d36a801fcec02682c000102a0376054192850431a29839026932478b1</t>
  </si>
  <si>
    <t>; Complete SI text/captions Figures S1–S14; electromechanical response/setup Figures S13–S14, DOCX paragraphs 36 and 38.</t>
  </si>
  <si>
    <t>REC-00858-SI.docx</t>
  </si>
  <si>
    <t>479ad597fab713db93dccdfb9bb4171fc5914e07f63c790d8f28a3686c5a1cdf</t>
  </si>
  <si>
    <t>Locally rendered SI pp. 1–3; Washing paragraph p.1 and Figure S1 pp.1–2; GF Table S2 p.2; other tables and video descriptions pp.2–3.</t>
  </si>
  <si>
    <t>adsr70075-sup-0001-suppmat.docx</t>
  </si>
  <si>
    <t>d36399e922a655943d67f832ca22eac27a4ea6f306b10da6bf18c23bcc4b20b4</t>
  </si>
  <si>
    <t>DOI 10.1002/adsr.202500067. S5a: rendered p.4; S9: p.6. All eight pages checked. E2=0 and E3=1 agreed by Azza; confirmation recorded 1 October 2026.</t>
  </si>
  <si>
    <t>ALIGNINPUT</t>
  </si>
  <si>
    <t>Supplementary_Tables_39_Aligned_20261001.xlsx</t>
  </si>
  <si>
    <t>0842316a2d82606295db3fb54db3ef33d6e174e6fde54a45fdb1afbf68e3d689</t>
  </si>
  <si>
    <t>Input supplementary workbook; original ratings and all existing sheets preserved.</t>
  </si>
  <si>
    <t>CATAUDIT</t>
  </si>
  <si>
    <t>category_source_audit_39_20261001.json</t>
  </si>
  <si>
    <t>7aaf5bd9229a31424a247506f45c503b2ea8e956eec6b9f03d67e71f8f520420</t>
  </si>
  <si>
    <t>39 studies; architecture, mechanism, integration and demonstrated applications.</t>
  </si>
  <si>
    <t>NUMAUDIT</t>
  </si>
  <si>
    <t>performance_reconciliation.json</t>
  </si>
  <si>
    <t>7f412b2cb1559caf6d5e44ef6b30346f0b53fcf2812d4d18f2beb080bdc6381b</t>
  </si>
  <si>
    <t>Targeted performance corrections and explicit unchecked-cell coverage.</t>
  </si>
  <si>
    <t>HUMANAUDIT</t>
  </si>
  <si>
    <t>human_validation_reconciliation.json</t>
  </si>
  <si>
    <t>8ef394c25ba05a36824cdf0316caa522f2fca399471f90faad4a5232f0516e1e</t>
  </si>
  <si>
    <t>Participant, session, calibration and comparator reconciliations; targeted main-text checks.</t>
  </si>
  <si>
    <t>QUALITYAUDIT</t>
  </si>
  <si>
    <t>quality_evidence_adjudication.json</t>
  </si>
  <si>
    <t>3d4a19bcc2b7f315cfd3022c7d55b49ee1b73cc15ba9201d5c557a4c7705024e</t>
  </si>
  <si>
    <t>76 targeted quality checks; 26 analyst proposals to change; no new human consensus.</t>
  </si>
  <si>
    <t>EXTRACTION-FOLLOWUP</t>
  </si>
  <si>
    <t>response_quality_extraction.json</t>
  </si>
  <si>
    <t>d52c3dc401add3d2c683e5a4290bb58609cdfb5982d8386553e9f593811d92a3</t>
  </si>
  <si>
    <t>Additional source-backed extraction reconciliations, not new consensus ratings.</t>
  </si>
  <si>
    <t>key_results_reconciliation.json</t>
  </si>
  <si>
    <t>753f194ad9dcf2e70a6c06bac8ae4811dc6e5944025fa2293bb966d679acfbec</t>
  </si>
  <si>
    <t>HUMANFOLLOWUP</t>
  </si>
  <si>
    <t>human_validation_followup.json</t>
  </si>
  <si>
    <t>97a31a4a024b4ac50ec6579b2deffef2bb5d26eacfc86f96178a8290e6db7407</t>
  </si>
  <si>
    <t>Targeted follow-up for remaining human-demonstration extraction claims.</t>
  </si>
  <si>
    <t>QUALITY-FOLLOWUP</t>
  </si>
  <si>
    <t>additional_quality_corrections.json</t>
  </si>
  <si>
    <t>07fa20c7a961e28d178847c84371ddc8216f4ee7b017efae063eb5581d89dc1d</t>
  </si>
  <si>
    <t>Additional quality proposals arising from newly located extraction evidence; no original or final ratings changed.</t>
  </si>
  <si>
    <t>REC-00119-MAIN</t>
  </si>
  <si>
    <t>Retained main article; source page locators appear in current S1/S13 evidence.</t>
  </si>
  <si>
    <t>REC-00145-MAIN</t>
  </si>
  <si>
    <t>REC-00151-MAIN</t>
  </si>
  <si>
    <t>REC-00220-MAIN</t>
  </si>
  <si>
    <t>REC-00237-MAIN</t>
  </si>
  <si>
    <t>REC-00281-MAIN</t>
  </si>
  <si>
    <t>REC-00324-MAIN</t>
  </si>
  <si>
    <t>REC-00355-MAIN</t>
  </si>
  <si>
    <t>REC-00398-MAIN</t>
  </si>
  <si>
    <t>REC-00475-MAIN</t>
  </si>
  <si>
    <t>REC-00483-MAIN</t>
  </si>
  <si>
    <t>REC-00522-MAIN</t>
  </si>
  <si>
    <t>REC-00633-MAIN</t>
  </si>
  <si>
    <t>REC-00663-MAIN</t>
  </si>
  <si>
    <t>REC-00754-MAIN</t>
  </si>
  <si>
    <t>REC-01539-MAIN</t>
  </si>
  <si>
    <t>REC-01593-MAIN</t>
  </si>
  <si>
    <t>REC-01719-MAIN</t>
  </si>
  <si>
    <t>REC-01137-MAIN</t>
  </si>
  <si>
    <t>REC-01921-MAIN</t>
  </si>
  <si>
    <t>REC-01051-MAIN</t>
  </si>
  <si>
    <t>REC-01775-MAIN</t>
  </si>
  <si>
    <t>REC-00316-MAIN</t>
  </si>
  <si>
    <t>REC-00345-MAIN</t>
  </si>
  <si>
    <t>REC-00357-MAIN</t>
  </si>
  <si>
    <t>REC-00683-MAIN</t>
  </si>
  <si>
    <t>REC-00775-MAIN</t>
  </si>
  <si>
    <t>REC-00858-MAIN</t>
  </si>
  <si>
    <t>REC-00929-MAIN</t>
  </si>
  <si>
    <t>REC-01064-MAIN</t>
  </si>
  <si>
    <t>REC-01315-MAIN</t>
  </si>
  <si>
    <t>REC-01371-MAIN</t>
  </si>
  <si>
    <t>REC-01389-MAIN</t>
  </si>
  <si>
    <t>REC-01695-MAIN</t>
  </si>
  <si>
    <t>REC-01736-MAIN</t>
  </si>
  <si>
    <t>REC-01765-MAIN</t>
  </si>
  <si>
    <t>REC-01854-MAIN</t>
  </si>
  <si>
    <t>REC-01859-MAIN</t>
  </si>
  <si>
    <t>REC-02145-MAIN</t>
  </si>
  <si>
    <t>REC-01389-SUP-S12</t>
  </si>
  <si>
    <t>25acc3d713f9e38c3e166d5852dbddf6ac8f00eb6838d2ce103288896e2445e1</t>
  </si>
  <si>
    <t>Figure S12 caption, rendered p 13. Evidence for Gai Q1/Q8/Q10 = 2. https://media.springernature.com/original/springer-static/esm/art%3A10.1007%2Fs42114-026-01978-2/MediaObjects/42114_2026_1978_MOESM1_ESM.docx</t>
  </si>
  <si>
    <t>AZZA-GAI-FOLLOWUP</t>
  </si>
  <si>
    <t>Azza_Gai_confirmation_recorded_20261001.txt</t>
  </si>
  <si>
    <t>8ad45cd320c39e5786ab19e1a5a41e4488cccc8075179c614791644d37a0e303</t>
  </si>
  <si>
    <t>AZZA-QUALITY-RETURN</t>
  </si>
  <si>
    <t>Azza_Quality_Confirmation_Short_39_20261001.xlsx</t>
  </si>
  <si>
    <t>24add3184bf267d7f197a6e560dec68c21f1b1c41a125a07f00149bb136b85b0</t>
  </si>
  <si>
    <t>37 proposed changes and five rule responses. Review date 2026-10-01. Original file retained.</t>
  </si>
  <si>
    <t>AZZA-QUALITY-GAI-CLOSED</t>
  </si>
  <si>
    <t>Azza_Quality_Confirmation_39_Gai_Closed_20261001.xlsx</t>
  </si>
  <si>
    <t>7b3f2e914683cd4d87ca21a6c7ab5358232233ca6a70fe82d0cb5f9757f06b3a</t>
  </si>
  <si>
    <t>Includes the subsequent Gai Q1/Q8/Q10 confirmation. Original independent ratings unchanged.</t>
  </si>
  <si>
    <t>scope_audit_q6_q10_q12.json</t>
  </si>
  <si>
    <t>a17f956227a19c6415e7a2a6de3896ad13346d0c55a7a7244f9e8501a77a5f50</t>
  </si>
  <si>
    <t>Local whole-cohort scope audit. Analyst source review, not additional independent human agreement.</t>
  </si>
  <si>
    <t>scope_audit_q16.json</t>
  </si>
  <si>
    <t>59f01243a8847c58dfb024fa2b0769f2a08c60f2168112d5a16323499c39a29d</t>
  </si>
  <si>
    <t>q10_resolutions.json</t>
  </si>
  <si>
    <t>b3f438d75c5188fb1c21b00bb0c607e3868f70171f377755b38f314511d46e30</t>
  </si>
  <si>
    <t>Targeted analyst evidence adjudication, 2026-10-01. Proposed quality changes and unresolved PRISMA exceptions are separate from confirmed ratings.</t>
  </si>
  <si>
    <t>q16_resolutions.json</t>
  </si>
  <si>
    <t>056c643b33ea32f6984a6fdf50c2f82257c2c10d1404b48377d412bb1d2229ea</t>
  </si>
  <si>
    <t>prisma_evidence_audit.json</t>
  </si>
  <si>
    <t>5f08a79c90851a31d9cf887aae0e70c5b59be156f6ec0ed8e703983b6bcd882b</t>
  </si>
  <si>
    <t>Original complete main paper; author-approved inclusion13October2026; analyst extraction and ratings, pending R2 confirmation.</t>
  </si>
  <si>
    <t>REC-00001-SI</t>
  </si>
  <si>
    <t>am9b10937_si_001.pdf</t>
  </si>
  <si>
    <t>8bbd040b1a22992eaafb9154b452e0d44d99c26ea88205ccd965091c92ac0617</t>
  </si>
  <si>
    <t>Original publisher supplementary PDF retrieved13October2026. FiguresS2,S6,S7,S13 andS15 checked.</t>
  </si>
  <si>
    <t>Azza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</si>
</sst>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font>
      <sz val="11"/>
      <name val="Carlito"/>
    </font>
    <font>
      <sz val="10"/>
      <color rgb="FF000000"/>
      <name val="Arial"/>
    </font>
    <font>
      <b/>
      <sz val="10"/>
      <color rgb="FF000000"/>
      <name val="Arial"/>
    </font>
    <font>
      <sz val="10"/>
      <name val="Arial"/>
    </font>
    <font>
      <b/>
      <sz val="10"/>
      <name val="Arial"/>
    </font>
    <font>
      <sz val="10"/>
      <name val="Arial"/>
      <family val="2"/>
    </font>
  </fonts>
  <fills count="3">
    <fill>
      <patternFill patternType="none"/>
    </fill>
    <fill>
      <patternFill patternType="gray125"/>
    </fill>
    <fill>
      <patternFill patternType="solid">
        <fgColor rgb="FFE7EDF0"/>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top" wrapText="1"/>
    </xf>
    <xf numFmtId="0" fontId="2" fillId="2" borderId="0" xfId="0" applyFont="1" applyFill="1" applyAlignment="1">
      <alignment vertical="center" wrapText="1"/>
    </xf>
    <xf numFmtId="164" fontId="1" fillId="0" borderId="0" xfId="0" applyNumberFormat="1" applyFont="1" applyAlignment="1">
      <alignment vertical="top" wrapText="1"/>
    </xf>
    <xf numFmtId="165" fontId="1" fillId="0" borderId="0" xfId="0" applyNumberFormat="1" applyFont="1" applyAlignment="1">
      <alignment vertical="top"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
  <sheetViews>
    <sheetView showGridLines="0" topLeftCell="F1" workbookViewId="0"/>
  </sheetViews>
  <sheetFormatPr baseColWidth="10" defaultColWidth="8.83203125" defaultRowHeight="15"/>
  <cols>
    <col min="1" max="5" width="34" customWidth="1"/>
    <col min="6" max="6" width="58" customWidth="1"/>
    <col min="7" max="7" width="34" customWidth="1"/>
    <col min="8" max="8" width="58" customWidth="1"/>
    <col min="9" max="9" width="34" customWidth="1"/>
  </cols>
  <sheetData>
    <row r="1" spans="1:9" ht="38" customHeight="1">
      <c r="A1" s="2" t="s">
        <v>1</v>
      </c>
      <c r="B1" s="2" t="s">
        <v>2</v>
      </c>
      <c r="C1" s="2" t="s">
        <v>3</v>
      </c>
      <c r="D1" s="2" t="s">
        <v>4</v>
      </c>
      <c r="E1" s="2" t="s">
        <v>5</v>
      </c>
      <c r="F1" s="2" t="s">
        <v>6</v>
      </c>
      <c r="G1" s="2" t="s">
        <v>7</v>
      </c>
      <c r="H1" s="2" t="s">
        <v>8</v>
      </c>
      <c r="I1" s="2" t="s">
        <v>9</v>
      </c>
    </row>
    <row r="2" spans="1:9" ht="48" customHeight="1">
      <c r="A2" s="1" t="s">
        <v>10</v>
      </c>
      <c r="B2" s="1" t="s">
        <v>11</v>
      </c>
      <c r="C2" s="1" t="s">
        <v>12</v>
      </c>
      <c r="D2" s="1" t="s">
        <v>11</v>
      </c>
      <c r="E2" s="1">
        <v>1857</v>
      </c>
      <c r="F2" s="1" t="s">
        <v>13</v>
      </c>
      <c r="G2" s="1" t="s">
        <v>14</v>
      </c>
      <c r="H2" s="1" t="s">
        <v>15</v>
      </c>
      <c r="I2" s="1" t="s">
        <v>16</v>
      </c>
    </row>
    <row r="3" spans="1:9" ht="48" customHeight="1">
      <c r="A3" s="1" t="s">
        <v>17</v>
      </c>
      <c r="B3" s="1" t="s">
        <v>11</v>
      </c>
      <c r="C3" s="1" t="s">
        <v>12</v>
      </c>
      <c r="D3" s="1" t="s">
        <v>11</v>
      </c>
      <c r="E3" s="1">
        <v>239</v>
      </c>
      <c r="F3" s="1" t="s">
        <v>18</v>
      </c>
      <c r="G3" s="1" t="s">
        <v>19</v>
      </c>
      <c r="H3" s="1" t="s">
        <v>20</v>
      </c>
      <c r="I3" s="1" t="s">
        <v>21</v>
      </c>
    </row>
    <row r="4" spans="1:9" ht="48" customHeight="1">
      <c r="A4" s="1" t="s">
        <v>22</v>
      </c>
      <c r="B4" s="1" t="s">
        <v>11</v>
      </c>
      <c r="C4" s="1" t="s">
        <v>12</v>
      </c>
      <c r="D4" s="1" t="s">
        <v>11</v>
      </c>
      <c r="E4" s="1">
        <v>108</v>
      </c>
      <c r="F4" s="1" t="s">
        <v>23</v>
      </c>
      <c r="G4" s="1" t="s">
        <v>24</v>
      </c>
      <c r="H4" s="1" t="s">
        <v>25</v>
      </c>
      <c r="I4" s="1" t="s">
        <v>26</v>
      </c>
    </row>
    <row r="5" spans="1:9" ht="48" customHeight="1">
      <c r="A5" s="1" t="s">
        <v>27</v>
      </c>
      <c r="B5" s="1" t="s">
        <v>11</v>
      </c>
      <c r="C5" s="1" t="s">
        <v>12</v>
      </c>
      <c r="D5" s="1" t="s">
        <v>11</v>
      </c>
      <c r="E5" s="1">
        <v>1296</v>
      </c>
      <c r="F5" s="1" t="s">
        <v>28</v>
      </c>
      <c r="G5" s="1" t="s">
        <v>29</v>
      </c>
      <c r="H5" s="1" t="s">
        <v>30</v>
      </c>
      <c r="I5" s="1" t="s">
        <v>31</v>
      </c>
    </row>
    <row r="6" spans="1:9" ht="60" customHeight="1">
      <c r="A6" s="1" t="s">
        <v>32</v>
      </c>
      <c r="B6" s="1" t="s">
        <v>11</v>
      </c>
      <c r="C6" s="1" t="s">
        <v>12</v>
      </c>
      <c r="D6" s="1" t="s">
        <v>11</v>
      </c>
      <c r="E6" s="1">
        <v>184</v>
      </c>
      <c r="F6" s="1" t="s">
        <v>33</v>
      </c>
      <c r="G6" s="1" t="s">
        <v>34</v>
      </c>
      <c r="H6" s="1" t="s">
        <v>35</v>
      </c>
      <c r="I6" s="1"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794"/>
  <sheetViews>
    <sheetView showGridLines="0" workbookViewId="0">
      <pane xSplit="1" ySplit="1" topLeftCell="K771" activePane="bottomRight" state="frozen"/>
      <selection pane="topRight"/>
      <selection pane="bottomLeft"/>
      <selection pane="bottomRight" activeCell="L1" sqref="L1:M1048576"/>
    </sheetView>
  </sheetViews>
  <sheetFormatPr baseColWidth="10" defaultColWidth="8.83203125" defaultRowHeight="15"/>
  <cols>
    <col min="1" max="1" width="34" customWidth="1"/>
    <col min="2" max="2" width="58" customWidth="1"/>
    <col min="3" max="3" width="16" customWidth="1"/>
    <col min="4" max="7" width="34" customWidth="1"/>
    <col min="8" max="9" width="58" customWidth="1"/>
    <col min="10" max="11" width="34" customWidth="1"/>
  </cols>
  <sheetData>
    <row r="1" spans="1:11" ht="38" customHeight="1">
      <c r="A1" s="2" t="s">
        <v>37</v>
      </c>
      <c r="B1" s="2" t="s">
        <v>38</v>
      </c>
      <c r="C1" s="2" t="s">
        <v>39</v>
      </c>
      <c r="D1" s="2" t="s">
        <v>40</v>
      </c>
      <c r="E1" s="2" t="s">
        <v>41</v>
      </c>
      <c r="F1" s="2" t="s">
        <v>42</v>
      </c>
      <c r="G1" s="2" t="s">
        <v>43</v>
      </c>
      <c r="H1" s="2" t="s">
        <v>44</v>
      </c>
      <c r="I1" s="2" t="s">
        <v>45</v>
      </c>
      <c r="J1" s="2" t="s">
        <v>46</v>
      </c>
      <c r="K1" s="2" t="s">
        <v>9</v>
      </c>
    </row>
    <row r="2" spans="1:11" ht="36" customHeight="1">
      <c r="A2" s="1" t="s">
        <v>48</v>
      </c>
      <c r="B2" s="1" t="s">
        <v>49</v>
      </c>
      <c r="C2" s="1">
        <v>2024</v>
      </c>
      <c r="D2" s="1" t="s">
        <v>50</v>
      </c>
      <c r="E2" s="1" t="s">
        <v>51</v>
      </c>
      <c r="F2" s="1" t="s">
        <v>52</v>
      </c>
      <c r="G2" s="1" t="s">
        <v>53</v>
      </c>
      <c r="H2" s="1" t="s">
        <v>54</v>
      </c>
      <c r="I2" s="1" t="s">
        <v>55</v>
      </c>
      <c r="J2" t="s">
        <v>4631</v>
      </c>
      <c r="K2" s="1" t="s">
        <v>57</v>
      </c>
    </row>
    <row r="3" spans="1:11" ht="36" customHeight="1">
      <c r="A3" s="1" t="s">
        <v>58</v>
      </c>
      <c r="B3" s="1" t="s">
        <v>59</v>
      </c>
      <c r="C3" s="1">
        <v>2022</v>
      </c>
      <c r="D3" s="1" t="s">
        <v>60</v>
      </c>
      <c r="E3" s="1" t="s">
        <v>51</v>
      </c>
      <c r="F3" s="1" t="s">
        <v>52</v>
      </c>
      <c r="G3" s="1" t="s">
        <v>53</v>
      </c>
      <c r="H3" s="1" t="s">
        <v>61</v>
      </c>
      <c r="I3" s="1" t="s">
        <v>62</v>
      </c>
      <c r="J3" t="s">
        <v>4631</v>
      </c>
      <c r="K3" s="1" t="s">
        <v>63</v>
      </c>
    </row>
    <row r="4" spans="1:11" ht="36" customHeight="1">
      <c r="A4" s="1" t="s">
        <v>64</v>
      </c>
      <c r="B4" s="1" t="s">
        <v>65</v>
      </c>
      <c r="C4" s="1">
        <v>2020</v>
      </c>
      <c r="D4" s="1" t="s">
        <v>66</v>
      </c>
      <c r="E4" s="1" t="s">
        <v>51</v>
      </c>
      <c r="F4" s="1" t="s">
        <v>52</v>
      </c>
      <c r="G4" s="1" t="s">
        <v>53</v>
      </c>
      <c r="H4" s="1" t="s">
        <v>67</v>
      </c>
      <c r="I4" s="1" t="s">
        <v>68</v>
      </c>
      <c r="J4" t="s">
        <v>4631</v>
      </c>
      <c r="K4" s="1" t="s">
        <v>69</v>
      </c>
    </row>
    <row r="5" spans="1:11" ht="36" customHeight="1">
      <c r="A5" s="1" t="s">
        <v>70</v>
      </c>
      <c r="B5" s="1" t="s">
        <v>71</v>
      </c>
      <c r="C5" s="1">
        <v>2024</v>
      </c>
      <c r="D5" s="1" t="s">
        <v>72</v>
      </c>
      <c r="E5" s="1" t="s">
        <v>51</v>
      </c>
      <c r="F5" s="1" t="s">
        <v>73</v>
      </c>
      <c r="G5" s="1" t="s">
        <v>74</v>
      </c>
      <c r="H5" s="1" t="s">
        <v>75</v>
      </c>
      <c r="I5" s="1" t="s">
        <v>76</v>
      </c>
      <c r="J5" t="s">
        <v>4631</v>
      </c>
      <c r="K5" s="1" t="s">
        <v>77</v>
      </c>
    </row>
    <row r="6" spans="1:11" ht="36" customHeight="1">
      <c r="A6" s="1" t="s">
        <v>78</v>
      </c>
      <c r="B6" s="1" t="s">
        <v>79</v>
      </c>
      <c r="C6" s="1">
        <v>2020</v>
      </c>
      <c r="D6" s="1" t="s">
        <v>80</v>
      </c>
      <c r="E6" s="1" t="s">
        <v>51</v>
      </c>
      <c r="F6" s="1" t="s">
        <v>81</v>
      </c>
      <c r="G6" s="1" t="s">
        <v>82</v>
      </c>
      <c r="H6" s="1" t="s">
        <v>83</v>
      </c>
      <c r="I6" s="1" t="s">
        <v>84</v>
      </c>
      <c r="J6" t="s">
        <v>4631</v>
      </c>
      <c r="K6" s="1" t="s">
        <v>85</v>
      </c>
    </row>
    <row r="7" spans="1:11" ht="36" customHeight="1">
      <c r="A7" s="1" t="s">
        <v>86</v>
      </c>
      <c r="B7" s="1" t="s">
        <v>87</v>
      </c>
      <c r="C7" s="1">
        <v>2023</v>
      </c>
      <c r="D7" s="1" t="s">
        <v>88</v>
      </c>
      <c r="E7" s="1" t="s">
        <v>51</v>
      </c>
      <c r="F7" s="1" t="s">
        <v>81</v>
      </c>
      <c r="G7" s="1" t="s">
        <v>82</v>
      </c>
      <c r="H7" s="1" t="s">
        <v>89</v>
      </c>
      <c r="I7" s="1" t="s">
        <v>90</v>
      </c>
      <c r="J7" t="s">
        <v>4631</v>
      </c>
      <c r="K7" s="1" t="s">
        <v>91</v>
      </c>
    </row>
    <row r="8" spans="1:11" ht="36" customHeight="1">
      <c r="A8" s="1" t="s">
        <v>92</v>
      </c>
      <c r="B8" s="1" t="s">
        <v>93</v>
      </c>
      <c r="C8" s="1">
        <v>2025</v>
      </c>
      <c r="D8" s="1" t="s">
        <v>94</v>
      </c>
      <c r="E8" s="1" t="s">
        <v>51</v>
      </c>
      <c r="F8" s="1" t="s">
        <v>81</v>
      </c>
      <c r="G8" s="1" t="s">
        <v>82</v>
      </c>
      <c r="H8" s="1" t="s">
        <v>95</v>
      </c>
      <c r="I8" s="1" t="s">
        <v>96</v>
      </c>
      <c r="J8" t="s">
        <v>4631</v>
      </c>
      <c r="K8" s="1" t="s">
        <v>97</v>
      </c>
    </row>
    <row r="9" spans="1:11" ht="36" customHeight="1">
      <c r="A9" s="1" t="s">
        <v>98</v>
      </c>
      <c r="B9" s="1" t="s">
        <v>99</v>
      </c>
      <c r="C9" s="1">
        <v>2022</v>
      </c>
      <c r="D9" s="1" t="s">
        <v>100</v>
      </c>
      <c r="E9" s="1" t="s">
        <v>51</v>
      </c>
      <c r="F9" s="1" t="s">
        <v>52</v>
      </c>
      <c r="G9" s="1" t="s">
        <v>53</v>
      </c>
      <c r="H9" s="1" t="s">
        <v>101</v>
      </c>
      <c r="I9" s="1" t="s">
        <v>102</v>
      </c>
      <c r="J9" t="s">
        <v>4631</v>
      </c>
      <c r="K9" s="1" t="s">
        <v>103</v>
      </c>
    </row>
    <row r="10" spans="1:11" ht="36" customHeight="1">
      <c r="A10" s="1" t="s">
        <v>104</v>
      </c>
      <c r="B10" s="1" t="s">
        <v>105</v>
      </c>
      <c r="C10" s="1">
        <v>2016</v>
      </c>
      <c r="D10" s="1" t="s">
        <v>106</v>
      </c>
      <c r="E10" s="1" t="s">
        <v>51</v>
      </c>
      <c r="F10" s="1" t="s">
        <v>81</v>
      </c>
      <c r="G10" s="1" t="s">
        <v>82</v>
      </c>
      <c r="H10" s="1" t="s">
        <v>107</v>
      </c>
      <c r="I10" s="1" t="s">
        <v>108</v>
      </c>
      <c r="J10" t="s">
        <v>4631</v>
      </c>
      <c r="K10" s="1" t="s">
        <v>109</v>
      </c>
    </row>
    <row r="11" spans="1:11" ht="36" customHeight="1">
      <c r="A11" s="1" t="s">
        <v>110</v>
      </c>
      <c r="B11" s="1" t="s">
        <v>111</v>
      </c>
      <c r="C11" s="1">
        <v>2022</v>
      </c>
      <c r="D11" s="1" t="s">
        <v>112</v>
      </c>
      <c r="E11" s="1" t="s">
        <v>51</v>
      </c>
      <c r="F11" s="1" t="s">
        <v>81</v>
      </c>
      <c r="G11" s="1" t="s">
        <v>82</v>
      </c>
      <c r="H11" s="1" t="s">
        <v>113</v>
      </c>
      <c r="I11" s="1" t="s">
        <v>114</v>
      </c>
      <c r="J11" t="s">
        <v>4631</v>
      </c>
      <c r="K11" s="1" t="s">
        <v>115</v>
      </c>
    </row>
    <row r="12" spans="1:11" ht="36" customHeight="1">
      <c r="A12" s="1" t="s">
        <v>116</v>
      </c>
      <c r="B12" s="1" t="s">
        <v>117</v>
      </c>
      <c r="C12" s="1">
        <v>2021</v>
      </c>
      <c r="D12" s="1" t="s">
        <v>118</v>
      </c>
      <c r="E12" s="1" t="s">
        <v>51</v>
      </c>
      <c r="F12" s="1" t="s">
        <v>81</v>
      </c>
      <c r="G12" s="1" t="s">
        <v>82</v>
      </c>
      <c r="H12" s="1" t="s">
        <v>119</v>
      </c>
      <c r="I12" s="1" t="s">
        <v>120</v>
      </c>
      <c r="J12" t="s">
        <v>4631</v>
      </c>
      <c r="K12" s="1" t="s">
        <v>121</v>
      </c>
    </row>
    <row r="13" spans="1:11" ht="36" customHeight="1">
      <c r="A13" s="1" t="s">
        <v>122</v>
      </c>
      <c r="B13" s="1" t="s">
        <v>123</v>
      </c>
      <c r="C13" s="1">
        <v>2025</v>
      </c>
      <c r="D13" s="1" t="s">
        <v>124</v>
      </c>
      <c r="E13" s="1" t="s">
        <v>51</v>
      </c>
      <c r="F13" s="1" t="s">
        <v>81</v>
      </c>
      <c r="G13" s="1" t="s">
        <v>82</v>
      </c>
      <c r="H13" s="1" t="s">
        <v>125</v>
      </c>
      <c r="I13" s="1" t="s">
        <v>126</v>
      </c>
      <c r="J13" t="s">
        <v>4631</v>
      </c>
      <c r="K13" s="1" t="s">
        <v>127</v>
      </c>
    </row>
    <row r="14" spans="1:11" ht="36" customHeight="1">
      <c r="A14" s="1" t="s">
        <v>128</v>
      </c>
      <c r="B14" s="1" t="s">
        <v>129</v>
      </c>
      <c r="C14" s="1">
        <v>2019</v>
      </c>
      <c r="D14" s="1" t="s">
        <v>130</v>
      </c>
      <c r="E14" s="1" t="s">
        <v>51</v>
      </c>
      <c r="F14" s="1" t="s">
        <v>81</v>
      </c>
      <c r="G14" s="1" t="s">
        <v>82</v>
      </c>
      <c r="H14" s="1" t="s">
        <v>131</v>
      </c>
      <c r="I14" s="1" t="s">
        <v>132</v>
      </c>
      <c r="J14" t="s">
        <v>4631</v>
      </c>
      <c r="K14" s="1" t="s">
        <v>133</v>
      </c>
    </row>
    <row r="15" spans="1:11" ht="36" customHeight="1">
      <c r="A15" s="1" t="s">
        <v>134</v>
      </c>
      <c r="B15" s="1" t="s">
        <v>135</v>
      </c>
      <c r="C15" s="1">
        <v>2020</v>
      </c>
      <c r="D15" s="1" t="s">
        <v>136</v>
      </c>
      <c r="E15" s="1" t="s">
        <v>51</v>
      </c>
      <c r="F15" s="1" t="s">
        <v>52</v>
      </c>
      <c r="G15" s="1" t="s">
        <v>53</v>
      </c>
      <c r="H15" s="1" t="s">
        <v>137</v>
      </c>
      <c r="I15" s="1" t="s">
        <v>138</v>
      </c>
      <c r="J15" t="s">
        <v>4631</v>
      </c>
      <c r="K15" s="1" t="s">
        <v>139</v>
      </c>
    </row>
    <row r="16" spans="1:11" ht="36" customHeight="1">
      <c r="A16" s="1" t="s">
        <v>140</v>
      </c>
      <c r="B16" s="1" t="s">
        <v>141</v>
      </c>
      <c r="C16" s="1">
        <v>2015</v>
      </c>
      <c r="D16" s="1" t="s">
        <v>142</v>
      </c>
      <c r="E16" s="1" t="s">
        <v>51</v>
      </c>
      <c r="F16" s="1" t="s">
        <v>81</v>
      </c>
      <c r="G16" s="1" t="s">
        <v>82</v>
      </c>
      <c r="H16" s="1" t="s">
        <v>143</v>
      </c>
      <c r="I16" s="1" t="s">
        <v>144</v>
      </c>
      <c r="J16" t="s">
        <v>4631</v>
      </c>
      <c r="K16" s="1" t="s">
        <v>145</v>
      </c>
    </row>
    <row r="17" spans="1:11" ht="36" customHeight="1">
      <c r="A17" s="1" t="s">
        <v>146</v>
      </c>
      <c r="B17" s="1" t="s">
        <v>147</v>
      </c>
      <c r="C17" s="1">
        <v>2020</v>
      </c>
      <c r="D17" s="1" t="s">
        <v>148</v>
      </c>
      <c r="E17" s="1" t="s">
        <v>51</v>
      </c>
      <c r="F17" s="1" t="s">
        <v>52</v>
      </c>
      <c r="G17" s="1" t="s">
        <v>53</v>
      </c>
      <c r="H17" s="1" t="s">
        <v>149</v>
      </c>
      <c r="I17" s="1" t="s">
        <v>150</v>
      </c>
      <c r="J17" t="s">
        <v>4631</v>
      </c>
      <c r="K17" s="1" t="s">
        <v>151</v>
      </c>
    </row>
    <row r="18" spans="1:11" ht="36" customHeight="1">
      <c r="A18" s="1" t="s">
        <v>152</v>
      </c>
      <c r="B18" s="1" t="s">
        <v>153</v>
      </c>
      <c r="C18" s="1">
        <v>2019</v>
      </c>
      <c r="D18" s="1" t="s">
        <v>154</v>
      </c>
      <c r="E18" s="1" t="s">
        <v>51</v>
      </c>
      <c r="F18" s="1" t="s">
        <v>81</v>
      </c>
      <c r="G18" s="1" t="s">
        <v>82</v>
      </c>
      <c r="H18" s="1" t="s">
        <v>155</v>
      </c>
      <c r="I18" s="1" t="s">
        <v>156</v>
      </c>
      <c r="J18" t="s">
        <v>4631</v>
      </c>
      <c r="K18" s="1" t="s">
        <v>157</v>
      </c>
    </row>
    <row r="19" spans="1:11" ht="36" customHeight="1">
      <c r="A19" s="1" t="s">
        <v>158</v>
      </c>
      <c r="B19" s="1" t="s">
        <v>159</v>
      </c>
      <c r="C19" s="1">
        <v>2022</v>
      </c>
      <c r="D19" s="1" t="s">
        <v>160</v>
      </c>
      <c r="E19" s="1" t="s">
        <v>51</v>
      </c>
      <c r="F19" s="1" t="s">
        <v>52</v>
      </c>
      <c r="G19" s="1" t="s">
        <v>53</v>
      </c>
      <c r="H19" s="1" t="s">
        <v>161</v>
      </c>
      <c r="I19" s="1" t="s">
        <v>162</v>
      </c>
      <c r="J19" t="s">
        <v>4631</v>
      </c>
      <c r="K19" s="1" t="s">
        <v>163</v>
      </c>
    </row>
    <row r="20" spans="1:11" ht="36" customHeight="1">
      <c r="A20" s="1" t="s">
        <v>164</v>
      </c>
      <c r="B20" s="1" t="s">
        <v>165</v>
      </c>
      <c r="C20" s="1">
        <v>2021</v>
      </c>
      <c r="D20" s="1" t="s">
        <v>166</v>
      </c>
      <c r="E20" s="1" t="s">
        <v>51</v>
      </c>
      <c r="F20" s="1" t="s">
        <v>81</v>
      </c>
      <c r="G20" s="1" t="s">
        <v>82</v>
      </c>
      <c r="H20" s="1" t="s">
        <v>167</v>
      </c>
      <c r="I20" s="1" t="s">
        <v>168</v>
      </c>
      <c r="J20" t="s">
        <v>4631</v>
      </c>
      <c r="K20" s="1" t="s">
        <v>169</v>
      </c>
    </row>
    <row r="21" spans="1:11" ht="36" customHeight="1">
      <c r="A21" s="1" t="s">
        <v>170</v>
      </c>
      <c r="B21" s="1" t="s">
        <v>171</v>
      </c>
      <c r="C21" s="1">
        <v>2025</v>
      </c>
      <c r="D21" s="1" t="s">
        <v>172</v>
      </c>
      <c r="E21" s="1" t="s">
        <v>51</v>
      </c>
      <c r="F21" s="1" t="s">
        <v>81</v>
      </c>
      <c r="G21" s="1" t="s">
        <v>82</v>
      </c>
      <c r="H21" s="1" t="s">
        <v>173</v>
      </c>
      <c r="I21" s="1" t="s">
        <v>174</v>
      </c>
      <c r="J21" t="s">
        <v>4631</v>
      </c>
      <c r="K21" s="1" t="s">
        <v>175</v>
      </c>
    </row>
    <row r="22" spans="1:11" ht="36" customHeight="1">
      <c r="A22" s="1" t="s">
        <v>176</v>
      </c>
      <c r="B22" s="1" t="s">
        <v>177</v>
      </c>
      <c r="C22" s="1">
        <v>2023</v>
      </c>
      <c r="D22" s="1" t="s">
        <v>178</v>
      </c>
      <c r="E22" s="1" t="s">
        <v>51</v>
      </c>
      <c r="F22" s="1" t="s">
        <v>52</v>
      </c>
      <c r="G22" s="1" t="s">
        <v>53</v>
      </c>
      <c r="H22" s="1" t="s">
        <v>179</v>
      </c>
      <c r="I22" s="1" t="s">
        <v>180</v>
      </c>
      <c r="J22" t="s">
        <v>4631</v>
      </c>
      <c r="K22" s="1" t="s">
        <v>181</v>
      </c>
    </row>
    <row r="23" spans="1:11" ht="36" customHeight="1">
      <c r="A23" s="1" t="s">
        <v>182</v>
      </c>
      <c r="B23" s="1" t="s">
        <v>183</v>
      </c>
      <c r="C23" s="1">
        <v>2016</v>
      </c>
      <c r="D23" s="1" t="s">
        <v>184</v>
      </c>
      <c r="E23" s="1" t="s">
        <v>51</v>
      </c>
      <c r="F23" s="1" t="s">
        <v>52</v>
      </c>
      <c r="G23" s="1" t="s">
        <v>53</v>
      </c>
      <c r="H23" s="1" t="s">
        <v>185</v>
      </c>
      <c r="I23" s="1" t="s">
        <v>186</v>
      </c>
      <c r="J23" t="s">
        <v>4631</v>
      </c>
      <c r="K23" s="1" t="s">
        <v>187</v>
      </c>
    </row>
    <row r="24" spans="1:11" ht="24" customHeight="1">
      <c r="A24" s="1" t="s">
        <v>188</v>
      </c>
      <c r="B24" s="1" t="s">
        <v>189</v>
      </c>
      <c r="C24" s="1">
        <v>2016</v>
      </c>
      <c r="D24" s="1" t="s">
        <v>190</v>
      </c>
      <c r="E24" s="1" t="s">
        <v>51</v>
      </c>
      <c r="F24" s="1" t="s">
        <v>191</v>
      </c>
      <c r="G24" s="1" t="s">
        <v>192</v>
      </c>
      <c r="H24" s="1" t="s">
        <v>193</v>
      </c>
      <c r="I24" s="1" t="s">
        <v>194</v>
      </c>
      <c r="J24" t="s">
        <v>4631</v>
      </c>
      <c r="K24" s="1" t="s">
        <v>195</v>
      </c>
    </row>
    <row r="25" spans="1:11" ht="36" customHeight="1">
      <c r="A25" s="1" t="s">
        <v>196</v>
      </c>
      <c r="B25" s="1" t="s">
        <v>197</v>
      </c>
      <c r="C25" s="1">
        <v>2023</v>
      </c>
      <c r="D25" s="1" t="s">
        <v>198</v>
      </c>
      <c r="E25" s="1" t="s">
        <v>51</v>
      </c>
      <c r="F25" s="1" t="s">
        <v>81</v>
      </c>
      <c r="G25" s="1" t="s">
        <v>82</v>
      </c>
      <c r="H25" s="1" t="s">
        <v>199</v>
      </c>
      <c r="I25" s="1" t="s">
        <v>200</v>
      </c>
      <c r="J25" t="s">
        <v>4631</v>
      </c>
      <c r="K25" s="1" t="s">
        <v>201</v>
      </c>
    </row>
    <row r="26" spans="1:11" ht="36" customHeight="1">
      <c r="A26" s="1" t="s">
        <v>202</v>
      </c>
      <c r="B26" s="1" t="s">
        <v>203</v>
      </c>
      <c r="C26" s="1">
        <v>2017</v>
      </c>
      <c r="D26" s="1" t="s">
        <v>204</v>
      </c>
      <c r="E26" s="1" t="s">
        <v>51</v>
      </c>
      <c r="F26" s="1" t="s">
        <v>52</v>
      </c>
      <c r="G26" s="1" t="s">
        <v>53</v>
      </c>
      <c r="H26" s="1" t="s">
        <v>205</v>
      </c>
      <c r="I26" s="1" t="s">
        <v>206</v>
      </c>
      <c r="J26" t="s">
        <v>4631</v>
      </c>
      <c r="K26" s="1" t="s">
        <v>207</v>
      </c>
    </row>
    <row r="27" spans="1:11" ht="36" customHeight="1">
      <c r="A27" s="1" t="s">
        <v>208</v>
      </c>
      <c r="B27" s="1" t="s">
        <v>209</v>
      </c>
      <c r="C27" s="1">
        <v>2022</v>
      </c>
      <c r="D27" s="1" t="s">
        <v>210</v>
      </c>
      <c r="E27" s="1" t="s">
        <v>51</v>
      </c>
      <c r="F27" s="1" t="s">
        <v>52</v>
      </c>
      <c r="G27" s="1" t="s">
        <v>53</v>
      </c>
      <c r="H27" s="1" t="s">
        <v>205</v>
      </c>
      <c r="I27" s="1" t="s">
        <v>211</v>
      </c>
      <c r="J27" t="s">
        <v>4631</v>
      </c>
      <c r="K27" s="1" t="s">
        <v>212</v>
      </c>
    </row>
    <row r="28" spans="1:11" ht="24" customHeight="1">
      <c r="A28" s="1" t="s">
        <v>213</v>
      </c>
      <c r="B28" s="1" t="s">
        <v>214</v>
      </c>
      <c r="C28" s="1">
        <v>2016</v>
      </c>
      <c r="D28" s="1" t="s">
        <v>215</v>
      </c>
      <c r="E28" s="1" t="s">
        <v>51</v>
      </c>
      <c r="F28" s="1" t="s">
        <v>81</v>
      </c>
      <c r="G28" s="1" t="s">
        <v>82</v>
      </c>
      <c r="H28" s="1" t="s">
        <v>216</v>
      </c>
      <c r="I28" s="1" t="s">
        <v>217</v>
      </c>
      <c r="J28" t="s">
        <v>4631</v>
      </c>
      <c r="K28" s="1" t="s">
        <v>218</v>
      </c>
    </row>
    <row r="29" spans="1:11" ht="36" customHeight="1">
      <c r="A29" s="1" t="s">
        <v>219</v>
      </c>
      <c r="B29" s="1" t="s">
        <v>220</v>
      </c>
      <c r="C29" s="1">
        <v>2021</v>
      </c>
      <c r="D29" s="1" t="s">
        <v>221</v>
      </c>
      <c r="E29" s="1" t="s">
        <v>51</v>
      </c>
      <c r="F29" s="1" t="s">
        <v>52</v>
      </c>
      <c r="G29" s="1" t="s">
        <v>53</v>
      </c>
      <c r="H29" s="1" t="s">
        <v>222</v>
      </c>
      <c r="I29" s="1" t="s">
        <v>223</v>
      </c>
      <c r="J29" t="s">
        <v>4631</v>
      </c>
      <c r="K29" s="1" t="s">
        <v>224</v>
      </c>
    </row>
    <row r="30" spans="1:11" ht="24" customHeight="1">
      <c r="A30" s="1" t="s">
        <v>225</v>
      </c>
      <c r="B30" s="1" t="s">
        <v>226</v>
      </c>
      <c r="C30" s="1">
        <v>2021</v>
      </c>
      <c r="D30" s="1" t="s">
        <v>227</v>
      </c>
      <c r="E30" s="1" t="s">
        <v>51</v>
      </c>
      <c r="F30" s="1" t="s">
        <v>73</v>
      </c>
      <c r="G30" s="1" t="s">
        <v>228</v>
      </c>
      <c r="H30" s="1" t="s">
        <v>229</v>
      </c>
      <c r="I30" s="1" t="s">
        <v>230</v>
      </c>
      <c r="J30" t="s">
        <v>4631</v>
      </c>
      <c r="K30" s="1" t="s">
        <v>231</v>
      </c>
    </row>
    <row r="31" spans="1:11" ht="24" customHeight="1">
      <c r="A31" s="1" t="s">
        <v>232</v>
      </c>
      <c r="B31" s="1" t="s">
        <v>233</v>
      </c>
      <c r="C31" s="1">
        <v>2020</v>
      </c>
      <c r="D31" s="1" t="s">
        <v>234</v>
      </c>
      <c r="E31" s="1" t="s">
        <v>51</v>
      </c>
      <c r="F31" s="1" t="s">
        <v>52</v>
      </c>
      <c r="G31" s="1" t="s">
        <v>53</v>
      </c>
      <c r="H31" s="1" t="s">
        <v>205</v>
      </c>
      <c r="I31" s="1" t="s">
        <v>235</v>
      </c>
      <c r="J31" t="s">
        <v>4631</v>
      </c>
      <c r="K31" s="1" t="s">
        <v>236</v>
      </c>
    </row>
    <row r="32" spans="1:11" ht="24" customHeight="1">
      <c r="A32" s="1" t="s">
        <v>237</v>
      </c>
      <c r="B32" s="1" t="s">
        <v>238</v>
      </c>
      <c r="C32" s="1">
        <v>2018</v>
      </c>
      <c r="D32" s="1" t="s">
        <v>239</v>
      </c>
      <c r="E32" s="1" t="s">
        <v>51</v>
      </c>
      <c r="F32" s="1" t="s">
        <v>52</v>
      </c>
      <c r="G32" s="1" t="s">
        <v>53</v>
      </c>
      <c r="H32" s="1" t="s">
        <v>205</v>
      </c>
      <c r="I32" s="1" t="s">
        <v>240</v>
      </c>
      <c r="J32" t="s">
        <v>4631</v>
      </c>
      <c r="K32" s="1" t="s">
        <v>241</v>
      </c>
    </row>
    <row r="33" spans="1:11" ht="36" customHeight="1">
      <c r="A33" s="1" t="s">
        <v>242</v>
      </c>
      <c r="B33" s="1" t="s">
        <v>243</v>
      </c>
      <c r="C33" s="1">
        <v>2025</v>
      </c>
      <c r="D33" s="1" t="s">
        <v>244</v>
      </c>
      <c r="E33" s="1" t="s">
        <v>51</v>
      </c>
      <c r="F33" s="1" t="s">
        <v>81</v>
      </c>
      <c r="G33" s="1" t="s">
        <v>82</v>
      </c>
      <c r="H33" s="1" t="s">
        <v>245</v>
      </c>
      <c r="I33" s="1" t="s">
        <v>246</v>
      </c>
      <c r="J33" t="s">
        <v>4631</v>
      </c>
      <c r="K33" s="1" t="s">
        <v>247</v>
      </c>
    </row>
    <row r="34" spans="1:11" ht="36" customHeight="1">
      <c r="A34" s="1" t="s">
        <v>248</v>
      </c>
      <c r="B34" s="1" t="s">
        <v>249</v>
      </c>
      <c r="C34" s="1">
        <v>2022</v>
      </c>
      <c r="D34" s="1" t="s">
        <v>250</v>
      </c>
      <c r="E34" s="1" t="s">
        <v>51</v>
      </c>
      <c r="F34" s="1" t="s">
        <v>52</v>
      </c>
      <c r="G34" s="1" t="s">
        <v>53</v>
      </c>
      <c r="H34" s="1" t="s">
        <v>205</v>
      </c>
      <c r="I34" s="1" t="s">
        <v>251</v>
      </c>
      <c r="J34" t="s">
        <v>4631</v>
      </c>
      <c r="K34" s="1" t="s">
        <v>252</v>
      </c>
    </row>
    <row r="35" spans="1:11" ht="24" customHeight="1">
      <c r="A35" s="1" t="s">
        <v>253</v>
      </c>
      <c r="B35" s="1" t="s">
        <v>254</v>
      </c>
      <c r="C35" s="1">
        <v>2026</v>
      </c>
      <c r="D35" s="1" t="s">
        <v>255</v>
      </c>
      <c r="E35" s="1" t="s">
        <v>51</v>
      </c>
      <c r="F35" s="1" t="s">
        <v>81</v>
      </c>
      <c r="G35" s="1" t="s">
        <v>82</v>
      </c>
      <c r="H35" s="1" t="s">
        <v>216</v>
      </c>
      <c r="I35" s="1" t="s">
        <v>256</v>
      </c>
      <c r="J35" t="s">
        <v>4631</v>
      </c>
      <c r="K35" s="1" t="s">
        <v>257</v>
      </c>
    </row>
    <row r="36" spans="1:11" ht="24" customHeight="1">
      <c r="A36" s="1" t="s">
        <v>258</v>
      </c>
      <c r="B36" s="1" t="s">
        <v>259</v>
      </c>
      <c r="C36" s="1">
        <v>2026</v>
      </c>
      <c r="D36" s="1" t="s">
        <v>260</v>
      </c>
      <c r="E36" s="1" t="s">
        <v>51</v>
      </c>
      <c r="F36" s="1" t="s">
        <v>81</v>
      </c>
      <c r="G36" s="1" t="s">
        <v>82</v>
      </c>
      <c r="H36" s="1" t="s">
        <v>205</v>
      </c>
      <c r="I36" s="1" t="s">
        <v>261</v>
      </c>
      <c r="J36" t="s">
        <v>4631</v>
      </c>
      <c r="K36" s="1" t="s">
        <v>262</v>
      </c>
    </row>
    <row r="37" spans="1:11" ht="24" customHeight="1">
      <c r="A37" s="1" t="s">
        <v>263</v>
      </c>
      <c r="B37" s="1" t="s">
        <v>264</v>
      </c>
      <c r="C37" s="1">
        <v>2025</v>
      </c>
      <c r="D37" s="1" t="s">
        <v>265</v>
      </c>
      <c r="E37" s="1" t="s">
        <v>51</v>
      </c>
      <c r="F37" s="1" t="s">
        <v>52</v>
      </c>
      <c r="G37" s="1" t="s">
        <v>53</v>
      </c>
      <c r="H37" s="1" t="s">
        <v>216</v>
      </c>
      <c r="I37" s="1" t="s">
        <v>266</v>
      </c>
      <c r="J37" t="s">
        <v>4631</v>
      </c>
      <c r="K37" s="1" t="s">
        <v>267</v>
      </c>
    </row>
    <row r="38" spans="1:11" ht="24" customHeight="1">
      <c r="A38" s="1" t="s">
        <v>268</v>
      </c>
      <c r="B38" s="1" t="s">
        <v>269</v>
      </c>
      <c r="C38" s="1">
        <v>2026</v>
      </c>
      <c r="D38" s="1" t="s">
        <v>270</v>
      </c>
      <c r="E38" s="1" t="s">
        <v>51</v>
      </c>
      <c r="F38" s="1" t="s">
        <v>52</v>
      </c>
      <c r="G38" s="1" t="s">
        <v>53</v>
      </c>
      <c r="H38" s="1" t="s">
        <v>205</v>
      </c>
      <c r="I38" s="1" t="s">
        <v>271</v>
      </c>
      <c r="J38" t="s">
        <v>4631</v>
      </c>
      <c r="K38" s="1" t="s">
        <v>272</v>
      </c>
    </row>
    <row r="39" spans="1:11" ht="24" customHeight="1">
      <c r="A39" s="1" t="s">
        <v>273</v>
      </c>
      <c r="B39" s="1" t="s">
        <v>274</v>
      </c>
      <c r="C39" s="1">
        <v>2016</v>
      </c>
      <c r="D39" s="1" t="s">
        <v>275</v>
      </c>
      <c r="E39" s="1" t="s">
        <v>51</v>
      </c>
      <c r="F39" s="1" t="s">
        <v>81</v>
      </c>
      <c r="G39" s="1" t="s">
        <v>82</v>
      </c>
      <c r="H39" s="1" t="s">
        <v>229</v>
      </c>
      <c r="I39" s="1" t="s">
        <v>276</v>
      </c>
      <c r="J39" t="s">
        <v>4631</v>
      </c>
      <c r="K39" s="1" t="s">
        <v>277</v>
      </c>
    </row>
    <row r="40" spans="1:11" ht="36" customHeight="1">
      <c r="A40" s="1" t="s">
        <v>278</v>
      </c>
      <c r="B40" s="1" t="s">
        <v>279</v>
      </c>
      <c r="C40" s="1">
        <v>2023</v>
      </c>
      <c r="D40" s="1" t="s">
        <v>280</v>
      </c>
      <c r="E40" s="1" t="s">
        <v>51</v>
      </c>
      <c r="F40" s="1" t="s">
        <v>81</v>
      </c>
      <c r="G40" s="1" t="s">
        <v>82</v>
      </c>
      <c r="H40" s="1" t="s">
        <v>216</v>
      </c>
      <c r="I40" s="1" t="s">
        <v>281</v>
      </c>
      <c r="J40" t="s">
        <v>4631</v>
      </c>
      <c r="K40" s="1" t="s">
        <v>282</v>
      </c>
    </row>
    <row r="41" spans="1:11" ht="36" customHeight="1">
      <c r="A41" s="1" t="s">
        <v>283</v>
      </c>
      <c r="B41" s="1" t="s">
        <v>284</v>
      </c>
      <c r="C41" s="1">
        <v>2020</v>
      </c>
      <c r="D41" s="1" t="s">
        <v>285</v>
      </c>
      <c r="E41" s="1" t="s">
        <v>51</v>
      </c>
      <c r="F41" s="1" t="s">
        <v>81</v>
      </c>
      <c r="G41" s="1" t="s">
        <v>82</v>
      </c>
      <c r="H41" s="1" t="s">
        <v>216</v>
      </c>
      <c r="I41" s="1" t="s">
        <v>281</v>
      </c>
      <c r="J41" t="s">
        <v>4631</v>
      </c>
      <c r="K41" s="1" t="s">
        <v>286</v>
      </c>
    </row>
    <row r="42" spans="1:11" ht="24" customHeight="1">
      <c r="A42" s="1" t="s">
        <v>287</v>
      </c>
      <c r="B42" s="1" t="s">
        <v>288</v>
      </c>
      <c r="C42" s="1">
        <v>2025</v>
      </c>
      <c r="D42" s="1" t="s">
        <v>289</v>
      </c>
      <c r="E42" s="1" t="s">
        <v>51</v>
      </c>
      <c r="F42" s="1" t="s">
        <v>81</v>
      </c>
      <c r="G42" s="1" t="s">
        <v>82</v>
      </c>
      <c r="H42" s="1" t="s">
        <v>229</v>
      </c>
      <c r="I42" s="1" t="s">
        <v>290</v>
      </c>
      <c r="J42" t="s">
        <v>4631</v>
      </c>
      <c r="K42" s="1" t="s">
        <v>291</v>
      </c>
    </row>
    <row r="43" spans="1:11" ht="24" customHeight="1">
      <c r="A43" s="1" t="s">
        <v>292</v>
      </c>
      <c r="B43" s="1" t="s">
        <v>293</v>
      </c>
      <c r="C43" s="1">
        <v>2022</v>
      </c>
      <c r="D43" s="1" t="s">
        <v>294</v>
      </c>
      <c r="E43" s="1" t="s">
        <v>51</v>
      </c>
      <c r="F43" s="1" t="s">
        <v>295</v>
      </c>
      <c r="G43" s="1" t="s">
        <v>296</v>
      </c>
      <c r="H43" s="1" t="s">
        <v>297</v>
      </c>
      <c r="I43" s="1" t="s">
        <v>298</v>
      </c>
      <c r="J43" t="s">
        <v>4631</v>
      </c>
      <c r="K43" s="1" t="s">
        <v>299</v>
      </c>
    </row>
    <row r="44" spans="1:11" ht="36" customHeight="1">
      <c r="A44" s="1" t="s">
        <v>300</v>
      </c>
      <c r="B44" s="1" t="s">
        <v>301</v>
      </c>
      <c r="C44" s="1">
        <v>2019</v>
      </c>
      <c r="D44" s="1" t="s">
        <v>302</v>
      </c>
      <c r="E44" s="1" t="s">
        <v>51</v>
      </c>
      <c r="F44" s="1" t="s">
        <v>81</v>
      </c>
      <c r="G44" s="1" t="s">
        <v>82</v>
      </c>
      <c r="H44" s="1" t="s">
        <v>222</v>
      </c>
      <c r="I44" s="1" t="s">
        <v>303</v>
      </c>
      <c r="J44" t="s">
        <v>4631</v>
      </c>
      <c r="K44" s="1" t="s">
        <v>304</v>
      </c>
    </row>
    <row r="45" spans="1:11" ht="24" customHeight="1">
      <c r="A45" s="1" t="s">
        <v>305</v>
      </c>
      <c r="B45" s="1" t="s">
        <v>306</v>
      </c>
      <c r="C45" s="1">
        <v>2019</v>
      </c>
      <c r="D45" s="1" t="s">
        <v>307</v>
      </c>
      <c r="E45" s="1" t="s">
        <v>51</v>
      </c>
      <c r="F45" s="1" t="s">
        <v>81</v>
      </c>
      <c r="G45" s="1" t="s">
        <v>82</v>
      </c>
      <c r="H45" s="1" t="s">
        <v>216</v>
      </c>
      <c r="I45" s="1" t="s">
        <v>308</v>
      </c>
      <c r="J45" t="s">
        <v>4631</v>
      </c>
      <c r="K45" s="1" t="s">
        <v>309</v>
      </c>
    </row>
    <row r="46" spans="1:11" ht="48" customHeight="1">
      <c r="A46" s="1" t="s">
        <v>310</v>
      </c>
      <c r="B46" s="1" t="s">
        <v>311</v>
      </c>
      <c r="C46" s="1">
        <v>2020</v>
      </c>
      <c r="D46" s="1" t="s">
        <v>312</v>
      </c>
      <c r="E46" s="1" t="s">
        <v>51</v>
      </c>
      <c r="F46" s="1" t="s">
        <v>52</v>
      </c>
      <c r="G46" s="1" t="s">
        <v>53</v>
      </c>
      <c r="H46" s="1" t="s">
        <v>313</v>
      </c>
      <c r="I46" s="1" t="s">
        <v>314</v>
      </c>
      <c r="J46" t="s">
        <v>4631</v>
      </c>
      <c r="K46" s="1" t="s">
        <v>315</v>
      </c>
    </row>
    <row r="47" spans="1:11" ht="36" customHeight="1">
      <c r="A47" s="1" t="s">
        <v>316</v>
      </c>
      <c r="B47" s="1" t="s">
        <v>317</v>
      </c>
      <c r="C47" s="1">
        <v>2023</v>
      </c>
      <c r="D47" s="1" t="s">
        <v>318</v>
      </c>
      <c r="E47" s="1" t="s">
        <v>51</v>
      </c>
      <c r="F47" s="1" t="s">
        <v>52</v>
      </c>
      <c r="G47" s="1" t="s">
        <v>53</v>
      </c>
      <c r="H47" s="1" t="s">
        <v>205</v>
      </c>
      <c r="I47" s="1" t="s">
        <v>319</v>
      </c>
      <c r="J47" t="s">
        <v>4631</v>
      </c>
      <c r="K47" s="1" t="s">
        <v>320</v>
      </c>
    </row>
    <row r="48" spans="1:11" ht="48" customHeight="1">
      <c r="A48" s="1" t="s">
        <v>321</v>
      </c>
      <c r="B48" s="1" t="s">
        <v>322</v>
      </c>
      <c r="C48" s="1">
        <v>2025</v>
      </c>
      <c r="D48" s="1" t="s">
        <v>323</v>
      </c>
      <c r="E48" s="1" t="s">
        <v>51</v>
      </c>
      <c r="F48" s="1" t="s">
        <v>52</v>
      </c>
      <c r="G48" s="1" t="s">
        <v>53</v>
      </c>
      <c r="H48" s="1" t="s">
        <v>324</v>
      </c>
      <c r="I48" s="1" t="s">
        <v>325</v>
      </c>
      <c r="J48" t="s">
        <v>4631</v>
      </c>
      <c r="K48" s="1" t="s">
        <v>326</v>
      </c>
    </row>
    <row r="49" spans="1:11" ht="24" customHeight="1">
      <c r="A49" s="1" t="s">
        <v>327</v>
      </c>
      <c r="B49" s="1" t="s">
        <v>328</v>
      </c>
      <c r="C49" s="1">
        <v>2024</v>
      </c>
      <c r="D49" s="1" t="s">
        <v>329</v>
      </c>
      <c r="E49" s="1" t="s">
        <v>51</v>
      </c>
      <c r="F49" s="1" t="s">
        <v>81</v>
      </c>
      <c r="G49" s="1" t="s">
        <v>82</v>
      </c>
      <c r="H49" s="1" t="s">
        <v>297</v>
      </c>
      <c r="I49" s="1" t="s">
        <v>330</v>
      </c>
      <c r="J49" t="s">
        <v>4631</v>
      </c>
      <c r="K49" s="1" t="s">
        <v>331</v>
      </c>
    </row>
    <row r="50" spans="1:11" ht="60" customHeight="1">
      <c r="A50" s="1" t="s">
        <v>332</v>
      </c>
      <c r="B50" s="1" t="s">
        <v>333</v>
      </c>
      <c r="C50" s="1">
        <v>2021</v>
      </c>
      <c r="D50" s="1" t="s">
        <v>334</v>
      </c>
      <c r="E50" s="1" t="s">
        <v>51</v>
      </c>
      <c r="F50" s="1" t="s">
        <v>81</v>
      </c>
      <c r="G50" s="1" t="s">
        <v>82</v>
      </c>
      <c r="H50" s="1" t="s">
        <v>335</v>
      </c>
      <c r="I50" s="1" t="s">
        <v>336</v>
      </c>
      <c r="J50" t="s">
        <v>4631</v>
      </c>
      <c r="K50" s="1" t="s">
        <v>337</v>
      </c>
    </row>
    <row r="51" spans="1:11" ht="36" customHeight="1">
      <c r="A51" s="1" t="s">
        <v>338</v>
      </c>
      <c r="B51" s="1" t="s">
        <v>339</v>
      </c>
      <c r="C51" s="1">
        <v>2026</v>
      </c>
      <c r="D51" s="1" t="s">
        <v>340</v>
      </c>
      <c r="E51" s="1" t="s">
        <v>51</v>
      </c>
      <c r="F51" s="1" t="s">
        <v>81</v>
      </c>
      <c r="G51" s="1" t="s">
        <v>82</v>
      </c>
      <c r="H51" s="1" t="s">
        <v>216</v>
      </c>
      <c r="I51" s="1" t="s">
        <v>281</v>
      </c>
      <c r="J51" t="s">
        <v>4631</v>
      </c>
      <c r="K51" s="1" t="s">
        <v>341</v>
      </c>
    </row>
    <row r="52" spans="1:11" ht="48" customHeight="1">
      <c r="A52" s="1" t="s">
        <v>342</v>
      </c>
      <c r="B52" s="1" t="s">
        <v>343</v>
      </c>
      <c r="C52" s="1">
        <v>2019</v>
      </c>
      <c r="D52" s="1" t="s">
        <v>344</v>
      </c>
      <c r="E52" s="1" t="s">
        <v>51</v>
      </c>
      <c r="F52" s="1" t="s">
        <v>73</v>
      </c>
      <c r="G52" s="1" t="s">
        <v>228</v>
      </c>
      <c r="H52" s="1" t="s">
        <v>345</v>
      </c>
      <c r="I52" s="1" t="s">
        <v>346</v>
      </c>
      <c r="J52" t="s">
        <v>4631</v>
      </c>
      <c r="K52" s="1" t="s">
        <v>347</v>
      </c>
    </row>
    <row r="53" spans="1:11" ht="24" customHeight="1">
      <c r="A53" s="1" t="s">
        <v>348</v>
      </c>
      <c r="B53" s="1" t="s">
        <v>349</v>
      </c>
      <c r="C53" s="1">
        <v>2023</v>
      </c>
      <c r="D53" s="1" t="s">
        <v>350</v>
      </c>
      <c r="E53" s="1" t="s">
        <v>51</v>
      </c>
      <c r="F53" s="1" t="s">
        <v>52</v>
      </c>
      <c r="G53" s="1" t="s">
        <v>53</v>
      </c>
      <c r="H53" s="1" t="s">
        <v>205</v>
      </c>
      <c r="I53" s="1" t="s">
        <v>351</v>
      </c>
      <c r="J53" t="s">
        <v>4631</v>
      </c>
      <c r="K53" s="1" t="s">
        <v>352</v>
      </c>
    </row>
    <row r="54" spans="1:11" ht="24" customHeight="1">
      <c r="A54" s="1" t="s">
        <v>353</v>
      </c>
      <c r="B54" s="1" t="s">
        <v>354</v>
      </c>
      <c r="C54" s="1">
        <v>2023</v>
      </c>
      <c r="D54" s="1" t="s">
        <v>355</v>
      </c>
      <c r="E54" s="1" t="s">
        <v>51</v>
      </c>
      <c r="F54" s="1" t="s">
        <v>81</v>
      </c>
      <c r="G54" s="1" t="s">
        <v>82</v>
      </c>
      <c r="H54" s="1" t="s">
        <v>205</v>
      </c>
      <c r="I54" s="1" t="s">
        <v>356</v>
      </c>
      <c r="J54" t="s">
        <v>4631</v>
      </c>
      <c r="K54" s="1" t="s">
        <v>357</v>
      </c>
    </row>
    <row r="55" spans="1:11" ht="60" customHeight="1">
      <c r="A55" s="1" t="s">
        <v>358</v>
      </c>
      <c r="B55" s="1" t="s">
        <v>359</v>
      </c>
      <c r="C55" s="1">
        <v>2024</v>
      </c>
      <c r="D55" s="1" t="s">
        <v>360</v>
      </c>
      <c r="E55" s="1" t="s">
        <v>51</v>
      </c>
      <c r="F55" s="1" t="s">
        <v>81</v>
      </c>
      <c r="G55" s="1" t="s">
        <v>82</v>
      </c>
      <c r="H55" s="1" t="s">
        <v>361</v>
      </c>
      <c r="I55" s="1" t="s">
        <v>362</v>
      </c>
      <c r="J55" t="s">
        <v>4631</v>
      </c>
      <c r="K55" s="1" t="s">
        <v>363</v>
      </c>
    </row>
    <row r="56" spans="1:11" ht="24" customHeight="1">
      <c r="A56" s="1" t="s">
        <v>364</v>
      </c>
      <c r="B56" s="1" t="s">
        <v>365</v>
      </c>
      <c r="C56" s="1">
        <v>2021</v>
      </c>
      <c r="D56" s="1" t="s">
        <v>366</v>
      </c>
      <c r="E56" s="1" t="s">
        <v>51</v>
      </c>
      <c r="F56" s="1" t="s">
        <v>81</v>
      </c>
      <c r="G56" s="1" t="s">
        <v>82</v>
      </c>
      <c r="H56" s="1" t="s">
        <v>205</v>
      </c>
      <c r="I56" s="1" t="s">
        <v>367</v>
      </c>
      <c r="J56" t="s">
        <v>4631</v>
      </c>
      <c r="K56" s="1" t="s">
        <v>368</v>
      </c>
    </row>
    <row r="57" spans="1:11" ht="60" customHeight="1">
      <c r="A57" s="1" t="s">
        <v>369</v>
      </c>
      <c r="B57" s="1" t="s">
        <v>370</v>
      </c>
      <c r="C57" s="1">
        <v>2024</v>
      </c>
      <c r="D57" s="1" t="s">
        <v>371</v>
      </c>
      <c r="E57" s="1" t="s">
        <v>51</v>
      </c>
      <c r="F57" s="1" t="s">
        <v>52</v>
      </c>
      <c r="G57" s="1" t="s">
        <v>53</v>
      </c>
      <c r="H57" s="1" t="s">
        <v>372</v>
      </c>
      <c r="I57" s="1" t="s">
        <v>373</v>
      </c>
      <c r="J57" t="s">
        <v>4631</v>
      </c>
      <c r="K57" s="1" t="s">
        <v>374</v>
      </c>
    </row>
    <row r="58" spans="1:11" ht="48" customHeight="1">
      <c r="A58" s="1" t="s">
        <v>375</v>
      </c>
      <c r="B58" s="1" t="s">
        <v>376</v>
      </c>
      <c r="C58" s="1">
        <v>2022</v>
      </c>
      <c r="D58" s="1" t="s">
        <v>377</v>
      </c>
      <c r="E58" s="1" t="s">
        <v>51</v>
      </c>
      <c r="F58" s="1" t="s">
        <v>81</v>
      </c>
      <c r="G58" s="1" t="s">
        <v>82</v>
      </c>
      <c r="H58" s="1" t="s">
        <v>378</v>
      </c>
      <c r="I58" s="1" t="s">
        <v>379</v>
      </c>
      <c r="J58" t="s">
        <v>4631</v>
      </c>
      <c r="K58" s="1" t="s">
        <v>380</v>
      </c>
    </row>
    <row r="59" spans="1:11" ht="48" customHeight="1">
      <c r="A59" s="1" t="s">
        <v>381</v>
      </c>
      <c r="B59" s="1" t="s">
        <v>382</v>
      </c>
      <c r="C59" s="1">
        <v>2023</v>
      </c>
      <c r="D59" s="1" t="s">
        <v>383</v>
      </c>
      <c r="E59" s="1" t="s">
        <v>51</v>
      </c>
      <c r="F59" s="1" t="s">
        <v>81</v>
      </c>
      <c r="G59" s="1" t="s">
        <v>82</v>
      </c>
      <c r="H59" s="1" t="s">
        <v>384</v>
      </c>
      <c r="I59" s="1" t="s">
        <v>385</v>
      </c>
      <c r="J59" t="s">
        <v>4631</v>
      </c>
      <c r="K59" s="1" t="s">
        <v>386</v>
      </c>
    </row>
    <row r="60" spans="1:11" ht="48" customHeight="1">
      <c r="A60" s="1" t="s">
        <v>387</v>
      </c>
      <c r="B60" s="1" t="s">
        <v>388</v>
      </c>
      <c r="C60" s="1">
        <v>2023</v>
      </c>
      <c r="D60" s="1" t="s">
        <v>389</v>
      </c>
      <c r="E60" s="1" t="s">
        <v>51</v>
      </c>
      <c r="F60" s="1" t="s">
        <v>52</v>
      </c>
      <c r="G60" s="1" t="s">
        <v>53</v>
      </c>
      <c r="H60" s="1" t="s">
        <v>390</v>
      </c>
      <c r="I60" s="1" t="s">
        <v>391</v>
      </c>
      <c r="J60" t="s">
        <v>4631</v>
      </c>
      <c r="K60" s="1" t="s">
        <v>392</v>
      </c>
    </row>
    <row r="61" spans="1:11" ht="36" customHeight="1">
      <c r="A61" s="1" t="s">
        <v>393</v>
      </c>
      <c r="B61" s="1" t="s">
        <v>394</v>
      </c>
      <c r="C61" s="1">
        <v>2023</v>
      </c>
      <c r="D61" s="1" t="s">
        <v>395</v>
      </c>
      <c r="E61" s="1" t="s">
        <v>51</v>
      </c>
      <c r="F61" s="1" t="s">
        <v>52</v>
      </c>
      <c r="G61" s="1" t="s">
        <v>53</v>
      </c>
      <c r="H61" s="1" t="s">
        <v>396</v>
      </c>
      <c r="I61" s="1" t="s">
        <v>397</v>
      </c>
      <c r="J61" t="s">
        <v>4631</v>
      </c>
      <c r="K61" s="1" t="s">
        <v>398</v>
      </c>
    </row>
    <row r="62" spans="1:11" ht="36" customHeight="1">
      <c r="A62" s="1" t="s">
        <v>399</v>
      </c>
      <c r="B62" s="1" t="s">
        <v>400</v>
      </c>
      <c r="C62" s="1">
        <v>2025</v>
      </c>
      <c r="D62" s="1" t="s">
        <v>401</v>
      </c>
      <c r="E62" s="1" t="s">
        <v>51</v>
      </c>
      <c r="F62" s="1" t="s">
        <v>81</v>
      </c>
      <c r="G62" s="1" t="s">
        <v>82</v>
      </c>
      <c r="H62" s="1" t="s">
        <v>297</v>
      </c>
      <c r="I62" s="1" t="s">
        <v>402</v>
      </c>
      <c r="J62" t="s">
        <v>4631</v>
      </c>
      <c r="K62" s="1" t="s">
        <v>403</v>
      </c>
    </row>
    <row r="63" spans="1:11" ht="24" customHeight="1">
      <c r="A63" s="1" t="s">
        <v>404</v>
      </c>
      <c r="B63" s="1" t="s">
        <v>405</v>
      </c>
      <c r="C63" s="1">
        <v>2020</v>
      </c>
      <c r="D63" s="1" t="s">
        <v>406</v>
      </c>
      <c r="E63" s="1" t="s">
        <v>51</v>
      </c>
      <c r="F63" s="1" t="s">
        <v>73</v>
      </c>
      <c r="G63" s="1" t="s">
        <v>74</v>
      </c>
      <c r="H63" s="1" t="s">
        <v>205</v>
      </c>
      <c r="I63" s="1" t="s">
        <v>407</v>
      </c>
      <c r="J63" t="s">
        <v>4631</v>
      </c>
      <c r="K63" s="1" t="s">
        <v>408</v>
      </c>
    </row>
    <row r="64" spans="1:11" ht="24" customHeight="1">
      <c r="A64" s="1" t="s">
        <v>409</v>
      </c>
      <c r="B64" s="1" t="s">
        <v>410</v>
      </c>
      <c r="C64" s="1">
        <v>2025</v>
      </c>
      <c r="D64" s="1" t="s">
        <v>411</v>
      </c>
      <c r="E64" s="1" t="s">
        <v>51</v>
      </c>
      <c r="F64" s="1" t="s">
        <v>81</v>
      </c>
      <c r="G64" s="1" t="s">
        <v>82</v>
      </c>
      <c r="H64" s="1" t="s">
        <v>205</v>
      </c>
      <c r="I64" s="1" t="s">
        <v>412</v>
      </c>
      <c r="J64" t="s">
        <v>4631</v>
      </c>
      <c r="K64" s="1" t="s">
        <v>413</v>
      </c>
    </row>
    <row r="65" spans="1:11" ht="24" customHeight="1">
      <c r="A65" s="1" t="s">
        <v>414</v>
      </c>
      <c r="B65" s="1" t="s">
        <v>415</v>
      </c>
      <c r="C65" s="1">
        <v>2021</v>
      </c>
      <c r="D65" s="1" t="s">
        <v>416</v>
      </c>
      <c r="E65" s="1" t="s">
        <v>51</v>
      </c>
      <c r="F65" s="1" t="s">
        <v>81</v>
      </c>
      <c r="G65" s="1" t="s">
        <v>82</v>
      </c>
      <c r="H65" s="1" t="s">
        <v>205</v>
      </c>
      <c r="I65" s="1" t="s">
        <v>417</v>
      </c>
      <c r="J65" t="s">
        <v>4631</v>
      </c>
      <c r="K65" s="1" t="s">
        <v>418</v>
      </c>
    </row>
    <row r="66" spans="1:11" ht="24" customHeight="1">
      <c r="A66" s="1" t="s">
        <v>419</v>
      </c>
      <c r="B66" s="1" t="s">
        <v>420</v>
      </c>
      <c r="C66" s="1">
        <v>2020</v>
      </c>
      <c r="D66" s="1" t="s">
        <v>421</v>
      </c>
      <c r="E66" s="1" t="s">
        <v>51</v>
      </c>
      <c r="F66" s="1" t="s">
        <v>81</v>
      </c>
      <c r="G66" s="1" t="s">
        <v>82</v>
      </c>
      <c r="H66" s="1" t="s">
        <v>422</v>
      </c>
      <c r="I66" s="1" t="s">
        <v>423</v>
      </c>
      <c r="J66" t="s">
        <v>4631</v>
      </c>
      <c r="K66" s="1" t="s">
        <v>424</v>
      </c>
    </row>
    <row r="67" spans="1:11" ht="24" customHeight="1">
      <c r="A67" s="1" t="s">
        <v>425</v>
      </c>
      <c r="B67" s="1" t="s">
        <v>426</v>
      </c>
      <c r="C67" s="1">
        <v>2025</v>
      </c>
      <c r="D67" s="1" t="s">
        <v>427</v>
      </c>
      <c r="E67" s="1" t="s">
        <v>51</v>
      </c>
      <c r="F67" s="1" t="s">
        <v>81</v>
      </c>
      <c r="G67" s="1" t="s">
        <v>82</v>
      </c>
      <c r="H67" s="1" t="s">
        <v>422</v>
      </c>
      <c r="I67" s="1" t="s">
        <v>428</v>
      </c>
      <c r="J67" t="s">
        <v>4631</v>
      </c>
      <c r="K67" s="1" t="s">
        <v>429</v>
      </c>
    </row>
    <row r="68" spans="1:11" ht="24" customHeight="1">
      <c r="A68" s="1" t="s">
        <v>430</v>
      </c>
      <c r="B68" s="1" t="s">
        <v>431</v>
      </c>
      <c r="C68" s="1">
        <v>2026</v>
      </c>
      <c r="D68" s="1" t="s">
        <v>432</v>
      </c>
      <c r="E68" s="1" t="s">
        <v>51</v>
      </c>
      <c r="F68" s="1" t="s">
        <v>81</v>
      </c>
      <c r="G68" s="1" t="s">
        <v>82</v>
      </c>
      <c r="H68" s="1" t="s">
        <v>205</v>
      </c>
      <c r="I68" s="1" t="s">
        <v>433</v>
      </c>
      <c r="J68" t="s">
        <v>4631</v>
      </c>
      <c r="K68" s="1" t="s">
        <v>434</v>
      </c>
    </row>
    <row r="69" spans="1:11" ht="24" customHeight="1">
      <c r="A69" s="1" t="s">
        <v>435</v>
      </c>
      <c r="B69" s="1" t="s">
        <v>436</v>
      </c>
      <c r="C69" s="1">
        <v>2021</v>
      </c>
      <c r="D69" s="1" t="s">
        <v>437</v>
      </c>
      <c r="E69" s="1" t="s">
        <v>51</v>
      </c>
      <c r="F69" s="1" t="s">
        <v>81</v>
      </c>
      <c r="G69" s="1" t="s">
        <v>82</v>
      </c>
      <c r="H69" s="1" t="s">
        <v>205</v>
      </c>
      <c r="I69" s="1" t="s">
        <v>438</v>
      </c>
      <c r="J69" t="s">
        <v>4631</v>
      </c>
      <c r="K69" s="1" t="s">
        <v>439</v>
      </c>
    </row>
    <row r="70" spans="1:11" ht="24" customHeight="1">
      <c r="A70" s="1" t="s">
        <v>440</v>
      </c>
      <c r="B70" s="1" t="s">
        <v>441</v>
      </c>
      <c r="C70" s="1">
        <v>2022</v>
      </c>
      <c r="D70" s="1" t="s">
        <v>442</v>
      </c>
      <c r="E70" s="1" t="s">
        <v>51</v>
      </c>
      <c r="F70" s="1" t="s">
        <v>81</v>
      </c>
      <c r="G70" s="1" t="s">
        <v>82</v>
      </c>
      <c r="H70" s="1" t="s">
        <v>297</v>
      </c>
      <c r="I70" s="1" t="s">
        <v>443</v>
      </c>
      <c r="J70" t="s">
        <v>4631</v>
      </c>
      <c r="K70" s="1" t="s">
        <v>444</v>
      </c>
    </row>
    <row r="71" spans="1:11" ht="24" customHeight="1">
      <c r="A71" s="1" t="s">
        <v>445</v>
      </c>
      <c r="B71" s="1" t="s">
        <v>446</v>
      </c>
      <c r="C71" s="1">
        <v>2020</v>
      </c>
      <c r="D71" s="1" t="s">
        <v>447</v>
      </c>
      <c r="E71" s="1" t="s">
        <v>51</v>
      </c>
      <c r="F71" s="1" t="s">
        <v>52</v>
      </c>
      <c r="G71" s="1" t="s">
        <v>53</v>
      </c>
      <c r="H71" s="1" t="s">
        <v>216</v>
      </c>
      <c r="I71" s="1" t="s">
        <v>448</v>
      </c>
      <c r="J71" t="s">
        <v>4631</v>
      </c>
      <c r="K71" s="1" t="s">
        <v>449</v>
      </c>
    </row>
    <row r="72" spans="1:11" ht="36" customHeight="1">
      <c r="A72" s="1" t="s">
        <v>450</v>
      </c>
      <c r="B72" s="1" t="s">
        <v>451</v>
      </c>
      <c r="C72" s="1">
        <v>2018</v>
      </c>
      <c r="D72" s="1" t="s">
        <v>452</v>
      </c>
      <c r="E72" s="1" t="s">
        <v>51</v>
      </c>
      <c r="F72" s="1" t="s">
        <v>81</v>
      </c>
      <c r="G72" s="1" t="s">
        <v>82</v>
      </c>
      <c r="H72" s="1" t="s">
        <v>453</v>
      </c>
      <c r="I72" s="1" t="s">
        <v>454</v>
      </c>
      <c r="J72" t="s">
        <v>4631</v>
      </c>
      <c r="K72" s="1" t="s">
        <v>455</v>
      </c>
    </row>
    <row r="73" spans="1:11" ht="48" customHeight="1">
      <c r="A73" s="1" t="s">
        <v>456</v>
      </c>
      <c r="B73" s="1" t="s">
        <v>457</v>
      </c>
      <c r="C73" s="1">
        <v>2018</v>
      </c>
      <c r="D73" s="1" t="s">
        <v>458</v>
      </c>
      <c r="E73" s="1" t="s">
        <v>51</v>
      </c>
      <c r="F73" s="1" t="s">
        <v>52</v>
      </c>
      <c r="G73" s="1" t="s">
        <v>53</v>
      </c>
      <c r="H73" s="1" t="s">
        <v>459</v>
      </c>
      <c r="I73" s="1" t="s">
        <v>460</v>
      </c>
      <c r="J73" t="s">
        <v>4631</v>
      </c>
      <c r="K73" s="1" t="s">
        <v>461</v>
      </c>
    </row>
    <row r="74" spans="1:11" ht="24" customHeight="1">
      <c r="A74" s="1" t="s">
        <v>462</v>
      </c>
      <c r="B74" s="1" t="s">
        <v>463</v>
      </c>
      <c r="C74" s="1">
        <v>2023</v>
      </c>
      <c r="D74" s="1" t="s">
        <v>464</v>
      </c>
      <c r="E74" s="1" t="s">
        <v>51</v>
      </c>
      <c r="F74" s="1" t="s">
        <v>52</v>
      </c>
      <c r="G74" s="1" t="s">
        <v>53</v>
      </c>
      <c r="H74" s="1" t="s">
        <v>422</v>
      </c>
      <c r="I74" s="1" t="s">
        <v>465</v>
      </c>
      <c r="J74" t="s">
        <v>4631</v>
      </c>
      <c r="K74" s="1" t="s">
        <v>466</v>
      </c>
    </row>
    <row r="75" spans="1:11" ht="24" customHeight="1">
      <c r="A75" s="1" t="s">
        <v>467</v>
      </c>
      <c r="B75" s="1" t="s">
        <v>468</v>
      </c>
      <c r="C75" s="1">
        <v>2018</v>
      </c>
      <c r="D75" s="1" t="s">
        <v>469</v>
      </c>
      <c r="E75" s="1" t="s">
        <v>51</v>
      </c>
      <c r="F75" s="1" t="s">
        <v>81</v>
      </c>
      <c r="G75" s="1" t="s">
        <v>82</v>
      </c>
      <c r="H75" s="1" t="s">
        <v>205</v>
      </c>
      <c r="I75" s="1" t="s">
        <v>470</v>
      </c>
      <c r="J75" t="s">
        <v>4631</v>
      </c>
      <c r="K75" s="1" t="s">
        <v>471</v>
      </c>
    </row>
    <row r="76" spans="1:11" ht="24" customHeight="1">
      <c r="A76" s="1" t="s">
        <v>472</v>
      </c>
      <c r="B76" s="1" t="s">
        <v>473</v>
      </c>
      <c r="C76" s="1">
        <v>2018</v>
      </c>
      <c r="D76" s="1" t="s">
        <v>474</v>
      </c>
      <c r="E76" s="1" t="s">
        <v>51</v>
      </c>
      <c r="F76" s="1" t="s">
        <v>52</v>
      </c>
      <c r="G76" s="1" t="s">
        <v>53</v>
      </c>
      <c r="H76" s="1" t="s">
        <v>222</v>
      </c>
      <c r="I76" s="1" t="s">
        <v>475</v>
      </c>
      <c r="J76" t="s">
        <v>4631</v>
      </c>
      <c r="K76" s="1" t="s">
        <v>476</v>
      </c>
    </row>
    <row r="77" spans="1:11" ht="24" customHeight="1">
      <c r="A77" s="1" t="s">
        <v>477</v>
      </c>
      <c r="B77" s="1" t="s">
        <v>478</v>
      </c>
      <c r="C77" s="1">
        <v>2023</v>
      </c>
      <c r="D77" s="1" t="s">
        <v>479</v>
      </c>
      <c r="E77" s="1" t="s">
        <v>51</v>
      </c>
      <c r="F77" s="1" t="s">
        <v>81</v>
      </c>
      <c r="G77" s="1" t="s">
        <v>82</v>
      </c>
      <c r="H77" s="1" t="s">
        <v>205</v>
      </c>
      <c r="I77" s="1" t="s">
        <v>480</v>
      </c>
      <c r="J77" t="s">
        <v>4631</v>
      </c>
      <c r="K77" s="1" t="s">
        <v>481</v>
      </c>
    </row>
    <row r="78" spans="1:11" ht="48" customHeight="1">
      <c r="A78" s="1" t="s">
        <v>482</v>
      </c>
      <c r="B78" s="1" t="s">
        <v>483</v>
      </c>
      <c r="C78" s="1">
        <v>2025</v>
      </c>
      <c r="D78" s="1" t="s">
        <v>484</v>
      </c>
      <c r="E78" s="1" t="s">
        <v>51</v>
      </c>
      <c r="F78" s="1" t="s">
        <v>81</v>
      </c>
      <c r="G78" s="1" t="s">
        <v>82</v>
      </c>
      <c r="H78" s="1" t="s">
        <v>485</v>
      </c>
      <c r="I78" s="1" t="s">
        <v>486</v>
      </c>
      <c r="J78" t="s">
        <v>4631</v>
      </c>
      <c r="K78" s="1" t="s">
        <v>487</v>
      </c>
    </row>
    <row r="79" spans="1:11" ht="24" customHeight="1">
      <c r="A79" s="1" t="s">
        <v>488</v>
      </c>
      <c r="B79" s="1" t="s">
        <v>489</v>
      </c>
      <c r="C79" s="1">
        <v>2025</v>
      </c>
      <c r="D79" s="1" t="s">
        <v>490</v>
      </c>
      <c r="E79" s="1" t="s">
        <v>51</v>
      </c>
      <c r="F79" s="1" t="s">
        <v>191</v>
      </c>
      <c r="G79" s="1" t="s">
        <v>192</v>
      </c>
      <c r="H79" s="1" t="s">
        <v>205</v>
      </c>
      <c r="I79" s="1" t="s">
        <v>491</v>
      </c>
      <c r="J79" t="s">
        <v>4631</v>
      </c>
      <c r="K79" s="1" t="s">
        <v>492</v>
      </c>
    </row>
    <row r="80" spans="1:11" ht="36" customHeight="1">
      <c r="A80" s="1" t="s">
        <v>493</v>
      </c>
      <c r="B80" s="1" t="s">
        <v>494</v>
      </c>
      <c r="C80" s="1">
        <v>2025</v>
      </c>
      <c r="D80" s="1" t="s">
        <v>495</v>
      </c>
      <c r="E80" s="1" t="s">
        <v>51</v>
      </c>
      <c r="F80" s="1" t="s">
        <v>52</v>
      </c>
      <c r="G80" s="1" t="s">
        <v>53</v>
      </c>
      <c r="H80" s="1" t="s">
        <v>496</v>
      </c>
      <c r="I80" s="1" t="s">
        <v>497</v>
      </c>
      <c r="J80" t="s">
        <v>4631</v>
      </c>
      <c r="K80" s="1" t="s">
        <v>498</v>
      </c>
    </row>
    <row r="81" spans="1:11" ht="36" customHeight="1">
      <c r="A81" s="1" t="s">
        <v>499</v>
      </c>
      <c r="B81" s="1" t="s">
        <v>500</v>
      </c>
      <c r="C81" s="1">
        <v>2026</v>
      </c>
      <c r="D81" s="1" t="s">
        <v>501</v>
      </c>
      <c r="E81" s="1" t="s">
        <v>51</v>
      </c>
      <c r="F81" s="1" t="s">
        <v>52</v>
      </c>
      <c r="G81" s="1" t="s">
        <v>53</v>
      </c>
      <c r="H81" s="1" t="s">
        <v>502</v>
      </c>
      <c r="I81" s="1" t="s">
        <v>503</v>
      </c>
      <c r="J81" t="s">
        <v>4631</v>
      </c>
      <c r="K81" s="1" t="s">
        <v>504</v>
      </c>
    </row>
    <row r="82" spans="1:11" ht="24" customHeight="1">
      <c r="A82" s="1" t="s">
        <v>505</v>
      </c>
      <c r="B82" s="1" t="s">
        <v>506</v>
      </c>
      <c r="C82" s="1">
        <v>2024</v>
      </c>
      <c r="D82" s="1" t="s">
        <v>507</v>
      </c>
      <c r="E82" s="1" t="s">
        <v>51</v>
      </c>
      <c r="F82" s="1" t="s">
        <v>81</v>
      </c>
      <c r="G82" s="1" t="s">
        <v>82</v>
      </c>
      <c r="H82" s="1" t="s">
        <v>205</v>
      </c>
      <c r="I82" s="1" t="s">
        <v>508</v>
      </c>
      <c r="J82" t="s">
        <v>4631</v>
      </c>
      <c r="K82" s="1" t="s">
        <v>509</v>
      </c>
    </row>
    <row r="83" spans="1:11" ht="24" customHeight="1">
      <c r="A83" s="1" t="s">
        <v>510</v>
      </c>
      <c r="B83" s="1" t="s">
        <v>511</v>
      </c>
      <c r="C83" s="1">
        <v>2022</v>
      </c>
      <c r="D83" s="1" t="s">
        <v>512</v>
      </c>
      <c r="E83" s="1" t="s">
        <v>51</v>
      </c>
      <c r="F83" s="1" t="s">
        <v>81</v>
      </c>
      <c r="G83" s="1" t="s">
        <v>82</v>
      </c>
      <c r="H83" s="1" t="s">
        <v>205</v>
      </c>
      <c r="I83" s="1" t="s">
        <v>513</v>
      </c>
      <c r="J83" t="s">
        <v>4631</v>
      </c>
      <c r="K83" s="1" t="s">
        <v>514</v>
      </c>
    </row>
    <row r="84" spans="1:11" ht="48" customHeight="1">
      <c r="A84" s="1" t="s">
        <v>515</v>
      </c>
      <c r="B84" s="1" t="s">
        <v>516</v>
      </c>
      <c r="C84" s="1">
        <v>2023</v>
      </c>
      <c r="D84" s="1" t="s">
        <v>517</v>
      </c>
      <c r="E84" s="1" t="s">
        <v>51</v>
      </c>
      <c r="F84" s="1" t="s">
        <v>81</v>
      </c>
      <c r="G84" s="1" t="s">
        <v>82</v>
      </c>
      <c r="H84" s="1" t="s">
        <v>518</v>
      </c>
      <c r="I84" s="1" t="s">
        <v>519</v>
      </c>
      <c r="J84" t="s">
        <v>4631</v>
      </c>
      <c r="K84" s="1" t="s">
        <v>520</v>
      </c>
    </row>
    <row r="85" spans="1:11" ht="36" customHeight="1">
      <c r="A85" s="1" t="s">
        <v>521</v>
      </c>
      <c r="B85" s="1" t="s">
        <v>522</v>
      </c>
      <c r="C85" s="1">
        <v>2025</v>
      </c>
      <c r="D85" s="1" t="s">
        <v>523</v>
      </c>
      <c r="E85" s="1" t="s">
        <v>51</v>
      </c>
      <c r="F85" s="1" t="s">
        <v>73</v>
      </c>
      <c r="G85" s="1" t="s">
        <v>228</v>
      </c>
      <c r="H85" s="1" t="s">
        <v>524</v>
      </c>
      <c r="I85" s="1" t="s">
        <v>525</v>
      </c>
      <c r="J85" t="s">
        <v>4631</v>
      </c>
      <c r="K85" s="1" t="s">
        <v>526</v>
      </c>
    </row>
    <row r="86" spans="1:11" ht="24" customHeight="1">
      <c r="A86" s="1" t="s">
        <v>527</v>
      </c>
      <c r="B86" s="1" t="s">
        <v>528</v>
      </c>
      <c r="C86" s="1">
        <v>2024</v>
      </c>
      <c r="D86" s="1" t="s">
        <v>529</v>
      </c>
      <c r="E86" s="1" t="s">
        <v>51</v>
      </c>
      <c r="F86" s="1" t="s">
        <v>81</v>
      </c>
      <c r="G86" s="1" t="s">
        <v>82</v>
      </c>
      <c r="H86" s="1" t="s">
        <v>205</v>
      </c>
      <c r="I86" s="1" t="s">
        <v>530</v>
      </c>
      <c r="J86" t="s">
        <v>4631</v>
      </c>
      <c r="K86" s="1" t="s">
        <v>531</v>
      </c>
    </row>
    <row r="87" spans="1:11" ht="36" customHeight="1">
      <c r="A87" s="1" t="s">
        <v>532</v>
      </c>
      <c r="B87" s="1" t="s">
        <v>533</v>
      </c>
      <c r="C87" s="1">
        <v>2024</v>
      </c>
      <c r="D87" s="1" t="s">
        <v>534</v>
      </c>
      <c r="E87" s="1" t="s">
        <v>51</v>
      </c>
      <c r="F87" s="1" t="s">
        <v>81</v>
      </c>
      <c r="G87" s="1" t="s">
        <v>82</v>
      </c>
      <c r="H87" s="1" t="s">
        <v>216</v>
      </c>
      <c r="I87" s="1" t="s">
        <v>281</v>
      </c>
      <c r="J87" t="s">
        <v>4631</v>
      </c>
      <c r="K87" s="1" t="s">
        <v>535</v>
      </c>
    </row>
    <row r="88" spans="1:11" ht="48" customHeight="1">
      <c r="A88" s="1" t="s">
        <v>536</v>
      </c>
      <c r="B88" s="1" t="s">
        <v>537</v>
      </c>
      <c r="C88" s="1">
        <v>2021</v>
      </c>
      <c r="D88" s="1" t="s">
        <v>538</v>
      </c>
      <c r="E88" s="1" t="s">
        <v>51</v>
      </c>
      <c r="F88" s="1" t="s">
        <v>52</v>
      </c>
      <c r="G88" s="1" t="s">
        <v>53</v>
      </c>
      <c r="H88" s="1" t="s">
        <v>539</v>
      </c>
      <c r="I88" s="1" t="s">
        <v>540</v>
      </c>
      <c r="J88" t="s">
        <v>4631</v>
      </c>
      <c r="K88" s="1" t="s">
        <v>541</v>
      </c>
    </row>
    <row r="89" spans="1:11" ht="36" customHeight="1">
      <c r="A89" s="1" t="s">
        <v>542</v>
      </c>
      <c r="B89" s="1" t="s">
        <v>543</v>
      </c>
      <c r="C89" s="1">
        <v>2020</v>
      </c>
      <c r="D89" s="1" t="s">
        <v>544</v>
      </c>
      <c r="E89" s="1" t="s">
        <v>51</v>
      </c>
      <c r="F89" s="1" t="s">
        <v>52</v>
      </c>
      <c r="G89" s="1" t="s">
        <v>53</v>
      </c>
      <c r="H89" s="1" t="s">
        <v>205</v>
      </c>
      <c r="I89" s="1" t="s">
        <v>545</v>
      </c>
      <c r="J89" t="s">
        <v>4631</v>
      </c>
      <c r="K89" s="1" t="s">
        <v>546</v>
      </c>
    </row>
    <row r="90" spans="1:11" ht="36" customHeight="1">
      <c r="A90" s="1" t="s">
        <v>547</v>
      </c>
      <c r="B90" s="1" t="s">
        <v>548</v>
      </c>
      <c r="C90" s="1">
        <v>2019</v>
      </c>
      <c r="D90" s="1" t="s">
        <v>549</v>
      </c>
      <c r="E90" s="1" t="s">
        <v>51</v>
      </c>
      <c r="F90" s="1" t="s">
        <v>81</v>
      </c>
      <c r="G90" s="1" t="s">
        <v>82</v>
      </c>
      <c r="H90" s="1" t="s">
        <v>550</v>
      </c>
      <c r="I90" s="1" t="s">
        <v>551</v>
      </c>
      <c r="J90" t="s">
        <v>4631</v>
      </c>
      <c r="K90" s="1" t="s">
        <v>552</v>
      </c>
    </row>
    <row r="91" spans="1:11" ht="24" customHeight="1">
      <c r="A91" s="1" t="s">
        <v>553</v>
      </c>
      <c r="B91" s="1" t="s">
        <v>554</v>
      </c>
      <c r="C91" s="1">
        <v>2022</v>
      </c>
      <c r="D91" s="1" t="s">
        <v>555</v>
      </c>
      <c r="E91" s="1" t="s">
        <v>51</v>
      </c>
      <c r="F91" s="1" t="s">
        <v>73</v>
      </c>
      <c r="G91" s="1" t="s">
        <v>74</v>
      </c>
      <c r="H91" s="1" t="s">
        <v>205</v>
      </c>
      <c r="I91" s="1" t="s">
        <v>556</v>
      </c>
      <c r="J91" t="s">
        <v>4631</v>
      </c>
      <c r="K91" s="1" t="s">
        <v>557</v>
      </c>
    </row>
    <row r="92" spans="1:11" ht="48" customHeight="1">
      <c r="A92" s="1" t="s">
        <v>558</v>
      </c>
      <c r="B92" s="1" t="s">
        <v>559</v>
      </c>
      <c r="C92" s="1">
        <v>2020</v>
      </c>
      <c r="D92" s="1" t="s">
        <v>560</v>
      </c>
      <c r="E92" s="1" t="s">
        <v>51</v>
      </c>
      <c r="F92" s="1" t="s">
        <v>81</v>
      </c>
      <c r="G92" s="1" t="s">
        <v>82</v>
      </c>
      <c r="H92" s="1" t="s">
        <v>561</v>
      </c>
      <c r="I92" s="1" t="s">
        <v>562</v>
      </c>
      <c r="J92" t="s">
        <v>4631</v>
      </c>
      <c r="K92" s="1" t="s">
        <v>563</v>
      </c>
    </row>
    <row r="93" spans="1:11" ht="36" customHeight="1">
      <c r="A93" s="1" t="s">
        <v>564</v>
      </c>
      <c r="B93" s="1" t="s">
        <v>565</v>
      </c>
      <c r="C93" s="1">
        <v>2020</v>
      </c>
      <c r="D93" s="1" t="s">
        <v>566</v>
      </c>
      <c r="E93" s="1" t="s">
        <v>51</v>
      </c>
      <c r="F93" s="1" t="s">
        <v>52</v>
      </c>
      <c r="G93" s="1" t="s">
        <v>53</v>
      </c>
      <c r="H93" s="1" t="s">
        <v>567</v>
      </c>
      <c r="I93" s="1" t="s">
        <v>568</v>
      </c>
      <c r="J93" t="s">
        <v>4631</v>
      </c>
      <c r="K93" s="1" t="s">
        <v>569</v>
      </c>
    </row>
    <row r="94" spans="1:11" ht="24" customHeight="1">
      <c r="A94" s="1" t="s">
        <v>570</v>
      </c>
      <c r="B94" s="1" t="s">
        <v>571</v>
      </c>
      <c r="C94" s="1">
        <v>2020</v>
      </c>
      <c r="D94" s="1" t="s">
        <v>572</v>
      </c>
      <c r="E94" s="1" t="s">
        <v>51</v>
      </c>
      <c r="F94" s="1" t="s">
        <v>52</v>
      </c>
      <c r="G94" s="1" t="s">
        <v>53</v>
      </c>
      <c r="H94" s="1" t="s">
        <v>422</v>
      </c>
      <c r="I94" s="1" t="s">
        <v>573</v>
      </c>
      <c r="J94" t="s">
        <v>4631</v>
      </c>
      <c r="K94" s="1" t="s">
        <v>574</v>
      </c>
    </row>
    <row r="95" spans="1:11" ht="24" customHeight="1">
      <c r="A95" s="1" t="s">
        <v>575</v>
      </c>
      <c r="B95" s="1" t="s">
        <v>576</v>
      </c>
      <c r="C95" s="1">
        <v>2016</v>
      </c>
      <c r="D95" s="1" t="s">
        <v>577</v>
      </c>
      <c r="E95" s="1" t="s">
        <v>51</v>
      </c>
      <c r="F95" s="1" t="s">
        <v>52</v>
      </c>
      <c r="G95" s="1" t="s">
        <v>53</v>
      </c>
      <c r="H95" s="1" t="s">
        <v>205</v>
      </c>
      <c r="I95" s="1" t="s">
        <v>578</v>
      </c>
      <c r="J95" t="s">
        <v>4631</v>
      </c>
      <c r="K95" s="1" t="s">
        <v>579</v>
      </c>
    </row>
    <row r="96" spans="1:11" ht="24" customHeight="1">
      <c r="A96" s="1" t="s">
        <v>580</v>
      </c>
      <c r="B96" s="1" t="s">
        <v>581</v>
      </c>
      <c r="C96" s="1">
        <v>2018</v>
      </c>
      <c r="D96" s="1" t="s">
        <v>582</v>
      </c>
      <c r="E96" s="1" t="s">
        <v>51</v>
      </c>
      <c r="F96" s="1" t="s">
        <v>81</v>
      </c>
      <c r="G96" s="1" t="s">
        <v>82</v>
      </c>
      <c r="H96" s="1" t="s">
        <v>205</v>
      </c>
      <c r="I96" s="1" t="s">
        <v>583</v>
      </c>
      <c r="J96" t="s">
        <v>4631</v>
      </c>
      <c r="K96" s="1" t="s">
        <v>584</v>
      </c>
    </row>
    <row r="97" spans="1:11" ht="36" customHeight="1">
      <c r="A97" s="1" t="s">
        <v>585</v>
      </c>
      <c r="B97" s="1" t="s">
        <v>586</v>
      </c>
      <c r="C97" s="1">
        <v>2017</v>
      </c>
      <c r="D97" s="1" t="s">
        <v>587</v>
      </c>
      <c r="E97" s="1" t="s">
        <v>51</v>
      </c>
      <c r="F97" s="1" t="s">
        <v>52</v>
      </c>
      <c r="G97" s="1" t="s">
        <v>53</v>
      </c>
      <c r="H97" s="1" t="s">
        <v>588</v>
      </c>
      <c r="I97" s="1" t="s">
        <v>589</v>
      </c>
      <c r="J97" t="s">
        <v>4631</v>
      </c>
      <c r="K97" s="1" t="s">
        <v>590</v>
      </c>
    </row>
    <row r="98" spans="1:11" ht="36" customHeight="1">
      <c r="A98" s="1" t="s">
        <v>591</v>
      </c>
      <c r="B98" s="1" t="s">
        <v>592</v>
      </c>
      <c r="C98" s="1">
        <v>2024</v>
      </c>
      <c r="D98" s="1" t="s">
        <v>593</v>
      </c>
      <c r="E98" s="1" t="s">
        <v>51</v>
      </c>
      <c r="F98" s="1" t="s">
        <v>81</v>
      </c>
      <c r="G98" s="1" t="s">
        <v>82</v>
      </c>
      <c r="H98" s="1" t="s">
        <v>594</v>
      </c>
      <c r="I98" s="1" t="s">
        <v>595</v>
      </c>
      <c r="J98" t="s">
        <v>4631</v>
      </c>
      <c r="K98" s="1" t="s">
        <v>596</v>
      </c>
    </row>
    <row r="99" spans="1:11" ht="36" customHeight="1">
      <c r="A99" s="1" t="s">
        <v>597</v>
      </c>
      <c r="B99" s="1" t="s">
        <v>598</v>
      </c>
      <c r="C99" s="1">
        <v>2023</v>
      </c>
      <c r="D99" s="1" t="s">
        <v>599</v>
      </c>
      <c r="E99" s="1" t="s">
        <v>51</v>
      </c>
      <c r="F99" s="1" t="s">
        <v>81</v>
      </c>
      <c r="G99" s="1" t="s">
        <v>82</v>
      </c>
      <c r="H99" s="1" t="s">
        <v>600</v>
      </c>
      <c r="I99" s="1" t="s">
        <v>601</v>
      </c>
      <c r="J99" t="s">
        <v>4631</v>
      </c>
      <c r="K99" s="1" t="s">
        <v>602</v>
      </c>
    </row>
    <row r="100" spans="1:11" ht="36" customHeight="1">
      <c r="A100" s="1" t="s">
        <v>603</v>
      </c>
      <c r="B100" s="1" t="s">
        <v>604</v>
      </c>
      <c r="C100" s="1">
        <v>2024</v>
      </c>
      <c r="D100" s="1" t="s">
        <v>605</v>
      </c>
      <c r="E100" s="1" t="s">
        <v>51</v>
      </c>
      <c r="F100" s="1" t="s">
        <v>81</v>
      </c>
      <c r="G100" s="1" t="s">
        <v>82</v>
      </c>
      <c r="H100" s="1" t="s">
        <v>606</v>
      </c>
      <c r="I100" s="1" t="s">
        <v>607</v>
      </c>
      <c r="J100" t="s">
        <v>4631</v>
      </c>
      <c r="K100" s="1" t="s">
        <v>608</v>
      </c>
    </row>
    <row r="101" spans="1:11" ht="24" customHeight="1">
      <c r="A101" s="1" t="s">
        <v>609</v>
      </c>
      <c r="B101" s="1" t="s">
        <v>610</v>
      </c>
      <c r="C101" s="1">
        <v>2020</v>
      </c>
      <c r="D101" s="1" t="s">
        <v>611</v>
      </c>
      <c r="E101" s="1" t="s">
        <v>51</v>
      </c>
      <c r="F101" s="1" t="s">
        <v>191</v>
      </c>
      <c r="G101" s="1" t="s">
        <v>612</v>
      </c>
      <c r="H101" s="1" t="s">
        <v>613</v>
      </c>
      <c r="I101" s="1" t="s">
        <v>614</v>
      </c>
      <c r="J101" t="s">
        <v>4631</v>
      </c>
      <c r="K101" s="1" t="s">
        <v>615</v>
      </c>
    </row>
    <row r="102" spans="1:11" ht="48" customHeight="1">
      <c r="A102" s="1" t="s">
        <v>616</v>
      </c>
      <c r="B102" s="1" t="s">
        <v>617</v>
      </c>
      <c r="C102" s="1">
        <v>2018</v>
      </c>
      <c r="D102" s="1" t="s">
        <v>618</v>
      </c>
      <c r="E102" s="1" t="s">
        <v>51</v>
      </c>
      <c r="F102" s="1" t="s">
        <v>619</v>
      </c>
      <c r="G102" s="1" t="s">
        <v>620</v>
      </c>
      <c r="H102" s="1" t="s">
        <v>621</v>
      </c>
      <c r="I102" s="1" t="s">
        <v>622</v>
      </c>
      <c r="J102" t="s">
        <v>4631</v>
      </c>
      <c r="K102" s="1" t="s">
        <v>623</v>
      </c>
    </row>
    <row r="103" spans="1:11" ht="24" customHeight="1">
      <c r="A103" s="1" t="s">
        <v>624</v>
      </c>
      <c r="B103" s="1" t="s">
        <v>625</v>
      </c>
      <c r="C103" s="1">
        <v>2017</v>
      </c>
      <c r="D103" s="1" t="s">
        <v>626</v>
      </c>
      <c r="E103" s="1" t="s">
        <v>51</v>
      </c>
      <c r="F103" s="1" t="s">
        <v>81</v>
      </c>
      <c r="G103" s="1" t="s">
        <v>82</v>
      </c>
      <c r="H103" s="1" t="s">
        <v>627</v>
      </c>
      <c r="I103" s="1" t="s">
        <v>628</v>
      </c>
      <c r="J103" t="s">
        <v>4631</v>
      </c>
      <c r="K103" s="1" t="s">
        <v>629</v>
      </c>
    </row>
    <row r="104" spans="1:11" ht="24" customHeight="1">
      <c r="A104" s="1" t="s">
        <v>630</v>
      </c>
      <c r="B104" s="1" t="s">
        <v>631</v>
      </c>
      <c r="C104" s="1">
        <v>2023</v>
      </c>
      <c r="D104" s="1" t="s">
        <v>632</v>
      </c>
      <c r="E104" s="1" t="s">
        <v>51</v>
      </c>
      <c r="F104" s="1" t="s">
        <v>81</v>
      </c>
      <c r="G104" s="1" t="s">
        <v>82</v>
      </c>
      <c r="H104" s="1" t="s">
        <v>633</v>
      </c>
      <c r="I104" s="1" t="s">
        <v>634</v>
      </c>
      <c r="J104" t="s">
        <v>4631</v>
      </c>
      <c r="K104" s="1" t="s">
        <v>635</v>
      </c>
    </row>
    <row r="105" spans="1:11" ht="36" customHeight="1">
      <c r="A105" s="1" t="s">
        <v>636</v>
      </c>
      <c r="B105" s="1" t="s">
        <v>637</v>
      </c>
      <c r="C105" s="1">
        <v>2023</v>
      </c>
      <c r="D105" s="1" t="s">
        <v>638</v>
      </c>
      <c r="E105" s="1" t="s">
        <v>51</v>
      </c>
      <c r="F105" s="1" t="s">
        <v>52</v>
      </c>
      <c r="G105" s="1" t="s">
        <v>639</v>
      </c>
      <c r="H105" s="1" t="s">
        <v>640</v>
      </c>
      <c r="I105" s="1" t="s">
        <v>641</v>
      </c>
      <c r="J105" t="s">
        <v>4631</v>
      </c>
      <c r="K105" s="1" t="s">
        <v>642</v>
      </c>
    </row>
    <row r="106" spans="1:11" ht="24" customHeight="1">
      <c r="A106" s="1" t="s">
        <v>643</v>
      </c>
      <c r="B106" s="1" t="s">
        <v>644</v>
      </c>
      <c r="C106" s="1">
        <v>2021</v>
      </c>
      <c r="D106" s="1" t="s">
        <v>645</v>
      </c>
      <c r="E106" s="1" t="s">
        <v>51</v>
      </c>
      <c r="F106" s="1" t="s">
        <v>81</v>
      </c>
      <c r="G106" s="1" t="s">
        <v>82</v>
      </c>
      <c r="H106" s="1" t="s">
        <v>646</v>
      </c>
      <c r="I106" s="1" t="s">
        <v>647</v>
      </c>
      <c r="J106" t="s">
        <v>4631</v>
      </c>
      <c r="K106" s="1" t="s">
        <v>648</v>
      </c>
    </row>
    <row r="107" spans="1:11" ht="24" customHeight="1">
      <c r="A107" s="1" t="s">
        <v>649</v>
      </c>
      <c r="B107" s="1" t="s">
        <v>650</v>
      </c>
      <c r="C107" s="1">
        <v>2024</v>
      </c>
      <c r="D107" s="1" t="s">
        <v>651</v>
      </c>
      <c r="E107" s="1" t="s">
        <v>51</v>
      </c>
      <c r="F107" s="1" t="s">
        <v>52</v>
      </c>
      <c r="G107" s="1" t="s">
        <v>639</v>
      </c>
      <c r="H107" s="1" t="s">
        <v>652</v>
      </c>
      <c r="I107" s="1" t="s">
        <v>653</v>
      </c>
      <c r="J107" t="s">
        <v>4631</v>
      </c>
      <c r="K107" s="1" t="s">
        <v>654</v>
      </c>
    </row>
    <row r="108" spans="1:11" ht="24" customHeight="1">
      <c r="A108" s="1" t="s">
        <v>655</v>
      </c>
      <c r="B108" s="1" t="s">
        <v>656</v>
      </c>
      <c r="C108" s="1">
        <v>2020</v>
      </c>
      <c r="D108" s="1" t="s">
        <v>657</v>
      </c>
      <c r="E108" s="1" t="s">
        <v>51</v>
      </c>
      <c r="F108" s="1" t="s">
        <v>52</v>
      </c>
      <c r="G108" s="1" t="s">
        <v>639</v>
      </c>
      <c r="H108" s="1" t="s">
        <v>658</v>
      </c>
      <c r="I108" s="1" t="s">
        <v>659</v>
      </c>
      <c r="J108" t="s">
        <v>4631</v>
      </c>
      <c r="K108" s="1" t="s">
        <v>660</v>
      </c>
    </row>
    <row r="109" spans="1:11" ht="36" customHeight="1">
      <c r="A109" s="1" t="s">
        <v>661</v>
      </c>
      <c r="B109" s="1" t="s">
        <v>662</v>
      </c>
      <c r="C109" s="1">
        <v>2026</v>
      </c>
      <c r="D109" s="1" t="s">
        <v>663</v>
      </c>
      <c r="E109" s="1" t="s">
        <v>51</v>
      </c>
      <c r="F109" s="1" t="s">
        <v>81</v>
      </c>
      <c r="G109" s="1" t="s">
        <v>82</v>
      </c>
      <c r="H109" s="1" t="s">
        <v>664</v>
      </c>
      <c r="I109" s="1" t="s">
        <v>665</v>
      </c>
      <c r="J109" t="s">
        <v>4631</v>
      </c>
      <c r="K109" s="1" t="s">
        <v>666</v>
      </c>
    </row>
    <row r="110" spans="1:11" ht="36" customHeight="1">
      <c r="A110" s="1" t="s">
        <v>667</v>
      </c>
      <c r="B110" s="1" t="s">
        <v>668</v>
      </c>
      <c r="C110" s="1">
        <v>2019</v>
      </c>
      <c r="D110" s="1" t="s">
        <v>669</v>
      </c>
      <c r="E110" s="1" t="s">
        <v>51</v>
      </c>
      <c r="F110" s="1" t="s">
        <v>52</v>
      </c>
      <c r="G110" s="1" t="s">
        <v>639</v>
      </c>
      <c r="H110" s="1" t="s">
        <v>670</v>
      </c>
      <c r="I110" s="1" t="s">
        <v>671</v>
      </c>
      <c r="J110" t="s">
        <v>4631</v>
      </c>
      <c r="K110" s="1" t="s">
        <v>672</v>
      </c>
    </row>
    <row r="111" spans="1:11" ht="24" customHeight="1">
      <c r="A111" s="1" t="s">
        <v>673</v>
      </c>
      <c r="B111" s="1" t="s">
        <v>674</v>
      </c>
      <c r="C111" s="1">
        <v>2017</v>
      </c>
      <c r="D111" s="1" t="s">
        <v>675</v>
      </c>
      <c r="E111" s="1" t="s">
        <v>51</v>
      </c>
      <c r="F111" s="1" t="s">
        <v>81</v>
      </c>
      <c r="G111" s="1" t="s">
        <v>82</v>
      </c>
      <c r="H111" s="1" t="s">
        <v>676</v>
      </c>
      <c r="I111" s="1" t="s">
        <v>677</v>
      </c>
      <c r="J111" t="s">
        <v>4631</v>
      </c>
      <c r="K111" s="1" t="s">
        <v>678</v>
      </c>
    </row>
    <row r="112" spans="1:11" ht="24" customHeight="1">
      <c r="A112" s="1" t="s">
        <v>679</v>
      </c>
      <c r="B112" s="1" t="s">
        <v>680</v>
      </c>
      <c r="C112" s="1">
        <v>2025</v>
      </c>
      <c r="D112" s="1" t="s">
        <v>681</v>
      </c>
      <c r="E112" s="1" t="s">
        <v>51</v>
      </c>
      <c r="F112" s="1" t="s">
        <v>81</v>
      </c>
      <c r="G112" s="1" t="s">
        <v>82</v>
      </c>
      <c r="H112" s="1" t="s">
        <v>682</v>
      </c>
      <c r="I112" s="1" t="s">
        <v>683</v>
      </c>
      <c r="J112" t="s">
        <v>4631</v>
      </c>
      <c r="K112" s="1" t="s">
        <v>684</v>
      </c>
    </row>
    <row r="113" spans="1:11" ht="24" customHeight="1">
      <c r="A113" s="1" t="s">
        <v>685</v>
      </c>
      <c r="B113" s="1" t="s">
        <v>686</v>
      </c>
      <c r="C113" s="1">
        <v>2023</v>
      </c>
      <c r="D113" s="1" t="s">
        <v>687</v>
      </c>
      <c r="E113" s="1" t="s">
        <v>51</v>
      </c>
      <c r="F113" s="1" t="s">
        <v>52</v>
      </c>
      <c r="G113" s="1" t="s">
        <v>639</v>
      </c>
      <c r="H113" s="1" t="s">
        <v>688</v>
      </c>
      <c r="I113" s="1" t="s">
        <v>689</v>
      </c>
      <c r="J113" t="s">
        <v>4631</v>
      </c>
      <c r="K113" s="1" t="s">
        <v>690</v>
      </c>
    </row>
    <row r="114" spans="1:11" ht="24" customHeight="1">
      <c r="A114" s="1" t="s">
        <v>691</v>
      </c>
      <c r="B114" s="1" t="s">
        <v>692</v>
      </c>
      <c r="C114" s="1">
        <v>2024</v>
      </c>
      <c r="D114" s="1" t="s">
        <v>693</v>
      </c>
      <c r="E114" s="1" t="s">
        <v>51</v>
      </c>
      <c r="F114" s="1" t="s">
        <v>52</v>
      </c>
      <c r="G114" s="1" t="s">
        <v>639</v>
      </c>
      <c r="H114" s="1" t="s">
        <v>694</v>
      </c>
      <c r="I114" s="1" t="s">
        <v>695</v>
      </c>
      <c r="J114" t="s">
        <v>4631</v>
      </c>
      <c r="K114" s="1" t="s">
        <v>696</v>
      </c>
    </row>
    <row r="115" spans="1:11" ht="24" customHeight="1">
      <c r="A115" s="1" t="s">
        <v>697</v>
      </c>
      <c r="B115" s="1" t="s">
        <v>698</v>
      </c>
      <c r="C115" s="1">
        <v>2022</v>
      </c>
      <c r="D115" s="1" t="s">
        <v>699</v>
      </c>
      <c r="E115" s="1" t="s">
        <v>51</v>
      </c>
      <c r="F115" s="1" t="s">
        <v>52</v>
      </c>
      <c r="G115" s="1" t="s">
        <v>639</v>
      </c>
      <c r="H115" s="1" t="s">
        <v>700</v>
      </c>
      <c r="I115" s="1" t="s">
        <v>701</v>
      </c>
      <c r="J115" t="s">
        <v>4631</v>
      </c>
      <c r="K115" s="1" t="s">
        <v>702</v>
      </c>
    </row>
    <row r="116" spans="1:11" ht="36" customHeight="1">
      <c r="A116" s="1" t="s">
        <v>703</v>
      </c>
      <c r="B116" s="1" t="s">
        <v>704</v>
      </c>
      <c r="C116" s="1">
        <v>2019</v>
      </c>
      <c r="D116" s="1" t="s">
        <v>705</v>
      </c>
      <c r="E116" s="1" t="s">
        <v>51</v>
      </c>
      <c r="F116" s="1" t="s">
        <v>81</v>
      </c>
      <c r="G116" s="1" t="s">
        <v>82</v>
      </c>
      <c r="H116" s="1" t="s">
        <v>706</v>
      </c>
      <c r="I116" s="1" t="s">
        <v>707</v>
      </c>
      <c r="J116" t="s">
        <v>4631</v>
      </c>
      <c r="K116" s="1" t="s">
        <v>708</v>
      </c>
    </row>
    <row r="117" spans="1:11" ht="24" customHeight="1">
      <c r="A117" s="1" t="s">
        <v>709</v>
      </c>
      <c r="B117" s="1" t="s">
        <v>710</v>
      </c>
      <c r="C117" s="1">
        <v>2020</v>
      </c>
      <c r="D117" s="1" t="s">
        <v>711</v>
      </c>
      <c r="E117" s="1" t="s">
        <v>51</v>
      </c>
      <c r="F117" s="1" t="s">
        <v>52</v>
      </c>
      <c r="G117" s="1" t="s">
        <v>639</v>
      </c>
      <c r="H117" s="1" t="s">
        <v>712</v>
      </c>
      <c r="I117" s="1" t="s">
        <v>713</v>
      </c>
      <c r="J117" t="s">
        <v>4631</v>
      </c>
      <c r="K117" s="1" t="s">
        <v>714</v>
      </c>
    </row>
    <row r="118" spans="1:11" ht="24" customHeight="1">
      <c r="A118" s="1" t="s">
        <v>715</v>
      </c>
      <c r="B118" s="1" t="s">
        <v>716</v>
      </c>
      <c r="C118" s="1">
        <v>2025</v>
      </c>
      <c r="D118" s="1" t="s">
        <v>717</v>
      </c>
      <c r="E118" s="1" t="s">
        <v>51</v>
      </c>
      <c r="F118" s="1" t="s">
        <v>52</v>
      </c>
      <c r="G118" s="1" t="s">
        <v>639</v>
      </c>
      <c r="H118" s="1" t="s">
        <v>718</v>
      </c>
      <c r="I118" s="1" t="s">
        <v>719</v>
      </c>
      <c r="J118" t="s">
        <v>4631</v>
      </c>
      <c r="K118" s="1" t="s">
        <v>720</v>
      </c>
    </row>
    <row r="119" spans="1:11" ht="24" customHeight="1">
      <c r="A119" s="1" t="s">
        <v>721</v>
      </c>
      <c r="B119" s="1" t="s">
        <v>722</v>
      </c>
      <c r="C119" s="1">
        <v>2023</v>
      </c>
      <c r="D119" s="1" t="s">
        <v>723</v>
      </c>
      <c r="E119" s="1" t="s">
        <v>51</v>
      </c>
      <c r="F119" s="1" t="s">
        <v>81</v>
      </c>
      <c r="G119" s="1" t="s">
        <v>82</v>
      </c>
      <c r="H119" s="1" t="s">
        <v>724</v>
      </c>
      <c r="I119" s="1" t="s">
        <v>725</v>
      </c>
      <c r="J119" t="s">
        <v>4631</v>
      </c>
      <c r="K119" s="1" t="s">
        <v>726</v>
      </c>
    </row>
    <row r="120" spans="1:11" ht="24" customHeight="1">
      <c r="A120" s="1" t="s">
        <v>727</v>
      </c>
      <c r="B120" s="1" t="s">
        <v>728</v>
      </c>
      <c r="C120" s="1">
        <v>2020</v>
      </c>
      <c r="D120" s="1" t="s">
        <v>729</v>
      </c>
      <c r="E120" s="1" t="s">
        <v>51</v>
      </c>
      <c r="F120" s="1" t="s">
        <v>52</v>
      </c>
      <c r="G120" s="1" t="s">
        <v>639</v>
      </c>
      <c r="H120" s="1" t="s">
        <v>730</v>
      </c>
      <c r="I120" s="1" t="s">
        <v>731</v>
      </c>
      <c r="J120" t="s">
        <v>4631</v>
      </c>
      <c r="K120" s="1" t="s">
        <v>732</v>
      </c>
    </row>
    <row r="121" spans="1:11" ht="24" customHeight="1">
      <c r="A121" s="1" t="s">
        <v>733</v>
      </c>
      <c r="B121" s="1" t="s">
        <v>734</v>
      </c>
      <c r="C121" s="1">
        <v>2021</v>
      </c>
      <c r="D121" s="1" t="s">
        <v>735</v>
      </c>
      <c r="E121" s="1" t="s">
        <v>51</v>
      </c>
      <c r="F121" s="1" t="s">
        <v>81</v>
      </c>
      <c r="G121" s="1" t="s">
        <v>82</v>
      </c>
      <c r="H121" s="1" t="s">
        <v>736</v>
      </c>
      <c r="I121" s="1" t="s">
        <v>737</v>
      </c>
      <c r="J121" t="s">
        <v>4631</v>
      </c>
      <c r="K121" s="1" t="s">
        <v>738</v>
      </c>
    </row>
    <row r="122" spans="1:11" ht="24" customHeight="1">
      <c r="A122" s="1" t="s">
        <v>739</v>
      </c>
      <c r="B122" s="1" t="s">
        <v>740</v>
      </c>
      <c r="C122" s="1">
        <v>2026</v>
      </c>
      <c r="D122" s="1" t="s">
        <v>741</v>
      </c>
      <c r="E122" s="1" t="s">
        <v>51</v>
      </c>
      <c r="F122" s="1" t="s">
        <v>81</v>
      </c>
      <c r="G122" s="1" t="s">
        <v>82</v>
      </c>
      <c r="H122" s="1" t="s">
        <v>742</v>
      </c>
      <c r="I122" s="1" t="s">
        <v>743</v>
      </c>
      <c r="J122" t="s">
        <v>4631</v>
      </c>
      <c r="K122" s="1" t="s">
        <v>744</v>
      </c>
    </row>
    <row r="123" spans="1:11" ht="24" customHeight="1">
      <c r="A123" s="1" t="s">
        <v>745</v>
      </c>
      <c r="B123" s="1" t="s">
        <v>746</v>
      </c>
      <c r="C123" s="1">
        <v>2024</v>
      </c>
      <c r="D123" s="1" t="s">
        <v>747</v>
      </c>
      <c r="E123" s="1" t="s">
        <v>51</v>
      </c>
      <c r="F123" s="1" t="s">
        <v>52</v>
      </c>
      <c r="G123" s="1" t="s">
        <v>639</v>
      </c>
      <c r="H123" s="1" t="s">
        <v>748</v>
      </c>
      <c r="I123" s="1" t="s">
        <v>749</v>
      </c>
      <c r="J123" t="s">
        <v>4631</v>
      </c>
      <c r="K123" s="1" t="s">
        <v>750</v>
      </c>
    </row>
    <row r="124" spans="1:11" ht="24" customHeight="1">
      <c r="A124" s="1" t="s">
        <v>751</v>
      </c>
      <c r="B124" s="1" t="s">
        <v>752</v>
      </c>
      <c r="C124" s="1">
        <v>2023</v>
      </c>
      <c r="D124" s="1" t="s">
        <v>753</v>
      </c>
      <c r="E124" s="1" t="s">
        <v>51</v>
      </c>
      <c r="F124" s="1" t="s">
        <v>52</v>
      </c>
      <c r="G124" s="1" t="s">
        <v>639</v>
      </c>
      <c r="H124" s="1" t="s">
        <v>754</v>
      </c>
      <c r="I124" s="1" t="s">
        <v>755</v>
      </c>
      <c r="J124" t="s">
        <v>4631</v>
      </c>
      <c r="K124" s="1" t="s">
        <v>756</v>
      </c>
    </row>
    <row r="125" spans="1:11" ht="24" customHeight="1">
      <c r="A125" s="1" t="s">
        <v>757</v>
      </c>
      <c r="B125" s="1" t="s">
        <v>758</v>
      </c>
      <c r="C125" s="1">
        <v>2024</v>
      </c>
      <c r="D125" s="1" t="s">
        <v>759</v>
      </c>
      <c r="E125" s="1" t="s">
        <v>51</v>
      </c>
      <c r="F125" s="1" t="s">
        <v>52</v>
      </c>
      <c r="G125" s="1" t="s">
        <v>639</v>
      </c>
      <c r="H125" s="1" t="s">
        <v>760</v>
      </c>
      <c r="I125" s="1" t="s">
        <v>761</v>
      </c>
      <c r="J125" t="s">
        <v>4631</v>
      </c>
      <c r="K125" s="1" t="s">
        <v>762</v>
      </c>
    </row>
    <row r="126" spans="1:11" ht="24" customHeight="1">
      <c r="A126" s="1" t="s">
        <v>763</v>
      </c>
      <c r="B126" s="1" t="s">
        <v>764</v>
      </c>
      <c r="C126" s="1">
        <v>2021</v>
      </c>
      <c r="D126" s="1" t="s">
        <v>765</v>
      </c>
      <c r="E126" s="1" t="s">
        <v>51</v>
      </c>
      <c r="F126" s="1" t="s">
        <v>81</v>
      </c>
      <c r="G126" s="1" t="s">
        <v>82</v>
      </c>
      <c r="H126" s="1" t="s">
        <v>766</v>
      </c>
      <c r="I126" s="1" t="s">
        <v>767</v>
      </c>
      <c r="J126" t="s">
        <v>4631</v>
      </c>
      <c r="K126" s="1" t="s">
        <v>768</v>
      </c>
    </row>
    <row r="127" spans="1:11" ht="36" customHeight="1">
      <c r="A127" s="1" t="s">
        <v>769</v>
      </c>
      <c r="B127" s="1" t="s">
        <v>770</v>
      </c>
      <c r="C127" s="1">
        <v>2015</v>
      </c>
      <c r="D127" s="1" t="s">
        <v>771</v>
      </c>
      <c r="E127" s="1" t="s">
        <v>51</v>
      </c>
      <c r="F127" s="1" t="s">
        <v>52</v>
      </c>
      <c r="G127" s="1" t="s">
        <v>639</v>
      </c>
      <c r="H127" s="1" t="s">
        <v>772</v>
      </c>
      <c r="I127" s="1" t="s">
        <v>773</v>
      </c>
      <c r="J127" t="s">
        <v>4631</v>
      </c>
      <c r="K127" s="1" t="s">
        <v>774</v>
      </c>
    </row>
    <row r="128" spans="1:11" ht="24" customHeight="1">
      <c r="A128" s="1" t="s">
        <v>775</v>
      </c>
      <c r="B128" s="1" t="s">
        <v>776</v>
      </c>
      <c r="C128" s="1">
        <v>2026</v>
      </c>
      <c r="D128" s="1" t="s">
        <v>777</v>
      </c>
      <c r="E128" s="1" t="s">
        <v>51</v>
      </c>
      <c r="F128" s="1" t="s">
        <v>52</v>
      </c>
      <c r="G128" s="1" t="s">
        <v>639</v>
      </c>
      <c r="H128" s="1" t="s">
        <v>778</v>
      </c>
      <c r="I128" s="1" t="s">
        <v>779</v>
      </c>
      <c r="J128" t="s">
        <v>4631</v>
      </c>
      <c r="K128" s="1" t="s">
        <v>780</v>
      </c>
    </row>
    <row r="129" spans="1:11" ht="24" customHeight="1">
      <c r="A129" s="1" t="s">
        <v>781</v>
      </c>
      <c r="B129" s="1" t="s">
        <v>782</v>
      </c>
      <c r="C129" s="1">
        <v>2025</v>
      </c>
      <c r="D129" s="1" t="s">
        <v>783</v>
      </c>
      <c r="E129" s="1" t="s">
        <v>51</v>
      </c>
      <c r="F129" s="1" t="s">
        <v>52</v>
      </c>
      <c r="G129" s="1" t="s">
        <v>639</v>
      </c>
      <c r="H129" s="1" t="s">
        <v>784</v>
      </c>
      <c r="I129" s="1" t="s">
        <v>785</v>
      </c>
      <c r="J129" t="s">
        <v>4631</v>
      </c>
      <c r="K129" s="1" t="s">
        <v>786</v>
      </c>
    </row>
    <row r="130" spans="1:11" ht="24" customHeight="1">
      <c r="A130" s="1" t="s">
        <v>787</v>
      </c>
      <c r="B130" s="1" t="s">
        <v>788</v>
      </c>
      <c r="C130" s="1">
        <v>2025</v>
      </c>
      <c r="D130" s="1" t="s">
        <v>789</v>
      </c>
      <c r="E130" s="1" t="s">
        <v>51</v>
      </c>
      <c r="F130" s="1" t="s">
        <v>52</v>
      </c>
      <c r="G130" s="1" t="s">
        <v>639</v>
      </c>
      <c r="H130" s="1" t="s">
        <v>790</v>
      </c>
      <c r="I130" s="1" t="s">
        <v>791</v>
      </c>
      <c r="J130" t="s">
        <v>4631</v>
      </c>
      <c r="K130" s="1" t="s">
        <v>792</v>
      </c>
    </row>
    <row r="131" spans="1:11" ht="24" customHeight="1">
      <c r="A131" s="1" t="s">
        <v>793</v>
      </c>
      <c r="B131" s="1" t="s">
        <v>794</v>
      </c>
      <c r="C131" s="1">
        <v>2021</v>
      </c>
      <c r="D131" s="1" t="s">
        <v>795</v>
      </c>
      <c r="E131" s="1" t="s">
        <v>51</v>
      </c>
      <c r="F131" s="1" t="s">
        <v>52</v>
      </c>
      <c r="G131" s="1" t="s">
        <v>639</v>
      </c>
      <c r="H131" s="1" t="s">
        <v>796</v>
      </c>
      <c r="I131" s="1" t="s">
        <v>797</v>
      </c>
      <c r="J131" t="s">
        <v>4631</v>
      </c>
      <c r="K131" s="1" t="s">
        <v>798</v>
      </c>
    </row>
    <row r="132" spans="1:11" ht="36" customHeight="1">
      <c r="A132" s="1" t="s">
        <v>799</v>
      </c>
      <c r="B132" s="1" t="s">
        <v>800</v>
      </c>
      <c r="C132" s="1">
        <v>2026</v>
      </c>
      <c r="D132" s="1" t="s">
        <v>801</v>
      </c>
      <c r="E132" s="1" t="s">
        <v>51</v>
      </c>
      <c r="F132" s="1" t="s">
        <v>52</v>
      </c>
      <c r="G132" s="1" t="s">
        <v>639</v>
      </c>
      <c r="H132" s="1" t="s">
        <v>802</v>
      </c>
      <c r="I132" s="1" t="s">
        <v>803</v>
      </c>
      <c r="J132" t="s">
        <v>4631</v>
      </c>
      <c r="K132" s="1" t="s">
        <v>804</v>
      </c>
    </row>
    <row r="133" spans="1:11" ht="24" customHeight="1">
      <c r="A133" s="1" t="s">
        <v>805</v>
      </c>
      <c r="B133" s="1" t="s">
        <v>806</v>
      </c>
      <c r="C133" s="1">
        <v>2026</v>
      </c>
      <c r="D133" s="1" t="s">
        <v>807</v>
      </c>
      <c r="E133" s="1" t="s">
        <v>51</v>
      </c>
      <c r="F133" s="1" t="s">
        <v>52</v>
      </c>
      <c r="G133" s="1" t="s">
        <v>639</v>
      </c>
      <c r="H133" s="1" t="s">
        <v>808</v>
      </c>
      <c r="I133" s="1" t="s">
        <v>809</v>
      </c>
      <c r="J133" t="s">
        <v>4631</v>
      </c>
      <c r="K133" s="1" t="s">
        <v>810</v>
      </c>
    </row>
    <row r="134" spans="1:11" ht="24" customHeight="1">
      <c r="A134" s="1" t="s">
        <v>811</v>
      </c>
      <c r="B134" s="1" t="s">
        <v>812</v>
      </c>
      <c r="C134" s="1">
        <v>2025</v>
      </c>
      <c r="D134" s="1" t="s">
        <v>813</v>
      </c>
      <c r="E134" s="1" t="s">
        <v>51</v>
      </c>
      <c r="F134" s="1" t="s">
        <v>52</v>
      </c>
      <c r="G134" s="1" t="s">
        <v>639</v>
      </c>
      <c r="H134" s="1" t="s">
        <v>814</v>
      </c>
      <c r="I134" s="1" t="s">
        <v>815</v>
      </c>
      <c r="J134" t="s">
        <v>4631</v>
      </c>
      <c r="K134" s="1" t="s">
        <v>816</v>
      </c>
    </row>
    <row r="135" spans="1:11" ht="24" customHeight="1">
      <c r="A135" s="1" t="s">
        <v>817</v>
      </c>
      <c r="B135" s="1" t="s">
        <v>818</v>
      </c>
      <c r="C135" s="1">
        <v>2025</v>
      </c>
      <c r="D135" s="1" t="s">
        <v>819</v>
      </c>
      <c r="E135" s="1" t="s">
        <v>51</v>
      </c>
      <c r="F135" s="1" t="s">
        <v>52</v>
      </c>
      <c r="G135" s="1" t="s">
        <v>639</v>
      </c>
      <c r="H135" s="1" t="s">
        <v>820</v>
      </c>
      <c r="I135" s="1" t="s">
        <v>821</v>
      </c>
      <c r="J135" t="s">
        <v>4631</v>
      </c>
      <c r="K135" s="1" t="s">
        <v>822</v>
      </c>
    </row>
    <row r="136" spans="1:11" ht="24" customHeight="1">
      <c r="A136" s="1" t="s">
        <v>823</v>
      </c>
      <c r="B136" s="1" t="s">
        <v>824</v>
      </c>
      <c r="C136" s="1">
        <v>2026</v>
      </c>
      <c r="D136" s="1" t="s">
        <v>825</v>
      </c>
      <c r="E136" s="1" t="s">
        <v>51</v>
      </c>
      <c r="F136" s="1" t="s">
        <v>52</v>
      </c>
      <c r="G136" s="1" t="s">
        <v>639</v>
      </c>
      <c r="H136" s="1" t="s">
        <v>826</v>
      </c>
      <c r="I136" s="1" t="s">
        <v>827</v>
      </c>
      <c r="J136" t="s">
        <v>4631</v>
      </c>
      <c r="K136" s="1" t="s">
        <v>828</v>
      </c>
    </row>
    <row r="137" spans="1:11" ht="24" customHeight="1">
      <c r="A137" s="1" t="s">
        <v>829</v>
      </c>
      <c r="B137" s="1" t="s">
        <v>830</v>
      </c>
      <c r="C137" s="1">
        <v>2026</v>
      </c>
      <c r="D137" s="1" t="s">
        <v>831</v>
      </c>
      <c r="E137" s="1" t="s">
        <v>51</v>
      </c>
      <c r="F137" s="1" t="s">
        <v>52</v>
      </c>
      <c r="G137" s="1" t="s">
        <v>639</v>
      </c>
      <c r="H137" s="1" t="s">
        <v>808</v>
      </c>
      <c r="I137" s="1" t="s">
        <v>832</v>
      </c>
      <c r="J137" t="s">
        <v>4631</v>
      </c>
      <c r="K137" s="1" t="s">
        <v>833</v>
      </c>
    </row>
    <row r="138" spans="1:11" ht="36" customHeight="1">
      <c r="A138" s="1" t="s">
        <v>834</v>
      </c>
      <c r="B138" s="1" t="s">
        <v>835</v>
      </c>
      <c r="C138" s="1">
        <v>2025</v>
      </c>
      <c r="D138" s="1" t="s">
        <v>836</v>
      </c>
      <c r="E138" s="1" t="s">
        <v>51</v>
      </c>
      <c r="F138" s="1" t="s">
        <v>52</v>
      </c>
      <c r="G138" s="1" t="s">
        <v>639</v>
      </c>
      <c r="H138" s="1" t="s">
        <v>837</v>
      </c>
      <c r="I138" s="1" t="s">
        <v>838</v>
      </c>
      <c r="J138" t="s">
        <v>4631</v>
      </c>
      <c r="K138" s="1" t="s">
        <v>839</v>
      </c>
    </row>
    <row r="139" spans="1:11" ht="24" customHeight="1">
      <c r="A139" s="1" t="s">
        <v>840</v>
      </c>
      <c r="B139" s="1" t="s">
        <v>841</v>
      </c>
      <c r="C139" s="1">
        <v>2025</v>
      </c>
      <c r="D139" s="1" t="s">
        <v>842</v>
      </c>
      <c r="E139" s="1" t="s">
        <v>51</v>
      </c>
      <c r="F139" s="1" t="s">
        <v>52</v>
      </c>
      <c r="G139" s="1" t="s">
        <v>639</v>
      </c>
      <c r="H139" s="1" t="s">
        <v>843</v>
      </c>
      <c r="I139" s="1" t="s">
        <v>844</v>
      </c>
      <c r="J139" t="s">
        <v>4631</v>
      </c>
      <c r="K139" s="1" t="s">
        <v>845</v>
      </c>
    </row>
    <row r="140" spans="1:11" ht="24" customHeight="1">
      <c r="A140" s="1" t="s">
        <v>846</v>
      </c>
      <c r="B140" s="1" t="s">
        <v>847</v>
      </c>
      <c r="C140" s="1">
        <v>2025</v>
      </c>
      <c r="D140" s="1" t="s">
        <v>848</v>
      </c>
      <c r="E140" s="1" t="s">
        <v>51</v>
      </c>
      <c r="F140" s="1" t="s">
        <v>52</v>
      </c>
      <c r="G140" s="1" t="s">
        <v>639</v>
      </c>
      <c r="H140" s="1" t="s">
        <v>784</v>
      </c>
      <c r="I140" s="1" t="s">
        <v>849</v>
      </c>
      <c r="J140" t="s">
        <v>4631</v>
      </c>
      <c r="K140" s="1" t="s">
        <v>850</v>
      </c>
    </row>
    <row r="141" spans="1:11" ht="24" customHeight="1">
      <c r="A141" s="1" t="s">
        <v>851</v>
      </c>
      <c r="B141" s="1" t="s">
        <v>852</v>
      </c>
      <c r="C141" s="1">
        <v>2025</v>
      </c>
      <c r="D141" s="1" t="s">
        <v>853</v>
      </c>
      <c r="E141" s="1" t="s">
        <v>51</v>
      </c>
      <c r="F141" s="1" t="s">
        <v>52</v>
      </c>
      <c r="G141" s="1" t="s">
        <v>639</v>
      </c>
      <c r="H141" s="1" t="s">
        <v>843</v>
      </c>
      <c r="I141" s="1" t="s">
        <v>854</v>
      </c>
      <c r="J141" t="s">
        <v>4631</v>
      </c>
      <c r="K141" s="1" t="s">
        <v>855</v>
      </c>
    </row>
    <row r="142" spans="1:11" ht="24" customHeight="1">
      <c r="A142" s="1" t="s">
        <v>856</v>
      </c>
      <c r="B142" s="1" t="s">
        <v>857</v>
      </c>
      <c r="C142" s="1">
        <v>2026</v>
      </c>
      <c r="D142" s="1" t="s">
        <v>858</v>
      </c>
      <c r="E142" s="1" t="s">
        <v>51</v>
      </c>
      <c r="F142" s="1" t="s">
        <v>52</v>
      </c>
      <c r="G142" s="1" t="s">
        <v>639</v>
      </c>
      <c r="H142" s="1" t="s">
        <v>859</v>
      </c>
      <c r="I142" s="1" t="s">
        <v>860</v>
      </c>
      <c r="J142" t="s">
        <v>4631</v>
      </c>
      <c r="K142" s="1" t="s">
        <v>861</v>
      </c>
    </row>
    <row r="143" spans="1:11" ht="60" customHeight="1">
      <c r="A143" s="1" t="s">
        <v>862</v>
      </c>
      <c r="B143" s="1" t="s">
        <v>863</v>
      </c>
      <c r="C143" s="1">
        <v>2024</v>
      </c>
      <c r="D143" s="1" t="s">
        <v>864</v>
      </c>
      <c r="E143" s="1" t="s">
        <v>51</v>
      </c>
      <c r="F143" s="1" t="s">
        <v>52</v>
      </c>
      <c r="G143" s="1" t="s">
        <v>639</v>
      </c>
      <c r="H143" s="1" t="s">
        <v>865</v>
      </c>
      <c r="I143" s="1" t="s">
        <v>866</v>
      </c>
      <c r="J143" t="s">
        <v>4631</v>
      </c>
      <c r="K143" s="1" t="s">
        <v>867</v>
      </c>
    </row>
    <row r="144" spans="1:11" ht="24" customHeight="1">
      <c r="A144" s="1" t="s">
        <v>868</v>
      </c>
      <c r="B144" s="1" t="s">
        <v>869</v>
      </c>
      <c r="C144" s="1">
        <v>2023</v>
      </c>
      <c r="D144" s="1" t="s">
        <v>870</v>
      </c>
      <c r="E144" s="1" t="s">
        <v>51</v>
      </c>
      <c r="F144" s="1" t="s">
        <v>52</v>
      </c>
      <c r="G144" s="1" t="s">
        <v>639</v>
      </c>
      <c r="H144" s="1" t="s">
        <v>871</v>
      </c>
      <c r="I144" s="1" t="s">
        <v>872</v>
      </c>
      <c r="J144" t="s">
        <v>4631</v>
      </c>
      <c r="K144" s="1" t="s">
        <v>873</v>
      </c>
    </row>
    <row r="145" spans="1:11" ht="24" customHeight="1">
      <c r="A145" s="1" t="s">
        <v>874</v>
      </c>
      <c r="B145" s="1" t="s">
        <v>875</v>
      </c>
      <c r="C145" s="1">
        <v>2025</v>
      </c>
      <c r="D145" s="1" t="s">
        <v>876</v>
      </c>
      <c r="E145" s="1" t="s">
        <v>51</v>
      </c>
      <c r="F145" s="1" t="s">
        <v>81</v>
      </c>
      <c r="G145" s="1" t="s">
        <v>82</v>
      </c>
      <c r="H145" s="1" t="s">
        <v>877</v>
      </c>
      <c r="I145" s="1" t="s">
        <v>878</v>
      </c>
      <c r="J145" t="s">
        <v>4631</v>
      </c>
      <c r="K145" s="1" t="s">
        <v>879</v>
      </c>
    </row>
    <row r="146" spans="1:11" ht="36" customHeight="1">
      <c r="A146" s="1" t="s">
        <v>880</v>
      </c>
      <c r="B146" s="1" t="s">
        <v>881</v>
      </c>
      <c r="C146" s="1">
        <v>2024</v>
      </c>
      <c r="D146" s="1" t="s">
        <v>882</v>
      </c>
      <c r="E146" s="1" t="s">
        <v>51</v>
      </c>
      <c r="F146" s="1" t="s">
        <v>52</v>
      </c>
      <c r="G146" s="1" t="s">
        <v>639</v>
      </c>
      <c r="H146" s="1" t="s">
        <v>706</v>
      </c>
      <c r="I146" s="1" t="s">
        <v>883</v>
      </c>
      <c r="J146" t="s">
        <v>4631</v>
      </c>
      <c r="K146" s="1" t="s">
        <v>884</v>
      </c>
    </row>
    <row r="147" spans="1:11" ht="24" customHeight="1">
      <c r="A147" s="1" t="s">
        <v>885</v>
      </c>
      <c r="B147" s="1" t="s">
        <v>886</v>
      </c>
      <c r="C147" s="1">
        <v>2022</v>
      </c>
      <c r="D147" s="1" t="s">
        <v>887</v>
      </c>
      <c r="E147" s="1" t="s">
        <v>51</v>
      </c>
      <c r="F147" s="1" t="s">
        <v>191</v>
      </c>
      <c r="G147" s="1" t="s">
        <v>888</v>
      </c>
      <c r="H147" s="1" t="s">
        <v>889</v>
      </c>
      <c r="I147" s="1" t="s">
        <v>890</v>
      </c>
      <c r="J147" t="s">
        <v>4631</v>
      </c>
      <c r="K147" s="1" t="s">
        <v>891</v>
      </c>
    </row>
    <row r="148" spans="1:11" ht="24" customHeight="1">
      <c r="A148" s="1" t="s">
        <v>892</v>
      </c>
      <c r="B148" s="1" t="s">
        <v>893</v>
      </c>
      <c r="C148" s="1">
        <v>2021</v>
      </c>
      <c r="D148" s="1" t="s">
        <v>894</v>
      </c>
      <c r="E148" s="1" t="s">
        <v>51</v>
      </c>
      <c r="F148" s="1" t="s">
        <v>52</v>
      </c>
      <c r="G148" s="1" t="s">
        <v>639</v>
      </c>
      <c r="H148" s="1" t="s">
        <v>808</v>
      </c>
      <c r="I148" s="1" t="s">
        <v>895</v>
      </c>
      <c r="J148" t="s">
        <v>4631</v>
      </c>
      <c r="K148" s="1" t="s">
        <v>896</v>
      </c>
    </row>
    <row r="149" spans="1:11" ht="24" customHeight="1">
      <c r="A149" s="1" t="s">
        <v>897</v>
      </c>
      <c r="B149" s="1" t="s">
        <v>898</v>
      </c>
      <c r="C149" s="1">
        <v>2019</v>
      </c>
      <c r="D149" s="1" t="s">
        <v>899</v>
      </c>
      <c r="E149" s="1" t="s">
        <v>51</v>
      </c>
      <c r="F149" s="1" t="s">
        <v>81</v>
      </c>
      <c r="G149" s="1" t="s">
        <v>82</v>
      </c>
      <c r="H149" s="1" t="s">
        <v>900</v>
      </c>
      <c r="I149" s="1" t="s">
        <v>901</v>
      </c>
      <c r="J149" t="s">
        <v>4631</v>
      </c>
      <c r="K149" s="1" t="s">
        <v>902</v>
      </c>
    </row>
    <row r="150" spans="1:11" ht="36" customHeight="1">
      <c r="A150" s="1" t="s">
        <v>903</v>
      </c>
      <c r="B150" s="1" t="s">
        <v>904</v>
      </c>
      <c r="C150" s="1">
        <v>2019</v>
      </c>
      <c r="D150" s="1" t="s">
        <v>905</v>
      </c>
      <c r="E150" s="1" t="s">
        <v>51</v>
      </c>
      <c r="F150" s="1" t="s">
        <v>81</v>
      </c>
      <c r="G150" s="1" t="s">
        <v>82</v>
      </c>
      <c r="H150" s="1" t="s">
        <v>664</v>
      </c>
      <c r="I150" s="1" t="s">
        <v>906</v>
      </c>
      <c r="J150" t="s">
        <v>4631</v>
      </c>
      <c r="K150" s="1" t="s">
        <v>907</v>
      </c>
    </row>
    <row r="151" spans="1:11" ht="24" customHeight="1">
      <c r="A151" s="1" t="s">
        <v>908</v>
      </c>
      <c r="B151" s="1" t="s">
        <v>909</v>
      </c>
      <c r="C151" s="1">
        <v>2019</v>
      </c>
      <c r="D151" s="1" t="s">
        <v>910</v>
      </c>
      <c r="E151" s="1" t="s">
        <v>51</v>
      </c>
      <c r="F151" s="1" t="s">
        <v>52</v>
      </c>
      <c r="G151" s="1" t="s">
        <v>639</v>
      </c>
      <c r="H151" s="1" t="s">
        <v>911</v>
      </c>
      <c r="I151" s="1" t="s">
        <v>912</v>
      </c>
      <c r="J151" t="s">
        <v>4631</v>
      </c>
      <c r="K151" s="1" t="s">
        <v>913</v>
      </c>
    </row>
    <row r="152" spans="1:11" ht="24" customHeight="1">
      <c r="A152" s="1" t="s">
        <v>914</v>
      </c>
      <c r="B152" s="1" t="s">
        <v>915</v>
      </c>
      <c r="C152" s="1">
        <v>2020</v>
      </c>
      <c r="D152" s="1" t="s">
        <v>916</v>
      </c>
      <c r="E152" s="1" t="s">
        <v>51</v>
      </c>
      <c r="F152" s="1" t="s">
        <v>52</v>
      </c>
      <c r="G152" s="1" t="s">
        <v>639</v>
      </c>
      <c r="H152" s="1" t="s">
        <v>917</v>
      </c>
      <c r="I152" s="1" t="s">
        <v>918</v>
      </c>
      <c r="J152" t="s">
        <v>4631</v>
      </c>
      <c r="K152" s="1" t="s">
        <v>919</v>
      </c>
    </row>
    <row r="153" spans="1:11" ht="24" customHeight="1">
      <c r="A153" s="1" t="s">
        <v>920</v>
      </c>
      <c r="B153" s="1" t="s">
        <v>921</v>
      </c>
      <c r="C153" s="1">
        <v>2019</v>
      </c>
      <c r="D153" s="1" t="s">
        <v>922</v>
      </c>
      <c r="E153" s="1" t="s">
        <v>51</v>
      </c>
      <c r="F153" s="1" t="s">
        <v>52</v>
      </c>
      <c r="G153" s="1" t="s">
        <v>639</v>
      </c>
      <c r="H153" s="1" t="s">
        <v>923</v>
      </c>
      <c r="I153" s="1" t="s">
        <v>924</v>
      </c>
      <c r="J153" t="s">
        <v>4631</v>
      </c>
      <c r="K153" s="1" t="s">
        <v>925</v>
      </c>
    </row>
    <row r="154" spans="1:11" ht="36" customHeight="1">
      <c r="A154" s="1" t="s">
        <v>926</v>
      </c>
      <c r="B154" s="1" t="s">
        <v>927</v>
      </c>
      <c r="C154" s="1">
        <v>2018</v>
      </c>
      <c r="D154" s="1" t="s">
        <v>928</v>
      </c>
      <c r="E154" s="1" t="s">
        <v>51</v>
      </c>
      <c r="F154" s="1" t="s">
        <v>81</v>
      </c>
      <c r="G154" s="1" t="s">
        <v>82</v>
      </c>
      <c r="H154" s="1" t="s">
        <v>929</v>
      </c>
      <c r="I154" s="1" t="s">
        <v>930</v>
      </c>
      <c r="J154" t="s">
        <v>4631</v>
      </c>
      <c r="K154" s="1" t="s">
        <v>931</v>
      </c>
    </row>
    <row r="155" spans="1:11" ht="24" customHeight="1">
      <c r="A155" s="1" t="s">
        <v>932</v>
      </c>
      <c r="B155" s="1" t="s">
        <v>933</v>
      </c>
      <c r="C155" s="1">
        <v>2024</v>
      </c>
      <c r="D155" s="1" t="s">
        <v>934</v>
      </c>
      <c r="E155" s="1" t="s">
        <v>51</v>
      </c>
      <c r="F155" s="1" t="s">
        <v>52</v>
      </c>
      <c r="G155" s="1" t="s">
        <v>639</v>
      </c>
      <c r="H155" s="1" t="s">
        <v>935</v>
      </c>
      <c r="I155" s="1" t="s">
        <v>936</v>
      </c>
      <c r="J155" t="s">
        <v>4631</v>
      </c>
      <c r="K155" s="1" t="s">
        <v>937</v>
      </c>
    </row>
    <row r="156" spans="1:11" ht="36" customHeight="1">
      <c r="A156" s="1" t="s">
        <v>938</v>
      </c>
      <c r="B156" s="1" t="s">
        <v>939</v>
      </c>
      <c r="C156" s="1">
        <v>2017</v>
      </c>
      <c r="D156" s="1" t="s">
        <v>940</v>
      </c>
      <c r="E156" s="1" t="s">
        <v>51</v>
      </c>
      <c r="F156" s="1" t="s">
        <v>81</v>
      </c>
      <c r="G156" s="1" t="s">
        <v>941</v>
      </c>
      <c r="H156" s="1" t="s">
        <v>942</v>
      </c>
      <c r="I156" s="1" t="s">
        <v>943</v>
      </c>
      <c r="J156" t="s">
        <v>4631</v>
      </c>
      <c r="K156" s="1" t="s">
        <v>944</v>
      </c>
    </row>
    <row r="157" spans="1:11" ht="36" customHeight="1">
      <c r="A157" s="1" t="s">
        <v>945</v>
      </c>
      <c r="B157" s="1" t="s">
        <v>946</v>
      </c>
      <c r="C157" s="1">
        <v>2022</v>
      </c>
      <c r="D157" s="1" t="s">
        <v>947</v>
      </c>
      <c r="E157" s="1" t="s">
        <v>51</v>
      </c>
      <c r="F157" s="1" t="s">
        <v>295</v>
      </c>
      <c r="G157" s="1" t="s">
        <v>948</v>
      </c>
      <c r="H157" s="1" t="s">
        <v>949</v>
      </c>
      <c r="I157" s="1" t="s">
        <v>950</v>
      </c>
      <c r="J157" t="s">
        <v>4631</v>
      </c>
      <c r="K157" s="1" t="s">
        <v>951</v>
      </c>
    </row>
    <row r="158" spans="1:11" ht="36" customHeight="1">
      <c r="A158" s="1" t="s">
        <v>952</v>
      </c>
      <c r="B158" s="1" t="s">
        <v>953</v>
      </c>
      <c r="C158" s="1">
        <v>2026</v>
      </c>
      <c r="D158" s="1" t="s">
        <v>954</v>
      </c>
      <c r="E158" s="1" t="s">
        <v>51</v>
      </c>
      <c r="F158" s="1" t="s">
        <v>81</v>
      </c>
      <c r="G158" s="1" t="s">
        <v>955</v>
      </c>
      <c r="H158" s="1" t="s">
        <v>956</v>
      </c>
      <c r="I158" s="1" t="s">
        <v>957</v>
      </c>
      <c r="J158" t="s">
        <v>4631</v>
      </c>
      <c r="K158" s="1" t="s">
        <v>958</v>
      </c>
    </row>
    <row r="159" spans="1:11" ht="48" customHeight="1">
      <c r="A159" s="1" t="s">
        <v>959</v>
      </c>
      <c r="B159" s="1" t="s">
        <v>960</v>
      </c>
      <c r="C159" s="1">
        <v>2026</v>
      </c>
      <c r="D159" s="1" t="s">
        <v>961</v>
      </c>
      <c r="E159" s="1" t="s">
        <v>51</v>
      </c>
      <c r="F159" s="1" t="s">
        <v>52</v>
      </c>
      <c r="G159" s="1" t="s">
        <v>962</v>
      </c>
      <c r="H159" s="1" t="s">
        <v>963</v>
      </c>
      <c r="I159" s="1" t="s">
        <v>964</v>
      </c>
      <c r="J159" t="s">
        <v>4631</v>
      </c>
      <c r="K159" s="1" t="s">
        <v>965</v>
      </c>
    </row>
    <row r="160" spans="1:11" ht="48" customHeight="1">
      <c r="A160" s="1" t="s">
        <v>966</v>
      </c>
      <c r="B160" s="1" t="s">
        <v>967</v>
      </c>
      <c r="C160" s="1">
        <v>2021</v>
      </c>
      <c r="D160" s="1" t="s">
        <v>968</v>
      </c>
      <c r="E160" s="1" t="s">
        <v>51</v>
      </c>
      <c r="F160" s="1" t="s">
        <v>81</v>
      </c>
      <c r="G160" s="1" t="s">
        <v>969</v>
      </c>
      <c r="H160" s="1" t="s">
        <v>970</v>
      </c>
      <c r="I160" s="1" t="s">
        <v>971</v>
      </c>
      <c r="J160" t="s">
        <v>4631</v>
      </c>
      <c r="K160" s="1" t="s">
        <v>972</v>
      </c>
    </row>
    <row r="161" spans="1:11" ht="48" customHeight="1">
      <c r="A161" s="1" t="s">
        <v>973</v>
      </c>
      <c r="B161" s="1" t="s">
        <v>974</v>
      </c>
      <c r="C161" s="1">
        <v>2025</v>
      </c>
      <c r="D161" s="1" t="s">
        <v>975</v>
      </c>
      <c r="E161" s="1" t="s">
        <v>51</v>
      </c>
      <c r="F161" s="1" t="s">
        <v>81</v>
      </c>
      <c r="G161" s="1" t="s">
        <v>969</v>
      </c>
      <c r="H161" s="1" t="s">
        <v>976</v>
      </c>
      <c r="I161" s="1" t="s">
        <v>977</v>
      </c>
      <c r="J161" t="s">
        <v>4631</v>
      </c>
      <c r="K161" s="1" t="s">
        <v>978</v>
      </c>
    </row>
    <row r="162" spans="1:11" ht="48" customHeight="1">
      <c r="A162" s="1" t="s">
        <v>979</v>
      </c>
      <c r="B162" s="1" t="s">
        <v>980</v>
      </c>
      <c r="C162" s="1">
        <v>2023</v>
      </c>
      <c r="D162" s="1" t="s">
        <v>981</v>
      </c>
      <c r="E162" s="1" t="s">
        <v>51</v>
      </c>
      <c r="F162" s="1" t="s">
        <v>52</v>
      </c>
      <c r="G162" s="1" t="s">
        <v>962</v>
      </c>
      <c r="H162" s="1" t="s">
        <v>982</v>
      </c>
      <c r="I162" s="1" t="s">
        <v>983</v>
      </c>
      <c r="J162" t="s">
        <v>4631</v>
      </c>
      <c r="K162" s="1" t="s">
        <v>984</v>
      </c>
    </row>
    <row r="163" spans="1:11" ht="60" customHeight="1">
      <c r="A163" s="1" t="s">
        <v>985</v>
      </c>
      <c r="B163" s="1" t="s">
        <v>986</v>
      </c>
      <c r="C163" s="1">
        <v>2019</v>
      </c>
      <c r="D163" s="1" t="s">
        <v>987</v>
      </c>
      <c r="E163" s="1" t="s">
        <v>51</v>
      </c>
      <c r="F163" s="1" t="s">
        <v>81</v>
      </c>
      <c r="G163" s="1" t="s">
        <v>969</v>
      </c>
      <c r="H163" s="1" t="s">
        <v>988</v>
      </c>
      <c r="I163" s="1" t="s">
        <v>989</v>
      </c>
      <c r="J163" t="s">
        <v>4631</v>
      </c>
      <c r="K163" s="1" t="s">
        <v>990</v>
      </c>
    </row>
    <row r="164" spans="1:11" ht="60" customHeight="1">
      <c r="A164" s="1" t="s">
        <v>991</v>
      </c>
      <c r="B164" s="1" t="s">
        <v>992</v>
      </c>
      <c r="C164" s="1">
        <v>2025</v>
      </c>
      <c r="D164" s="1" t="s">
        <v>993</v>
      </c>
      <c r="E164" s="1" t="s">
        <v>51</v>
      </c>
      <c r="F164" s="1" t="s">
        <v>52</v>
      </c>
      <c r="G164" s="1" t="s">
        <v>962</v>
      </c>
      <c r="H164" s="1" t="s">
        <v>994</v>
      </c>
      <c r="I164" s="1" t="s">
        <v>995</v>
      </c>
      <c r="J164" t="s">
        <v>4631</v>
      </c>
      <c r="K164" s="1" t="s">
        <v>996</v>
      </c>
    </row>
    <row r="165" spans="1:11" ht="48" customHeight="1">
      <c r="A165" s="1" t="s">
        <v>997</v>
      </c>
      <c r="B165" s="1" t="s">
        <v>998</v>
      </c>
      <c r="C165" s="1">
        <v>2026</v>
      </c>
      <c r="D165" s="1" t="s">
        <v>999</v>
      </c>
      <c r="E165" s="1" t="s">
        <v>51</v>
      </c>
      <c r="F165" s="1" t="s">
        <v>52</v>
      </c>
      <c r="G165" s="1" t="s">
        <v>962</v>
      </c>
      <c r="H165" s="1" t="s">
        <v>1000</v>
      </c>
      <c r="I165" s="1" t="s">
        <v>1001</v>
      </c>
      <c r="J165" t="s">
        <v>4631</v>
      </c>
      <c r="K165" s="1" t="s">
        <v>1002</v>
      </c>
    </row>
    <row r="166" spans="1:11" ht="36" customHeight="1">
      <c r="A166" s="1" t="s">
        <v>1003</v>
      </c>
      <c r="B166" s="1" t="s">
        <v>1004</v>
      </c>
      <c r="C166" s="1">
        <v>2025</v>
      </c>
      <c r="D166" s="1" t="s">
        <v>1005</v>
      </c>
      <c r="E166" s="1" t="s">
        <v>51</v>
      </c>
      <c r="F166" s="1" t="s">
        <v>52</v>
      </c>
      <c r="G166" s="1" t="s">
        <v>962</v>
      </c>
      <c r="H166" s="1" t="s">
        <v>1006</v>
      </c>
      <c r="I166" s="1" t="s">
        <v>1007</v>
      </c>
      <c r="J166" t="s">
        <v>4631</v>
      </c>
      <c r="K166" s="1" t="s">
        <v>1008</v>
      </c>
    </row>
    <row r="167" spans="1:11" ht="48" customHeight="1">
      <c r="A167" s="1" t="s">
        <v>1009</v>
      </c>
      <c r="B167" s="1" t="s">
        <v>1010</v>
      </c>
      <c r="C167" s="1">
        <v>2023</v>
      </c>
      <c r="D167" s="1" t="s">
        <v>1011</v>
      </c>
      <c r="E167" s="1" t="s">
        <v>51</v>
      </c>
      <c r="F167" s="1" t="s">
        <v>52</v>
      </c>
      <c r="G167" s="1" t="s">
        <v>962</v>
      </c>
      <c r="H167" s="1" t="s">
        <v>1012</v>
      </c>
      <c r="I167" s="1" t="s">
        <v>1013</v>
      </c>
      <c r="J167" t="s">
        <v>4631</v>
      </c>
      <c r="K167" s="1" t="s">
        <v>1014</v>
      </c>
    </row>
    <row r="168" spans="1:11" ht="48" customHeight="1">
      <c r="A168" s="1" t="s">
        <v>1015</v>
      </c>
      <c r="B168" s="1" t="s">
        <v>1016</v>
      </c>
      <c r="C168" s="1">
        <v>2024</v>
      </c>
      <c r="D168" s="1" t="s">
        <v>1017</v>
      </c>
      <c r="E168" s="1" t="s">
        <v>51</v>
      </c>
      <c r="F168" s="1" t="s">
        <v>52</v>
      </c>
      <c r="G168" s="1" t="s">
        <v>962</v>
      </c>
      <c r="H168" s="1" t="s">
        <v>1018</v>
      </c>
      <c r="I168" s="1" t="s">
        <v>1019</v>
      </c>
      <c r="J168" t="s">
        <v>4631</v>
      </c>
      <c r="K168" s="1" t="s">
        <v>1020</v>
      </c>
    </row>
    <row r="169" spans="1:11" ht="48" customHeight="1">
      <c r="A169" s="1" t="s">
        <v>1021</v>
      </c>
      <c r="B169" s="1" t="s">
        <v>1022</v>
      </c>
      <c r="C169" s="1">
        <v>2019</v>
      </c>
      <c r="D169" s="1" t="s">
        <v>1023</v>
      </c>
      <c r="E169" s="1" t="s">
        <v>51</v>
      </c>
      <c r="F169" s="1" t="s">
        <v>52</v>
      </c>
      <c r="G169" s="1" t="s">
        <v>962</v>
      </c>
      <c r="H169" s="1" t="s">
        <v>1024</v>
      </c>
      <c r="I169" s="1" t="s">
        <v>1025</v>
      </c>
      <c r="J169" t="s">
        <v>4631</v>
      </c>
      <c r="K169" s="1" t="s">
        <v>1026</v>
      </c>
    </row>
    <row r="170" spans="1:11" ht="48" customHeight="1">
      <c r="A170" s="1" t="s">
        <v>1027</v>
      </c>
      <c r="B170" s="1" t="s">
        <v>1028</v>
      </c>
      <c r="C170" s="1">
        <v>2021</v>
      </c>
      <c r="D170" s="1" t="s">
        <v>1029</v>
      </c>
      <c r="E170" s="1" t="s">
        <v>51</v>
      </c>
      <c r="F170" s="1" t="s">
        <v>52</v>
      </c>
      <c r="G170" s="1" t="s">
        <v>962</v>
      </c>
      <c r="H170" s="1" t="s">
        <v>1030</v>
      </c>
      <c r="I170" s="1" t="s">
        <v>1031</v>
      </c>
      <c r="J170" t="s">
        <v>4631</v>
      </c>
      <c r="K170" s="1" t="s">
        <v>1032</v>
      </c>
    </row>
    <row r="171" spans="1:11" ht="36" customHeight="1">
      <c r="A171" s="1" t="s">
        <v>1033</v>
      </c>
      <c r="B171" s="1" t="s">
        <v>1034</v>
      </c>
      <c r="C171" s="1">
        <v>2015</v>
      </c>
      <c r="D171" s="1" t="s">
        <v>1035</v>
      </c>
      <c r="E171" s="1" t="s">
        <v>51</v>
      </c>
      <c r="F171" s="1" t="s">
        <v>52</v>
      </c>
      <c r="G171" s="1" t="s">
        <v>1036</v>
      </c>
      <c r="H171" s="1" t="s">
        <v>1037</v>
      </c>
      <c r="I171" s="1" t="s">
        <v>1038</v>
      </c>
      <c r="J171" t="s">
        <v>4631</v>
      </c>
      <c r="K171" s="1" t="s">
        <v>1039</v>
      </c>
    </row>
    <row r="172" spans="1:11" ht="48" customHeight="1">
      <c r="A172" s="1" t="s">
        <v>1040</v>
      </c>
      <c r="B172" s="1" t="s">
        <v>1041</v>
      </c>
      <c r="C172" s="1">
        <v>2024</v>
      </c>
      <c r="D172" s="1" t="s">
        <v>1042</v>
      </c>
      <c r="E172" s="1" t="s">
        <v>51</v>
      </c>
      <c r="F172" s="1" t="s">
        <v>81</v>
      </c>
      <c r="G172" s="1" t="s">
        <v>1043</v>
      </c>
      <c r="H172" s="1" t="s">
        <v>1044</v>
      </c>
      <c r="I172" s="1" t="s">
        <v>1045</v>
      </c>
      <c r="J172" t="s">
        <v>4631</v>
      </c>
      <c r="K172" s="1" t="s">
        <v>1046</v>
      </c>
    </row>
    <row r="173" spans="1:11" ht="48" customHeight="1">
      <c r="A173" s="1" t="s">
        <v>1047</v>
      </c>
      <c r="B173" s="1" t="s">
        <v>1048</v>
      </c>
      <c r="C173" s="1">
        <v>2021</v>
      </c>
      <c r="D173" s="1" t="s">
        <v>1049</v>
      </c>
      <c r="E173" s="1" t="s">
        <v>51</v>
      </c>
      <c r="F173" s="1" t="s">
        <v>52</v>
      </c>
      <c r="G173" s="1" t="s">
        <v>962</v>
      </c>
      <c r="H173" s="1" t="s">
        <v>1050</v>
      </c>
      <c r="I173" s="1" t="s">
        <v>1051</v>
      </c>
      <c r="J173" t="s">
        <v>4631</v>
      </c>
      <c r="K173" s="1" t="s">
        <v>1052</v>
      </c>
    </row>
    <row r="174" spans="1:11" ht="48" customHeight="1">
      <c r="A174" s="1" t="s">
        <v>1053</v>
      </c>
      <c r="B174" s="1" t="s">
        <v>1054</v>
      </c>
      <c r="C174" s="1">
        <v>2023</v>
      </c>
      <c r="D174" s="1" t="s">
        <v>1055</v>
      </c>
      <c r="E174" s="1" t="s">
        <v>51</v>
      </c>
      <c r="F174" s="1" t="s">
        <v>52</v>
      </c>
      <c r="G174" s="1" t="s">
        <v>962</v>
      </c>
      <c r="H174" s="1" t="s">
        <v>1056</v>
      </c>
      <c r="I174" s="1" t="s">
        <v>1057</v>
      </c>
      <c r="J174" t="s">
        <v>4631</v>
      </c>
      <c r="K174" s="1" t="s">
        <v>1058</v>
      </c>
    </row>
    <row r="175" spans="1:11" ht="60" customHeight="1">
      <c r="A175" s="1" t="s">
        <v>1059</v>
      </c>
      <c r="B175" s="1" t="s">
        <v>1060</v>
      </c>
      <c r="C175" s="1">
        <v>2023</v>
      </c>
      <c r="D175" s="1" t="s">
        <v>1061</v>
      </c>
      <c r="E175" s="1" t="s">
        <v>51</v>
      </c>
      <c r="F175" s="1" t="s">
        <v>73</v>
      </c>
      <c r="G175" s="1" t="s">
        <v>1062</v>
      </c>
      <c r="H175" s="1" t="s">
        <v>1063</v>
      </c>
      <c r="I175" s="1" t="s">
        <v>1064</v>
      </c>
      <c r="J175" t="s">
        <v>4631</v>
      </c>
      <c r="K175" s="1" t="s">
        <v>1065</v>
      </c>
    </row>
    <row r="176" spans="1:11" ht="48" customHeight="1">
      <c r="A176" s="1" t="s">
        <v>1066</v>
      </c>
      <c r="B176" s="1" t="s">
        <v>1067</v>
      </c>
      <c r="C176" s="1">
        <v>2021</v>
      </c>
      <c r="D176" s="1" t="s">
        <v>1068</v>
      </c>
      <c r="E176" s="1" t="s">
        <v>51</v>
      </c>
      <c r="F176" s="1" t="s">
        <v>52</v>
      </c>
      <c r="G176" s="1" t="s">
        <v>962</v>
      </c>
      <c r="H176" s="1" t="s">
        <v>1069</v>
      </c>
      <c r="I176" s="1" t="s">
        <v>1070</v>
      </c>
      <c r="J176" t="s">
        <v>4631</v>
      </c>
      <c r="K176" s="1" t="s">
        <v>1071</v>
      </c>
    </row>
    <row r="177" spans="1:11" ht="48" customHeight="1">
      <c r="A177" s="1" t="s">
        <v>1072</v>
      </c>
      <c r="B177" s="1" t="s">
        <v>1073</v>
      </c>
      <c r="C177" s="1">
        <v>2024</v>
      </c>
      <c r="D177" s="1" t="s">
        <v>1074</v>
      </c>
      <c r="E177" s="1" t="s">
        <v>51</v>
      </c>
      <c r="F177" s="1" t="s">
        <v>52</v>
      </c>
      <c r="G177" s="1" t="s">
        <v>1075</v>
      </c>
      <c r="H177" s="1" t="s">
        <v>1076</v>
      </c>
      <c r="I177" s="1" t="s">
        <v>1077</v>
      </c>
      <c r="J177" t="s">
        <v>4631</v>
      </c>
      <c r="K177" s="1" t="s">
        <v>1078</v>
      </c>
    </row>
    <row r="178" spans="1:11" ht="48" customHeight="1">
      <c r="A178" s="1" t="s">
        <v>1079</v>
      </c>
      <c r="B178" s="1" t="s">
        <v>1080</v>
      </c>
      <c r="C178" s="1">
        <v>2023</v>
      </c>
      <c r="D178" s="1" t="s">
        <v>1081</v>
      </c>
      <c r="E178" s="1" t="s">
        <v>51</v>
      </c>
      <c r="F178" s="1" t="s">
        <v>52</v>
      </c>
      <c r="G178" s="1" t="s">
        <v>962</v>
      </c>
      <c r="H178" s="1" t="s">
        <v>1082</v>
      </c>
      <c r="I178" s="1" t="s">
        <v>1083</v>
      </c>
      <c r="J178" t="s">
        <v>4631</v>
      </c>
      <c r="K178" s="1" t="s">
        <v>1084</v>
      </c>
    </row>
    <row r="179" spans="1:11" ht="48" customHeight="1">
      <c r="A179" s="1" t="s">
        <v>1085</v>
      </c>
      <c r="B179" s="1" t="s">
        <v>1086</v>
      </c>
      <c r="C179" s="1">
        <v>2021</v>
      </c>
      <c r="D179" s="1" t="s">
        <v>1087</v>
      </c>
      <c r="E179" s="1" t="s">
        <v>51</v>
      </c>
      <c r="F179" s="1" t="s">
        <v>52</v>
      </c>
      <c r="G179" s="1" t="s">
        <v>962</v>
      </c>
      <c r="H179" s="1" t="s">
        <v>1088</v>
      </c>
      <c r="I179" s="1" t="s">
        <v>1089</v>
      </c>
      <c r="J179" t="s">
        <v>4631</v>
      </c>
      <c r="K179" s="1" t="s">
        <v>1090</v>
      </c>
    </row>
    <row r="180" spans="1:11" ht="48" customHeight="1">
      <c r="A180" s="1" t="s">
        <v>1091</v>
      </c>
      <c r="B180" s="1" t="s">
        <v>1092</v>
      </c>
      <c r="C180" s="1">
        <v>2023</v>
      </c>
      <c r="D180" s="1" t="s">
        <v>1093</v>
      </c>
      <c r="E180" s="1" t="s">
        <v>51</v>
      </c>
      <c r="F180" s="1" t="s">
        <v>52</v>
      </c>
      <c r="G180" s="1" t="s">
        <v>962</v>
      </c>
      <c r="H180" s="1" t="s">
        <v>1094</v>
      </c>
      <c r="I180" s="1" t="s">
        <v>1095</v>
      </c>
      <c r="J180" t="s">
        <v>4631</v>
      </c>
      <c r="K180" s="1" t="s">
        <v>1096</v>
      </c>
    </row>
    <row r="181" spans="1:11" ht="36" customHeight="1">
      <c r="A181" s="1" t="s">
        <v>1097</v>
      </c>
      <c r="B181" s="1" t="s">
        <v>1098</v>
      </c>
      <c r="C181" s="1">
        <v>2026</v>
      </c>
      <c r="D181" s="1" t="s">
        <v>1099</v>
      </c>
      <c r="E181" s="1" t="s">
        <v>51</v>
      </c>
      <c r="F181" s="1" t="s">
        <v>52</v>
      </c>
      <c r="G181" s="1" t="s">
        <v>962</v>
      </c>
      <c r="H181" s="1" t="s">
        <v>1100</v>
      </c>
      <c r="I181" s="1" t="s">
        <v>1101</v>
      </c>
      <c r="J181" t="s">
        <v>4631</v>
      </c>
      <c r="K181" s="1" t="s">
        <v>1102</v>
      </c>
    </row>
    <row r="182" spans="1:11" ht="48" customHeight="1">
      <c r="A182" s="1" t="s">
        <v>1103</v>
      </c>
      <c r="B182" s="1" t="s">
        <v>1104</v>
      </c>
      <c r="C182" s="1">
        <v>2026</v>
      </c>
      <c r="D182" s="1" t="s">
        <v>1105</v>
      </c>
      <c r="E182" s="1" t="s">
        <v>51</v>
      </c>
      <c r="F182" s="1" t="s">
        <v>52</v>
      </c>
      <c r="G182" s="1" t="s">
        <v>962</v>
      </c>
      <c r="H182" s="1" t="s">
        <v>1106</v>
      </c>
      <c r="I182" s="1" t="s">
        <v>1107</v>
      </c>
      <c r="J182" t="s">
        <v>4631</v>
      </c>
      <c r="K182" s="1" t="s">
        <v>1108</v>
      </c>
    </row>
    <row r="183" spans="1:11" ht="48" customHeight="1">
      <c r="A183" s="1" t="s">
        <v>1109</v>
      </c>
      <c r="B183" s="1" t="s">
        <v>1110</v>
      </c>
      <c r="C183" s="1">
        <v>2025</v>
      </c>
      <c r="D183" s="1" t="s">
        <v>1111</v>
      </c>
      <c r="E183" s="1" t="s">
        <v>51</v>
      </c>
      <c r="F183" s="1" t="s">
        <v>52</v>
      </c>
      <c r="G183" s="1" t="s">
        <v>962</v>
      </c>
      <c r="H183" s="1" t="s">
        <v>1112</v>
      </c>
      <c r="I183" s="1" t="s">
        <v>1113</v>
      </c>
      <c r="J183" t="s">
        <v>4631</v>
      </c>
      <c r="K183" s="1" t="s">
        <v>1114</v>
      </c>
    </row>
    <row r="184" spans="1:11" ht="48" customHeight="1">
      <c r="A184" s="1" t="s">
        <v>1115</v>
      </c>
      <c r="B184" s="1" t="s">
        <v>1116</v>
      </c>
      <c r="C184" s="1">
        <v>2022</v>
      </c>
      <c r="D184" s="1" t="s">
        <v>1117</v>
      </c>
      <c r="E184" s="1" t="s">
        <v>51</v>
      </c>
      <c r="F184" s="1" t="s">
        <v>52</v>
      </c>
      <c r="G184" s="1" t="s">
        <v>962</v>
      </c>
      <c r="H184" s="1" t="s">
        <v>1118</v>
      </c>
      <c r="I184" s="1" t="s">
        <v>1119</v>
      </c>
      <c r="J184" t="s">
        <v>4631</v>
      </c>
      <c r="K184" s="1" t="s">
        <v>1120</v>
      </c>
    </row>
    <row r="185" spans="1:11" ht="48" customHeight="1">
      <c r="A185" s="1" t="s">
        <v>1121</v>
      </c>
      <c r="B185" s="1" t="s">
        <v>1122</v>
      </c>
      <c r="C185" s="1">
        <v>2026</v>
      </c>
      <c r="D185" s="1" t="s">
        <v>1123</v>
      </c>
      <c r="E185" s="1" t="s">
        <v>51</v>
      </c>
      <c r="F185" s="1" t="s">
        <v>52</v>
      </c>
      <c r="G185" s="1" t="s">
        <v>52</v>
      </c>
      <c r="H185" s="1" t="s">
        <v>1124</v>
      </c>
      <c r="I185" s="1" t="s">
        <v>1125</v>
      </c>
      <c r="J185" t="s">
        <v>4631</v>
      </c>
      <c r="K185" s="1" t="s">
        <v>1126</v>
      </c>
    </row>
    <row r="186" spans="1:11" ht="48" customHeight="1">
      <c r="A186" s="1" t="s">
        <v>1127</v>
      </c>
      <c r="B186" s="1" t="s">
        <v>1128</v>
      </c>
      <c r="C186" s="1">
        <v>2026</v>
      </c>
      <c r="D186" s="1" t="s">
        <v>1129</v>
      </c>
      <c r="E186" s="1" t="s">
        <v>51</v>
      </c>
      <c r="F186" s="1" t="s">
        <v>52</v>
      </c>
      <c r="G186" s="1" t="s">
        <v>52</v>
      </c>
      <c r="H186" s="1" t="s">
        <v>1130</v>
      </c>
      <c r="I186" s="1" t="s">
        <v>1131</v>
      </c>
      <c r="J186" t="s">
        <v>4631</v>
      </c>
      <c r="K186" s="1" t="s">
        <v>1132</v>
      </c>
    </row>
    <row r="187" spans="1:11" ht="36" customHeight="1">
      <c r="A187" s="1" t="s">
        <v>1133</v>
      </c>
      <c r="B187" s="1" t="s">
        <v>1134</v>
      </c>
      <c r="C187" s="1">
        <v>2026</v>
      </c>
      <c r="D187" s="1" t="s">
        <v>1135</v>
      </c>
      <c r="E187" s="1" t="s">
        <v>51</v>
      </c>
      <c r="F187" s="1" t="s">
        <v>81</v>
      </c>
      <c r="G187" s="1" t="s">
        <v>955</v>
      </c>
      <c r="H187" s="1" t="s">
        <v>1136</v>
      </c>
      <c r="I187" s="1" t="s">
        <v>1137</v>
      </c>
      <c r="J187" t="s">
        <v>4631</v>
      </c>
      <c r="K187" s="1" t="s">
        <v>1138</v>
      </c>
    </row>
    <row r="188" spans="1:11" ht="48" customHeight="1">
      <c r="A188" s="1" t="s">
        <v>1139</v>
      </c>
      <c r="B188" s="1" t="s">
        <v>1140</v>
      </c>
      <c r="C188" s="1">
        <v>2026</v>
      </c>
      <c r="D188" s="1" t="s">
        <v>1141</v>
      </c>
      <c r="E188" s="1" t="s">
        <v>51</v>
      </c>
      <c r="F188" s="1" t="s">
        <v>52</v>
      </c>
      <c r="G188" s="1" t="s">
        <v>52</v>
      </c>
      <c r="H188" s="1" t="s">
        <v>1142</v>
      </c>
      <c r="I188" s="1" t="s">
        <v>1143</v>
      </c>
      <c r="J188" t="s">
        <v>4631</v>
      </c>
      <c r="K188" s="1" t="s">
        <v>1144</v>
      </c>
    </row>
    <row r="189" spans="1:11" ht="48" customHeight="1">
      <c r="A189" s="1" t="s">
        <v>1145</v>
      </c>
      <c r="B189" s="1" t="s">
        <v>1146</v>
      </c>
      <c r="C189" s="1">
        <v>2026</v>
      </c>
      <c r="D189" s="1" t="s">
        <v>1147</v>
      </c>
      <c r="E189" s="1" t="s">
        <v>51</v>
      </c>
      <c r="F189" s="1" t="s">
        <v>52</v>
      </c>
      <c r="G189" s="1" t="s">
        <v>52</v>
      </c>
      <c r="H189" s="1" t="s">
        <v>1148</v>
      </c>
      <c r="I189" s="1" t="s">
        <v>1149</v>
      </c>
      <c r="J189" t="s">
        <v>4631</v>
      </c>
      <c r="K189" s="1" t="s">
        <v>1150</v>
      </c>
    </row>
    <row r="190" spans="1:11" ht="48" customHeight="1">
      <c r="A190" s="1" t="s">
        <v>1151</v>
      </c>
      <c r="B190" s="1" t="s">
        <v>1152</v>
      </c>
      <c r="C190" s="1">
        <v>2024</v>
      </c>
      <c r="D190" s="1" t="s">
        <v>1153</v>
      </c>
      <c r="E190" s="1" t="s">
        <v>51</v>
      </c>
      <c r="F190" s="1" t="s">
        <v>81</v>
      </c>
      <c r="G190" s="1" t="s">
        <v>81</v>
      </c>
      <c r="H190" s="1" t="s">
        <v>1154</v>
      </c>
      <c r="I190" s="1" t="s">
        <v>1155</v>
      </c>
      <c r="J190" t="s">
        <v>4631</v>
      </c>
      <c r="K190" s="1" t="s">
        <v>1156</v>
      </c>
    </row>
    <row r="191" spans="1:11" ht="48" customHeight="1">
      <c r="A191" s="1" t="s">
        <v>1157</v>
      </c>
      <c r="B191" s="1" t="s">
        <v>1158</v>
      </c>
      <c r="C191" s="1">
        <v>2024</v>
      </c>
      <c r="D191" s="1" t="s">
        <v>1159</v>
      </c>
      <c r="E191" s="1" t="s">
        <v>51</v>
      </c>
      <c r="F191" s="1" t="s">
        <v>52</v>
      </c>
      <c r="G191" s="1" t="s">
        <v>52</v>
      </c>
      <c r="H191" s="1" t="s">
        <v>1160</v>
      </c>
      <c r="I191" s="1" t="s">
        <v>1161</v>
      </c>
      <c r="J191" t="s">
        <v>4631</v>
      </c>
      <c r="K191" s="1" t="s">
        <v>1162</v>
      </c>
    </row>
    <row r="192" spans="1:11" ht="48" customHeight="1">
      <c r="A192" s="1" t="s">
        <v>1163</v>
      </c>
      <c r="B192" s="1" t="s">
        <v>1164</v>
      </c>
      <c r="C192" s="1">
        <v>2019</v>
      </c>
      <c r="D192" s="1" t="s">
        <v>1165</v>
      </c>
      <c r="E192" s="1" t="s">
        <v>51</v>
      </c>
      <c r="F192" s="1" t="s">
        <v>52</v>
      </c>
      <c r="G192" s="1" t="s">
        <v>52</v>
      </c>
      <c r="H192" s="1" t="s">
        <v>1166</v>
      </c>
      <c r="I192" s="1" t="s">
        <v>1167</v>
      </c>
      <c r="J192" t="s">
        <v>4631</v>
      </c>
      <c r="K192" s="1" t="s">
        <v>1168</v>
      </c>
    </row>
    <row r="193" spans="1:11" ht="48" customHeight="1">
      <c r="A193" s="1" t="s">
        <v>1169</v>
      </c>
      <c r="B193" s="1" t="s">
        <v>1170</v>
      </c>
      <c r="C193" s="1">
        <v>2019</v>
      </c>
      <c r="D193" s="1" t="s">
        <v>1171</v>
      </c>
      <c r="E193" s="1" t="s">
        <v>51</v>
      </c>
      <c r="F193" s="1" t="s">
        <v>52</v>
      </c>
      <c r="G193" s="1" t="s">
        <v>52</v>
      </c>
      <c r="H193" s="1" t="s">
        <v>1172</v>
      </c>
      <c r="I193" s="1" t="s">
        <v>1173</v>
      </c>
      <c r="J193" t="s">
        <v>4631</v>
      </c>
      <c r="K193" s="1" t="s">
        <v>1174</v>
      </c>
    </row>
    <row r="194" spans="1:11" ht="48" customHeight="1">
      <c r="A194" s="1" t="s">
        <v>1175</v>
      </c>
      <c r="B194" s="1" t="s">
        <v>1176</v>
      </c>
      <c r="C194" s="1">
        <v>2019</v>
      </c>
      <c r="D194" s="1" t="s">
        <v>1177</v>
      </c>
      <c r="E194" s="1" t="s">
        <v>51</v>
      </c>
      <c r="F194" s="1" t="s">
        <v>52</v>
      </c>
      <c r="G194" s="1" t="s">
        <v>52</v>
      </c>
      <c r="H194" s="1" t="s">
        <v>1178</v>
      </c>
      <c r="I194" s="1" t="s">
        <v>1179</v>
      </c>
      <c r="J194" t="s">
        <v>4631</v>
      </c>
      <c r="K194" s="1" t="s">
        <v>1180</v>
      </c>
    </row>
    <row r="195" spans="1:11" ht="36" customHeight="1">
      <c r="A195" s="1" t="s">
        <v>1181</v>
      </c>
      <c r="B195" s="1" t="s">
        <v>1182</v>
      </c>
      <c r="C195" s="1">
        <v>2021</v>
      </c>
      <c r="D195" s="1" t="s">
        <v>1183</v>
      </c>
      <c r="E195" s="1" t="s">
        <v>51</v>
      </c>
      <c r="F195" s="1" t="s">
        <v>52</v>
      </c>
      <c r="G195" s="1" t="s">
        <v>52</v>
      </c>
      <c r="H195" s="1" t="s">
        <v>1184</v>
      </c>
      <c r="I195" s="1" t="s">
        <v>1185</v>
      </c>
      <c r="J195" t="s">
        <v>4631</v>
      </c>
      <c r="K195" s="1" t="s">
        <v>1186</v>
      </c>
    </row>
    <row r="196" spans="1:11" ht="48" customHeight="1">
      <c r="A196" s="1" t="s">
        <v>1187</v>
      </c>
      <c r="B196" s="1" t="s">
        <v>1188</v>
      </c>
      <c r="C196" s="1">
        <v>2018</v>
      </c>
      <c r="D196" s="1" t="s">
        <v>1189</v>
      </c>
      <c r="E196" s="1" t="s">
        <v>51</v>
      </c>
      <c r="F196" s="1" t="s">
        <v>52</v>
      </c>
      <c r="G196" s="1" t="s">
        <v>52</v>
      </c>
      <c r="H196" s="1" t="s">
        <v>1190</v>
      </c>
      <c r="I196" s="1" t="s">
        <v>1191</v>
      </c>
      <c r="J196" t="s">
        <v>4631</v>
      </c>
      <c r="K196" s="1" t="s">
        <v>1192</v>
      </c>
    </row>
    <row r="197" spans="1:11" ht="36" customHeight="1">
      <c r="A197" s="1" t="s">
        <v>1193</v>
      </c>
      <c r="B197" s="1" t="s">
        <v>1194</v>
      </c>
      <c r="C197" s="1">
        <v>2018</v>
      </c>
      <c r="D197" s="1" t="s">
        <v>1195</v>
      </c>
      <c r="E197" s="1" t="s">
        <v>51</v>
      </c>
      <c r="F197" s="1" t="s">
        <v>52</v>
      </c>
      <c r="G197" s="1" t="s">
        <v>52</v>
      </c>
      <c r="H197" s="1" t="s">
        <v>1196</v>
      </c>
      <c r="I197" s="1" t="s">
        <v>1197</v>
      </c>
      <c r="J197" t="s">
        <v>4631</v>
      </c>
      <c r="K197" s="1" t="s">
        <v>1198</v>
      </c>
    </row>
    <row r="198" spans="1:11" ht="48" customHeight="1">
      <c r="A198" s="1" t="s">
        <v>1199</v>
      </c>
      <c r="B198" s="1" t="s">
        <v>1200</v>
      </c>
      <c r="C198" s="1">
        <v>2018</v>
      </c>
      <c r="D198" s="1" t="s">
        <v>1201</v>
      </c>
      <c r="E198" s="1" t="s">
        <v>51</v>
      </c>
      <c r="F198" s="1" t="s">
        <v>52</v>
      </c>
      <c r="G198" s="1" t="s">
        <v>52</v>
      </c>
      <c r="H198" s="1" t="s">
        <v>1202</v>
      </c>
      <c r="I198" s="1" t="s">
        <v>1203</v>
      </c>
      <c r="J198" t="s">
        <v>4631</v>
      </c>
      <c r="K198" s="1" t="s">
        <v>1204</v>
      </c>
    </row>
    <row r="199" spans="1:11" ht="60" customHeight="1">
      <c r="A199" s="1" t="s">
        <v>1205</v>
      </c>
      <c r="B199" s="1" t="s">
        <v>1206</v>
      </c>
      <c r="C199" s="1">
        <v>2021</v>
      </c>
      <c r="D199" s="1" t="s">
        <v>1207</v>
      </c>
      <c r="E199" s="1" t="s">
        <v>51</v>
      </c>
      <c r="F199" s="1" t="s">
        <v>619</v>
      </c>
      <c r="G199" s="1" t="s">
        <v>1208</v>
      </c>
      <c r="H199" s="1" t="s">
        <v>1209</v>
      </c>
      <c r="I199" s="1" t="s">
        <v>1210</v>
      </c>
      <c r="J199" t="s">
        <v>4631</v>
      </c>
      <c r="K199" s="1" t="s">
        <v>1211</v>
      </c>
    </row>
    <row r="200" spans="1:11" ht="24" customHeight="1">
      <c r="A200" s="1" t="s">
        <v>1212</v>
      </c>
      <c r="B200" s="1" t="s">
        <v>1213</v>
      </c>
      <c r="C200" s="1">
        <v>2024</v>
      </c>
      <c r="D200" s="1" t="s">
        <v>1214</v>
      </c>
      <c r="E200" s="1" t="s">
        <v>1215</v>
      </c>
      <c r="F200" s="1" t="s">
        <v>1216</v>
      </c>
      <c r="G200" s="1" t="s">
        <v>1217</v>
      </c>
      <c r="H200" s="1" t="s">
        <v>1218</v>
      </c>
      <c r="I200" s="1" t="s">
        <v>1219</v>
      </c>
      <c r="J200" t="s">
        <v>4631</v>
      </c>
      <c r="K200" s="1" t="s">
        <v>1220</v>
      </c>
    </row>
    <row r="201" spans="1:11" ht="24" customHeight="1">
      <c r="A201" s="1" t="s">
        <v>1221</v>
      </c>
      <c r="B201" s="1" t="s">
        <v>1222</v>
      </c>
      <c r="C201" s="1">
        <v>2022</v>
      </c>
      <c r="D201" s="1" t="s">
        <v>1223</v>
      </c>
      <c r="E201" s="1" t="s">
        <v>1215</v>
      </c>
      <c r="F201" s="1" t="s">
        <v>1224</v>
      </c>
      <c r="G201" s="1" t="s">
        <v>1225</v>
      </c>
      <c r="H201" s="1" t="s">
        <v>1226</v>
      </c>
      <c r="I201" s="1" t="s">
        <v>1227</v>
      </c>
      <c r="J201" t="s">
        <v>4631</v>
      </c>
      <c r="K201" s="1" t="s">
        <v>1228</v>
      </c>
    </row>
    <row r="202" spans="1:11" ht="24" customHeight="1">
      <c r="A202" s="1" t="s">
        <v>1229</v>
      </c>
      <c r="B202" s="1" t="s">
        <v>1230</v>
      </c>
      <c r="C202" s="1">
        <v>2021</v>
      </c>
      <c r="D202" s="1" t="s">
        <v>1231</v>
      </c>
      <c r="E202" s="1" t="s">
        <v>1215</v>
      </c>
      <c r="F202" s="1" t="s">
        <v>1224</v>
      </c>
      <c r="G202" s="1" t="s">
        <v>1225</v>
      </c>
      <c r="H202" s="1" t="s">
        <v>1232</v>
      </c>
      <c r="I202" s="1" t="s">
        <v>1233</v>
      </c>
      <c r="J202" t="s">
        <v>4631</v>
      </c>
      <c r="K202" s="1" t="s">
        <v>1234</v>
      </c>
    </row>
    <row r="203" spans="1:11" ht="36" customHeight="1">
      <c r="A203" s="1" t="s">
        <v>1235</v>
      </c>
      <c r="B203" s="1" t="s">
        <v>1236</v>
      </c>
      <c r="C203" s="1">
        <v>2021</v>
      </c>
      <c r="D203" s="1" t="s">
        <v>1237</v>
      </c>
      <c r="E203" s="1" t="s">
        <v>1215</v>
      </c>
      <c r="F203" s="1" t="s">
        <v>1224</v>
      </c>
      <c r="G203" s="1" t="s">
        <v>1225</v>
      </c>
      <c r="H203" s="1" t="s">
        <v>1238</v>
      </c>
      <c r="I203" s="1" t="s">
        <v>1239</v>
      </c>
      <c r="J203" t="s">
        <v>4631</v>
      </c>
      <c r="K203" s="1" t="s">
        <v>1240</v>
      </c>
    </row>
    <row r="204" spans="1:11" ht="24" customHeight="1">
      <c r="A204" s="1" t="s">
        <v>1241</v>
      </c>
      <c r="B204" s="1" t="s">
        <v>1242</v>
      </c>
      <c r="C204" s="1">
        <v>2021</v>
      </c>
      <c r="D204" s="1" t="s">
        <v>1243</v>
      </c>
      <c r="E204" s="1" t="s">
        <v>1215</v>
      </c>
      <c r="F204" s="1" t="s">
        <v>1216</v>
      </c>
      <c r="G204" s="1" t="s">
        <v>1217</v>
      </c>
      <c r="H204" s="1" t="s">
        <v>1244</v>
      </c>
      <c r="I204" s="1" t="s">
        <v>1245</v>
      </c>
      <c r="J204" t="s">
        <v>4631</v>
      </c>
      <c r="K204" s="1" t="s">
        <v>1246</v>
      </c>
    </row>
    <row r="205" spans="1:11" ht="24" customHeight="1">
      <c r="A205" s="1" t="s">
        <v>1247</v>
      </c>
      <c r="B205" s="1" t="s">
        <v>1248</v>
      </c>
      <c r="C205" s="1">
        <v>2021</v>
      </c>
      <c r="D205" s="1" t="s">
        <v>1249</v>
      </c>
      <c r="E205" s="1" t="s">
        <v>1215</v>
      </c>
      <c r="F205" s="1" t="s">
        <v>1216</v>
      </c>
      <c r="G205" s="1" t="s">
        <v>1217</v>
      </c>
      <c r="H205" s="1" t="s">
        <v>1250</v>
      </c>
      <c r="I205" s="1" t="s">
        <v>1251</v>
      </c>
      <c r="J205" t="s">
        <v>4631</v>
      </c>
      <c r="K205" s="1" t="s">
        <v>1252</v>
      </c>
    </row>
    <row r="206" spans="1:11" ht="24" customHeight="1">
      <c r="A206" s="1" t="s">
        <v>1253</v>
      </c>
      <c r="B206" s="1" t="s">
        <v>1254</v>
      </c>
      <c r="C206" s="1">
        <v>2022</v>
      </c>
      <c r="D206" s="1" t="s">
        <v>1255</v>
      </c>
      <c r="E206" s="1" t="s">
        <v>1215</v>
      </c>
      <c r="F206" s="1" t="s">
        <v>1256</v>
      </c>
      <c r="G206" s="1" t="s">
        <v>1257</v>
      </c>
      <c r="H206" s="1" t="s">
        <v>1258</v>
      </c>
      <c r="I206" s="1" t="s">
        <v>1259</v>
      </c>
      <c r="J206" t="s">
        <v>4631</v>
      </c>
      <c r="K206" s="1" t="s">
        <v>1260</v>
      </c>
    </row>
    <row r="207" spans="1:11" ht="24" customHeight="1">
      <c r="A207" s="1" t="s">
        <v>1261</v>
      </c>
      <c r="B207" s="1" t="s">
        <v>1262</v>
      </c>
      <c r="C207" s="1">
        <v>2021</v>
      </c>
      <c r="D207" s="1" t="s">
        <v>1263</v>
      </c>
      <c r="E207" s="1" t="s">
        <v>1215</v>
      </c>
      <c r="F207" s="1" t="s">
        <v>1216</v>
      </c>
      <c r="G207" s="1" t="s">
        <v>1217</v>
      </c>
      <c r="H207" s="1" t="s">
        <v>1264</v>
      </c>
      <c r="I207" s="1" t="s">
        <v>1265</v>
      </c>
      <c r="J207" t="s">
        <v>4631</v>
      </c>
      <c r="K207" s="1" t="s">
        <v>1266</v>
      </c>
    </row>
    <row r="208" spans="1:11" ht="24" customHeight="1">
      <c r="A208" s="1" t="s">
        <v>1267</v>
      </c>
      <c r="B208" s="1" t="s">
        <v>1268</v>
      </c>
      <c r="C208" s="1">
        <v>2024</v>
      </c>
      <c r="D208" s="1" t="s">
        <v>1269</v>
      </c>
      <c r="E208" s="1" t="s">
        <v>1215</v>
      </c>
      <c r="F208" s="1" t="s">
        <v>1224</v>
      </c>
      <c r="G208" s="1" t="s">
        <v>1225</v>
      </c>
      <c r="H208" s="1" t="s">
        <v>1270</v>
      </c>
      <c r="I208" s="1" t="s">
        <v>1271</v>
      </c>
      <c r="J208" t="s">
        <v>4631</v>
      </c>
      <c r="K208" s="1" t="s">
        <v>1272</v>
      </c>
    </row>
    <row r="209" spans="1:11" ht="24" customHeight="1">
      <c r="A209" s="1" t="s">
        <v>1273</v>
      </c>
      <c r="B209" s="1" t="s">
        <v>1274</v>
      </c>
      <c r="C209" s="1">
        <v>2020</v>
      </c>
      <c r="D209" s="1" t="s">
        <v>1275</v>
      </c>
      <c r="E209" s="1" t="s">
        <v>1215</v>
      </c>
      <c r="F209" s="1" t="s">
        <v>1256</v>
      </c>
      <c r="G209" s="1" t="s">
        <v>1257</v>
      </c>
      <c r="H209" s="1" t="s">
        <v>1276</v>
      </c>
      <c r="I209" s="1" t="s">
        <v>1277</v>
      </c>
      <c r="J209" t="s">
        <v>4631</v>
      </c>
      <c r="K209" s="1" t="s">
        <v>1278</v>
      </c>
    </row>
    <row r="210" spans="1:11" ht="24" customHeight="1">
      <c r="A210" s="1" t="s">
        <v>1279</v>
      </c>
      <c r="B210" s="1" t="s">
        <v>1280</v>
      </c>
      <c r="C210" s="1">
        <v>2022</v>
      </c>
      <c r="D210" s="1" t="s">
        <v>1281</v>
      </c>
      <c r="E210" s="1" t="s">
        <v>1215</v>
      </c>
      <c r="F210" s="1" t="s">
        <v>1224</v>
      </c>
      <c r="G210" s="1" t="s">
        <v>1225</v>
      </c>
      <c r="H210" s="1" t="s">
        <v>1282</v>
      </c>
      <c r="I210" s="1" t="s">
        <v>1283</v>
      </c>
      <c r="J210" t="s">
        <v>4631</v>
      </c>
      <c r="K210" s="1" t="s">
        <v>1284</v>
      </c>
    </row>
    <row r="211" spans="1:11" ht="24" customHeight="1">
      <c r="A211" s="1" t="s">
        <v>1285</v>
      </c>
      <c r="B211" s="1" t="s">
        <v>1286</v>
      </c>
      <c r="C211" s="1">
        <v>2025</v>
      </c>
      <c r="D211" s="1" t="s">
        <v>1287</v>
      </c>
      <c r="E211" s="1" t="s">
        <v>1215</v>
      </c>
      <c r="F211" s="1" t="s">
        <v>1216</v>
      </c>
      <c r="G211" s="1" t="s">
        <v>1217</v>
      </c>
      <c r="H211" s="1" t="s">
        <v>1288</v>
      </c>
      <c r="I211" s="1" t="s">
        <v>1289</v>
      </c>
      <c r="J211" t="s">
        <v>4631</v>
      </c>
      <c r="K211" s="1" t="s">
        <v>1290</v>
      </c>
    </row>
    <row r="212" spans="1:11" ht="24" customHeight="1">
      <c r="A212" s="1" t="s">
        <v>1291</v>
      </c>
      <c r="B212" s="1" t="s">
        <v>1292</v>
      </c>
      <c r="C212" s="1">
        <v>2021</v>
      </c>
      <c r="D212" s="1" t="s">
        <v>1293</v>
      </c>
      <c r="E212" s="1" t="s">
        <v>1215</v>
      </c>
      <c r="F212" s="1" t="s">
        <v>1256</v>
      </c>
      <c r="G212" s="1" t="s">
        <v>1257</v>
      </c>
      <c r="H212" s="1" t="s">
        <v>1294</v>
      </c>
      <c r="I212" s="1" t="s">
        <v>1295</v>
      </c>
      <c r="J212" t="s">
        <v>4631</v>
      </c>
      <c r="K212" s="1" t="s">
        <v>1296</v>
      </c>
    </row>
    <row r="213" spans="1:11" ht="24" customHeight="1">
      <c r="A213" s="1" t="s">
        <v>1297</v>
      </c>
      <c r="B213" s="1" t="s">
        <v>1298</v>
      </c>
      <c r="C213" s="1">
        <v>2023</v>
      </c>
      <c r="D213" s="1" t="s">
        <v>1299</v>
      </c>
      <c r="E213" s="1" t="s">
        <v>1215</v>
      </c>
      <c r="F213" s="1" t="s">
        <v>1216</v>
      </c>
      <c r="G213" s="1" t="s">
        <v>1217</v>
      </c>
      <c r="H213" s="1" t="s">
        <v>1300</v>
      </c>
      <c r="I213" s="1" t="s">
        <v>1301</v>
      </c>
      <c r="J213" t="s">
        <v>4631</v>
      </c>
      <c r="K213" s="1" t="s">
        <v>1302</v>
      </c>
    </row>
    <row r="214" spans="1:11" ht="24" customHeight="1">
      <c r="A214" s="1" t="s">
        <v>1303</v>
      </c>
      <c r="B214" s="1" t="s">
        <v>1304</v>
      </c>
      <c r="C214" s="1">
        <v>2021</v>
      </c>
      <c r="D214" s="1" t="s">
        <v>1305</v>
      </c>
      <c r="E214" s="1" t="s">
        <v>1215</v>
      </c>
      <c r="F214" s="1" t="s">
        <v>1216</v>
      </c>
      <c r="G214" s="1" t="s">
        <v>1217</v>
      </c>
      <c r="H214" s="1" t="s">
        <v>1306</v>
      </c>
      <c r="I214" s="1" t="s">
        <v>1307</v>
      </c>
      <c r="J214" t="s">
        <v>4631</v>
      </c>
      <c r="K214" s="1" t="s">
        <v>1308</v>
      </c>
    </row>
    <row r="215" spans="1:11" ht="24" customHeight="1">
      <c r="A215" s="1" t="s">
        <v>1309</v>
      </c>
      <c r="B215" s="1" t="s">
        <v>1310</v>
      </c>
      <c r="C215" s="1">
        <v>2022</v>
      </c>
      <c r="D215" s="1" t="s">
        <v>1311</v>
      </c>
      <c r="E215" s="1" t="s">
        <v>1215</v>
      </c>
      <c r="F215" s="1" t="s">
        <v>1256</v>
      </c>
      <c r="G215" s="1" t="s">
        <v>1257</v>
      </c>
      <c r="H215" s="1" t="s">
        <v>1312</v>
      </c>
      <c r="I215" s="1" t="s">
        <v>1313</v>
      </c>
      <c r="J215" t="s">
        <v>4631</v>
      </c>
      <c r="K215" s="1" t="s">
        <v>1314</v>
      </c>
    </row>
    <row r="216" spans="1:11" ht="24" customHeight="1">
      <c r="A216" s="1" t="s">
        <v>1315</v>
      </c>
      <c r="B216" s="1" t="s">
        <v>1316</v>
      </c>
      <c r="C216" s="1">
        <v>2024</v>
      </c>
      <c r="D216" s="1" t="s">
        <v>1317</v>
      </c>
      <c r="E216" s="1" t="s">
        <v>1215</v>
      </c>
      <c r="F216" s="1" t="s">
        <v>1216</v>
      </c>
      <c r="G216" s="1" t="s">
        <v>1217</v>
      </c>
      <c r="H216" s="1" t="s">
        <v>1318</v>
      </c>
      <c r="I216" s="1" t="s">
        <v>1319</v>
      </c>
      <c r="J216" t="s">
        <v>4631</v>
      </c>
      <c r="K216" s="1" t="s">
        <v>1320</v>
      </c>
    </row>
    <row r="217" spans="1:11" ht="24" customHeight="1">
      <c r="A217" s="1" t="s">
        <v>1321</v>
      </c>
      <c r="B217" s="1" t="s">
        <v>1322</v>
      </c>
      <c r="C217" s="1">
        <v>2023</v>
      </c>
      <c r="D217" s="1" t="s">
        <v>1323</v>
      </c>
      <c r="E217" s="1" t="s">
        <v>1215</v>
      </c>
      <c r="F217" s="1" t="s">
        <v>1256</v>
      </c>
      <c r="G217" s="1" t="s">
        <v>1257</v>
      </c>
      <c r="H217" s="1" t="s">
        <v>1324</v>
      </c>
      <c r="I217" s="1" t="s">
        <v>1325</v>
      </c>
      <c r="J217" t="s">
        <v>4631</v>
      </c>
      <c r="K217" s="1" t="s">
        <v>1326</v>
      </c>
    </row>
    <row r="218" spans="1:11" ht="24" customHeight="1">
      <c r="A218" s="1" t="s">
        <v>1327</v>
      </c>
      <c r="B218" s="1" t="s">
        <v>1328</v>
      </c>
      <c r="C218" s="1">
        <v>2025</v>
      </c>
      <c r="D218" s="1" t="s">
        <v>1329</v>
      </c>
      <c r="E218" s="1" t="s">
        <v>1215</v>
      </c>
      <c r="F218" s="1" t="s">
        <v>1216</v>
      </c>
      <c r="G218" s="1" t="s">
        <v>1217</v>
      </c>
      <c r="H218" s="1" t="s">
        <v>1330</v>
      </c>
      <c r="I218" s="1" t="s">
        <v>1331</v>
      </c>
      <c r="J218" t="s">
        <v>4631</v>
      </c>
      <c r="K218" s="1" t="s">
        <v>1332</v>
      </c>
    </row>
    <row r="219" spans="1:11" ht="24" customHeight="1">
      <c r="A219" s="1" t="s">
        <v>1333</v>
      </c>
      <c r="B219" s="1" t="s">
        <v>1334</v>
      </c>
      <c r="C219" s="1">
        <v>2025</v>
      </c>
      <c r="D219" s="1" t="s">
        <v>1335</v>
      </c>
      <c r="E219" s="1" t="s">
        <v>1215</v>
      </c>
      <c r="F219" s="1" t="s">
        <v>1216</v>
      </c>
      <c r="G219" s="1" t="s">
        <v>1217</v>
      </c>
      <c r="H219" s="1" t="s">
        <v>1336</v>
      </c>
      <c r="I219" s="1" t="s">
        <v>1337</v>
      </c>
      <c r="J219" t="s">
        <v>4631</v>
      </c>
      <c r="K219" s="1" t="s">
        <v>1338</v>
      </c>
    </row>
    <row r="220" spans="1:11" ht="24" customHeight="1">
      <c r="A220" s="1" t="s">
        <v>1339</v>
      </c>
      <c r="B220" s="1" t="s">
        <v>1340</v>
      </c>
      <c r="C220" s="1">
        <v>2018</v>
      </c>
      <c r="D220" s="1" t="s">
        <v>1341</v>
      </c>
      <c r="E220" s="1" t="s">
        <v>1215</v>
      </c>
      <c r="F220" s="1" t="s">
        <v>1256</v>
      </c>
      <c r="G220" s="1" t="s">
        <v>1257</v>
      </c>
      <c r="H220" s="1" t="s">
        <v>1342</v>
      </c>
      <c r="I220" s="1" t="s">
        <v>1343</v>
      </c>
      <c r="J220" t="s">
        <v>4631</v>
      </c>
      <c r="K220" s="1" t="s">
        <v>1344</v>
      </c>
    </row>
    <row r="221" spans="1:11" ht="24" customHeight="1">
      <c r="A221" s="1" t="s">
        <v>1345</v>
      </c>
      <c r="B221" s="1" t="s">
        <v>1346</v>
      </c>
      <c r="C221" s="1">
        <v>2020</v>
      </c>
      <c r="D221" s="1" t="s">
        <v>1347</v>
      </c>
      <c r="E221" s="1" t="s">
        <v>1215</v>
      </c>
      <c r="F221" s="1" t="s">
        <v>1348</v>
      </c>
      <c r="G221" s="1" t="s">
        <v>1349</v>
      </c>
      <c r="H221" s="1" t="s">
        <v>1350</v>
      </c>
      <c r="I221" s="1" t="s">
        <v>1351</v>
      </c>
      <c r="J221" t="s">
        <v>4631</v>
      </c>
      <c r="K221" s="1" t="s">
        <v>1352</v>
      </c>
    </row>
    <row r="222" spans="1:11" ht="24" customHeight="1">
      <c r="A222" s="1" t="s">
        <v>1353</v>
      </c>
      <c r="B222" s="1" t="s">
        <v>1354</v>
      </c>
      <c r="C222" s="1">
        <v>2022</v>
      </c>
      <c r="D222" s="1" t="s">
        <v>1355</v>
      </c>
      <c r="E222" s="1" t="s">
        <v>1215</v>
      </c>
      <c r="F222" s="1" t="s">
        <v>1216</v>
      </c>
      <c r="G222" s="1" t="s">
        <v>1217</v>
      </c>
      <c r="H222" s="1" t="s">
        <v>1244</v>
      </c>
      <c r="I222" s="1" t="s">
        <v>1356</v>
      </c>
      <c r="J222" t="s">
        <v>4631</v>
      </c>
      <c r="K222" s="1" t="s">
        <v>1357</v>
      </c>
    </row>
    <row r="223" spans="1:11" ht="24" customHeight="1">
      <c r="A223" s="1" t="s">
        <v>1358</v>
      </c>
      <c r="B223" s="1" t="s">
        <v>1359</v>
      </c>
      <c r="C223" s="1">
        <v>2023</v>
      </c>
      <c r="D223" s="1" t="s">
        <v>1360</v>
      </c>
      <c r="E223" s="1" t="s">
        <v>1215</v>
      </c>
      <c r="F223" s="1" t="s">
        <v>1224</v>
      </c>
      <c r="G223" s="1" t="s">
        <v>1225</v>
      </c>
      <c r="H223" s="1" t="s">
        <v>1361</v>
      </c>
      <c r="I223" s="1" t="s">
        <v>1362</v>
      </c>
      <c r="J223" t="s">
        <v>4631</v>
      </c>
      <c r="K223" s="1" t="s">
        <v>1363</v>
      </c>
    </row>
    <row r="224" spans="1:11" ht="24" customHeight="1">
      <c r="A224" s="1" t="s">
        <v>1364</v>
      </c>
      <c r="B224" s="1" t="s">
        <v>1365</v>
      </c>
      <c r="C224" s="1">
        <v>2024</v>
      </c>
      <c r="D224" s="1" t="s">
        <v>1366</v>
      </c>
      <c r="E224" s="1" t="s">
        <v>1215</v>
      </c>
      <c r="F224" s="1" t="s">
        <v>1367</v>
      </c>
      <c r="G224" s="1" t="s">
        <v>1368</v>
      </c>
      <c r="H224" s="1" t="s">
        <v>1369</v>
      </c>
      <c r="I224" s="1" t="s">
        <v>1370</v>
      </c>
      <c r="J224" t="s">
        <v>4631</v>
      </c>
      <c r="K224" s="1" t="s">
        <v>1371</v>
      </c>
    </row>
    <row r="225" spans="1:11" ht="24" customHeight="1">
      <c r="A225" s="1" t="s">
        <v>1372</v>
      </c>
      <c r="B225" s="1" t="s">
        <v>1373</v>
      </c>
      <c r="C225" s="1">
        <v>2020</v>
      </c>
      <c r="D225" s="1" t="s">
        <v>1374</v>
      </c>
      <c r="E225" s="1" t="s">
        <v>1215</v>
      </c>
      <c r="F225" s="1" t="s">
        <v>1216</v>
      </c>
      <c r="G225" s="1" t="s">
        <v>1217</v>
      </c>
      <c r="H225" s="1" t="s">
        <v>1375</v>
      </c>
      <c r="I225" s="1" t="s">
        <v>1376</v>
      </c>
      <c r="J225" t="s">
        <v>4631</v>
      </c>
      <c r="K225" s="1" t="s">
        <v>1377</v>
      </c>
    </row>
    <row r="226" spans="1:11" ht="24" customHeight="1">
      <c r="A226" s="1" t="s">
        <v>1378</v>
      </c>
      <c r="B226" s="1" t="s">
        <v>1379</v>
      </c>
      <c r="C226" s="1">
        <v>2022</v>
      </c>
      <c r="D226" s="1" t="s">
        <v>1380</v>
      </c>
      <c r="E226" s="1" t="s">
        <v>1215</v>
      </c>
      <c r="F226" s="1" t="s">
        <v>1348</v>
      </c>
      <c r="G226" s="1" t="s">
        <v>1349</v>
      </c>
      <c r="H226" s="1" t="s">
        <v>1381</v>
      </c>
      <c r="I226" s="1" t="s">
        <v>1382</v>
      </c>
      <c r="J226" t="s">
        <v>4631</v>
      </c>
      <c r="K226" s="1" t="s">
        <v>1383</v>
      </c>
    </row>
    <row r="227" spans="1:11" ht="24" customHeight="1">
      <c r="A227" s="1" t="s">
        <v>1384</v>
      </c>
      <c r="B227" s="1" t="s">
        <v>1385</v>
      </c>
      <c r="C227" s="1">
        <v>2019</v>
      </c>
      <c r="D227" s="1" t="s">
        <v>1386</v>
      </c>
      <c r="E227" s="1" t="s">
        <v>1215</v>
      </c>
      <c r="F227" s="1" t="s">
        <v>1256</v>
      </c>
      <c r="G227" s="1" t="s">
        <v>1257</v>
      </c>
      <c r="H227" s="1" t="s">
        <v>1387</v>
      </c>
      <c r="I227" s="1" t="s">
        <v>1388</v>
      </c>
      <c r="J227" t="s">
        <v>4631</v>
      </c>
      <c r="K227" s="1" t="s">
        <v>1389</v>
      </c>
    </row>
    <row r="228" spans="1:11" ht="24" customHeight="1">
      <c r="A228" s="1" t="s">
        <v>1390</v>
      </c>
      <c r="B228" s="1" t="s">
        <v>1391</v>
      </c>
      <c r="C228" s="1">
        <v>2025</v>
      </c>
      <c r="D228" s="1" t="s">
        <v>1392</v>
      </c>
      <c r="E228" s="1" t="s">
        <v>1215</v>
      </c>
      <c r="F228" s="1" t="s">
        <v>1256</v>
      </c>
      <c r="G228" s="1" t="s">
        <v>1257</v>
      </c>
      <c r="H228" s="1" t="s">
        <v>1393</v>
      </c>
      <c r="I228" s="1" t="s">
        <v>1394</v>
      </c>
      <c r="J228" t="s">
        <v>4631</v>
      </c>
      <c r="K228" s="1" t="s">
        <v>1395</v>
      </c>
    </row>
    <row r="229" spans="1:11" ht="24" customHeight="1">
      <c r="A229" s="1" t="s">
        <v>1396</v>
      </c>
      <c r="B229" s="1" t="s">
        <v>1397</v>
      </c>
      <c r="C229" s="1">
        <v>2019</v>
      </c>
      <c r="D229" s="1" t="s">
        <v>1398</v>
      </c>
      <c r="E229" s="1" t="s">
        <v>1215</v>
      </c>
      <c r="F229" s="1" t="s">
        <v>1224</v>
      </c>
      <c r="G229" s="1" t="s">
        <v>1225</v>
      </c>
      <c r="H229" s="1" t="s">
        <v>1399</v>
      </c>
      <c r="I229" s="1" t="s">
        <v>1400</v>
      </c>
      <c r="J229" t="s">
        <v>4631</v>
      </c>
      <c r="K229" s="1" t="s">
        <v>1401</v>
      </c>
    </row>
    <row r="230" spans="1:11" ht="24" customHeight="1">
      <c r="A230" s="1" t="s">
        <v>1402</v>
      </c>
      <c r="B230" s="1" t="s">
        <v>1403</v>
      </c>
      <c r="C230" s="1">
        <v>2024</v>
      </c>
      <c r="D230" s="1" t="s">
        <v>1404</v>
      </c>
      <c r="E230" s="1" t="s">
        <v>1215</v>
      </c>
      <c r="F230" s="1" t="s">
        <v>1216</v>
      </c>
      <c r="G230" s="1" t="s">
        <v>1217</v>
      </c>
      <c r="H230" s="1" t="s">
        <v>1405</v>
      </c>
      <c r="I230" s="1" t="s">
        <v>1406</v>
      </c>
      <c r="J230" t="s">
        <v>4631</v>
      </c>
      <c r="K230" s="1" t="s">
        <v>1407</v>
      </c>
    </row>
    <row r="231" spans="1:11" ht="24" customHeight="1">
      <c r="A231" s="1" t="s">
        <v>1408</v>
      </c>
      <c r="B231" s="1" t="s">
        <v>1409</v>
      </c>
      <c r="C231" s="1">
        <v>2018</v>
      </c>
      <c r="D231" s="1" t="s">
        <v>1410</v>
      </c>
      <c r="E231" s="1" t="s">
        <v>1215</v>
      </c>
      <c r="F231" s="1" t="s">
        <v>1348</v>
      </c>
      <c r="G231" s="1" t="s">
        <v>1349</v>
      </c>
      <c r="H231" s="1" t="s">
        <v>1411</v>
      </c>
      <c r="I231" s="1" t="s">
        <v>1412</v>
      </c>
      <c r="J231" t="s">
        <v>4631</v>
      </c>
      <c r="K231" s="1" t="s">
        <v>1413</v>
      </c>
    </row>
    <row r="232" spans="1:11" ht="24" customHeight="1">
      <c r="A232" s="1" t="s">
        <v>1414</v>
      </c>
      <c r="B232" s="1" t="s">
        <v>1415</v>
      </c>
      <c r="C232" s="1">
        <v>2026</v>
      </c>
      <c r="D232" s="1" t="s">
        <v>1416</v>
      </c>
      <c r="E232" s="1" t="s">
        <v>1215</v>
      </c>
      <c r="F232" s="1" t="s">
        <v>1224</v>
      </c>
      <c r="G232" s="1" t="s">
        <v>1225</v>
      </c>
      <c r="H232" s="1" t="s">
        <v>1417</v>
      </c>
      <c r="I232" s="1" t="s">
        <v>1418</v>
      </c>
      <c r="J232" t="s">
        <v>4631</v>
      </c>
      <c r="K232" s="1" t="s">
        <v>1419</v>
      </c>
    </row>
    <row r="233" spans="1:11" ht="24" customHeight="1">
      <c r="A233" s="1" t="s">
        <v>1420</v>
      </c>
      <c r="B233" s="1" t="s">
        <v>1421</v>
      </c>
      <c r="C233" s="1">
        <v>2019</v>
      </c>
      <c r="D233" s="1" t="s">
        <v>1422</v>
      </c>
      <c r="E233" s="1" t="s">
        <v>1215</v>
      </c>
      <c r="F233" s="1" t="s">
        <v>1256</v>
      </c>
      <c r="G233" s="1" t="s">
        <v>1257</v>
      </c>
      <c r="H233" s="1" t="s">
        <v>1423</v>
      </c>
      <c r="I233" s="1" t="s">
        <v>1424</v>
      </c>
      <c r="J233" t="s">
        <v>4631</v>
      </c>
      <c r="K233" s="1" t="s">
        <v>1425</v>
      </c>
    </row>
    <row r="234" spans="1:11" ht="24" customHeight="1">
      <c r="A234" s="1" t="s">
        <v>1426</v>
      </c>
      <c r="B234" s="1" t="s">
        <v>1427</v>
      </c>
      <c r="C234" s="1">
        <v>2025</v>
      </c>
      <c r="D234" s="1" t="s">
        <v>1428</v>
      </c>
      <c r="E234" s="1" t="s">
        <v>1215</v>
      </c>
      <c r="F234" s="1" t="s">
        <v>1348</v>
      </c>
      <c r="G234" s="1" t="s">
        <v>1349</v>
      </c>
      <c r="H234" s="1" t="s">
        <v>1429</v>
      </c>
      <c r="I234" s="1" t="s">
        <v>1430</v>
      </c>
      <c r="J234" t="s">
        <v>4631</v>
      </c>
      <c r="K234" s="1" t="s">
        <v>1431</v>
      </c>
    </row>
    <row r="235" spans="1:11" ht="24" customHeight="1">
      <c r="A235" s="1" t="s">
        <v>1432</v>
      </c>
      <c r="B235" s="1" t="s">
        <v>1433</v>
      </c>
      <c r="C235" s="1">
        <v>2022</v>
      </c>
      <c r="D235" s="1" t="s">
        <v>1434</v>
      </c>
      <c r="E235" s="1" t="s">
        <v>1215</v>
      </c>
      <c r="F235" s="1" t="s">
        <v>1256</v>
      </c>
      <c r="G235" s="1" t="s">
        <v>1257</v>
      </c>
      <c r="H235" s="1" t="s">
        <v>1435</v>
      </c>
      <c r="I235" s="1" t="s">
        <v>1436</v>
      </c>
      <c r="J235" t="s">
        <v>4631</v>
      </c>
      <c r="K235" s="1" t="s">
        <v>1437</v>
      </c>
    </row>
    <row r="236" spans="1:11" ht="24" customHeight="1">
      <c r="A236" s="1" t="s">
        <v>1438</v>
      </c>
      <c r="B236" s="1" t="s">
        <v>1439</v>
      </c>
      <c r="C236" s="1">
        <v>2019</v>
      </c>
      <c r="D236" s="1" t="s">
        <v>1440</v>
      </c>
      <c r="E236" s="1" t="s">
        <v>1215</v>
      </c>
      <c r="F236" s="1" t="s">
        <v>1216</v>
      </c>
      <c r="G236" s="1" t="s">
        <v>1217</v>
      </c>
      <c r="H236" s="1" t="s">
        <v>1441</v>
      </c>
      <c r="I236" s="1" t="s">
        <v>1442</v>
      </c>
      <c r="J236" t="s">
        <v>4631</v>
      </c>
      <c r="K236" s="1" t="s">
        <v>1443</v>
      </c>
    </row>
    <row r="237" spans="1:11" ht="24" customHeight="1">
      <c r="A237" s="1" t="s">
        <v>1444</v>
      </c>
      <c r="B237" s="1" t="s">
        <v>1445</v>
      </c>
      <c r="C237" s="1">
        <v>2018</v>
      </c>
      <c r="D237" s="1" t="s">
        <v>1446</v>
      </c>
      <c r="E237" s="1" t="s">
        <v>1215</v>
      </c>
      <c r="F237" s="1" t="s">
        <v>1256</v>
      </c>
      <c r="G237" s="1" t="s">
        <v>1257</v>
      </c>
      <c r="H237" s="1" t="s">
        <v>1369</v>
      </c>
      <c r="I237" s="1" t="s">
        <v>1447</v>
      </c>
      <c r="J237" t="s">
        <v>4631</v>
      </c>
      <c r="K237" s="1" t="s">
        <v>1448</v>
      </c>
    </row>
    <row r="238" spans="1:11" ht="24" customHeight="1">
      <c r="A238" s="1" t="s">
        <v>1449</v>
      </c>
      <c r="B238" s="1" t="s">
        <v>1450</v>
      </c>
      <c r="C238" s="1">
        <v>2024</v>
      </c>
      <c r="D238" s="1" t="s">
        <v>1451</v>
      </c>
      <c r="E238" s="1" t="s">
        <v>1215</v>
      </c>
      <c r="F238" s="1" t="s">
        <v>1216</v>
      </c>
      <c r="G238" s="1" t="s">
        <v>1217</v>
      </c>
      <c r="H238" s="1" t="s">
        <v>1452</v>
      </c>
      <c r="I238" s="1" t="s">
        <v>1453</v>
      </c>
      <c r="J238" t="s">
        <v>4631</v>
      </c>
      <c r="K238" s="1" t="s">
        <v>1454</v>
      </c>
    </row>
    <row r="239" spans="1:11" ht="24" customHeight="1">
      <c r="A239" s="1" t="s">
        <v>1455</v>
      </c>
      <c r="B239" s="1" t="s">
        <v>1456</v>
      </c>
      <c r="C239" s="1">
        <v>2022</v>
      </c>
      <c r="D239" s="1" t="s">
        <v>1457</v>
      </c>
      <c r="E239" s="1" t="s">
        <v>1215</v>
      </c>
      <c r="F239" s="1" t="s">
        <v>1256</v>
      </c>
      <c r="G239" s="1" t="s">
        <v>1257</v>
      </c>
      <c r="H239" s="1" t="s">
        <v>1458</v>
      </c>
      <c r="I239" s="1" t="s">
        <v>1459</v>
      </c>
      <c r="J239" t="s">
        <v>4631</v>
      </c>
      <c r="K239" s="1" t="s">
        <v>1460</v>
      </c>
    </row>
    <row r="240" spans="1:11" ht="24" customHeight="1">
      <c r="A240" s="1" t="s">
        <v>1461</v>
      </c>
      <c r="B240" s="1" t="s">
        <v>1462</v>
      </c>
      <c r="C240" s="1">
        <v>2023</v>
      </c>
      <c r="D240" s="1" t="s">
        <v>1463</v>
      </c>
      <c r="E240" s="1" t="s">
        <v>1215</v>
      </c>
      <c r="F240" s="1" t="s">
        <v>1348</v>
      </c>
      <c r="G240" s="1" t="s">
        <v>1349</v>
      </c>
      <c r="H240" s="1" t="s">
        <v>1464</v>
      </c>
      <c r="I240" s="1" t="s">
        <v>1465</v>
      </c>
      <c r="J240" t="s">
        <v>4631</v>
      </c>
      <c r="K240" s="1" t="s">
        <v>1466</v>
      </c>
    </row>
    <row r="241" spans="1:11" ht="24" customHeight="1">
      <c r="A241" s="1" t="s">
        <v>1467</v>
      </c>
      <c r="B241" s="1" t="s">
        <v>1468</v>
      </c>
      <c r="C241" s="1">
        <v>2018</v>
      </c>
      <c r="D241" s="1" t="s">
        <v>1469</v>
      </c>
      <c r="E241" s="1" t="s">
        <v>1215</v>
      </c>
      <c r="F241" s="1" t="s">
        <v>1348</v>
      </c>
      <c r="G241" s="1" t="s">
        <v>1349</v>
      </c>
      <c r="H241" s="1" t="s">
        <v>1470</v>
      </c>
      <c r="I241" s="1" t="s">
        <v>1471</v>
      </c>
      <c r="J241" t="s">
        <v>4631</v>
      </c>
      <c r="K241" s="1" t="s">
        <v>1472</v>
      </c>
    </row>
    <row r="242" spans="1:11" ht="24" customHeight="1">
      <c r="A242" s="1" t="s">
        <v>1473</v>
      </c>
      <c r="B242" s="1" t="s">
        <v>1474</v>
      </c>
      <c r="C242" s="1">
        <v>2018</v>
      </c>
      <c r="D242" s="1" t="s">
        <v>1475</v>
      </c>
      <c r="E242" s="1" t="s">
        <v>1215</v>
      </c>
      <c r="F242" s="1" t="s">
        <v>1256</v>
      </c>
      <c r="G242" s="1" t="s">
        <v>1257</v>
      </c>
      <c r="H242" s="1" t="s">
        <v>1476</v>
      </c>
      <c r="I242" s="1" t="s">
        <v>1477</v>
      </c>
      <c r="J242" t="s">
        <v>4631</v>
      </c>
      <c r="K242" s="1" t="s">
        <v>1478</v>
      </c>
    </row>
    <row r="243" spans="1:11" ht="36" customHeight="1">
      <c r="A243" s="1" t="s">
        <v>1479</v>
      </c>
      <c r="B243" s="1" t="s">
        <v>1480</v>
      </c>
      <c r="C243" s="1">
        <v>2023</v>
      </c>
      <c r="D243" s="1" t="s">
        <v>1481</v>
      </c>
      <c r="E243" s="1" t="s">
        <v>1215</v>
      </c>
      <c r="F243" s="1" t="s">
        <v>1216</v>
      </c>
      <c r="G243" s="1" t="s">
        <v>1217</v>
      </c>
      <c r="H243" s="1" t="s">
        <v>1482</v>
      </c>
      <c r="I243" s="1" t="s">
        <v>1483</v>
      </c>
      <c r="J243" t="s">
        <v>4631</v>
      </c>
      <c r="K243" s="1" t="s">
        <v>1484</v>
      </c>
    </row>
    <row r="244" spans="1:11" ht="24" customHeight="1">
      <c r="A244" s="1" t="s">
        <v>1485</v>
      </c>
      <c r="B244" s="1" t="s">
        <v>1486</v>
      </c>
      <c r="C244" s="1">
        <v>2025</v>
      </c>
      <c r="D244" s="1" t="s">
        <v>1487</v>
      </c>
      <c r="E244" s="1" t="s">
        <v>1215</v>
      </c>
      <c r="F244" s="1" t="s">
        <v>1224</v>
      </c>
      <c r="G244" s="1" t="s">
        <v>1225</v>
      </c>
      <c r="H244" s="1" t="s">
        <v>1488</v>
      </c>
      <c r="I244" s="1" t="s">
        <v>1489</v>
      </c>
      <c r="J244" t="s">
        <v>4631</v>
      </c>
      <c r="K244" s="1" t="s">
        <v>1490</v>
      </c>
    </row>
    <row r="245" spans="1:11" ht="24" customHeight="1">
      <c r="A245" s="1" t="s">
        <v>1491</v>
      </c>
      <c r="B245" s="1" t="s">
        <v>1492</v>
      </c>
      <c r="C245" s="1">
        <v>2022</v>
      </c>
      <c r="D245" s="1" t="s">
        <v>1493</v>
      </c>
      <c r="E245" s="1" t="s">
        <v>1215</v>
      </c>
      <c r="F245" s="1" t="s">
        <v>1216</v>
      </c>
      <c r="G245" s="1" t="s">
        <v>1217</v>
      </c>
      <c r="H245" s="1" t="s">
        <v>1494</v>
      </c>
      <c r="I245" s="1" t="s">
        <v>1495</v>
      </c>
      <c r="J245" t="s">
        <v>4631</v>
      </c>
      <c r="K245" s="1" t="s">
        <v>1496</v>
      </c>
    </row>
    <row r="246" spans="1:11" ht="36" customHeight="1">
      <c r="A246" s="1" t="s">
        <v>1497</v>
      </c>
      <c r="B246" s="1" t="s">
        <v>1498</v>
      </c>
      <c r="C246" s="1">
        <v>2025</v>
      </c>
      <c r="D246" s="1" t="s">
        <v>1499</v>
      </c>
      <c r="E246" s="1" t="s">
        <v>1215</v>
      </c>
      <c r="F246" s="1" t="s">
        <v>1216</v>
      </c>
      <c r="G246" s="1" t="s">
        <v>1217</v>
      </c>
      <c r="H246" s="1" t="s">
        <v>1500</v>
      </c>
      <c r="I246" s="1" t="s">
        <v>1501</v>
      </c>
      <c r="J246" t="s">
        <v>4631</v>
      </c>
      <c r="K246" s="1" t="s">
        <v>1502</v>
      </c>
    </row>
    <row r="247" spans="1:11" ht="24" customHeight="1">
      <c r="A247" s="1" t="s">
        <v>1503</v>
      </c>
      <c r="B247" s="1" t="s">
        <v>1504</v>
      </c>
      <c r="C247" s="1">
        <v>2021</v>
      </c>
      <c r="D247" s="1" t="s">
        <v>1505</v>
      </c>
      <c r="E247" s="1" t="s">
        <v>1215</v>
      </c>
      <c r="F247" s="1" t="s">
        <v>1216</v>
      </c>
      <c r="G247" s="1" t="s">
        <v>1217</v>
      </c>
      <c r="H247" s="1" t="s">
        <v>1506</v>
      </c>
      <c r="I247" s="1" t="s">
        <v>1507</v>
      </c>
      <c r="J247" t="s">
        <v>4631</v>
      </c>
      <c r="K247" s="1" t="s">
        <v>1508</v>
      </c>
    </row>
    <row r="248" spans="1:11" ht="24" customHeight="1">
      <c r="A248" s="1" t="s">
        <v>1509</v>
      </c>
      <c r="B248" s="1" t="s">
        <v>1510</v>
      </c>
      <c r="C248" s="1">
        <v>2023</v>
      </c>
      <c r="D248" s="1" t="s">
        <v>1511</v>
      </c>
      <c r="E248" s="1" t="s">
        <v>1215</v>
      </c>
      <c r="F248" s="1" t="s">
        <v>1224</v>
      </c>
      <c r="G248" s="1" t="s">
        <v>1225</v>
      </c>
      <c r="H248" s="1" t="s">
        <v>1512</v>
      </c>
      <c r="I248" s="1" t="s">
        <v>1513</v>
      </c>
      <c r="J248" t="s">
        <v>4631</v>
      </c>
      <c r="K248" s="1" t="s">
        <v>1514</v>
      </c>
    </row>
    <row r="249" spans="1:11" ht="24" customHeight="1">
      <c r="A249" s="1" t="s">
        <v>1515</v>
      </c>
      <c r="B249" s="1" t="s">
        <v>1516</v>
      </c>
      <c r="C249" s="1">
        <v>2018</v>
      </c>
      <c r="D249" s="1" t="s">
        <v>1517</v>
      </c>
      <c r="E249" s="1" t="s">
        <v>1215</v>
      </c>
      <c r="F249" s="1" t="s">
        <v>1256</v>
      </c>
      <c r="G249" s="1" t="s">
        <v>1257</v>
      </c>
      <c r="H249" s="1" t="s">
        <v>1518</v>
      </c>
      <c r="I249" s="1" t="s">
        <v>1519</v>
      </c>
      <c r="J249" t="s">
        <v>4631</v>
      </c>
      <c r="K249" s="1" t="s">
        <v>1520</v>
      </c>
    </row>
    <row r="250" spans="1:11" ht="24" customHeight="1">
      <c r="A250" s="1" t="s">
        <v>1521</v>
      </c>
      <c r="B250" s="1" t="s">
        <v>1522</v>
      </c>
      <c r="C250" s="1">
        <v>2026</v>
      </c>
      <c r="D250" s="1" t="s">
        <v>1523</v>
      </c>
      <c r="E250" s="1" t="s">
        <v>1215</v>
      </c>
      <c r="F250" s="1" t="s">
        <v>1224</v>
      </c>
      <c r="G250" s="1" t="s">
        <v>1225</v>
      </c>
      <c r="H250" s="1" t="s">
        <v>422</v>
      </c>
      <c r="I250" s="1" t="s">
        <v>1524</v>
      </c>
      <c r="J250" t="s">
        <v>4631</v>
      </c>
      <c r="K250" s="1" t="s">
        <v>1525</v>
      </c>
    </row>
    <row r="251" spans="1:11" ht="24" customHeight="1">
      <c r="A251" s="1" t="s">
        <v>1526</v>
      </c>
      <c r="B251" s="1" t="s">
        <v>1527</v>
      </c>
      <c r="C251" s="1">
        <v>2019</v>
      </c>
      <c r="D251" s="1" t="s">
        <v>1528</v>
      </c>
      <c r="E251" s="1" t="s">
        <v>1215</v>
      </c>
      <c r="F251" s="1" t="s">
        <v>1224</v>
      </c>
      <c r="G251" s="1" t="s">
        <v>1225</v>
      </c>
      <c r="H251" s="1" t="s">
        <v>1529</v>
      </c>
      <c r="I251" s="1" t="s">
        <v>1530</v>
      </c>
      <c r="J251" t="s">
        <v>4631</v>
      </c>
      <c r="K251" s="1" t="s">
        <v>1531</v>
      </c>
    </row>
    <row r="252" spans="1:11" ht="24" customHeight="1">
      <c r="A252" s="1" t="s">
        <v>1532</v>
      </c>
      <c r="B252" s="1" t="s">
        <v>1533</v>
      </c>
      <c r="C252" s="1">
        <v>2024</v>
      </c>
      <c r="D252" s="1" t="s">
        <v>1534</v>
      </c>
      <c r="E252" s="1" t="s">
        <v>1215</v>
      </c>
      <c r="F252" s="1" t="s">
        <v>1224</v>
      </c>
      <c r="G252" s="1" t="s">
        <v>1225</v>
      </c>
      <c r="H252" s="1" t="s">
        <v>1535</v>
      </c>
      <c r="I252" s="1" t="s">
        <v>1536</v>
      </c>
      <c r="J252" t="s">
        <v>4631</v>
      </c>
      <c r="K252" s="1" t="s">
        <v>1537</v>
      </c>
    </row>
    <row r="253" spans="1:11" ht="24" customHeight="1">
      <c r="A253" s="1" t="s">
        <v>1538</v>
      </c>
      <c r="B253" s="1" t="s">
        <v>1539</v>
      </c>
      <c r="C253" s="1">
        <v>2020</v>
      </c>
      <c r="D253" s="1" t="s">
        <v>1540</v>
      </c>
      <c r="E253" s="1" t="s">
        <v>1215</v>
      </c>
      <c r="F253" s="1" t="s">
        <v>1216</v>
      </c>
      <c r="G253" s="1" t="s">
        <v>1217</v>
      </c>
      <c r="H253" s="1" t="s">
        <v>1541</v>
      </c>
      <c r="I253" s="1" t="s">
        <v>1542</v>
      </c>
      <c r="J253" t="s">
        <v>4631</v>
      </c>
      <c r="K253" s="1" t="s">
        <v>1543</v>
      </c>
    </row>
    <row r="254" spans="1:11" ht="24" customHeight="1">
      <c r="A254" s="1" t="s">
        <v>1544</v>
      </c>
      <c r="B254" s="1" t="s">
        <v>1545</v>
      </c>
      <c r="C254" s="1">
        <v>2019</v>
      </c>
      <c r="D254" s="1" t="s">
        <v>1546</v>
      </c>
      <c r="E254" s="1" t="s">
        <v>1215</v>
      </c>
      <c r="F254" s="1" t="s">
        <v>1348</v>
      </c>
      <c r="G254" s="1" t="s">
        <v>1349</v>
      </c>
      <c r="H254" s="1" t="s">
        <v>1547</v>
      </c>
      <c r="I254" s="1" t="s">
        <v>1548</v>
      </c>
      <c r="J254" t="s">
        <v>4631</v>
      </c>
      <c r="K254" s="1" t="s">
        <v>1549</v>
      </c>
    </row>
    <row r="255" spans="1:11" ht="24" customHeight="1">
      <c r="A255" s="1" t="s">
        <v>1550</v>
      </c>
      <c r="B255" s="1" t="s">
        <v>1551</v>
      </c>
      <c r="C255" s="1">
        <v>2024</v>
      </c>
      <c r="D255" s="1" t="s">
        <v>1552</v>
      </c>
      <c r="E255" s="1" t="s">
        <v>1215</v>
      </c>
      <c r="F255" s="1" t="s">
        <v>1256</v>
      </c>
      <c r="G255" s="1" t="s">
        <v>1257</v>
      </c>
      <c r="H255" s="1" t="s">
        <v>1553</v>
      </c>
      <c r="I255" s="1" t="s">
        <v>1554</v>
      </c>
      <c r="J255" t="s">
        <v>4631</v>
      </c>
      <c r="K255" s="1" t="s">
        <v>1555</v>
      </c>
    </row>
    <row r="256" spans="1:11" ht="36" customHeight="1">
      <c r="A256" s="1" t="s">
        <v>1556</v>
      </c>
      <c r="B256" s="1" t="s">
        <v>1557</v>
      </c>
      <c r="C256" s="1">
        <v>2022</v>
      </c>
      <c r="D256" s="1" t="s">
        <v>1558</v>
      </c>
      <c r="E256" s="1" t="s">
        <v>1215</v>
      </c>
      <c r="F256" s="1" t="s">
        <v>1224</v>
      </c>
      <c r="G256" s="1" t="s">
        <v>1225</v>
      </c>
      <c r="H256" s="1" t="s">
        <v>1559</v>
      </c>
      <c r="I256" s="1" t="s">
        <v>1560</v>
      </c>
      <c r="J256" t="s">
        <v>4631</v>
      </c>
      <c r="K256" s="1" t="s">
        <v>1561</v>
      </c>
    </row>
    <row r="257" spans="1:11" ht="24" customHeight="1">
      <c r="A257" s="1" t="s">
        <v>1562</v>
      </c>
      <c r="B257" s="1" t="s">
        <v>1563</v>
      </c>
      <c r="C257" s="1">
        <v>2025</v>
      </c>
      <c r="D257" s="1" t="s">
        <v>1564</v>
      </c>
      <c r="E257" s="1" t="s">
        <v>1215</v>
      </c>
      <c r="F257" s="1" t="s">
        <v>1224</v>
      </c>
      <c r="G257" s="1" t="s">
        <v>1225</v>
      </c>
      <c r="H257" s="1" t="s">
        <v>1565</v>
      </c>
      <c r="I257" s="1" t="s">
        <v>1566</v>
      </c>
      <c r="J257" t="s">
        <v>4631</v>
      </c>
      <c r="K257" s="1" t="s">
        <v>1567</v>
      </c>
    </row>
    <row r="258" spans="1:11" ht="24" customHeight="1">
      <c r="A258" s="1" t="s">
        <v>1568</v>
      </c>
      <c r="B258" s="1" t="s">
        <v>1569</v>
      </c>
      <c r="C258" s="1">
        <v>2026</v>
      </c>
      <c r="D258" s="1" t="s">
        <v>1570</v>
      </c>
      <c r="E258" s="1" t="s">
        <v>1215</v>
      </c>
      <c r="F258" s="1" t="s">
        <v>1256</v>
      </c>
      <c r="G258" s="1" t="s">
        <v>1257</v>
      </c>
      <c r="H258" s="1" t="s">
        <v>1571</v>
      </c>
      <c r="I258" s="1" t="s">
        <v>1572</v>
      </c>
      <c r="J258" t="s">
        <v>4631</v>
      </c>
      <c r="K258" s="1" t="s">
        <v>1573</v>
      </c>
    </row>
    <row r="259" spans="1:11" ht="24" customHeight="1">
      <c r="A259" s="1" t="s">
        <v>1574</v>
      </c>
      <c r="B259" s="1" t="s">
        <v>1575</v>
      </c>
      <c r="C259" s="1">
        <v>2023</v>
      </c>
      <c r="D259" s="1" t="s">
        <v>1576</v>
      </c>
      <c r="E259" s="1" t="s">
        <v>1215</v>
      </c>
      <c r="F259" s="1" t="s">
        <v>1367</v>
      </c>
      <c r="G259" s="1" t="s">
        <v>1368</v>
      </c>
      <c r="H259" s="1" t="s">
        <v>1577</v>
      </c>
      <c r="I259" s="1" t="s">
        <v>1578</v>
      </c>
      <c r="J259" t="s">
        <v>4631</v>
      </c>
      <c r="K259" s="1" t="s">
        <v>1579</v>
      </c>
    </row>
    <row r="260" spans="1:11" ht="24" customHeight="1">
      <c r="A260" s="1" t="s">
        <v>1580</v>
      </c>
      <c r="B260" s="1" t="s">
        <v>1581</v>
      </c>
      <c r="C260" s="1">
        <v>2025</v>
      </c>
      <c r="D260" s="1" t="s">
        <v>1582</v>
      </c>
      <c r="E260" s="1" t="s">
        <v>1215</v>
      </c>
      <c r="F260" s="1" t="s">
        <v>1224</v>
      </c>
      <c r="G260" s="1" t="s">
        <v>1225</v>
      </c>
      <c r="H260" s="1" t="s">
        <v>1583</v>
      </c>
      <c r="I260" s="1" t="s">
        <v>1584</v>
      </c>
      <c r="J260" t="s">
        <v>4631</v>
      </c>
      <c r="K260" s="1" t="s">
        <v>1585</v>
      </c>
    </row>
    <row r="261" spans="1:11" ht="24" customHeight="1">
      <c r="A261" s="1" t="s">
        <v>1586</v>
      </c>
      <c r="B261" s="1" t="s">
        <v>1587</v>
      </c>
      <c r="C261" s="1">
        <v>2020</v>
      </c>
      <c r="D261" s="1" t="s">
        <v>1588</v>
      </c>
      <c r="E261" s="1" t="s">
        <v>1215</v>
      </c>
      <c r="F261" s="1" t="s">
        <v>1348</v>
      </c>
      <c r="G261" s="1" t="s">
        <v>1349</v>
      </c>
      <c r="H261" s="1" t="s">
        <v>1589</v>
      </c>
      <c r="I261" s="1" t="s">
        <v>1590</v>
      </c>
      <c r="J261" t="s">
        <v>4631</v>
      </c>
      <c r="K261" s="1" t="s">
        <v>1591</v>
      </c>
    </row>
    <row r="262" spans="1:11" ht="24" customHeight="1">
      <c r="A262" s="1" t="s">
        <v>1592</v>
      </c>
      <c r="B262" s="1" t="s">
        <v>1593</v>
      </c>
      <c r="C262" s="1">
        <v>2020</v>
      </c>
      <c r="D262" s="1" t="s">
        <v>1594</v>
      </c>
      <c r="E262" s="1" t="s">
        <v>1215</v>
      </c>
      <c r="F262" s="1" t="s">
        <v>1224</v>
      </c>
      <c r="G262" s="1" t="s">
        <v>1225</v>
      </c>
      <c r="H262" s="1" t="s">
        <v>1595</v>
      </c>
      <c r="I262" s="1" t="s">
        <v>1596</v>
      </c>
      <c r="J262" t="s">
        <v>4631</v>
      </c>
      <c r="K262" s="1" t="s">
        <v>1597</v>
      </c>
    </row>
    <row r="263" spans="1:11" ht="36" customHeight="1">
      <c r="A263" s="1" t="s">
        <v>1598</v>
      </c>
      <c r="B263" s="1" t="s">
        <v>1599</v>
      </c>
      <c r="C263" s="1">
        <v>2023</v>
      </c>
      <c r="D263" s="1" t="s">
        <v>1600</v>
      </c>
      <c r="E263" s="1" t="s">
        <v>1215</v>
      </c>
      <c r="F263" s="1" t="s">
        <v>1256</v>
      </c>
      <c r="G263" s="1" t="s">
        <v>1601</v>
      </c>
      <c r="H263" s="1" t="s">
        <v>1602</v>
      </c>
      <c r="I263" s="1" t="s">
        <v>1603</v>
      </c>
      <c r="J263" t="s">
        <v>4631</v>
      </c>
      <c r="K263" s="1" t="s">
        <v>1604</v>
      </c>
    </row>
    <row r="264" spans="1:11" ht="24" customHeight="1">
      <c r="A264" s="1" t="s">
        <v>1605</v>
      </c>
      <c r="B264" s="1" t="s">
        <v>1606</v>
      </c>
      <c r="C264" s="1">
        <v>2022</v>
      </c>
      <c r="D264" s="1" t="s">
        <v>1607</v>
      </c>
      <c r="E264" s="1" t="s">
        <v>1215</v>
      </c>
      <c r="F264" s="1" t="s">
        <v>1256</v>
      </c>
      <c r="G264" s="1" t="s">
        <v>1257</v>
      </c>
      <c r="H264" s="1" t="s">
        <v>1608</v>
      </c>
      <c r="I264" s="1" t="s">
        <v>1609</v>
      </c>
      <c r="J264" t="s">
        <v>4631</v>
      </c>
      <c r="K264" s="1" t="s">
        <v>1610</v>
      </c>
    </row>
    <row r="265" spans="1:11" ht="24" customHeight="1">
      <c r="A265" s="1" t="s">
        <v>1611</v>
      </c>
      <c r="B265" s="1" t="s">
        <v>1612</v>
      </c>
      <c r="C265" s="1">
        <v>2018</v>
      </c>
      <c r="D265" s="1" t="s">
        <v>1613</v>
      </c>
      <c r="E265" s="1" t="s">
        <v>1215</v>
      </c>
      <c r="F265" s="1" t="s">
        <v>1256</v>
      </c>
      <c r="G265" s="1" t="s">
        <v>1257</v>
      </c>
      <c r="H265" s="1" t="s">
        <v>1614</v>
      </c>
      <c r="I265" s="1" t="s">
        <v>1615</v>
      </c>
      <c r="J265" t="s">
        <v>4631</v>
      </c>
      <c r="K265" s="1" t="s">
        <v>1616</v>
      </c>
    </row>
    <row r="266" spans="1:11" ht="24" customHeight="1">
      <c r="A266" s="1" t="s">
        <v>1617</v>
      </c>
      <c r="B266" s="1" t="s">
        <v>1618</v>
      </c>
      <c r="C266" s="1">
        <v>2022</v>
      </c>
      <c r="D266" s="1" t="s">
        <v>1619</v>
      </c>
      <c r="E266" s="1" t="s">
        <v>1215</v>
      </c>
      <c r="F266" s="1" t="s">
        <v>1348</v>
      </c>
      <c r="G266" s="1" t="s">
        <v>1349</v>
      </c>
      <c r="H266" s="1" t="s">
        <v>1620</v>
      </c>
      <c r="I266" s="1" t="s">
        <v>1621</v>
      </c>
      <c r="J266" t="s">
        <v>4631</v>
      </c>
      <c r="K266" s="1" t="s">
        <v>1622</v>
      </c>
    </row>
    <row r="267" spans="1:11" ht="24" customHeight="1">
      <c r="A267" s="1" t="s">
        <v>1623</v>
      </c>
      <c r="B267" s="1" t="s">
        <v>1624</v>
      </c>
      <c r="C267" s="1">
        <v>2025</v>
      </c>
      <c r="D267" s="1" t="s">
        <v>1625</v>
      </c>
      <c r="E267" s="1" t="s">
        <v>1215</v>
      </c>
      <c r="F267" s="1" t="s">
        <v>1216</v>
      </c>
      <c r="G267" s="1" t="s">
        <v>1217</v>
      </c>
      <c r="H267" s="1" t="s">
        <v>1626</v>
      </c>
      <c r="I267" s="1" t="s">
        <v>1627</v>
      </c>
      <c r="J267" t="s">
        <v>4631</v>
      </c>
      <c r="K267" s="1" t="s">
        <v>1628</v>
      </c>
    </row>
    <row r="268" spans="1:11" ht="24" customHeight="1">
      <c r="A268" s="1" t="s">
        <v>1629</v>
      </c>
      <c r="B268" s="1" t="s">
        <v>1630</v>
      </c>
      <c r="C268" s="1">
        <v>2025</v>
      </c>
      <c r="D268" s="1" t="s">
        <v>1631</v>
      </c>
      <c r="E268" s="1" t="s">
        <v>1215</v>
      </c>
      <c r="F268" s="1" t="s">
        <v>1256</v>
      </c>
      <c r="G268" s="1" t="s">
        <v>1257</v>
      </c>
      <c r="H268" s="1" t="s">
        <v>1632</v>
      </c>
      <c r="I268" s="1" t="s">
        <v>1633</v>
      </c>
      <c r="J268" t="s">
        <v>4631</v>
      </c>
      <c r="K268" s="1" t="s">
        <v>1634</v>
      </c>
    </row>
    <row r="269" spans="1:11" ht="24" customHeight="1">
      <c r="A269" s="1" t="s">
        <v>1635</v>
      </c>
      <c r="B269" s="1" t="s">
        <v>1636</v>
      </c>
      <c r="C269" s="1">
        <v>2019</v>
      </c>
      <c r="D269" s="1" t="s">
        <v>1637</v>
      </c>
      <c r="E269" s="1" t="s">
        <v>1215</v>
      </c>
      <c r="F269" s="1" t="s">
        <v>1216</v>
      </c>
      <c r="G269" s="1" t="s">
        <v>1217</v>
      </c>
      <c r="H269" s="1" t="s">
        <v>1638</v>
      </c>
      <c r="I269" s="1" t="s">
        <v>1639</v>
      </c>
      <c r="J269" t="s">
        <v>4631</v>
      </c>
      <c r="K269" s="1" t="s">
        <v>1640</v>
      </c>
    </row>
    <row r="270" spans="1:11" ht="108" customHeight="1">
      <c r="A270" s="1" t="s">
        <v>1641</v>
      </c>
      <c r="B270" s="1" t="s">
        <v>1642</v>
      </c>
      <c r="C270" s="1">
        <v>2022</v>
      </c>
      <c r="D270" s="1" t="s">
        <v>1643</v>
      </c>
      <c r="E270" s="1" t="s">
        <v>1215</v>
      </c>
      <c r="F270" s="1" t="s">
        <v>1348</v>
      </c>
      <c r="G270" s="1" t="s">
        <v>1349</v>
      </c>
      <c r="H270" s="1" t="s">
        <v>422</v>
      </c>
      <c r="I270" s="1" t="s">
        <v>1644</v>
      </c>
      <c r="J270" t="s">
        <v>4631</v>
      </c>
      <c r="K270" s="1" t="s">
        <v>1645</v>
      </c>
    </row>
    <row r="271" spans="1:11" ht="108" customHeight="1">
      <c r="A271" s="1" t="s">
        <v>1646</v>
      </c>
      <c r="B271" s="1" t="s">
        <v>1647</v>
      </c>
      <c r="C271" s="1">
        <v>2025</v>
      </c>
      <c r="D271" s="1" t="s">
        <v>1648</v>
      </c>
      <c r="E271" s="1" t="s">
        <v>1215</v>
      </c>
      <c r="F271" s="1" t="s">
        <v>1256</v>
      </c>
      <c r="G271" s="1" t="s">
        <v>1257</v>
      </c>
      <c r="H271" s="1" t="s">
        <v>422</v>
      </c>
      <c r="I271" s="1" t="s">
        <v>1649</v>
      </c>
      <c r="J271" t="s">
        <v>4631</v>
      </c>
      <c r="K271" s="1" t="s">
        <v>1650</v>
      </c>
    </row>
    <row r="272" spans="1:11" ht="84" customHeight="1">
      <c r="A272" s="1" t="s">
        <v>1651</v>
      </c>
      <c r="B272" s="1" t="s">
        <v>1652</v>
      </c>
      <c r="C272" s="1">
        <v>2021</v>
      </c>
      <c r="D272" s="1" t="s">
        <v>1653</v>
      </c>
      <c r="E272" s="1" t="s">
        <v>1215</v>
      </c>
      <c r="F272" s="1" t="s">
        <v>1216</v>
      </c>
      <c r="G272" s="1" t="s">
        <v>1217</v>
      </c>
      <c r="H272" s="1" t="s">
        <v>422</v>
      </c>
      <c r="I272" s="1" t="s">
        <v>1654</v>
      </c>
      <c r="J272" t="s">
        <v>4631</v>
      </c>
      <c r="K272" s="1" t="s">
        <v>1655</v>
      </c>
    </row>
    <row r="273" spans="1:11" ht="24" customHeight="1">
      <c r="A273" s="1" t="s">
        <v>1656</v>
      </c>
      <c r="B273" s="1" t="s">
        <v>1657</v>
      </c>
      <c r="C273" s="1">
        <v>2025</v>
      </c>
      <c r="D273" s="1" t="s">
        <v>1658</v>
      </c>
      <c r="E273" s="1" t="s">
        <v>1215</v>
      </c>
      <c r="F273" s="1" t="s">
        <v>1224</v>
      </c>
      <c r="G273" s="1" t="s">
        <v>1225</v>
      </c>
      <c r="H273" s="1" t="s">
        <v>422</v>
      </c>
      <c r="I273" s="1" t="s">
        <v>1659</v>
      </c>
      <c r="J273" t="s">
        <v>4631</v>
      </c>
      <c r="K273" s="1" t="s">
        <v>1660</v>
      </c>
    </row>
    <row r="274" spans="1:11" ht="108" customHeight="1">
      <c r="A274" s="1" t="s">
        <v>1661</v>
      </c>
      <c r="B274" s="1" t="s">
        <v>1662</v>
      </c>
      <c r="C274" s="1">
        <v>2025</v>
      </c>
      <c r="D274" s="1" t="s">
        <v>1663</v>
      </c>
      <c r="E274" s="1" t="s">
        <v>1215</v>
      </c>
      <c r="F274" s="1" t="s">
        <v>1224</v>
      </c>
      <c r="G274" s="1" t="s">
        <v>1225</v>
      </c>
      <c r="H274" s="1" t="s">
        <v>422</v>
      </c>
      <c r="I274" s="1" t="s">
        <v>1664</v>
      </c>
      <c r="J274" t="s">
        <v>4631</v>
      </c>
      <c r="K274" s="1" t="s">
        <v>1665</v>
      </c>
    </row>
    <row r="275" spans="1:11" ht="24" customHeight="1">
      <c r="A275" s="1" t="s">
        <v>1666</v>
      </c>
      <c r="B275" s="1" t="s">
        <v>1667</v>
      </c>
      <c r="C275" s="1">
        <v>2024</v>
      </c>
      <c r="D275" s="1" t="s">
        <v>1668</v>
      </c>
      <c r="E275" s="1" t="s">
        <v>1215</v>
      </c>
      <c r="F275" s="1" t="s">
        <v>1216</v>
      </c>
      <c r="G275" s="1" t="s">
        <v>1217</v>
      </c>
      <c r="H275" s="1" t="s">
        <v>216</v>
      </c>
      <c r="I275" s="1" t="s">
        <v>1669</v>
      </c>
      <c r="J275" t="s">
        <v>4631</v>
      </c>
      <c r="K275" s="1" t="s">
        <v>1670</v>
      </c>
    </row>
    <row r="276" spans="1:11" ht="108" customHeight="1">
      <c r="A276" s="1" t="s">
        <v>1671</v>
      </c>
      <c r="B276" s="1" t="s">
        <v>1672</v>
      </c>
      <c r="C276" s="1">
        <v>2025</v>
      </c>
      <c r="D276" s="1" t="s">
        <v>1673</v>
      </c>
      <c r="E276" s="1" t="s">
        <v>1215</v>
      </c>
      <c r="F276" s="1" t="s">
        <v>1256</v>
      </c>
      <c r="G276" s="1" t="s">
        <v>1257</v>
      </c>
      <c r="H276" s="1" t="s">
        <v>422</v>
      </c>
      <c r="I276" s="1" t="s">
        <v>1674</v>
      </c>
      <c r="J276" t="s">
        <v>4631</v>
      </c>
      <c r="K276" s="1" t="s">
        <v>1675</v>
      </c>
    </row>
    <row r="277" spans="1:11" ht="108" customHeight="1">
      <c r="A277" s="1" t="s">
        <v>1676</v>
      </c>
      <c r="B277" s="1" t="s">
        <v>1677</v>
      </c>
      <c r="C277" s="1">
        <v>2021</v>
      </c>
      <c r="D277" s="1" t="s">
        <v>1678</v>
      </c>
      <c r="E277" s="1" t="s">
        <v>1215</v>
      </c>
      <c r="F277" s="1" t="s">
        <v>1256</v>
      </c>
      <c r="G277" s="1" t="s">
        <v>1257</v>
      </c>
      <c r="H277" s="1" t="s">
        <v>422</v>
      </c>
      <c r="I277" s="1" t="s">
        <v>1679</v>
      </c>
      <c r="J277" t="s">
        <v>4631</v>
      </c>
      <c r="K277" s="1" t="s">
        <v>1680</v>
      </c>
    </row>
    <row r="278" spans="1:11" ht="60" customHeight="1">
      <c r="A278" s="1" t="s">
        <v>1681</v>
      </c>
      <c r="B278" s="1" t="s">
        <v>1682</v>
      </c>
      <c r="C278" s="1">
        <v>2026</v>
      </c>
      <c r="D278" s="1" t="s">
        <v>1683</v>
      </c>
      <c r="E278" s="1" t="s">
        <v>1215</v>
      </c>
      <c r="F278" s="1" t="s">
        <v>1216</v>
      </c>
      <c r="G278" s="1" t="s">
        <v>1217</v>
      </c>
      <c r="H278" s="1" t="s">
        <v>422</v>
      </c>
      <c r="I278" s="1" t="s">
        <v>1684</v>
      </c>
      <c r="J278" t="s">
        <v>4631</v>
      </c>
      <c r="K278" s="1" t="s">
        <v>1685</v>
      </c>
    </row>
    <row r="279" spans="1:11" ht="96" customHeight="1">
      <c r="A279" s="1" t="s">
        <v>1686</v>
      </c>
      <c r="B279" s="1" t="s">
        <v>1687</v>
      </c>
      <c r="C279" s="1">
        <v>2018</v>
      </c>
      <c r="D279" s="1" t="s">
        <v>1688</v>
      </c>
      <c r="E279" s="1" t="s">
        <v>1215</v>
      </c>
      <c r="F279" s="1" t="s">
        <v>1216</v>
      </c>
      <c r="G279" s="1" t="s">
        <v>1217</v>
      </c>
      <c r="H279" s="1" t="s">
        <v>422</v>
      </c>
      <c r="I279" s="1" t="s">
        <v>1689</v>
      </c>
      <c r="J279" t="s">
        <v>4631</v>
      </c>
      <c r="K279" s="1" t="s">
        <v>1690</v>
      </c>
    </row>
    <row r="280" spans="1:11" ht="84" customHeight="1">
      <c r="A280" s="1" t="s">
        <v>1691</v>
      </c>
      <c r="B280" s="1" t="s">
        <v>1692</v>
      </c>
      <c r="C280" s="1">
        <v>2021</v>
      </c>
      <c r="D280" s="1" t="s">
        <v>1693</v>
      </c>
      <c r="E280" s="1" t="s">
        <v>1215</v>
      </c>
      <c r="F280" s="1" t="s">
        <v>1224</v>
      </c>
      <c r="G280" s="1" t="s">
        <v>1225</v>
      </c>
      <c r="H280" s="1" t="s">
        <v>422</v>
      </c>
      <c r="I280" s="1" t="s">
        <v>1694</v>
      </c>
      <c r="J280" t="s">
        <v>4631</v>
      </c>
      <c r="K280" s="1" t="s">
        <v>1695</v>
      </c>
    </row>
    <row r="281" spans="1:11" ht="132" customHeight="1">
      <c r="A281" s="1" t="s">
        <v>1696</v>
      </c>
      <c r="B281" s="1" t="s">
        <v>1697</v>
      </c>
      <c r="C281" s="1">
        <v>2021</v>
      </c>
      <c r="D281" s="1" t="s">
        <v>1698</v>
      </c>
      <c r="E281" s="1" t="s">
        <v>1215</v>
      </c>
      <c r="F281" s="1" t="s">
        <v>1348</v>
      </c>
      <c r="G281" s="1" t="s">
        <v>1349</v>
      </c>
      <c r="H281" s="1" t="s">
        <v>422</v>
      </c>
      <c r="I281" s="1" t="s">
        <v>1699</v>
      </c>
      <c r="J281" t="s">
        <v>4631</v>
      </c>
      <c r="K281" s="1" t="s">
        <v>1700</v>
      </c>
    </row>
    <row r="282" spans="1:11" ht="96" customHeight="1">
      <c r="A282" s="1" t="s">
        <v>1701</v>
      </c>
      <c r="B282" s="1" t="s">
        <v>1702</v>
      </c>
      <c r="C282" s="1">
        <v>2025</v>
      </c>
      <c r="D282" s="1" t="s">
        <v>1703</v>
      </c>
      <c r="E282" s="1" t="s">
        <v>1215</v>
      </c>
      <c r="F282" s="1" t="s">
        <v>1224</v>
      </c>
      <c r="G282" s="1" t="s">
        <v>1225</v>
      </c>
      <c r="H282" s="1" t="s">
        <v>422</v>
      </c>
      <c r="I282" s="1" t="s">
        <v>1704</v>
      </c>
      <c r="J282" t="s">
        <v>4631</v>
      </c>
      <c r="K282" s="1" t="s">
        <v>1705</v>
      </c>
    </row>
    <row r="283" spans="1:11" ht="108" customHeight="1">
      <c r="A283" s="1" t="s">
        <v>1706</v>
      </c>
      <c r="B283" s="1" t="s">
        <v>1707</v>
      </c>
      <c r="C283" s="1">
        <v>2015</v>
      </c>
      <c r="D283" s="1" t="s">
        <v>1708</v>
      </c>
      <c r="E283" s="1" t="s">
        <v>1215</v>
      </c>
      <c r="F283" s="1" t="s">
        <v>1224</v>
      </c>
      <c r="G283" s="1" t="s">
        <v>1225</v>
      </c>
      <c r="H283" s="1" t="s">
        <v>422</v>
      </c>
      <c r="I283" s="1" t="s">
        <v>1709</v>
      </c>
      <c r="J283" t="s">
        <v>4631</v>
      </c>
      <c r="K283" s="1" t="s">
        <v>1710</v>
      </c>
    </row>
    <row r="284" spans="1:11" ht="108" customHeight="1">
      <c r="A284" s="1" t="s">
        <v>1711</v>
      </c>
      <c r="B284" s="1" t="s">
        <v>1712</v>
      </c>
      <c r="C284" s="1">
        <v>2025</v>
      </c>
      <c r="D284" s="1" t="s">
        <v>1713</v>
      </c>
      <c r="E284" s="1" t="s">
        <v>1215</v>
      </c>
      <c r="F284" s="1" t="s">
        <v>1256</v>
      </c>
      <c r="G284" s="1" t="s">
        <v>1257</v>
      </c>
      <c r="H284" s="1" t="s">
        <v>422</v>
      </c>
      <c r="I284" s="1" t="s">
        <v>1714</v>
      </c>
      <c r="J284" t="s">
        <v>4631</v>
      </c>
      <c r="K284" s="1" t="s">
        <v>1715</v>
      </c>
    </row>
    <row r="285" spans="1:11" ht="132" customHeight="1">
      <c r="A285" s="1" t="s">
        <v>1716</v>
      </c>
      <c r="B285" s="1" t="s">
        <v>1717</v>
      </c>
      <c r="C285" s="1">
        <v>2021</v>
      </c>
      <c r="D285" s="1" t="s">
        <v>1718</v>
      </c>
      <c r="E285" s="1" t="s">
        <v>1215</v>
      </c>
      <c r="F285" s="1" t="s">
        <v>1348</v>
      </c>
      <c r="G285" s="1" t="s">
        <v>1349</v>
      </c>
      <c r="H285" s="1" t="s">
        <v>422</v>
      </c>
      <c r="I285" s="1" t="s">
        <v>1719</v>
      </c>
      <c r="J285" t="s">
        <v>4631</v>
      </c>
      <c r="K285" s="1" t="s">
        <v>1720</v>
      </c>
    </row>
    <row r="286" spans="1:11" ht="96" customHeight="1">
      <c r="A286" s="1" t="s">
        <v>1721</v>
      </c>
      <c r="B286" s="1" t="s">
        <v>1722</v>
      </c>
      <c r="C286" s="1">
        <v>2023</v>
      </c>
      <c r="D286" s="1" t="s">
        <v>1723</v>
      </c>
      <c r="E286" s="1" t="s">
        <v>1215</v>
      </c>
      <c r="F286" s="1" t="s">
        <v>1216</v>
      </c>
      <c r="G286" s="1" t="s">
        <v>1217</v>
      </c>
      <c r="H286" s="1" t="s">
        <v>422</v>
      </c>
      <c r="I286" s="1" t="s">
        <v>1724</v>
      </c>
      <c r="J286" t="s">
        <v>4631</v>
      </c>
      <c r="K286" s="1" t="s">
        <v>1725</v>
      </c>
    </row>
    <row r="287" spans="1:11" ht="84" customHeight="1">
      <c r="A287" s="1" t="s">
        <v>1726</v>
      </c>
      <c r="B287" s="1" t="s">
        <v>1727</v>
      </c>
      <c r="C287" s="1">
        <v>2025</v>
      </c>
      <c r="D287" s="1" t="s">
        <v>1728</v>
      </c>
      <c r="E287" s="1" t="s">
        <v>1215</v>
      </c>
      <c r="F287" s="1" t="s">
        <v>1216</v>
      </c>
      <c r="G287" s="1" t="s">
        <v>1217</v>
      </c>
      <c r="H287" s="1" t="s">
        <v>422</v>
      </c>
      <c r="I287" s="1" t="s">
        <v>1729</v>
      </c>
      <c r="J287" t="s">
        <v>4631</v>
      </c>
      <c r="K287" s="1" t="s">
        <v>1730</v>
      </c>
    </row>
    <row r="288" spans="1:11" ht="96" customHeight="1">
      <c r="A288" s="1" t="s">
        <v>1731</v>
      </c>
      <c r="B288" s="1" t="s">
        <v>1732</v>
      </c>
      <c r="C288" s="1">
        <v>2020</v>
      </c>
      <c r="D288" s="1" t="s">
        <v>1733</v>
      </c>
      <c r="E288" s="1" t="s">
        <v>1215</v>
      </c>
      <c r="F288" s="1" t="s">
        <v>1348</v>
      </c>
      <c r="G288" s="1" t="s">
        <v>1349</v>
      </c>
      <c r="H288" s="1" t="s">
        <v>422</v>
      </c>
      <c r="I288" s="1" t="s">
        <v>1734</v>
      </c>
      <c r="J288" t="s">
        <v>4631</v>
      </c>
      <c r="K288" s="1" t="s">
        <v>1735</v>
      </c>
    </row>
    <row r="289" spans="1:11" ht="84" customHeight="1">
      <c r="A289" s="1" t="s">
        <v>1736</v>
      </c>
      <c r="B289" s="1" t="s">
        <v>1737</v>
      </c>
      <c r="C289" s="1">
        <v>2015</v>
      </c>
      <c r="D289" s="1" t="s">
        <v>1738</v>
      </c>
      <c r="E289" s="1" t="s">
        <v>1215</v>
      </c>
      <c r="F289" s="1" t="s">
        <v>1224</v>
      </c>
      <c r="G289" s="1" t="s">
        <v>1225</v>
      </c>
      <c r="H289" s="1" t="s">
        <v>422</v>
      </c>
      <c r="I289" s="1" t="s">
        <v>1739</v>
      </c>
      <c r="J289" t="s">
        <v>4631</v>
      </c>
      <c r="K289" s="1" t="s">
        <v>1740</v>
      </c>
    </row>
    <row r="290" spans="1:11" ht="108" customHeight="1">
      <c r="A290" s="1" t="s">
        <v>1741</v>
      </c>
      <c r="B290" s="1" t="s">
        <v>1742</v>
      </c>
      <c r="C290" s="1">
        <v>2025</v>
      </c>
      <c r="D290" s="1" t="s">
        <v>1743</v>
      </c>
      <c r="E290" s="1" t="s">
        <v>1215</v>
      </c>
      <c r="F290" s="1" t="s">
        <v>1216</v>
      </c>
      <c r="G290" s="1" t="s">
        <v>1217</v>
      </c>
      <c r="H290" s="1" t="s">
        <v>422</v>
      </c>
      <c r="I290" s="1" t="s">
        <v>1744</v>
      </c>
      <c r="J290" t="s">
        <v>4631</v>
      </c>
      <c r="K290" s="1" t="s">
        <v>1745</v>
      </c>
    </row>
    <row r="291" spans="1:11" ht="72" customHeight="1">
      <c r="A291" s="1" t="s">
        <v>1746</v>
      </c>
      <c r="B291" s="1" t="s">
        <v>1747</v>
      </c>
      <c r="C291" s="1">
        <v>2025</v>
      </c>
      <c r="D291" s="1" t="s">
        <v>1748</v>
      </c>
      <c r="E291" s="1" t="s">
        <v>1215</v>
      </c>
      <c r="F291" s="1" t="s">
        <v>1216</v>
      </c>
      <c r="G291" s="1" t="s">
        <v>1217</v>
      </c>
      <c r="H291" s="1" t="s">
        <v>422</v>
      </c>
      <c r="I291" s="1" t="s">
        <v>1749</v>
      </c>
      <c r="J291" t="s">
        <v>4631</v>
      </c>
      <c r="K291" s="1" t="s">
        <v>1750</v>
      </c>
    </row>
    <row r="292" spans="1:11" ht="84" customHeight="1">
      <c r="A292" s="1" t="s">
        <v>1751</v>
      </c>
      <c r="B292" s="1" t="s">
        <v>1752</v>
      </c>
      <c r="C292" s="1">
        <v>2021</v>
      </c>
      <c r="D292" s="1" t="s">
        <v>1753</v>
      </c>
      <c r="E292" s="1" t="s">
        <v>1215</v>
      </c>
      <c r="F292" s="1" t="s">
        <v>1216</v>
      </c>
      <c r="G292" s="1" t="s">
        <v>1217</v>
      </c>
      <c r="H292" s="1" t="s">
        <v>422</v>
      </c>
      <c r="I292" s="1" t="s">
        <v>1754</v>
      </c>
      <c r="J292" t="s">
        <v>4631</v>
      </c>
      <c r="K292" s="1" t="s">
        <v>1755</v>
      </c>
    </row>
    <row r="293" spans="1:11" ht="96" customHeight="1">
      <c r="A293" s="1" t="s">
        <v>1756</v>
      </c>
      <c r="B293" s="1" t="s">
        <v>1757</v>
      </c>
      <c r="C293" s="1">
        <v>2021</v>
      </c>
      <c r="D293" s="1" t="s">
        <v>1758</v>
      </c>
      <c r="E293" s="1" t="s">
        <v>1215</v>
      </c>
      <c r="F293" s="1" t="s">
        <v>1256</v>
      </c>
      <c r="G293" s="1" t="s">
        <v>1257</v>
      </c>
      <c r="H293" s="1" t="s">
        <v>422</v>
      </c>
      <c r="I293" s="1" t="s">
        <v>1759</v>
      </c>
      <c r="J293" t="s">
        <v>4631</v>
      </c>
      <c r="K293" s="1" t="s">
        <v>1760</v>
      </c>
    </row>
    <row r="294" spans="1:11" ht="24" customHeight="1">
      <c r="A294" s="1" t="s">
        <v>1761</v>
      </c>
      <c r="B294" s="1" t="s">
        <v>1762</v>
      </c>
      <c r="C294" s="1">
        <v>2021</v>
      </c>
      <c r="D294" s="1" t="s">
        <v>1763</v>
      </c>
      <c r="E294" s="1" t="s">
        <v>1215</v>
      </c>
      <c r="F294" s="1" t="s">
        <v>1256</v>
      </c>
      <c r="G294" s="1" t="s">
        <v>1257</v>
      </c>
      <c r="H294" s="1" t="s">
        <v>222</v>
      </c>
      <c r="I294" s="1" t="s">
        <v>1764</v>
      </c>
      <c r="J294" t="s">
        <v>4631</v>
      </c>
      <c r="K294" s="1" t="s">
        <v>1765</v>
      </c>
    </row>
    <row r="295" spans="1:11" ht="84" customHeight="1">
      <c r="A295" s="1" t="s">
        <v>1766</v>
      </c>
      <c r="B295" s="1" t="s">
        <v>1767</v>
      </c>
      <c r="C295" s="1">
        <v>2026</v>
      </c>
      <c r="D295" s="1" t="s">
        <v>1768</v>
      </c>
      <c r="E295" s="1" t="s">
        <v>1215</v>
      </c>
      <c r="F295" s="1" t="s">
        <v>1256</v>
      </c>
      <c r="G295" s="1" t="s">
        <v>1257</v>
      </c>
      <c r="H295" s="1" t="s">
        <v>422</v>
      </c>
      <c r="I295" s="1" t="s">
        <v>1769</v>
      </c>
      <c r="J295" t="s">
        <v>4631</v>
      </c>
      <c r="K295" s="1" t="s">
        <v>1770</v>
      </c>
    </row>
    <row r="296" spans="1:11" ht="84" customHeight="1">
      <c r="A296" s="1" t="s">
        <v>1771</v>
      </c>
      <c r="B296" s="1" t="s">
        <v>1772</v>
      </c>
      <c r="C296" s="1">
        <v>2017</v>
      </c>
      <c r="D296" s="1" t="s">
        <v>1773</v>
      </c>
      <c r="E296" s="1" t="s">
        <v>1215</v>
      </c>
      <c r="F296" s="1" t="s">
        <v>1216</v>
      </c>
      <c r="G296" s="1" t="s">
        <v>1217</v>
      </c>
      <c r="H296" s="1" t="s">
        <v>422</v>
      </c>
      <c r="I296" s="1" t="s">
        <v>1774</v>
      </c>
      <c r="J296" t="s">
        <v>4631</v>
      </c>
      <c r="K296" s="1" t="s">
        <v>1775</v>
      </c>
    </row>
    <row r="297" spans="1:11" ht="60" customHeight="1">
      <c r="A297" s="1" t="s">
        <v>1776</v>
      </c>
      <c r="B297" s="1" t="s">
        <v>1777</v>
      </c>
      <c r="C297" s="1">
        <v>2026</v>
      </c>
      <c r="D297" s="1" t="s">
        <v>1778</v>
      </c>
      <c r="E297" s="1" t="s">
        <v>1215</v>
      </c>
      <c r="F297" s="1" t="s">
        <v>1224</v>
      </c>
      <c r="G297" s="1" t="s">
        <v>1225</v>
      </c>
      <c r="H297" s="1" t="s">
        <v>422</v>
      </c>
      <c r="I297" s="1" t="s">
        <v>1779</v>
      </c>
      <c r="J297" t="s">
        <v>4631</v>
      </c>
      <c r="K297" s="1" t="s">
        <v>1780</v>
      </c>
    </row>
    <row r="298" spans="1:11" ht="36" customHeight="1">
      <c r="A298" s="1" t="s">
        <v>1781</v>
      </c>
      <c r="B298" s="1" t="s">
        <v>1782</v>
      </c>
      <c r="C298" s="1">
        <v>2025</v>
      </c>
      <c r="D298" s="1" t="s">
        <v>1783</v>
      </c>
      <c r="E298" s="1" t="s">
        <v>1215</v>
      </c>
      <c r="F298" s="1" t="s">
        <v>1216</v>
      </c>
      <c r="G298" s="1" t="s">
        <v>1217</v>
      </c>
      <c r="H298" s="1" t="s">
        <v>222</v>
      </c>
      <c r="I298" s="1" t="s">
        <v>1784</v>
      </c>
      <c r="J298" t="s">
        <v>4631</v>
      </c>
      <c r="K298" s="1" t="s">
        <v>1785</v>
      </c>
    </row>
    <row r="299" spans="1:11" ht="132" customHeight="1">
      <c r="A299" s="1" t="s">
        <v>1786</v>
      </c>
      <c r="B299" s="1" t="s">
        <v>1787</v>
      </c>
      <c r="C299" s="1">
        <v>2019</v>
      </c>
      <c r="D299" s="1" t="s">
        <v>1788</v>
      </c>
      <c r="E299" s="1" t="s">
        <v>1215</v>
      </c>
      <c r="F299" s="1" t="s">
        <v>1348</v>
      </c>
      <c r="G299" s="1" t="s">
        <v>1349</v>
      </c>
      <c r="H299" s="1" t="s">
        <v>422</v>
      </c>
      <c r="I299" s="1" t="s">
        <v>1789</v>
      </c>
      <c r="J299" t="s">
        <v>4631</v>
      </c>
      <c r="K299" s="1" t="s">
        <v>1790</v>
      </c>
    </row>
    <row r="300" spans="1:11" ht="108" customHeight="1">
      <c r="A300" s="1" t="s">
        <v>1791</v>
      </c>
      <c r="B300" s="1" t="s">
        <v>1792</v>
      </c>
      <c r="C300" s="1">
        <v>2026</v>
      </c>
      <c r="D300" s="1" t="s">
        <v>1793</v>
      </c>
      <c r="E300" s="1" t="s">
        <v>1215</v>
      </c>
      <c r="F300" s="1" t="s">
        <v>1256</v>
      </c>
      <c r="G300" s="1" t="s">
        <v>1257</v>
      </c>
      <c r="H300" s="1" t="s">
        <v>422</v>
      </c>
      <c r="I300" s="1" t="s">
        <v>1794</v>
      </c>
      <c r="J300" t="s">
        <v>4631</v>
      </c>
      <c r="K300" s="1" t="s">
        <v>1795</v>
      </c>
    </row>
    <row r="301" spans="1:11" ht="120" customHeight="1">
      <c r="A301" s="1" t="s">
        <v>1796</v>
      </c>
      <c r="B301" s="1" t="s">
        <v>1797</v>
      </c>
      <c r="C301" s="1">
        <v>2026</v>
      </c>
      <c r="D301" s="1" t="s">
        <v>1798</v>
      </c>
      <c r="E301" s="1" t="s">
        <v>1215</v>
      </c>
      <c r="F301" s="1" t="s">
        <v>1256</v>
      </c>
      <c r="G301" s="1" t="s">
        <v>1257</v>
      </c>
      <c r="H301" s="1" t="s">
        <v>422</v>
      </c>
      <c r="I301" s="1" t="s">
        <v>1799</v>
      </c>
      <c r="J301" t="s">
        <v>4631</v>
      </c>
      <c r="K301" s="1" t="s">
        <v>1800</v>
      </c>
    </row>
    <row r="302" spans="1:11" ht="132" customHeight="1">
      <c r="A302" s="1" t="s">
        <v>1801</v>
      </c>
      <c r="B302" s="1" t="s">
        <v>1802</v>
      </c>
      <c r="C302" s="1">
        <v>2021</v>
      </c>
      <c r="D302" s="1" t="s">
        <v>1803</v>
      </c>
      <c r="E302" s="1" t="s">
        <v>1215</v>
      </c>
      <c r="F302" s="1" t="s">
        <v>1216</v>
      </c>
      <c r="G302" s="1" t="s">
        <v>1217</v>
      </c>
      <c r="H302" s="1" t="s">
        <v>422</v>
      </c>
      <c r="I302" s="1" t="s">
        <v>1804</v>
      </c>
      <c r="J302" t="s">
        <v>4631</v>
      </c>
      <c r="K302" s="1" t="s">
        <v>1805</v>
      </c>
    </row>
    <row r="303" spans="1:11" ht="24" customHeight="1">
      <c r="A303" s="1" t="s">
        <v>1806</v>
      </c>
      <c r="B303" s="1" t="s">
        <v>1807</v>
      </c>
      <c r="C303" s="1">
        <v>2021</v>
      </c>
      <c r="D303" s="1" t="s">
        <v>1808</v>
      </c>
      <c r="E303" s="1" t="s">
        <v>1215</v>
      </c>
      <c r="F303" s="1" t="s">
        <v>1224</v>
      </c>
      <c r="G303" s="1" t="s">
        <v>1225</v>
      </c>
      <c r="H303" s="1" t="s">
        <v>229</v>
      </c>
      <c r="I303" s="1" t="s">
        <v>1809</v>
      </c>
      <c r="J303" t="s">
        <v>4631</v>
      </c>
      <c r="K303" s="1" t="s">
        <v>1810</v>
      </c>
    </row>
    <row r="304" spans="1:11" ht="24" customHeight="1">
      <c r="A304" s="1" t="s">
        <v>1811</v>
      </c>
      <c r="B304" s="1" t="s">
        <v>1812</v>
      </c>
      <c r="C304" s="1">
        <v>2021</v>
      </c>
      <c r="D304" s="1" t="s">
        <v>1813</v>
      </c>
      <c r="E304" s="1" t="s">
        <v>1215</v>
      </c>
      <c r="F304" s="1" t="s">
        <v>1216</v>
      </c>
      <c r="G304" s="1" t="s">
        <v>1217</v>
      </c>
      <c r="H304" s="1" t="s">
        <v>222</v>
      </c>
      <c r="I304" s="1" t="s">
        <v>1814</v>
      </c>
      <c r="J304" t="s">
        <v>4631</v>
      </c>
      <c r="K304" s="1" t="s">
        <v>1815</v>
      </c>
    </row>
    <row r="305" spans="1:11" ht="24" customHeight="1">
      <c r="A305" s="1" t="s">
        <v>1816</v>
      </c>
      <c r="B305" s="1" t="s">
        <v>1817</v>
      </c>
      <c r="C305" s="1">
        <v>2025</v>
      </c>
      <c r="D305" s="1" t="s">
        <v>1818</v>
      </c>
      <c r="E305" s="1" t="s">
        <v>1215</v>
      </c>
      <c r="F305" s="1" t="s">
        <v>1224</v>
      </c>
      <c r="G305" s="1" t="s">
        <v>1225</v>
      </c>
      <c r="H305" s="1" t="s">
        <v>422</v>
      </c>
      <c r="I305" s="1" t="s">
        <v>1819</v>
      </c>
      <c r="J305" t="s">
        <v>4631</v>
      </c>
      <c r="K305" s="1" t="s">
        <v>1820</v>
      </c>
    </row>
    <row r="306" spans="1:11" ht="84" customHeight="1">
      <c r="A306" s="1" t="s">
        <v>1821</v>
      </c>
      <c r="B306" s="1" t="s">
        <v>1822</v>
      </c>
      <c r="C306" s="1">
        <v>2024</v>
      </c>
      <c r="D306" s="1" t="s">
        <v>1823</v>
      </c>
      <c r="E306" s="1" t="s">
        <v>1215</v>
      </c>
      <c r="F306" s="1" t="s">
        <v>1224</v>
      </c>
      <c r="G306" s="1" t="s">
        <v>1225</v>
      </c>
      <c r="H306" s="1" t="s">
        <v>422</v>
      </c>
      <c r="I306" s="1" t="s">
        <v>1824</v>
      </c>
      <c r="J306" t="s">
        <v>4631</v>
      </c>
      <c r="K306" s="1" t="s">
        <v>1825</v>
      </c>
    </row>
    <row r="307" spans="1:11" ht="108" customHeight="1">
      <c r="A307" s="1" t="s">
        <v>1826</v>
      </c>
      <c r="B307" s="1" t="s">
        <v>1827</v>
      </c>
      <c r="C307" s="1">
        <v>2019</v>
      </c>
      <c r="D307" s="1" t="s">
        <v>1828</v>
      </c>
      <c r="E307" s="1" t="s">
        <v>1215</v>
      </c>
      <c r="F307" s="1" t="s">
        <v>1256</v>
      </c>
      <c r="G307" s="1" t="s">
        <v>1257</v>
      </c>
      <c r="H307" s="1" t="s">
        <v>422</v>
      </c>
      <c r="I307" s="1" t="s">
        <v>1829</v>
      </c>
      <c r="J307" t="s">
        <v>4631</v>
      </c>
      <c r="K307" s="1" t="s">
        <v>1830</v>
      </c>
    </row>
    <row r="308" spans="1:11" ht="24" customHeight="1">
      <c r="A308" s="1" t="s">
        <v>1831</v>
      </c>
      <c r="B308" s="1" t="s">
        <v>1832</v>
      </c>
      <c r="C308" s="1">
        <v>2022</v>
      </c>
      <c r="D308" s="1" t="s">
        <v>1833</v>
      </c>
      <c r="E308" s="1" t="s">
        <v>1215</v>
      </c>
      <c r="F308" s="1" t="s">
        <v>1216</v>
      </c>
      <c r="G308" s="1" t="s">
        <v>1217</v>
      </c>
      <c r="H308" s="1" t="s">
        <v>422</v>
      </c>
      <c r="I308" s="1" t="s">
        <v>1834</v>
      </c>
      <c r="J308" t="s">
        <v>4631</v>
      </c>
      <c r="K308" s="1" t="s">
        <v>1835</v>
      </c>
    </row>
    <row r="309" spans="1:11" ht="24" customHeight="1">
      <c r="A309" s="1" t="s">
        <v>1836</v>
      </c>
      <c r="B309" s="1" t="s">
        <v>1837</v>
      </c>
      <c r="C309" s="1">
        <v>2018</v>
      </c>
      <c r="D309" s="1" t="s">
        <v>1838</v>
      </c>
      <c r="E309" s="1" t="s">
        <v>1215</v>
      </c>
      <c r="F309" s="1" t="s">
        <v>1256</v>
      </c>
      <c r="G309" s="1" t="s">
        <v>1257</v>
      </c>
      <c r="H309" s="1" t="s">
        <v>297</v>
      </c>
      <c r="I309" s="1" t="s">
        <v>1839</v>
      </c>
      <c r="J309" t="s">
        <v>4631</v>
      </c>
      <c r="K309" s="1" t="s">
        <v>1840</v>
      </c>
    </row>
    <row r="310" spans="1:11" ht="96" customHeight="1">
      <c r="A310" s="1" t="s">
        <v>1841</v>
      </c>
      <c r="B310" s="1" t="s">
        <v>1842</v>
      </c>
      <c r="C310" s="1">
        <v>2024</v>
      </c>
      <c r="D310" s="1" t="s">
        <v>1843</v>
      </c>
      <c r="E310" s="1" t="s">
        <v>1215</v>
      </c>
      <c r="F310" s="1" t="s">
        <v>1216</v>
      </c>
      <c r="G310" s="1" t="s">
        <v>1217</v>
      </c>
      <c r="H310" s="1" t="s">
        <v>422</v>
      </c>
      <c r="I310" s="1" t="s">
        <v>1844</v>
      </c>
      <c r="J310" t="s">
        <v>4631</v>
      </c>
      <c r="K310" s="1" t="s">
        <v>1845</v>
      </c>
    </row>
    <row r="311" spans="1:11" ht="48" customHeight="1">
      <c r="A311" s="1" t="s">
        <v>1846</v>
      </c>
      <c r="B311" s="1" t="s">
        <v>1847</v>
      </c>
      <c r="C311" s="1">
        <v>2025</v>
      </c>
      <c r="D311" s="1" t="s">
        <v>1848</v>
      </c>
      <c r="E311" s="1" t="s">
        <v>1215</v>
      </c>
      <c r="F311" s="1" t="s">
        <v>1256</v>
      </c>
      <c r="G311" s="1" t="s">
        <v>1257</v>
      </c>
      <c r="H311" s="1" t="s">
        <v>1849</v>
      </c>
      <c r="I311" s="1" t="s">
        <v>1850</v>
      </c>
      <c r="J311" t="s">
        <v>4631</v>
      </c>
      <c r="K311" s="1" t="s">
        <v>1851</v>
      </c>
    </row>
    <row r="312" spans="1:11" ht="36" customHeight="1">
      <c r="A312" s="1" t="s">
        <v>1852</v>
      </c>
      <c r="B312" s="1" t="s">
        <v>1853</v>
      </c>
      <c r="C312" s="1">
        <v>2023</v>
      </c>
      <c r="D312" s="1" t="s">
        <v>1854</v>
      </c>
      <c r="E312" s="1" t="s">
        <v>1215</v>
      </c>
      <c r="F312" s="1" t="s">
        <v>1216</v>
      </c>
      <c r="G312" s="1" t="s">
        <v>1217</v>
      </c>
      <c r="H312" s="1" t="s">
        <v>1855</v>
      </c>
      <c r="I312" s="1" t="s">
        <v>1856</v>
      </c>
      <c r="J312" t="s">
        <v>4631</v>
      </c>
      <c r="K312" s="1" t="s">
        <v>1857</v>
      </c>
    </row>
    <row r="313" spans="1:11" ht="84" customHeight="1">
      <c r="A313" s="1" t="s">
        <v>1858</v>
      </c>
      <c r="B313" s="1" t="s">
        <v>1859</v>
      </c>
      <c r="C313" s="1">
        <v>2023</v>
      </c>
      <c r="D313" s="1" t="s">
        <v>1860</v>
      </c>
      <c r="E313" s="1" t="s">
        <v>1215</v>
      </c>
      <c r="F313" s="1" t="s">
        <v>1216</v>
      </c>
      <c r="G313" s="1" t="s">
        <v>1217</v>
      </c>
      <c r="H313" s="1" t="s">
        <v>422</v>
      </c>
      <c r="I313" s="1" t="s">
        <v>1861</v>
      </c>
      <c r="J313" t="s">
        <v>4631</v>
      </c>
      <c r="K313" s="1" t="s">
        <v>1862</v>
      </c>
    </row>
    <row r="314" spans="1:11" ht="36" customHeight="1">
      <c r="A314" s="1" t="s">
        <v>1863</v>
      </c>
      <c r="B314" s="1" t="s">
        <v>1864</v>
      </c>
      <c r="C314" s="1">
        <v>2022</v>
      </c>
      <c r="D314" s="1" t="s">
        <v>1865</v>
      </c>
      <c r="E314" s="1" t="s">
        <v>1215</v>
      </c>
      <c r="F314" s="1" t="s">
        <v>1348</v>
      </c>
      <c r="G314" s="1" t="s">
        <v>1349</v>
      </c>
      <c r="H314" s="1" t="s">
        <v>1866</v>
      </c>
      <c r="I314" s="1" t="s">
        <v>1867</v>
      </c>
      <c r="J314" t="s">
        <v>4631</v>
      </c>
      <c r="K314" s="1" t="s">
        <v>1868</v>
      </c>
    </row>
    <row r="315" spans="1:11" ht="24" customHeight="1">
      <c r="A315" s="1" t="s">
        <v>1869</v>
      </c>
      <c r="B315" s="1" t="s">
        <v>1870</v>
      </c>
      <c r="C315" s="1">
        <v>2018</v>
      </c>
      <c r="D315" s="1" t="s">
        <v>1871</v>
      </c>
      <c r="E315" s="1" t="s">
        <v>1215</v>
      </c>
      <c r="F315" s="1" t="s">
        <v>1256</v>
      </c>
      <c r="G315" s="1" t="s">
        <v>1257</v>
      </c>
      <c r="H315" s="1" t="s">
        <v>216</v>
      </c>
      <c r="I315" s="1" t="s">
        <v>1872</v>
      </c>
      <c r="J315" t="s">
        <v>4631</v>
      </c>
      <c r="K315" s="1" t="s">
        <v>1873</v>
      </c>
    </row>
    <row r="316" spans="1:11" ht="36" customHeight="1">
      <c r="A316" s="1" t="s">
        <v>1874</v>
      </c>
      <c r="B316" s="1" t="s">
        <v>1875</v>
      </c>
      <c r="C316" s="1">
        <v>2018</v>
      </c>
      <c r="D316" s="1" t="s">
        <v>1876</v>
      </c>
      <c r="E316" s="1" t="s">
        <v>1215</v>
      </c>
      <c r="F316" s="1" t="s">
        <v>1224</v>
      </c>
      <c r="G316" s="1" t="s">
        <v>1225</v>
      </c>
      <c r="H316" s="1" t="s">
        <v>1877</v>
      </c>
      <c r="I316" s="1" t="s">
        <v>1878</v>
      </c>
      <c r="J316" t="s">
        <v>4631</v>
      </c>
      <c r="K316" s="1" t="s">
        <v>1879</v>
      </c>
    </row>
    <row r="317" spans="1:11" ht="24" customHeight="1">
      <c r="A317" s="1" t="s">
        <v>1880</v>
      </c>
      <c r="B317" s="1" t="s">
        <v>1881</v>
      </c>
      <c r="C317" s="1">
        <v>2022</v>
      </c>
      <c r="D317" s="1" t="s">
        <v>1882</v>
      </c>
      <c r="E317" s="1" t="s">
        <v>1215</v>
      </c>
      <c r="F317" s="1" t="s">
        <v>1348</v>
      </c>
      <c r="G317" s="1" t="s">
        <v>1349</v>
      </c>
      <c r="H317" s="1" t="s">
        <v>205</v>
      </c>
      <c r="I317" s="1" t="s">
        <v>1883</v>
      </c>
      <c r="J317" t="s">
        <v>4631</v>
      </c>
      <c r="K317" s="1" t="s">
        <v>1884</v>
      </c>
    </row>
    <row r="318" spans="1:11" ht="24" customHeight="1">
      <c r="A318" s="1" t="s">
        <v>1885</v>
      </c>
      <c r="B318" s="1" t="s">
        <v>1886</v>
      </c>
      <c r="C318" s="1">
        <v>2022</v>
      </c>
      <c r="D318" s="1" t="s">
        <v>1887</v>
      </c>
      <c r="E318" s="1" t="s">
        <v>1215</v>
      </c>
      <c r="F318" s="1" t="s">
        <v>1216</v>
      </c>
      <c r="G318" s="1" t="s">
        <v>1217</v>
      </c>
      <c r="H318" s="1" t="s">
        <v>297</v>
      </c>
      <c r="I318" s="1" t="s">
        <v>1888</v>
      </c>
      <c r="J318" t="s">
        <v>4631</v>
      </c>
      <c r="K318" s="1" t="s">
        <v>1889</v>
      </c>
    </row>
    <row r="319" spans="1:11" ht="48" customHeight="1">
      <c r="A319" s="1" t="s">
        <v>1890</v>
      </c>
      <c r="B319" s="1" t="s">
        <v>1891</v>
      </c>
      <c r="C319" s="1">
        <v>2024</v>
      </c>
      <c r="D319" s="1" t="s">
        <v>1892</v>
      </c>
      <c r="E319" s="1" t="s">
        <v>1215</v>
      </c>
      <c r="F319" s="1" t="s">
        <v>1256</v>
      </c>
      <c r="G319" s="1" t="s">
        <v>1257</v>
      </c>
      <c r="H319" s="1" t="s">
        <v>1893</v>
      </c>
      <c r="I319" s="1" t="s">
        <v>1894</v>
      </c>
      <c r="J319" t="s">
        <v>4631</v>
      </c>
      <c r="K319" s="1" t="s">
        <v>1895</v>
      </c>
    </row>
    <row r="320" spans="1:11" ht="84" customHeight="1">
      <c r="A320" s="1" t="s">
        <v>1896</v>
      </c>
      <c r="B320" s="1" t="s">
        <v>1897</v>
      </c>
      <c r="C320" s="1">
        <v>2025</v>
      </c>
      <c r="D320" s="1" t="s">
        <v>1898</v>
      </c>
      <c r="E320" s="1" t="s">
        <v>1215</v>
      </c>
      <c r="F320" s="1" t="s">
        <v>1216</v>
      </c>
      <c r="G320" s="1" t="s">
        <v>1217</v>
      </c>
      <c r="H320" s="1" t="s">
        <v>422</v>
      </c>
      <c r="I320" s="1" t="s">
        <v>1899</v>
      </c>
      <c r="J320" t="s">
        <v>4631</v>
      </c>
      <c r="K320" s="1" t="s">
        <v>1900</v>
      </c>
    </row>
    <row r="321" spans="1:11" ht="96" customHeight="1">
      <c r="A321" s="1" t="s">
        <v>1901</v>
      </c>
      <c r="B321" s="1" t="s">
        <v>1902</v>
      </c>
      <c r="C321" s="1">
        <v>2022</v>
      </c>
      <c r="D321" s="1" t="s">
        <v>1903</v>
      </c>
      <c r="E321" s="1" t="s">
        <v>1215</v>
      </c>
      <c r="F321" s="1" t="s">
        <v>1216</v>
      </c>
      <c r="G321" s="1" t="s">
        <v>1217</v>
      </c>
      <c r="H321" s="1" t="s">
        <v>422</v>
      </c>
      <c r="I321" s="1" t="s">
        <v>1904</v>
      </c>
      <c r="J321" t="s">
        <v>4631</v>
      </c>
      <c r="K321" s="1" t="s">
        <v>1905</v>
      </c>
    </row>
    <row r="322" spans="1:11" ht="24" customHeight="1">
      <c r="A322" s="1" t="s">
        <v>1906</v>
      </c>
      <c r="B322" s="1" t="s">
        <v>1907</v>
      </c>
      <c r="C322" s="1">
        <v>2021</v>
      </c>
      <c r="D322" s="1" t="s">
        <v>1908</v>
      </c>
      <c r="E322" s="1" t="s">
        <v>1215</v>
      </c>
      <c r="F322" s="1" t="s">
        <v>1224</v>
      </c>
      <c r="G322" s="1" t="s">
        <v>1225</v>
      </c>
      <c r="H322" s="1" t="s">
        <v>1909</v>
      </c>
      <c r="I322" s="1" t="s">
        <v>1910</v>
      </c>
      <c r="J322" t="s">
        <v>4631</v>
      </c>
      <c r="K322" s="1" t="s">
        <v>1911</v>
      </c>
    </row>
    <row r="323" spans="1:11" ht="120" customHeight="1">
      <c r="A323" s="1" t="s">
        <v>1912</v>
      </c>
      <c r="B323" s="1" t="s">
        <v>1913</v>
      </c>
      <c r="C323" s="1">
        <v>2019</v>
      </c>
      <c r="D323" s="1" t="s">
        <v>1914</v>
      </c>
      <c r="E323" s="1" t="s">
        <v>1215</v>
      </c>
      <c r="F323" s="1" t="s">
        <v>1216</v>
      </c>
      <c r="G323" s="1" t="s">
        <v>1217</v>
      </c>
      <c r="H323" s="1" t="s">
        <v>422</v>
      </c>
      <c r="I323" s="1" t="s">
        <v>1915</v>
      </c>
      <c r="J323" t="s">
        <v>4631</v>
      </c>
      <c r="K323" s="1" t="s">
        <v>1916</v>
      </c>
    </row>
    <row r="324" spans="1:11" ht="24" customHeight="1">
      <c r="A324" s="1" t="s">
        <v>1917</v>
      </c>
      <c r="B324" s="1" t="s">
        <v>1918</v>
      </c>
      <c r="C324" s="1">
        <v>2026</v>
      </c>
      <c r="D324" s="1" t="s">
        <v>1919</v>
      </c>
      <c r="E324" s="1" t="s">
        <v>1215</v>
      </c>
      <c r="F324" s="1" t="s">
        <v>1256</v>
      </c>
      <c r="G324" s="1" t="s">
        <v>1257</v>
      </c>
      <c r="H324" s="1" t="s">
        <v>1909</v>
      </c>
      <c r="I324" s="1" t="s">
        <v>1920</v>
      </c>
      <c r="J324" t="s">
        <v>4631</v>
      </c>
      <c r="K324" s="1" t="s">
        <v>1921</v>
      </c>
    </row>
    <row r="325" spans="1:11" ht="24" customHeight="1">
      <c r="A325" s="1" t="s">
        <v>1922</v>
      </c>
      <c r="B325" s="1" t="s">
        <v>1923</v>
      </c>
      <c r="C325" s="1">
        <v>2023</v>
      </c>
      <c r="D325" s="1" t="s">
        <v>1924</v>
      </c>
      <c r="E325" s="1" t="s">
        <v>1215</v>
      </c>
      <c r="F325" s="1" t="s">
        <v>1224</v>
      </c>
      <c r="G325" s="1" t="s">
        <v>1225</v>
      </c>
      <c r="H325" s="1" t="s">
        <v>229</v>
      </c>
      <c r="I325" s="1" t="s">
        <v>1925</v>
      </c>
      <c r="J325" t="s">
        <v>4631</v>
      </c>
      <c r="K325" s="1" t="s">
        <v>1926</v>
      </c>
    </row>
    <row r="326" spans="1:11" ht="24" customHeight="1">
      <c r="A326" s="1" t="s">
        <v>1927</v>
      </c>
      <c r="B326" s="1" t="s">
        <v>1928</v>
      </c>
      <c r="C326" s="1">
        <v>2022</v>
      </c>
      <c r="D326" s="1" t="s">
        <v>1929</v>
      </c>
      <c r="E326" s="1" t="s">
        <v>1215</v>
      </c>
      <c r="F326" s="1" t="s">
        <v>1224</v>
      </c>
      <c r="G326" s="1" t="s">
        <v>1225</v>
      </c>
      <c r="H326" s="1" t="s">
        <v>422</v>
      </c>
      <c r="I326" s="1" t="s">
        <v>1930</v>
      </c>
      <c r="J326" t="s">
        <v>4631</v>
      </c>
      <c r="K326" s="1" t="s">
        <v>1931</v>
      </c>
    </row>
    <row r="327" spans="1:11" ht="24" customHeight="1">
      <c r="A327" s="1" t="s">
        <v>1932</v>
      </c>
      <c r="B327" s="1" t="s">
        <v>1933</v>
      </c>
      <c r="C327" s="1">
        <v>2021</v>
      </c>
      <c r="D327" s="1" t="s">
        <v>1934</v>
      </c>
      <c r="E327" s="1" t="s">
        <v>1215</v>
      </c>
      <c r="F327" s="1" t="s">
        <v>1256</v>
      </c>
      <c r="G327" s="1" t="s">
        <v>1257</v>
      </c>
      <c r="H327" s="1" t="s">
        <v>297</v>
      </c>
      <c r="I327" s="1" t="s">
        <v>1935</v>
      </c>
      <c r="J327" t="s">
        <v>4631</v>
      </c>
      <c r="K327" s="1" t="s">
        <v>1936</v>
      </c>
    </row>
    <row r="328" spans="1:11" ht="48" customHeight="1">
      <c r="A328" s="1" t="s">
        <v>1937</v>
      </c>
      <c r="B328" s="1" t="s">
        <v>1938</v>
      </c>
      <c r="C328" s="1">
        <v>2018</v>
      </c>
      <c r="D328" s="1" t="s">
        <v>1939</v>
      </c>
      <c r="E328" s="1" t="s">
        <v>1215</v>
      </c>
      <c r="F328" s="1" t="s">
        <v>1348</v>
      </c>
      <c r="G328" s="1" t="s">
        <v>1349</v>
      </c>
      <c r="H328" s="1" t="s">
        <v>1940</v>
      </c>
      <c r="I328" s="1" t="s">
        <v>1941</v>
      </c>
      <c r="J328" t="s">
        <v>4631</v>
      </c>
      <c r="K328" s="1" t="s">
        <v>1942</v>
      </c>
    </row>
    <row r="329" spans="1:11" ht="36" customHeight="1">
      <c r="A329" s="1" t="s">
        <v>1943</v>
      </c>
      <c r="B329" s="1" t="s">
        <v>1944</v>
      </c>
      <c r="C329" s="1">
        <v>2018</v>
      </c>
      <c r="D329" s="1" t="s">
        <v>1945</v>
      </c>
      <c r="E329" s="1" t="s">
        <v>1215</v>
      </c>
      <c r="F329" s="1" t="s">
        <v>1224</v>
      </c>
      <c r="G329" s="1" t="s">
        <v>1225</v>
      </c>
      <c r="H329" s="1" t="s">
        <v>1946</v>
      </c>
      <c r="I329" s="1" t="s">
        <v>1947</v>
      </c>
      <c r="J329" t="s">
        <v>4631</v>
      </c>
      <c r="K329" s="1" t="s">
        <v>1948</v>
      </c>
    </row>
    <row r="330" spans="1:11" ht="48" customHeight="1">
      <c r="A330" s="1" t="s">
        <v>1949</v>
      </c>
      <c r="B330" s="1" t="s">
        <v>1950</v>
      </c>
      <c r="C330" s="1">
        <v>2025</v>
      </c>
      <c r="D330" s="1" t="s">
        <v>1951</v>
      </c>
      <c r="E330" s="1" t="s">
        <v>1215</v>
      </c>
      <c r="F330" s="1" t="s">
        <v>1256</v>
      </c>
      <c r="G330" s="1" t="s">
        <v>1257</v>
      </c>
      <c r="H330" s="1" t="s">
        <v>1952</v>
      </c>
      <c r="I330" s="1" t="s">
        <v>1953</v>
      </c>
      <c r="J330" t="s">
        <v>4631</v>
      </c>
      <c r="K330" s="1" t="s">
        <v>1954</v>
      </c>
    </row>
    <row r="331" spans="1:11" ht="72" customHeight="1">
      <c r="A331" s="1" t="s">
        <v>1955</v>
      </c>
      <c r="B331" s="1" t="s">
        <v>1956</v>
      </c>
      <c r="C331" s="1">
        <v>2024</v>
      </c>
      <c r="D331" s="1" t="s">
        <v>1957</v>
      </c>
      <c r="E331" s="1" t="s">
        <v>1215</v>
      </c>
      <c r="F331" s="1" t="s">
        <v>1216</v>
      </c>
      <c r="G331" s="1" t="s">
        <v>1217</v>
      </c>
      <c r="H331" s="1" t="s">
        <v>1958</v>
      </c>
      <c r="I331" s="1" t="s">
        <v>1959</v>
      </c>
      <c r="J331" t="s">
        <v>4631</v>
      </c>
      <c r="K331" s="1" t="s">
        <v>1960</v>
      </c>
    </row>
    <row r="332" spans="1:11" ht="36" customHeight="1">
      <c r="A332" s="1" t="s">
        <v>1961</v>
      </c>
      <c r="B332" s="1" t="s">
        <v>1962</v>
      </c>
      <c r="C332" s="1">
        <v>2021</v>
      </c>
      <c r="D332" s="1" t="s">
        <v>1963</v>
      </c>
      <c r="E332" s="1" t="s">
        <v>1215</v>
      </c>
      <c r="F332" s="1" t="s">
        <v>1256</v>
      </c>
      <c r="G332" s="1" t="s">
        <v>1257</v>
      </c>
      <c r="H332" s="1" t="s">
        <v>1964</v>
      </c>
      <c r="I332" s="1" t="s">
        <v>1965</v>
      </c>
      <c r="J332" t="s">
        <v>4631</v>
      </c>
      <c r="K332" s="1" t="s">
        <v>1966</v>
      </c>
    </row>
    <row r="333" spans="1:11" ht="36" customHeight="1">
      <c r="A333" s="1" t="s">
        <v>1967</v>
      </c>
      <c r="B333" s="1" t="s">
        <v>1968</v>
      </c>
      <c r="C333" s="1">
        <v>2022</v>
      </c>
      <c r="D333" s="1" t="s">
        <v>1969</v>
      </c>
      <c r="E333" s="1" t="s">
        <v>1215</v>
      </c>
      <c r="F333" s="1" t="s">
        <v>1256</v>
      </c>
      <c r="G333" s="1" t="s">
        <v>1257</v>
      </c>
      <c r="H333" s="1" t="s">
        <v>1970</v>
      </c>
      <c r="I333" s="1" t="s">
        <v>1971</v>
      </c>
      <c r="J333" t="s">
        <v>4631</v>
      </c>
      <c r="K333" s="1" t="s">
        <v>1972</v>
      </c>
    </row>
    <row r="334" spans="1:11" ht="48" customHeight="1">
      <c r="A334" s="1" t="s">
        <v>1973</v>
      </c>
      <c r="B334" s="1" t="s">
        <v>1974</v>
      </c>
      <c r="C334" s="1">
        <v>2024</v>
      </c>
      <c r="D334" s="1" t="s">
        <v>1975</v>
      </c>
      <c r="E334" s="1" t="s">
        <v>1215</v>
      </c>
      <c r="F334" s="1" t="s">
        <v>1256</v>
      </c>
      <c r="G334" s="1" t="s">
        <v>1257</v>
      </c>
      <c r="H334" s="1" t="s">
        <v>1976</v>
      </c>
      <c r="I334" s="1" t="s">
        <v>1977</v>
      </c>
      <c r="J334" t="s">
        <v>4631</v>
      </c>
      <c r="K334" s="1" t="s">
        <v>1978</v>
      </c>
    </row>
    <row r="335" spans="1:11" ht="48" customHeight="1">
      <c r="A335" s="1" t="s">
        <v>1979</v>
      </c>
      <c r="B335" s="1" t="s">
        <v>1980</v>
      </c>
      <c r="C335" s="1">
        <v>2024</v>
      </c>
      <c r="D335" s="1" t="s">
        <v>1981</v>
      </c>
      <c r="E335" s="1" t="s">
        <v>1215</v>
      </c>
      <c r="F335" s="1" t="s">
        <v>1216</v>
      </c>
      <c r="G335" s="1" t="s">
        <v>1217</v>
      </c>
      <c r="H335" s="1" t="s">
        <v>1982</v>
      </c>
      <c r="I335" s="1" t="s">
        <v>1983</v>
      </c>
      <c r="J335" t="s">
        <v>4631</v>
      </c>
      <c r="K335" s="1" t="s">
        <v>1984</v>
      </c>
    </row>
    <row r="336" spans="1:11" ht="24" customHeight="1">
      <c r="A336" s="1" t="s">
        <v>1985</v>
      </c>
      <c r="B336" s="1" t="s">
        <v>1986</v>
      </c>
      <c r="C336" s="1">
        <v>2019</v>
      </c>
      <c r="D336" s="1" t="s">
        <v>1987</v>
      </c>
      <c r="E336" s="1" t="s">
        <v>1215</v>
      </c>
      <c r="F336" s="1" t="s">
        <v>1256</v>
      </c>
      <c r="G336" s="1" t="s">
        <v>1257</v>
      </c>
      <c r="H336" s="1" t="s">
        <v>297</v>
      </c>
      <c r="I336" s="1" t="s">
        <v>1988</v>
      </c>
      <c r="J336" t="s">
        <v>4631</v>
      </c>
      <c r="K336" s="1" t="s">
        <v>1989</v>
      </c>
    </row>
    <row r="337" spans="1:11" ht="36" customHeight="1">
      <c r="A337" s="1" t="s">
        <v>1990</v>
      </c>
      <c r="B337" s="1" t="s">
        <v>1991</v>
      </c>
      <c r="C337" s="1">
        <v>2021</v>
      </c>
      <c r="D337" s="1" t="s">
        <v>1992</v>
      </c>
      <c r="E337" s="1" t="s">
        <v>1215</v>
      </c>
      <c r="F337" s="1" t="s">
        <v>1256</v>
      </c>
      <c r="G337" s="1" t="s">
        <v>1257</v>
      </c>
      <c r="H337" s="1" t="s">
        <v>1993</v>
      </c>
      <c r="I337" s="1" t="s">
        <v>1994</v>
      </c>
      <c r="J337" t="s">
        <v>4631</v>
      </c>
      <c r="K337" s="1" t="s">
        <v>1995</v>
      </c>
    </row>
    <row r="338" spans="1:11" ht="48" customHeight="1">
      <c r="A338" s="1" t="s">
        <v>1996</v>
      </c>
      <c r="B338" s="1" t="s">
        <v>1997</v>
      </c>
      <c r="C338" s="1">
        <v>2023</v>
      </c>
      <c r="D338" s="1" t="s">
        <v>1998</v>
      </c>
      <c r="E338" s="1" t="s">
        <v>1215</v>
      </c>
      <c r="F338" s="1" t="s">
        <v>1224</v>
      </c>
      <c r="G338" s="1" t="s">
        <v>1225</v>
      </c>
      <c r="H338" s="1" t="s">
        <v>1999</v>
      </c>
      <c r="I338" s="1" t="s">
        <v>2000</v>
      </c>
      <c r="J338" t="s">
        <v>4631</v>
      </c>
      <c r="K338" s="1" t="s">
        <v>2001</v>
      </c>
    </row>
    <row r="339" spans="1:11" ht="36" customHeight="1">
      <c r="A339" s="1" t="s">
        <v>2002</v>
      </c>
      <c r="B339" s="1" t="s">
        <v>2003</v>
      </c>
      <c r="C339" s="1">
        <v>2025</v>
      </c>
      <c r="D339" s="1" t="s">
        <v>2004</v>
      </c>
      <c r="E339" s="1" t="s">
        <v>1215</v>
      </c>
      <c r="F339" s="1" t="s">
        <v>1224</v>
      </c>
      <c r="G339" s="1" t="s">
        <v>1225</v>
      </c>
      <c r="H339" s="1" t="s">
        <v>2005</v>
      </c>
      <c r="I339" s="1" t="s">
        <v>2006</v>
      </c>
      <c r="J339" t="s">
        <v>4631</v>
      </c>
      <c r="K339" s="1" t="s">
        <v>2007</v>
      </c>
    </row>
    <row r="340" spans="1:11" ht="48" customHeight="1">
      <c r="A340" s="1" t="s">
        <v>2008</v>
      </c>
      <c r="B340" s="1" t="s">
        <v>2009</v>
      </c>
      <c r="C340" s="1">
        <v>2024</v>
      </c>
      <c r="D340" s="1" t="s">
        <v>2010</v>
      </c>
      <c r="E340" s="1" t="s">
        <v>1215</v>
      </c>
      <c r="F340" s="1" t="s">
        <v>1256</v>
      </c>
      <c r="G340" s="1" t="s">
        <v>1257</v>
      </c>
      <c r="H340" s="1" t="s">
        <v>2011</v>
      </c>
      <c r="I340" s="1" t="s">
        <v>2012</v>
      </c>
      <c r="J340" t="s">
        <v>4631</v>
      </c>
      <c r="K340" s="1" t="s">
        <v>2013</v>
      </c>
    </row>
    <row r="341" spans="1:11" ht="36" customHeight="1">
      <c r="A341" s="1" t="s">
        <v>2014</v>
      </c>
      <c r="B341" s="1" t="s">
        <v>2015</v>
      </c>
      <c r="C341" s="1">
        <v>2017</v>
      </c>
      <c r="D341" s="1" t="s">
        <v>2016</v>
      </c>
      <c r="E341" s="1" t="s">
        <v>1215</v>
      </c>
      <c r="F341" s="1" t="s">
        <v>1224</v>
      </c>
      <c r="G341" s="1" t="s">
        <v>1225</v>
      </c>
      <c r="H341" s="1" t="s">
        <v>2017</v>
      </c>
      <c r="I341" s="1" t="s">
        <v>2018</v>
      </c>
      <c r="J341" t="s">
        <v>4631</v>
      </c>
      <c r="K341" s="1" t="s">
        <v>2019</v>
      </c>
    </row>
    <row r="342" spans="1:11" ht="36" customHeight="1">
      <c r="A342" s="1" t="s">
        <v>2020</v>
      </c>
      <c r="B342" s="1" t="s">
        <v>2021</v>
      </c>
      <c r="C342" s="1">
        <v>2020</v>
      </c>
      <c r="D342" s="1" t="s">
        <v>2022</v>
      </c>
      <c r="E342" s="1" t="s">
        <v>1215</v>
      </c>
      <c r="F342" s="1" t="s">
        <v>1348</v>
      </c>
      <c r="G342" s="1" t="s">
        <v>1349</v>
      </c>
      <c r="H342" s="1" t="s">
        <v>2023</v>
      </c>
      <c r="I342" s="1" t="s">
        <v>2024</v>
      </c>
      <c r="J342" t="s">
        <v>4631</v>
      </c>
      <c r="K342" s="1" t="s">
        <v>2025</v>
      </c>
    </row>
    <row r="343" spans="1:11" ht="84" customHeight="1">
      <c r="A343" s="1" t="s">
        <v>2026</v>
      </c>
      <c r="B343" s="1" t="s">
        <v>2027</v>
      </c>
      <c r="C343" s="1">
        <v>2023</v>
      </c>
      <c r="D343" s="1" t="s">
        <v>2028</v>
      </c>
      <c r="E343" s="1" t="s">
        <v>1215</v>
      </c>
      <c r="F343" s="1" t="s">
        <v>1348</v>
      </c>
      <c r="G343" s="1" t="s">
        <v>1349</v>
      </c>
      <c r="H343" s="1" t="s">
        <v>422</v>
      </c>
      <c r="I343" s="1" t="s">
        <v>2029</v>
      </c>
      <c r="J343" t="s">
        <v>4631</v>
      </c>
      <c r="K343" s="1" t="s">
        <v>2030</v>
      </c>
    </row>
    <row r="344" spans="1:11" ht="48" customHeight="1">
      <c r="A344" s="1" t="s">
        <v>2031</v>
      </c>
      <c r="B344" s="1" t="s">
        <v>2032</v>
      </c>
      <c r="C344" s="1">
        <v>2022</v>
      </c>
      <c r="D344" s="1" t="s">
        <v>2033</v>
      </c>
      <c r="E344" s="1" t="s">
        <v>1215</v>
      </c>
      <c r="F344" s="1" t="s">
        <v>1216</v>
      </c>
      <c r="G344" s="1" t="s">
        <v>1217</v>
      </c>
      <c r="H344" s="1" t="s">
        <v>2034</v>
      </c>
      <c r="I344" s="1" t="s">
        <v>2035</v>
      </c>
      <c r="J344" t="s">
        <v>4631</v>
      </c>
      <c r="K344" s="1" t="s">
        <v>2036</v>
      </c>
    </row>
    <row r="345" spans="1:11" ht="84" customHeight="1">
      <c r="A345" s="1" t="s">
        <v>2037</v>
      </c>
      <c r="B345" s="1" t="s">
        <v>2038</v>
      </c>
      <c r="C345" s="1">
        <v>2025</v>
      </c>
      <c r="D345" s="1" t="s">
        <v>2039</v>
      </c>
      <c r="E345" s="1" t="s">
        <v>1215</v>
      </c>
      <c r="F345" s="1" t="s">
        <v>1256</v>
      </c>
      <c r="G345" s="1" t="s">
        <v>1257</v>
      </c>
      <c r="H345" s="1" t="s">
        <v>422</v>
      </c>
      <c r="I345" s="1" t="s">
        <v>2040</v>
      </c>
      <c r="J345" t="s">
        <v>4631</v>
      </c>
      <c r="K345" s="1" t="s">
        <v>2041</v>
      </c>
    </row>
    <row r="346" spans="1:11" ht="24" customHeight="1">
      <c r="A346" s="1" t="s">
        <v>2042</v>
      </c>
      <c r="B346" s="1" t="s">
        <v>2043</v>
      </c>
      <c r="C346" s="1">
        <v>2020</v>
      </c>
      <c r="D346" s="1" t="s">
        <v>2044</v>
      </c>
      <c r="E346" s="1" t="s">
        <v>1215</v>
      </c>
      <c r="F346" s="1" t="s">
        <v>1256</v>
      </c>
      <c r="G346" s="1" t="s">
        <v>1257</v>
      </c>
      <c r="H346" s="1" t="s">
        <v>297</v>
      </c>
      <c r="I346" s="1" t="s">
        <v>2045</v>
      </c>
      <c r="J346" t="s">
        <v>4631</v>
      </c>
      <c r="K346" s="1" t="s">
        <v>2046</v>
      </c>
    </row>
    <row r="347" spans="1:11" ht="48" customHeight="1">
      <c r="A347" s="1" t="s">
        <v>2047</v>
      </c>
      <c r="B347" s="1" t="s">
        <v>2048</v>
      </c>
      <c r="C347" s="1">
        <v>2024</v>
      </c>
      <c r="D347" s="1" t="s">
        <v>2049</v>
      </c>
      <c r="E347" s="1" t="s">
        <v>1215</v>
      </c>
      <c r="F347" s="1" t="s">
        <v>1256</v>
      </c>
      <c r="G347" s="1" t="s">
        <v>1257</v>
      </c>
      <c r="H347" s="1" t="s">
        <v>2050</v>
      </c>
      <c r="I347" s="1" t="s">
        <v>2051</v>
      </c>
      <c r="J347" t="s">
        <v>4631</v>
      </c>
      <c r="K347" s="1" t="s">
        <v>2052</v>
      </c>
    </row>
    <row r="348" spans="1:11" ht="48" customHeight="1">
      <c r="A348" s="1" t="s">
        <v>2053</v>
      </c>
      <c r="B348" s="1" t="s">
        <v>2054</v>
      </c>
      <c r="C348" s="1">
        <v>2022</v>
      </c>
      <c r="D348" s="1" t="s">
        <v>2055</v>
      </c>
      <c r="E348" s="1" t="s">
        <v>1215</v>
      </c>
      <c r="F348" s="1" t="s">
        <v>1256</v>
      </c>
      <c r="G348" s="1" t="s">
        <v>1257</v>
      </c>
      <c r="H348" s="1" t="s">
        <v>2056</v>
      </c>
      <c r="I348" s="1" t="s">
        <v>2057</v>
      </c>
      <c r="J348" t="s">
        <v>4631</v>
      </c>
      <c r="K348" s="1" t="s">
        <v>2058</v>
      </c>
    </row>
    <row r="349" spans="1:11" ht="96" customHeight="1">
      <c r="A349" s="1" t="s">
        <v>2059</v>
      </c>
      <c r="B349" s="1" t="s">
        <v>2060</v>
      </c>
      <c r="C349" s="1">
        <v>2026</v>
      </c>
      <c r="D349" s="1" t="s">
        <v>2061</v>
      </c>
      <c r="E349" s="1" t="s">
        <v>1215</v>
      </c>
      <c r="F349" s="1" t="s">
        <v>1348</v>
      </c>
      <c r="G349" s="1" t="s">
        <v>1349</v>
      </c>
      <c r="H349" s="1" t="s">
        <v>422</v>
      </c>
      <c r="I349" s="1" t="s">
        <v>2062</v>
      </c>
      <c r="J349" t="s">
        <v>4631</v>
      </c>
      <c r="K349" s="1" t="s">
        <v>2063</v>
      </c>
    </row>
    <row r="350" spans="1:11" ht="48" customHeight="1">
      <c r="A350" s="1" t="s">
        <v>2064</v>
      </c>
      <c r="B350" s="1" t="s">
        <v>2065</v>
      </c>
      <c r="C350" s="1">
        <v>2023</v>
      </c>
      <c r="D350" s="1" t="s">
        <v>2066</v>
      </c>
      <c r="E350" s="1" t="s">
        <v>1215</v>
      </c>
      <c r="F350" s="1" t="s">
        <v>1216</v>
      </c>
      <c r="G350" s="1" t="s">
        <v>1217</v>
      </c>
      <c r="H350" s="1" t="s">
        <v>2067</v>
      </c>
      <c r="I350" s="1" t="s">
        <v>2068</v>
      </c>
      <c r="J350" t="s">
        <v>4631</v>
      </c>
      <c r="K350" s="1" t="s">
        <v>2069</v>
      </c>
    </row>
    <row r="351" spans="1:11" ht="48" customHeight="1">
      <c r="A351" s="1" t="s">
        <v>2070</v>
      </c>
      <c r="B351" s="1" t="s">
        <v>2071</v>
      </c>
      <c r="C351" s="1">
        <v>2024</v>
      </c>
      <c r="D351" s="1" t="s">
        <v>2072</v>
      </c>
      <c r="E351" s="1" t="s">
        <v>1215</v>
      </c>
      <c r="F351" s="1" t="s">
        <v>1256</v>
      </c>
      <c r="G351" s="1" t="s">
        <v>1257</v>
      </c>
      <c r="H351" s="1" t="s">
        <v>2073</v>
      </c>
      <c r="I351" s="1" t="s">
        <v>2074</v>
      </c>
      <c r="J351" t="s">
        <v>4631</v>
      </c>
      <c r="K351" s="1" t="s">
        <v>2075</v>
      </c>
    </row>
    <row r="352" spans="1:11" ht="60" customHeight="1">
      <c r="A352" s="1" t="s">
        <v>2076</v>
      </c>
      <c r="B352" s="1" t="s">
        <v>2077</v>
      </c>
      <c r="C352" s="1">
        <v>2022</v>
      </c>
      <c r="D352" s="1" t="s">
        <v>2078</v>
      </c>
      <c r="E352" s="1" t="s">
        <v>1215</v>
      </c>
      <c r="F352" s="1" t="s">
        <v>1256</v>
      </c>
      <c r="G352" s="1" t="s">
        <v>1257</v>
      </c>
      <c r="H352" s="1" t="s">
        <v>2079</v>
      </c>
      <c r="I352" s="1" t="s">
        <v>2080</v>
      </c>
      <c r="J352" t="s">
        <v>4631</v>
      </c>
      <c r="K352" s="1" t="s">
        <v>2081</v>
      </c>
    </row>
    <row r="353" spans="1:11" ht="60" customHeight="1">
      <c r="A353" s="1" t="s">
        <v>2082</v>
      </c>
      <c r="B353" s="1" t="s">
        <v>2083</v>
      </c>
      <c r="C353" s="1">
        <v>2024</v>
      </c>
      <c r="D353" s="1" t="s">
        <v>2084</v>
      </c>
      <c r="E353" s="1" t="s">
        <v>1215</v>
      </c>
      <c r="F353" s="1" t="s">
        <v>1256</v>
      </c>
      <c r="G353" s="1" t="s">
        <v>1257</v>
      </c>
      <c r="H353" s="1" t="s">
        <v>2085</v>
      </c>
      <c r="I353" s="1" t="s">
        <v>2086</v>
      </c>
      <c r="J353" t="s">
        <v>4631</v>
      </c>
      <c r="K353" s="1" t="s">
        <v>2087</v>
      </c>
    </row>
    <row r="354" spans="1:11" ht="60" customHeight="1">
      <c r="A354" s="1" t="s">
        <v>2088</v>
      </c>
      <c r="B354" s="1" t="s">
        <v>2089</v>
      </c>
      <c r="C354" s="1">
        <v>2026</v>
      </c>
      <c r="D354" s="1" t="s">
        <v>2090</v>
      </c>
      <c r="E354" s="1" t="s">
        <v>1215</v>
      </c>
      <c r="F354" s="1" t="s">
        <v>1216</v>
      </c>
      <c r="G354" s="1" t="s">
        <v>1217</v>
      </c>
      <c r="H354" s="1" t="s">
        <v>2091</v>
      </c>
      <c r="I354" s="1" t="s">
        <v>2092</v>
      </c>
      <c r="J354" t="s">
        <v>4631</v>
      </c>
      <c r="K354" s="1" t="s">
        <v>2093</v>
      </c>
    </row>
    <row r="355" spans="1:11" ht="60" customHeight="1">
      <c r="A355" s="1" t="s">
        <v>2094</v>
      </c>
      <c r="B355" s="1" t="s">
        <v>2095</v>
      </c>
      <c r="C355" s="1">
        <v>2024</v>
      </c>
      <c r="D355" s="1" t="s">
        <v>2096</v>
      </c>
      <c r="E355" s="1" t="s">
        <v>1215</v>
      </c>
      <c r="F355" s="1" t="s">
        <v>1224</v>
      </c>
      <c r="G355" s="1" t="s">
        <v>1225</v>
      </c>
      <c r="H355" s="1" t="s">
        <v>2097</v>
      </c>
      <c r="I355" s="1" t="s">
        <v>2098</v>
      </c>
      <c r="J355" t="s">
        <v>4631</v>
      </c>
      <c r="K355" s="1" t="s">
        <v>2099</v>
      </c>
    </row>
    <row r="356" spans="1:11" ht="60" customHeight="1">
      <c r="A356" s="1" t="s">
        <v>2100</v>
      </c>
      <c r="B356" s="1" t="s">
        <v>2101</v>
      </c>
      <c r="C356" s="1">
        <v>2025</v>
      </c>
      <c r="D356" s="1" t="s">
        <v>2102</v>
      </c>
      <c r="E356" s="1" t="s">
        <v>1215</v>
      </c>
      <c r="F356" s="1" t="s">
        <v>1216</v>
      </c>
      <c r="G356" s="1" t="s">
        <v>1217</v>
      </c>
      <c r="H356" s="1" t="s">
        <v>2103</v>
      </c>
      <c r="I356" s="1" t="s">
        <v>2104</v>
      </c>
      <c r="J356" t="s">
        <v>4631</v>
      </c>
      <c r="K356" s="1" t="s">
        <v>2105</v>
      </c>
    </row>
    <row r="357" spans="1:11" ht="24" customHeight="1">
      <c r="A357" s="1" t="s">
        <v>2106</v>
      </c>
      <c r="B357" s="1" t="s">
        <v>2107</v>
      </c>
      <c r="C357" s="1">
        <v>2024</v>
      </c>
      <c r="D357" s="1" t="s">
        <v>2108</v>
      </c>
      <c r="E357" s="1" t="s">
        <v>1215</v>
      </c>
      <c r="F357" s="1" t="s">
        <v>1348</v>
      </c>
      <c r="G357" s="1" t="s">
        <v>1349</v>
      </c>
      <c r="H357" s="1" t="s">
        <v>297</v>
      </c>
      <c r="I357" s="1" t="s">
        <v>2109</v>
      </c>
      <c r="J357" t="s">
        <v>4631</v>
      </c>
      <c r="K357" s="1" t="s">
        <v>2110</v>
      </c>
    </row>
    <row r="358" spans="1:11" ht="48" customHeight="1">
      <c r="A358" s="1" t="s">
        <v>2111</v>
      </c>
      <c r="B358" s="1" t="s">
        <v>2112</v>
      </c>
      <c r="C358" s="1">
        <v>2018</v>
      </c>
      <c r="D358" s="1" t="s">
        <v>2113</v>
      </c>
      <c r="E358" s="1" t="s">
        <v>1215</v>
      </c>
      <c r="F358" s="1" t="s">
        <v>1224</v>
      </c>
      <c r="G358" s="1" t="s">
        <v>1225</v>
      </c>
      <c r="H358" s="1" t="s">
        <v>2114</v>
      </c>
      <c r="I358" s="1" t="s">
        <v>2115</v>
      </c>
      <c r="J358" t="s">
        <v>4631</v>
      </c>
      <c r="K358" s="1" t="s">
        <v>2116</v>
      </c>
    </row>
    <row r="359" spans="1:11" ht="48" customHeight="1">
      <c r="A359" s="1" t="s">
        <v>2117</v>
      </c>
      <c r="B359" s="1" t="s">
        <v>2118</v>
      </c>
      <c r="C359" s="1">
        <v>2025</v>
      </c>
      <c r="D359" s="1" t="s">
        <v>2119</v>
      </c>
      <c r="E359" s="1" t="s">
        <v>1215</v>
      </c>
      <c r="F359" s="1" t="s">
        <v>1224</v>
      </c>
      <c r="G359" s="1" t="s">
        <v>1225</v>
      </c>
      <c r="H359" s="1" t="s">
        <v>2120</v>
      </c>
      <c r="I359" s="1" t="s">
        <v>2121</v>
      </c>
      <c r="J359" t="s">
        <v>4631</v>
      </c>
      <c r="K359" s="1" t="s">
        <v>2122</v>
      </c>
    </row>
    <row r="360" spans="1:11" ht="48" customHeight="1">
      <c r="A360" s="1" t="s">
        <v>2123</v>
      </c>
      <c r="B360" s="1" t="s">
        <v>2124</v>
      </c>
      <c r="C360" s="1">
        <v>2024</v>
      </c>
      <c r="D360" s="1" t="s">
        <v>2125</v>
      </c>
      <c r="E360" s="1" t="s">
        <v>1215</v>
      </c>
      <c r="F360" s="1" t="s">
        <v>1348</v>
      </c>
      <c r="G360" s="1" t="s">
        <v>1349</v>
      </c>
      <c r="H360" s="1" t="s">
        <v>2126</v>
      </c>
      <c r="I360" s="1" t="s">
        <v>2127</v>
      </c>
      <c r="J360" t="s">
        <v>4631</v>
      </c>
      <c r="K360" s="1" t="s">
        <v>2128</v>
      </c>
    </row>
    <row r="361" spans="1:11" ht="24" customHeight="1">
      <c r="A361" s="1" t="s">
        <v>2129</v>
      </c>
      <c r="B361" s="1" t="s">
        <v>2130</v>
      </c>
      <c r="C361" s="1">
        <v>2019</v>
      </c>
      <c r="D361" s="1" t="s">
        <v>2131</v>
      </c>
      <c r="E361" s="1" t="s">
        <v>1215</v>
      </c>
      <c r="F361" s="1" t="s">
        <v>1256</v>
      </c>
      <c r="G361" s="1" t="s">
        <v>1257</v>
      </c>
      <c r="H361" s="1" t="s">
        <v>222</v>
      </c>
      <c r="I361" s="1" t="s">
        <v>2132</v>
      </c>
      <c r="J361" t="s">
        <v>4631</v>
      </c>
      <c r="K361" s="1" t="s">
        <v>2133</v>
      </c>
    </row>
    <row r="362" spans="1:11" ht="60" customHeight="1">
      <c r="A362" s="1" t="s">
        <v>2134</v>
      </c>
      <c r="B362" s="1" t="s">
        <v>2135</v>
      </c>
      <c r="C362" s="1">
        <v>2023</v>
      </c>
      <c r="D362" s="1" t="s">
        <v>2136</v>
      </c>
      <c r="E362" s="1" t="s">
        <v>1215</v>
      </c>
      <c r="F362" s="1" t="s">
        <v>2137</v>
      </c>
      <c r="G362" s="1" t="s">
        <v>2138</v>
      </c>
      <c r="H362" s="1" t="s">
        <v>2139</v>
      </c>
      <c r="I362" s="1" t="s">
        <v>2140</v>
      </c>
      <c r="J362" t="s">
        <v>4631</v>
      </c>
      <c r="K362" s="1" t="s">
        <v>2141</v>
      </c>
    </row>
    <row r="363" spans="1:11" ht="48" customHeight="1">
      <c r="A363" s="1" t="s">
        <v>2142</v>
      </c>
      <c r="B363" s="1" t="s">
        <v>2143</v>
      </c>
      <c r="C363" s="1">
        <v>2021</v>
      </c>
      <c r="D363" s="1" t="s">
        <v>2144</v>
      </c>
      <c r="E363" s="1" t="s">
        <v>1215</v>
      </c>
      <c r="F363" s="1" t="s">
        <v>1224</v>
      </c>
      <c r="G363" s="1" t="s">
        <v>1225</v>
      </c>
      <c r="H363" s="1" t="s">
        <v>2145</v>
      </c>
      <c r="I363" s="1" t="s">
        <v>2146</v>
      </c>
      <c r="J363" t="s">
        <v>4631</v>
      </c>
      <c r="K363" s="1" t="s">
        <v>2147</v>
      </c>
    </row>
    <row r="364" spans="1:11" ht="48" customHeight="1">
      <c r="A364" s="1" t="s">
        <v>2148</v>
      </c>
      <c r="B364" s="1" t="s">
        <v>2149</v>
      </c>
      <c r="C364" s="1">
        <v>2023</v>
      </c>
      <c r="D364" s="1" t="s">
        <v>2150</v>
      </c>
      <c r="E364" s="1" t="s">
        <v>1215</v>
      </c>
      <c r="F364" s="1" t="s">
        <v>1348</v>
      </c>
      <c r="G364" s="1" t="s">
        <v>1349</v>
      </c>
      <c r="H364" s="1" t="s">
        <v>2151</v>
      </c>
      <c r="I364" s="1" t="s">
        <v>2152</v>
      </c>
      <c r="J364" t="s">
        <v>4631</v>
      </c>
      <c r="K364" s="1" t="s">
        <v>2153</v>
      </c>
    </row>
    <row r="365" spans="1:11" ht="108" customHeight="1">
      <c r="A365" s="1" t="s">
        <v>2154</v>
      </c>
      <c r="B365" s="1" t="s">
        <v>2155</v>
      </c>
      <c r="C365" s="1">
        <v>2026</v>
      </c>
      <c r="D365" s="1" t="s">
        <v>2156</v>
      </c>
      <c r="E365" s="1" t="s">
        <v>1215</v>
      </c>
      <c r="F365" s="1" t="s">
        <v>1216</v>
      </c>
      <c r="G365" s="1" t="s">
        <v>2157</v>
      </c>
      <c r="H365" s="1" t="s">
        <v>422</v>
      </c>
      <c r="I365" s="1" t="s">
        <v>2158</v>
      </c>
      <c r="J365" t="s">
        <v>4631</v>
      </c>
      <c r="K365" s="1" t="s">
        <v>2159</v>
      </c>
    </row>
    <row r="366" spans="1:11" ht="24" customHeight="1">
      <c r="A366" s="1" t="s">
        <v>2160</v>
      </c>
      <c r="B366" s="1" t="s">
        <v>2161</v>
      </c>
      <c r="C366" s="1">
        <v>2019</v>
      </c>
      <c r="D366" s="1" t="s">
        <v>2162</v>
      </c>
      <c r="E366" s="1" t="s">
        <v>1215</v>
      </c>
      <c r="F366" s="1" t="s">
        <v>1348</v>
      </c>
      <c r="G366" s="1" t="s">
        <v>1349</v>
      </c>
      <c r="H366" s="1" t="s">
        <v>297</v>
      </c>
      <c r="I366" s="1" t="s">
        <v>2163</v>
      </c>
      <c r="J366" t="s">
        <v>4631</v>
      </c>
      <c r="K366" s="1" t="s">
        <v>2164</v>
      </c>
    </row>
    <row r="367" spans="1:11" ht="36" customHeight="1">
      <c r="A367" s="1" t="s">
        <v>2165</v>
      </c>
      <c r="B367" s="1" t="s">
        <v>2166</v>
      </c>
      <c r="C367" s="1">
        <v>2017</v>
      </c>
      <c r="D367" s="1" t="s">
        <v>2167</v>
      </c>
      <c r="E367" s="1" t="s">
        <v>1215</v>
      </c>
      <c r="F367" s="1" t="s">
        <v>1216</v>
      </c>
      <c r="G367" s="1" t="s">
        <v>1217</v>
      </c>
      <c r="H367" s="1" t="s">
        <v>2168</v>
      </c>
      <c r="I367" s="1" t="s">
        <v>2169</v>
      </c>
      <c r="J367" t="s">
        <v>4631</v>
      </c>
      <c r="K367" s="1" t="s">
        <v>2170</v>
      </c>
    </row>
    <row r="368" spans="1:11" ht="36" customHeight="1">
      <c r="A368" s="1" t="s">
        <v>2171</v>
      </c>
      <c r="B368" s="1" t="s">
        <v>2172</v>
      </c>
      <c r="C368" s="1">
        <v>2024</v>
      </c>
      <c r="D368" s="1" t="s">
        <v>2173</v>
      </c>
      <c r="E368" s="1" t="s">
        <v>1215</v>
      </c>
      <c r="F368" s="1" t="s">
        <v>1348</v>
      </c>
      <c r="G368" s="1" t="s">
        <v>1349</v>
      </c>
      <c r="H368" s="1" t="s">
        <v>2174</v>
      </c>
      <c r="I368" s="1" t="s">
        <v>2175</v>
      </c>
      <c r="J368" t="s">
        <v>4631</v>
      </c>
      <c r="K368" s="1" t="s">
        <v>2176</v>
      </c>
    </row>
    <row r="369" spans="1:11" ht="24" customHeight="1">
      <c r="A369" s="1" t="s">
        <v>2177</v>
      </c>
      <c r="B369" s="1" t="s">
        <v>2178</v>
      </c>
      <c r="C369" s="1">
        <v>2024</v>
      </c>
      <c r="D369" s="1" t="s">
        <v>2179</v>
      </c>
      <c r="E369" s="1" t="s">
        <v>1215</v>
      </c>
      <c r="F369" s="1" t="s">
        <v>1256</v>
      </c>
      <c r="G369" s="1" t="s">
        <v>1257</v>
      </c>
      <c r="H369" s="1" t="s">
        <v>222</v>
      </c>
      <c r="I369" s="1" t="s">
        <v>2180</v>
      </c>
      <c r="J369" t="s">
        <v>4631</v>
      </c>
      <c r="K369" s="1" t="s">
        <v>2181</v>
      </c>
    </row>
    <row r="370" spans="1:11" ht="48" customHeight="1">
      <c r="A370" s="1" t="s">
        <v>2182</v>
      </c>
      <c r="B370" s="1" t="s">
        <v>2183</v>
      </c>
      <c r="C370" s="1">
        <v>2019</v>
      </c>
      <c r="D370" s="1" t="s">
        <v>2184</v>
      </c>
      <c r="E370" s="1" t="s">
        <v>1215</v>
      </c>
      <c r="F370" s="1" t="s">
        <v>1256</v>
      </c>
      <c r="G370" s="1" t="s">
        <v>1257</v>
      </c>
      <c r="H370" s="1" t="s">
        <v>2185</v>
      </c>
      <c r="I370" s="1" t="s">
        <v>2186</v>
      </c>
      <c r="J370" t="s">
        <v>4631</v>
      </c>
      <c r="K370" s="1" t="s">
        <v>2187</v>
      </c>
    </row>
    <row r="371" spans="1:11" ht="72" customHeight="1">
      <c r="A371" s="1" t="s">
        <v>2188</v>
      </c>
      <c r="B371" s="1" t="s">
        <v>2189</v>
      </c>
      <c r="C371" s="1">
        <v>2022</v>
      </c>
      <c r="D371" s="1" t="s">
        <v>2190</v>
      </c>
      <c r="E371" s="1" t="s">
        <v>1215</v>
      </c>
      <c r="F371" s="1" t="s">
        <v>1224</v>
      </c>
      <c r="G371" s="1" t="s">
        <v>1225</v>
      </c>
      <c r="H371" s="1" t="s">
        <v>422</v>
      </c>
      <c r="I371" s="1" t="s">
        <v>2191</v>
      </c>
      <c r="J371" t="s">
        <v>4631</v>
      </c>
      <c r="K371" s="1" t="s">
        <v>2192</v>
      </c>
    </row>
    <row r="372" spans="1:11" ht="48" customHeight="1">
      <c r="A372" s="1" t="s">
        <v>2193</v>
      </c>
      <c r="B372" s="1" t="s">
        <v>2194</v>
      </c>
      <c r="C372" s="1">
        <v>2022</v>
      </c>
      <c r="D372" s="1" t="s">
        <v>2195</v>
      </c>
      <c r="E372" s="1" t="s">
        <v>1215</v>
      </c>
      <c r="F372" s="1" t="s">
        <v>1256</v>
      </c>
      <c r="G372" s="1" t="s">
        <v>1257</v>
      </c>
      <c r="H372" s="1" t="s">
        <v>2196</v>
      </c>
      <c r="I372" s="1" t="s">
        <v>2197</v>
      </c>
      <c r="J372" t="s">
        <v>4631</v>
      </c>
      <c r="K372" s="1" t="s">
        <v>2198</v>
      </c>
    </row>
    <row r="373" spans="1:11" ht="96" customHeight="1">
      <c r="A373" s="1" t="s">
        <v>2199</v>
      </c>
      <c r="B373" s="1" t="s">
        <v>2200</v>
      </c>
      <c r="C373" s="1">
        <v>2022</v>
      </c>
      <c r="D373" s="1" t="s">
        <v>2201</v>
      </c>
      <c r="E373" s="1" t="s">
        <v>1215</v>
      </c>
      <c r="F373" s="1" t="s">
        <v>1216</v>
      </c>
      <c r="G373" s="1" t="s">
        <v>1217</v>
      </c>
      <c r="H373" s="1" t="s">
        <v>422</v>
      </c>
      <c r="I373" s="1" t="s">
        <v>2202</v>
      </c>
      <c r="J373" t="s">
        <v>4631</v>
      </c>
      <c r="K373" s="1" t="s">
        <v>2203</v>
      </c>
    </row>
    <row r="374" spans="1:11" ht="72" customHeight="1">
      <c r="A374" s="1" t="s">
        <v>2204</v>
      </c>
      <c r="B374" s="1" t="s">
        <v>2205</v>
      </c>
      <c r="C374" s="1">
        <v>2020</v>
      </c>
      <c r="D374" s="1" t="s">
        <v>2206</v>
      </c>
      <c r="E374" s="1" t="s">
        <v>1215</v>
      </c>
      <c r="F374" s="1" t="s">
        <v>1224</v>
      </c>
      <c r="G374" s="1" t="s">
        <v>1225</v>
      </c>
      <c r="H374" s="1" t="s">
        <v>422</v>
      </c>
      <c r="I374" s="1" t="s">
        <v>2207</v>
      </c>
      <c r="J374" t="s">
        <v>4631</v>
      </c>
      <c r="K374" s="1" t="s">
        <v>2208</v>
      </c>
    </row>
    <row r="375" spans="1:11" ht="48" customHeight="1">
      <c r="A375" s="1" t="s">
        <v>2209</v>
      </c>
      <c r="B375" s="1" t="s">
        <v>2210</v>
      </c>
      <c r="C375" s="1">
        <v>2021</v>
      </c>
      <c r="D375" s="1" t="s">
        <v>2211</v>
      </c>
      <c r="E375" s="1" t="s">
        <v>1215</v>
      </c>
      <c r="F375" s="1" t="s">
        <v>1224</v>
      </c>
      <c r="G375" s="1" t="s">
        <v>1225</v>
      </c>
      <c r="H375" s="1" t="s">
        <v>2212</v>
      </c>
      <c r="I375" s="1" t="s">
        <v>2213</v>
      </c>
      <c r="J375" t="s">
        <v>4631</v>
      </c>
      <c r="K375" s="1" t="s">
        <v>2214</v>
      </c>
    </row>
    <row r="376" spans="1:11" ht="96" customHeight="1">
      <c r="A376" s="1" t="s">
        <v>2215</v>
      </c>
      <c r="B376" s="1" t="s">
        <v>2216</v>
      </c>
      <c r="C376" s="1">
        <v>2026</v>
      </c>
      <c r="D376" s="1" t="s">
        <v>2217</v>
      </c>
      <c r="E376" s="1" t="s">
        <v>1215</v>
      </c>
      <c r="F376" s="1" t="s">
        <v>1256</v>
      </c>
      <c r="G376" s="1" t="s">
        <v>1257</v>
      </c>
      <c r="H376" s="1" t="s">
        <v>422</v>
      </c>
      <c r="I376" s="1" t="s">
        <v>2218</v>
      </c>
      <c r="J376" t="s">
        <v>4631</v>
      </c>
      <c r="K376" s="1" t="s">
        <v>2219</v>
      </c>
    </row>
    <row r="377" spans="1:11" ht="60" customHeight="1">
      <c r="A377" s="1" t="s">
        <v>2220</v>
      </c>
      <c r="B377" s="1" t="s">
        <v>2221</v>
      </c>
      <c r="C377" s="1">
        <v>2024</v>
      </c>
      <c r="D377" s="1" t="s">
        <v>2222</v>
      </c>
      <c r="E377" s="1" t="s">
        <v>1215</v>
      </c>
      <c r="F377" s="1" t="s">
        <v>1256</v>
      </c>
      <c r="G377" s="1" t="s">
        <v>1257</v>
      </c>
      <c r="H377" s="1" t="s">
        <v>2223</v>
      </c>
      <c r="I377" s="1" t="s">
        <v>2224</v>
      </c>
      <c r="J377" t="s">
        <v>4631</v>
      </c>
      <c r="K377" s="1" t="s">
        <v>2225</v>
      </c>
    </row>
    <row r="378" spans="1:11" ht="120" customHeight="1">
      <c r="A378" s="1" t="s">
        <v>2226</v>
      </c>
      <c r="B378" s="1" t="s">
        <v>2227</v>
      </c>
      <c r="C378" s="1">
        <v>2022</v>
      </c>
      <c r="D378" s="1" t="s">
        <v>2228</v>
      </c>
      <c r="E378" s="1" t="s">
        <v>1215</v>
      </c>
      <c r="F378" s="1" t="s">
        <v>1224</v>
      </c>
      <c r="G378" s="1" t="s">
        <v>1225</v>
      </c>
      <c r="H378" s="1" t="s">
        <v>422</v>
      </c>
      <c r="I378" s="1" t="s">
        <v>2229</v>
      </c>
      <c r="J378" t="s">
        <v>4631</v>
      </c>
      <c r="K378" s="1" t="s">
        <v>2230</v>
      </c>
    </row>
    <row r="379" spans="1:11" ht="24" customHeight="1">
      <c r="A379" s="1" t="s">
        <v>2231</v>
      </c>
      <c r="B379" s="1" t="s">
        <v>2232</v>
      </c>
      <c r="C379" s="1">
        <v>2024</v>
      </c>
      <c r="D379" s="1" t="s">
        <v>2233</v>
      </c>
      <c r="E379" s="1" t="s">
        <v>1215</v>
      </c>
      <c r="F379" s="1" t="s">
        <v>1216</v>
      </c>
      <c r="G379" s="1" t="s">
        <v>1217</v>
      </c>
      <c r="H379" s="1" t="s">
        <v>297</v>
      </c>
      <c r="I379" s="1" t="s">
        <v>2234</v>
      </c>
      <c r="J379" t="s">
        <v>4631</v>
      </c>
      <c r="K379" s="1" t="s">
        <v>2235</v>
      </c>
    </row>
    <row r="380" spans="1:11" ht="24" customHeight="1">
      <c r="A380" s="1" t="s">
        <v>2236</v>
      </c>
      <c r="B380" s="1" t="s">
        <v>2237</v>
      </c>
      <c r="C380" s="1">
        <v>2026</v>
      </c>
      <c r="D380" s="1" t="s">
        <v>2238</v>
      </c>
      <c r="E380" s="1" t="s">
        <v>1215</v>
      </c>
      <c r="F380" s="1" t="s">
        <v>1216</v>
      </c>
      <c r="G380" s="1" t="s">
        <v>1217</v>
      </c>
      <c r="H380" s="1" t="s">
        <v>222</v>
      </c>
      <c r="I380" s="1" t="s">
        <v>2239</v>
      </c>
      <c r="J380" t="s">
        <v>4631</v>
      </c>
      <c r="K380" s="1" t="s">
        <v>2240</v>
      </c>
    </row>
    <row r="381" spans="1:11" ht="84" customHeight="1">
      <c r="A381" s="1" t="s">
        <v>2241</v>
      </c>
      <c r="B381" s="1" t="s">
        <v>2242</v>
      </c>
      <c r="C381" s="1">
        <v>2021</v>
      </c>
      <c r="D381" s="1" t="s">
        <v>2243</v>
      </c>
      <c r="E381" s="1" t="s">
        <v>1215</v>
      </c>
      <c r="F381" s="1" t="s">
        <v>1256</v>
      </c>
      <c r="G381" s="1" t="s">
        <v>1257</v>
      </c>
      <c r="H381" s="1" t="s">
        <v>422</v>
      </c>
      <c r="I381" s="1" t="s">
        <v>2244</v>
      </c>
      <c r="J381" t="s">
        <v>4631</v>
      </c>
      <c r="K381" s="1" t="s">
        <v>2245</v>
      </c>
    </row>
    <row r="382" spans="1:11" ht="60" customHeight="1">
      <c r="A382" s="1" t="s">
        <v>2246</v>
      </c>
      <c r="B382" s="1" t="s">
        <v>2247</v>
      </c>
      <c r="C382" s="1">
        <v>2026</v>
      </c>
      <c r="D382" s="1" t="s">
        <v>2248</v>
      </c>
      <c r="E382" s="1" t="s">
        <v>1215</v>
      </c>
      <c r="F382" s="1" t="s">
        <v>2137</v>
      </c>
      <c r="G382" s="1" t="s">
        <v>2138</v>
      </c>
      <c r="H382" s="1" t="s">
        <v>2249</v>
      </c>
      <c r="I382" s="1" t="s">
        <v>2250</v>
      </c>
      <c r="J382" t="s">
        <v>4631</v>
      </c>
      <c r="K382" s="1" t="s">
        <v>2251</v>
      </c>
    </row>
    <row r="383" spans="1:11" ht="60" customHeight="1">
      <c r="A383" s="1" t="s">
        <v>2252</v>
      </c>
      <c r="B383" s="1" t="s">
        <v>2253</v>
      </c>
      <c r="C383" s="1">
        <v>2024</v>
      </c>
      <c r="D383" s="1" t="s">
        <v>2254</v>
      </c>
      <c r="E383" s="1" t="s">
        <v>1215</v>
      </c>
      <c r="F383" s="1" t="s">
        <v>1224</v>
      </c>
      <c r="G383" s="1" t="s">
        <v>1225</v>
      </c>
      <c r="H383" s="1" t="s">
        <v>2255</v>
      </c>
      <c r="I383" s="1" t="s">
        <v>2256</v>
      </c>
      <c r="J383" t="s">
        <v>4631</v>
      </c>
      <c r="K383" s="1" t="s">
        <v>2257</v>
      </c>
    </row>
    <row r="384" spans="1:11" ht="48" customHeight="1">
      <c r="A384" s="1" t="s">
        <v>2258</v>
      </c>
      <c r="B384" s="1" t="s">
        <v>2259</v>
      </c>
      <c r="C384" s="1">
        <v>2020</v>
      </c>
      <c r="D384" s="1" t="s">
        <v>2260</v>
      </c>
      <c r="E384" s="1" t="s">
        <v>1215</v>
      </c>
      <c r="F384" s="1" t="s">
        <v>1256</v>
      </c>
      <c r="G384" s="1" t="s">
        <v>1257</v>
      </c>
      <c r="H384" s="1" t="s">
        <v>2261</v>
      </c>
      <c r="I384" s="1" t="s">
        <v>2262</v>
      </c>
      <c r="J384" t="s">
        <v>4631</v>
      </c>
      <c r="K384" s="1" t="s">
        <v>2263</v>
      </c>
    </row>
    <row r="385" spans="1:11" ht="36" customHeight="1">
      <c r="A385" s="1" t="s">
        <v>2264</v>
      </c>
      <c r="B385" s="1" t="s">
        <v>2265</v>
      </c>
      <c r="C385" s="1">
        <v>2018</v>
      </c>
      <c r="D385" s="1" t="s">
        <v>2266</v>
      </c>
      <c r="E385" s="1" t="s">
        <v>1215</v>
      </c>
      <c r="F385" s="1" t="s">
        <v>1256</v>
      </c>
      <c r="G385" s="1" t="s">
        <v>1257</v>
      </c>
      <c r="H385" s="1" t="s">
        <v>2267</v>
      </c>
      <c r="I385" s="1" t="s">
        <v>2268</v>
      </c>
      <c r="J385" t="s">
        <v>4631</v>
      </c>
      <c r="K385" s="1" t="s">
        <v>2269</v>
      </c>
    </row>
    <row r="386" spans="1:11" ht="24" customHeight="1">
      <c r="A386" s="1" t="s">
        <v>2270</v>
      </c>
      <c r="B386" s="1" t="s">
        <v>2271</v>
      </c>
      <c r="C386" s="1">
        <v>2017</v>
      </c>
      <c r="D386" s="1" t="s">
        <v>2272</v>
      </c>
      <c r="E386" s="1" t="s">
        <v>1215</v>
      </c>
      <c r="F386" s="1" t="s">
        <v>1256</v>
      </c>
      <c r="G386" s="1" t="s">
        <v>1257</v>
      </c>
      <c r="H386" s="1" t="s">
        <v>222</v>
      </c>
      <c r="I386" s="1" t="s">
        <v>2273</v>
      </c>
      <c r="J386" t="s">
        <v>4631</v>
      </c>
      <c r="K386" s="1" t="s">
        <v>2274</v>
      </c>
    </row>
    <row r="387" spans="1:11" ht="120" customHeight="1">
      <c r="A387" s="1" t="s">
        <v>2275</v>
      </c>
      <c r="B387" s="1" t="s">
        <v>2276</v>
      </c>
      <c r="C387" s="1">
        <v>2020</v>
      </c>
      <c r="D387" s="1" t="s">
        <v>2277</v>
      </c>
      <c r="E387" s="1" t="s">
        <v>1215</v>
      </c>
      <c r="F387" s="1" t="s">
        <v>1256</v>
      </c>
      <c r="G387" s="1" t="s">
        <v>1257</v>
      </c>
      <c r="H387" s="1" t="s">
        <v>422</v>
      </c>
      <c r="I387" s="1" t="s">
        <v>2278</v>
      </c>
      <c r="J387" t="s">
        <v>4631</v>
      </c>
      <c r="K387" s="1" t="s">
        <v>2279</v>
      </c>
    </row>
    <row r="388" spans="1:11" ht="24" customHeight="1">
      <c r="A388" s="1" t="s">
        <v>2280</v>
      </c>
      <c r="B388" s="1" t="s">
        <v>2281</v>
      </c>
      <c r="C388" s="1">
        <v>2017</v>
      </c>
      <c r="D388" s="1" t="s">
        <v>2282</v>
      </c>
      <c r="E388" s="1" t="s">
        <v>1215</v>
      </c>
      <c r="F388" s="1" t="s">
        <v>1216</v>
      </c>
      <c r="G388" s="1" t="s">
        <v>1217</v>
      </c>
      <c r="H388" s="1" t="s">
        <v>222</v>
      </c>
      <c r="I388" s="1" t="s">
        <v>2283</v>
      </c>
      <c r="J388" t="s">
        <v>4631</v>
      </c>
      <c r="K388" s="1" t="s">
        <v>2284</v>
      </c>
    </row>
    <row r="389" spans="1:11" ht="48" customHeight="1">
      <c r="A389" s="1" t="s">
        <v>2285</v>
      </c>
      <c r="B389" s="1" t="s">
        <v>2286</v>
      </c>
      <c r="C389" s="1">
        <v>2025</v>
      </c>
      <c r="D389" s="1" t="s">
        <v>2287</v>
      </c>
      <c r="E389" s="1" t="s">
        <v>1215</v>
      </c>
      <c r="F389" s="1" t="s">
        <v>1256</v>
      </c>
      <c r="G389" s="1" t="s">
        <v>1257</v>
      </c>
      <c r="H389" s="1" t="s">
        <v>2288</v>
      </c>
      <c r="I389" s="1" t="s">
        <v>2289</v>
      </c>
      <c r="J389" t="s">
        <v>4631</v>
      </c>
      <c r="K389" s="1" t="s">
        <v>2290</v>
      </c>
    </row>
    <row r="390" spans="1:11" ht="48" customHeight="1">
      <c r="A390" s="1" t="s">
        <v>2291</v>
      </c>
      <c r="B390" s="1" t="s">
        <v>2292</v>
      </c>
      <c r="C390" s="1">
        <v>2026</v>
      </c>
      <c r="D390" s="1" t="s">
        <v>2293</v>
      </c>
      <c r="E390" s="1" t="s">
        <v>1215</v>
      </c>
      <c r="F390" s="1" t="s">
        <v>1256</v>
      </c>
      <c r="G390" s="1" t="s">
        <v>1257</v>
      </c>
      <c r="H390" s="1" t="s">
        <v>2294</v>
      </c>
      <c r="I390" s="1" t="s">
        <v>2295</v>
      </c>
      <c r="J390" t="s">
        <v>4631</v>
      </c>
      <c r="K390" s="1" t="s">
        <v>2296</v>
      </c>
    </row>
    <row r="391" spans="1:11" ht="96" customHeight="1">
      <c r="A391" s="1" t="s">
        <v>2297</v>
      </c>
      <c r="B391" s="1" t="s">
        <v>2298</v>
      </c>
      <c r="C391" s="1">
        <v>2016</v>
      </c>
      <c r="D391" s="1" t="s">
        <v>2299</v>
      </c>
      <c r="E391" s="1" t="s">
        <v>1215</v>
      </c>
      <c r="F391" s="1" t="s">
        <v>1216</v>
      </c>
      <c r="G391" s="1" t="s">
        <v>1217</v>
      </c>
      <c r="H391" s="1" t="s">
        <v>422</v>
      </c>
      <c r="I391" s="1" t="s">
        <v>2300</v>
      </c>
      <c r="J391" t="s">
        <v>4631</v>
      </c>
      <c r="K391" s="1" t="s">
        <v>2301</v>
      </c>
    </row>
    <row r="392" spans="1:11" ht="84" customHeight="1">
      <c r="A392" s="1" t="s">
        <v>2302</v>
      </c>
      <c r="B392" s="1" t="s">
        <v>2303</v>
      </c>
      <c r="C392" s="1">
        <v>2017</v>
      </c>
      <c r="D392" s="1" t="s">
        <v>2304</v>
      </c>
      <c r="E392" s="1" t="s">
        <v>1215</v>
      </c>
      <c r="F392" s="1" t="s">
        <v>1216</v>
      </c>
      <c r="G392" s="1" t="s">
        <v>1217</v>
      </c>
      <c r="H392" s="1" t="s">
        <v>422</v>
      </c>
      <c r="I392" s="1" t="s">
        <v>2305</v>
      </c>
      <c r="J392" t="s">
        <v>4631</v>
      </c>
      <c r="K392" s="1" t="s">
        <v>2306</v>
      </c>
    </row>
    <row r="393" spans="1:11" ht="48" customHeight="1">
      <c r="A393" s="1" t="s">
        <v>2307</v>
      </c>
      <c r="B393" s="1" t="s">
        <v>2308</v>
      </c>
      <c r="C393" s="1">
        <v>2025</v>
      </c>
      <c r="D393" s="1" t="s">
        <v>2309</v>
      </c>
      <c r="E393" s="1" t="s">
        <v>1215</v>
      </c>
      <c r="F393" s="1" t="s">
        <v>1348</v>
      </c>
      <c r="G393" s="1" t="s">
        <v>1349</v>
      </c>
      <c r="H393" s="1" t="s">
        <v>2310</v>
      </c>
      <c r="I393" s="1" t="s">
        <v>2311</v>
      </c>
      <c r="J393" t="s">
        <v>4631</v>
      </c>
      <c r="K393" s="1" t="s">
        <v>2312</v>
      </c>
    </row>
    <row r="394" spans="1:11" ht="48" customHeight="1">
      <c r="A394" s="1" t="s">
        <v>2313</v>
      </c>
      <c r="B394" s="1" t="s">
        <v>2314</v>
      </c>
      <c r="C394" s="1">
        <v>2020</v>
      </c>
      <c r="D394" s="1" t="s">
        <v>2315</v>
      </c>
      <c r="E394" s="1" t="s">
        <v>1215</v>
      </c>
      <c r="F394" s="1" t="s">
        <v>1348</v>
      </c>
      <c r="G394" s="1" t="s">
        <v>1349</v>
      </c>
      <c r="H394" s="1" t="s">
        <v>2316</v>
      </c>
      <c r="I394" s="1" t="s">
        <v>2317</v>
      </c>
      <c r="J394" t="s">
        <v>4631</v>
      </c>
      <c r="K394" s="1" t="s">
        <v>2318</v>
      </c>
    </row>
    <row r="395" spans="1:11" ht="24" customHeight="1">
      <c r="A395" s="1" t="s">
        <v>2319</v>
      </c>
      <c r="B395" s="1" t="s">
        <v>2320</v>
      </c>
      <c r="C395" s="1">
        <v>2023</v>
      </c>
      <c r="D395" s="1" t="s">
        <v>2321</v>
      </c>
      <c r="E395" s="1" t="s">
        <v>1215</v>
      </c>
      <c r="F395" s="1" t="s">
        <v>1256</v>
      </c>
      <c r="G395" s="1" t="s">
        <v>1257</v>
      </c>
      <c r="H395" s="1" t="s">
        <v>222</v>
      </c>
      <c r="I395" s="1" t="s">
        <v>2322</v>
      </c>
      <c r="J395" t="s">
        <v>4631</v>
      </c>
      <c r="K395" s="1" t="s">
        <v>2323</v>
      </c>
    </row>
    <row r="396" spans="1:11" ht="48" customHeight="1">
      <c r="A396" s="1" t="s">
        <v>2324</v>
      </c>
      <c r="B396" s="1" t="s">
        <v>2325</v>
      </c>
      <c r="C396" s="1">
        <v>2020</v>
      </c>
      <c r="D396" s="1" t="s">
        <v>2326</v>
      </c>
      <c r="E396" s="1" t="s">
        <v>1215</v>
      </c>
      <c r="F396" s="1" t="s">
        <v>1224</v>
      </c>
      <c r="G396" s="1" t="s">
        <v>1225</v>
      </c>
      <c r="H396" s="1" t="s">
        <v>2327</v>
      </c>
      <c r="I396" s="1" t="s">
        <v>2328</v>
      </c>
      <c r="J396" t="s">
        <v>4631</v>
      </c>
      <c r="K396" s="1" t="s">
        <v>2329</v>
      </c>
    </row>
    <row r="397" spans="1:11" ht="36" customHeight="1">
      <c r="A397" s="1" t="s">
        <v>2330</v>
      </c>
      <c r="B397" s="1" t="s">
        <v>2331</v>
      </c>
      <c r="C397" s="1">
        <v>2024</v>
      </c>
      <c r="D397" s="1" t="s">
        <v>2332</v>
      </c>
      <c r="E397" s="1" t="s">
        <v>1215</v>
      </c>
      <c r="F397" s="1" t="s">
        <v>1256</v>
      </c>
      <c r="G397" s="1" t="s">
        <v>1257</v>
      </c>
      <c r="H397" s="1" t="s">
        <v>2333</v>
      </c>
      <c r="I397" s="1" t="s">
        <v>2334</v>
      </c>
      <c r="J397" t="s">
        <v>4631</v>
      </c>
      <c r="K397" s="1" t="s">
        <v>2335</v>
      </c>
    </row>
    <row r="398" spans="1:11" ht="48" customHeight="1">
      <c r="A398" s="1" t="s">
        <v>2336</v>
      </c>
      <c r="B398" s="1" t="s">
        <v>2337</v>
      </c>
      <c r="C398" s="1">
        <v>2022</v>
      </c>
      <c r="D398" s="1" t="s">
        <v>2338</v>
      </c>
      <c r="E398" s="1" t="s">
        <v>1215</v>
      </c>
      <c r="F398" s="1" t="s">
        <v>1348</v>
      </c>
      <c r="G398" s="1" t="s">
        <v>1349</v>
      </c>
      <c r="H398" s="1" t="s">
        <v>2339</v>
      </c>
      <c r="I398" s="1" t="s">
        <v>2340</v>
      </c>
      <c r="J398" t="s">
        <v>4631</v>
      </c>
      <c r="K398" s="1" t="s">
        <v>2341</v>
      </c>
    </row>
    <row r="399" spans="1:11" ht="48" customHeight="1">
      <c r="A399" s="1" t="s">
        <v>2342</v>
      </c>
      <c r="B399" s="1" t="s">
        <v>2343</v>
      </c>
      <c r="C399" s="1">
        <v>2025</v>
      </c>
      <c r="D399" s="1" t="s">
        <v>2344</v>
      </c>
      <c r="E399" s="1" t="s">
        <v>1215</v>
      </c>
      <c r="F399" s="1" t="s">
        <v>1348</v>
      </c>
      <c r="G399" s="1" t="s">
        <v>1349</v>
      </c>
      <c r="H399" s="1" t="s">
        <v>2345</v>
      </c>
      <c r="I399" s="1" t="s">
        <v>2346</v>
      </c>
      <c r="J399" t="s">
        <v>4631</v>
      </c>
      <c r="K399" s="1" t="s">
        <v>2347</v>
      </c>
    </row>
    <row r="400" spans="1:11" ht="24" customHeight="1">
      <c r="A400" s="1" t="s">
        <v>2348</v>
      </c>
      <c r="B400" s="1" t="s">
        <v>2349</v>
      </c>
      <c r="C400" s="1">
        <v>2023</v>
      </c>
      <c r="D400" s="1" t="s">
        <v>2350</v>
      </c>
      <c r="E400" s="1" t="s">
        <v>1215</v>
      </c>
      <c r="F400" s="1" t="s">
        <v>1256</v>
      </c>
      <c r="G400" s="1" t="s">
        <v>1257</v>
      </c>
      <c r="H400" s="1" t="s">
        <v>297</v>
      </c>
      <c r="I400" s="1" t="s">
        <v>2351</v>
      </c>
      <c r="J400" t="s">
        <v>4631</v>
      </c>
      <c r="K400" s="1" t="s">
        <v>2352</v>
      </c>
    </row>
    <row r="401" spans="1:11" ht="48" customHeight="1">
      <c r="A401" s="1" t="s">
        <v>2353</v>
      </c>
      <c r="B401" s="1" t="s">
        <v>2354</v>
      </c>
      <c r="C401" s="1">
        <v>2025</v>
      </c>
      <c r="D401" s="1" t="s">
        <v>2355</v>
      </c>
      <c r="E401" s="1" t="s">
        <v>1215</v>
      </c>
      <c r="F401" s="1" t="s">
        <v>1256</v>
      </c>
      <c r="G401" s="1" t="s">
        <v>1257</v>
      </c>
      <c r="H401" s="1" t="s">
        <v>2356</v>
      </c>
      <c r="I401" s="1" t="s">
        <v>2357</v>
      </c>
      <c r="J401" t="s">
        <v>4631</v>
      </c>
      <c r="K401" s="1" t="s">
        <v>2358</v>
      </c>
    </row>
    <row r="402" spans="1:11" ht="60" customHeight="1">
      <c r="A402" s="1" t="s">
        <v>2359</v>
      </c>
      <c r="B402" s="1" t="s">
        <v>2360</v>
      </c>
      <c r="C402" s="1">
        <v>2020</v>
      </c>
      <c r="D402" s="1" t="s">
        <v>2361</v>
      </c>
      <c r="E402" s="1" t="s">
        <v>1215</v>
      </c>
      <c r="F402" s="1" t="s">
        <v>1224</v>
      </c>
      <c r="G402" s="1" t="s">
        <v>1225</v>
      </c>
      <c r="H402" s="1" t="s">
        <v>2362</v>
      </c>
      <c r="I402" s="1" t="s">
        <v>2363</v>
      </c>
      <c r="J402" t="s">
        <v>4631</v>
      </c>
      <c r="K402" s="1" t="s">
        <v>2364</v>
      </c>
    </row>
    <row r="403" spans="1:11" ht="48" customHeight="1">
      <c r="A403" s="1" t="s">
        <v>2365</v>
      </c>
      <c r="B403" s="1" t="s">
        <v>2366</v>
      </c>
      <c r="C403" s="1">
        <v>2024</v>
      </c>
      <c r="D403" s="1" t="s">
        <v>2367</v>
      </c>
      <c r="E403" s="1" t="s">
        <v>1215</v>
      </c>
      <c r="F403" s="1" t="s">
        <v>1348</v>
      </c>
      <c r="G403" s="1" t="s">
        <v>1349</v>
      </c>
      <c r="H403" s="1" t="s">
        <v>2368</v>
      </c>
      <c r="I403" s="1" t="s">
        <v>2369</v>
      </c>
      <c r="J403" t="s">
        <v>4631</v>
      </c>
      <c r="K403" s="1" t="s">
        <v>2370</v>
      </c>
    </row>
    <row r="404" spans="1:11" ht="24" customHeight="1">
      <c r="A404" s="1" t="s">
        <v>2371</v>
      </c>
      <c r="B404" s="1" t="s">
        <v>2372</v>
      </c>
      <c r="C404" s="1">
        <v>2025</v>
      </c>
      <c r="D404" s="1" t="s">
        <v>2373</v>
      </c>
      <c r="E404" s="1" t="s">
        <v>1215</v>
      </c>
      <c r="F404" s="1" t="s">
        <v>1224</v>
      </c>
      <c r="G404" s="1" t="s">
        <v>1225</v>
      </c>
      <c r="H404" s="1" t="s">
        <v>297</v>
      </c>
      <c r="I404" s="1" t="s">
        <v>2374</v>
      </c>
      <c r="J404" t="s">
        <v>4631</v>
      </c>
      <c r="K404" s="1" t="s">
        <v>2375</v>
      </c>
    </row>
    <row r="405" spans="1:11" ht="48" customHeight="1">
      <c r="A405" s="1" t="s">
        <v>2376</v>
      </c>
      <c r="B405" s="1" t="s">
        <v>2377</v>
      </c>
      <c r="C405" s="1">
        <v>2025</v>
      </c>
      <c r="D405" s="1" t="s">
        <v>2378</v>
      </c>
      <c r="E405" s="1" t="s">
        <v>1215</v>
      </c>
      <c r="F405" s="1" t="s">
        <v>1256</v>
      </c>
      <c r="G405" s="1" t="s">
        <v>1257</v>
      </c>
      <c r="H405" s="1" t="s">
        <v>2379</v>
      </c>
      <c r="I405" s="1" t="s">
        <v>2380</v>
      </c>
      <c r="J405" t="s">
        <v>4631</v>
      </c>
      <c r="K405" s="1" t="s">
        <v>2381</v>
      </c>
    </row>
    <row r="406" spans="1:11" ht="48" customHeight="1">
      <c r="A406" s="1" t="s">
        <v>2382</v>
      </c>
      <c r="B406" s="1" t="s">
        <v>2383</v>
      </c>
      <c r="C406" s="1">
        <v>2021</v>
      </c>
      <c r="D406" s="1" t="s">
        <v>2384</v>
      </c>
      <c r="E406" s="1" t="s">
        <v>1215</v>
      </c>
      <c r="F406" s="1" t="s">
        <v>1216</v>
      </c>
      <c r="G406" s="1" t="s">
        <v>1217</v>
      </c>
      <c r="H406" s="1" t="s">
        <v>2385</v>
      </c>
      <c r="I406" s="1" t="s">
        <v>2386</v>
      </c>
      <c r="J406" t="s">
        <v>4631</v>
      </c>
      <c r="K406" s="1" t="s">
        <v>2387</v>
      </c>
    </row>
    <row r="407" spans="1:11" ht="72" customHeight="1">
      <c r="A407" s="1" t="s">
        <v>2388</v>
      </c>
      <c r="B407" s="1" t="s">
        <v>2389</v>
      </c>
      <c r="C407" s="1">
        <v>2025</v>
      </c>
      <c r="D407" s="1" t="s">
        <v>2390</v>
      </c>
      <c r="E407" s="1" t="s">
        <v>1215</v>
      </c>
      <c r="F407" s="1" t="s">
        <v>1256</v>
      </c>
      <c r="G407" s="1" t="s">
        <v>1257</v>
      </c>
      <c r="H407" s="1" t="s">
        <v>422</v>
      </c>
      <c r="I407" s="1" t="s">
        <v>2391</v>
      </c>
      <c r="J407" t="s">
        <v>4631</v>
      </c>
      <c r="K407" s="1" t="s">
        <v>2392</v>
      </c>
    </row>
    <row r="408" spans="1:11" ht="48" customHeight="1">
      <c r="A408" s="1" t="s">
        <v>2393</v>
      </c>
      <c r="B408" s="1" t="s">
        <v>2394</v>
      </c>
      <c r="C408" s="1">
        <v>2025</v>
      </c>
      <c r="D408" s="1" t="s">
        <v>2395</v>
      </c>
      <c r="E408" s="1" t="s">
        <v>1215</v>
      </c>
      <c r="F408" s="1" t="s">
        <v>1256</v>
      </c>
      <c r="G408" s="1" t="s">
        <v>1257</v>
      </c>
      <c r="H408" s="1" t="s">
        <v>2396</v>
      </c>
      <c r="I408" s="1" t="s">
        <v>2397</v>
      </c>
      <c r="J408" t="s">
        <v>4631</v>
      </c>
      <c r="K408" s="1" t="s">
        <v>2398</v>
      </c>
    </row>
    <row r="409" spans="1:11" ht="108" customHeight="1">
      <c r="A409" s="1" t="s">
        <v>2399</v>
      </c>
      <c r="B409" s="1" t="s">
        <v>2400</v>
      </c>
      <c r="C409" s="1">
        <v>2023</v>
      </c>
      <c r="D409" s="1" t="s">
        <v>2401</v>
      </c>
      <c r="E409" s="1" t="s">
        <v>1215</v>
      </c>
      <c r="F409" s="1" t="s">
        <v>1256</v>
      </c>
      <c r="G409" s="1" t="s">
        <v>1257</v>
      </c>
      <c r="H409" s="1" t="s">
        <v>422</v>
      </c>
      <c r="I409" s="1" t="s">
        <v>2402</v>
      </c>
      <c r="J409" t="s">
        <v>4631</v>
      </c>
      <c r="K409" s="1" t="s">
        <v>2403</v>
      </c>
    </row>
    <row r="410" spans="1:11" ht="108" customHeight="1">
      <c r="A410" s="1" t="s">
        <v>2404</v>
      </c>
      <c r="B410" s="1" t="s">
        <v>2405</v>
      </c>
      <c r="C410" s="1">
        <v>2017</v>
      </c>
      <c r="D410" s="1" t="s">
        <v>2406</v>
      </c>
      <c r="E410" s="1" t="s">
        <v>1215</v>
      </c>
      <c r="F410" s="1" t="s">
        <v>1256</v>
      </c>
      <c r="G410" s="1" t="s">
        <v>1257</v>
      </c>
      <c r="H410" s="1" t="s">
        <v>422</v>
      </c>
      <c r="I410" s="1" t="s">
        <v>2407</v>
      </c>
      <c r="J410" t="s">
        <v>4631</v>
      </c>
      <c r="K410" s="1" t="s">
        <v>2408</v>
      </c>
    </row>
    <row r="411" spans="1:11" ht="24" customHeight="1">
      <c r="A411" s="1" t="s">
        <v>2409</v>
      </c>
      <c r="B411" s="1" t="s">
        <v>2410</v>
      </c>
      <c r="C411" s="1">
        <v>2025</v>
      </c>
      <c r="D411" s="1" t="s">
        <v>2411</v>
      </c>
      <c r="E411" s="1" t="s">
        <v>1215</v>
      </c>
      <c r="F411" s="1" t="s">
        <v>1216</v>
      </c>
      <c r="G411" s="1" t="s">
        <v>1217</v>
      </c>
      <c r="H411" s="1" t="s">
        <v>297</v>
      </c>
      <c r="I411" s="1" t="s">
        <v>2412</v>
      </c>
      <c r="J411" t="s">
        <v>4631</v>
      </c>
      <c r="K411" s="1" t="s">
        <v>2413</v>
      </c>
    </row>
    <row r="412" spans="1:11" ht="48" customHeight="1">
      <c r="A412" s="1" t="s">
        <v>2414</v>
      </c>
      <c r="B412" s="1" t="s">
        <v>2415</v>
      </c>
      <c r="C412" s="1">
        <v>2022</v>
      </c>
      <c r="D412" s="1" t="s">
        <v>2416</v>
      </c>
      <c r="E412" s="1" t="s">
        <v>1215</v>
      </c>
      <c r="F412" s="1" t="s">
        <v>1216</v>
      </c>
      <c r="G412" s="1" t="s">
        <v>1217</v>
      </c>
      <c r="H412" s="1" t="s">
        <v>2417</v>
      </c>
      <c r="I412" s="1" t="s">
        <v>2418</v>
      </c>
      <c r="J412" t="s">
        <v>4631</v>
      </c>
      <c r="K412" s="1" t="s">
        <v>2419</v>
      </c>
    </row>
    <row r="413" spans="1:11" ht="48" customHeight="1">
      <c r="A413" s="1" t="s">
        <v>2420</v>
      </c>
      <c r="B413" s="1" t="s">
        <v>2421</v>
      </c>
      <c r="C413" s="1">
        <v>2024</v>
      </c>
      <c r="D413" s="1" t="s">
        <v>2422</v>
      </c>
      <c r="E413" s="1" t="s">
        <v>1215</v>
      </c>
      <c r="F413" s="1" t="s">
        <v>1348</v>
      </c>
      <c r="G413" s="1" t="s">
        <v>1349</v>
      </c>
      <c r="H413" s="1" t="s">
        <v>2423</v>
      </c>
      <c r="I413" s="1" t="s">
        <v>2424</v>
      </c>
      <c r="J413" t="s">
        <v>4631</v>
      </c>
      <c r="K413" s="1" t="s">
        <v>2425</v>
      </c>
    </row>
    <row r="414" spans="1:11" ht="48" customHeight="1">
      <c r="A414" s="1" t="s">
        <v>2426</v>
      </c>
      <c r="B414" s="1" t="s">
        <v>2427</v>
      </c>
      <c r="C414" s="1">
        <v>2022</v>
      </c>
      <c r="D414" s="1" t="s">
        <v>2428</v>
      </c>
      <c r="E414" s="1" t="s">
        <v>1215</v>
      </c>
      <c r="F414" s="1" t="s">
        <v>1256</v>
      </c>
      <c r="G414" s="1" t="s">
        <v>1257</v>
      </c>
      <c r="H414" s="1" t="s">
        <v>2429</v>
      </c>
      <c r="I414" s="1" t="s">
        <v>2430</v>
      </c>
      <c r="J414" t="s">
        <v>4631</v>
      </c>
      <c r="K414" s="1" t="s">
        <v>2431</v>
      </c>
    </row>
    <row r="415" spans="1:11" ht="60" customHeight="1">
      <c r="A415" s="1" t="s">
        <v>2432</v>
      </c>
      <c r="B415" s="1" t="s">
        <v>2433</v>
      </c>
      <c r="C415" s="1">
        <v>2019</v>
      </c>
      <c r="D415" s="1" t="s">
        <v>2434</v>
      </c>
      <c r="E415" s="1" t="s">
        <v>1215</v>
      </c>
      <c r="F415" s="1" t="s">
        <v>1224</v>
      </c>
      <c r="G415" s="1" t="s">
        <v>1225</v>
      </c>
      <c r="H415" s="1" t="s">
        <v>2435</v>
      </c>
      <c r="I415" s="1" t="s">
        <v>2436</v>
      </c>
      <c r="J415" t="s">
        <v>4631</v>
      </c>
      <c r="K415" s="1" t="s">
        <v>2437</v>
      </c>
    </row>
    <row r="416" spans="1:11" ht="24" customHeight="1">
      <c r="A416" s="1" t="s">
        <v>2438</v>
      </c>
      <c r="B416" s="1" t="s">
        <v>2439</v>
      </c>
      <c r="C416" s="1">
        <v>2026</v>
      </c>
      <c r="D416" s="1" t="s">
        <v>2440</v>
      </c>
      <c r="E416" s="1" t="s">
        <v>1215</v>
      </c>
      <c r="F416" s="1" t="s">
        <v>1256</v>
      </c>
      <c r="G416" s="1" t="s">
        <v>1257</v>
      </c>
      <c r="H416" s="1" t="s">
        <v>297</v>
      </c>
      <c r="I416" s="1" t="s">
        <v>2441</v>
      </c>
      <c r="J416" t="s">
        <v>4631</v>
      </c>
      <c r="K416" s="1" t="s">
        <v>2442</v>
      </c>
    </row>
    <row r="417" spans="1:11" ht="24" customHeight="1">
      <c r="A417" s="1" t="s">
        <v>2443</v>
      </c>
      <c r="B417" s="1" t="s">
        <v>2444</v>
      </c>
      <c r="C417" s="1">
        <v>2018</v>
      </c>
      <c r="D417" s="1" t="s">
        <v>2445</v>
      </c>
      <c r="E417" s="1" t="s">
        <v>1215</v>
      </c>
      <c r="F417" s="1" t="s">
        <v>1256</v>
      </c>
      <c r="G417" s="1" t="s">
        <v>1257</v>
      </c>
      <c r="H417" s="1" t="s">
        <v>297</v>
      </c>
      <c r="I417" s="1" t="s">
        <v>2446</v>
      </c>
      <c r="J417" t="s">
        <v>4631</v>
      </c>
      <c r="K417" s="1" t="s">
        <v>2447</v>
      </c>
    </row>
    <row r="418" spans="1:11" ht="96" customHeight="1">
      <c r="A418" s="1" t="s">
        <v>2448</v>
      </c>
      <c r="B418" s="1" t="s">
        <v>2449</v>
      </c>
      <c r="C418" s="1">
        <v>2022</v>
      </c>
      <c r="D418" s="1" t="s">
        <v>2450</v>
      </c>
      <c r="E418" s="1" t="s">
        <v>1215</v>
      </c>
      <c r="F418" s="1" t="s">
        <v>1224</v>
      </c>
      <c r="G418" s="1" t="s">
        <v>1225</v>
      </c>
      <c r="H418" s="1" t="s">
        <v>422</v>
      </c>
      <c r="I418" s="1" t="s">
        <v>2451</v>
      </c>
      <c r="J418" t="s">
        <v>4631</v>
      </c>
      <c r="K418" s="1" t="s">
        <v>2452</v>
      </c>
    </row>
    <row r="419" spans="1:11" ht="48" customHeight="1">
      <c r="A419" s="1" t="s">
        <v>2453</v>
      </c>
      <c r="B419" s="1" t="s">
        <v>2454</v>
      </c>
      <c r="C419" s="1">
        <v>2024</v>
      </c>
      <c r="D419" s="1" t="s">
        <v>2455</v>
      </c>
      <c r="E419" s="1" t="s">
        <v>1215</v>
      </c>
      <c r="F419" s="1" t="s">
        <v>1216</v>
      </c>
      <c r="G419" s="1" t="s">
        <v>1217</v>
      </c>
      <c r="H419" s="1" t="s">
        <v>2456</v>
      </c>
      <c r="I419" s="1" t="s">
        <v>2457</v>
      </c>
      <c r="J419" t="s">
        <v>4631</v>
      </c>
      <c r="K419" s="1" t="s">
        <v>2458</v>
      </c>
    </row>
    <row r="420" spans="1:11" ht="96" customHeight="1">
      <c r="A420" s="1" t="s">
        <v>2459</v>
      </c>
      <c r="B420" s="1" t="s">
        <v>2460</v>
      </c>
      <c r="C420" s="1">
        <v>2017</v>
      </c>
      <c r="D420" s="1" t="s">
        <v>2461</v>
      </c>
      <c r="E420" s="1" t="s">
        <v>1215</v>
      </c>
      <c r="F420" s="1" t="s">
        <v>1216</v>
      </c>
      <c r="G420" s="1" t="s">
        <v>1217</v>
      </c>
      <c r="H420" s="1" t="s">
        <v>422</v>
      </c>
      <c r="I420" s="1" t="s">
        <v>2462</v>
      </c>
      <c r="J420" t="s">
        <v>4631</v>
      </c>
      <c r="K420" s="1" t="s">
        <v>2463</v>
      </c>
    </row>
    <row r="421" spans="1:11" ht="48" customHeight="1">
      <c r="A421" s="1" t="s">
        <v>2464</v>
      </c>
      <c r="B421" s="1" t="s">
        <v>2465</v>
      </c>
      <c r="C421" s="1">
        <v>2021</v>
      </c>
      <c r="D421" s="1" t="s">
        <v>2466</v>
      </c>
      <c r="E421" s="1" t="s">
        <v>1215</v>
      </c>
      <c r="F421" s="1" t="s">
        <v>1224</v>
      </c>
      <c r="G421" s="1" t="s">
        <v>1225</v>
      </c>
      <c r="H421" s="1" t="s">
        <v>2467</v>
      </c>
      <c r="I421" s="1" t="s">
        <v>2468</v>
      </c>
      <c r="J421" t="s">
        <v>4631</v>
      </c>
      <c r="K421" s="1" t="s">
        <v>2469</v>
      </c>
    </row>
    <row r="422" spans="1:11" ht="120" customHeight="1">
      <c r="A422" s="1" t="s">
        <v>2470</v>
      </c>
      <c r="B422" s="1" t="s">
        <v>2471</v>
      </c>
      <c r="C422" s="1">
        <v>2022</v>
      </c>
      <c r="D422" s="1" t="s">
        <v>2472</v>
      </c>
      <c r="E422" s="1" t="s">
        <v>1215</v>
      </c>
      <c r="F422" s="1" t="s">
        <v>1224</v>
      </c>
      <c r="G422" s="1" t="s">
        <v>1225</v>
      </c>
      <c r="H422" s="1" t="s">
        <v>422</v>
      </c>
      <c r="I422" s="1" t="s">
        <v>2473</v>
      </c>
      <c r="J422" t="s">
        <v>4631</v>
      </c>
      <c r="K422" s="1" t="s">
        <v>2474</v>
      </c>
    </row>
    <row r="423" spans="1:11" ht="120" customHeight="1">
      <c r="A423" s="1" t="s">
        <v>2475</v>
      </c>
      <c r="B423" s="1" t="s">
        <v>2476</v>
      </c>
      <c r="C423" s="1">
        <v>2020</v>
      </c>
      <c r="D423" s="1" t="s">
        <v>2477</v>
      </c>
      <c r="E423" s="1" t="s">
        <v>1215</v>
      </c>
      <c r="F423" s="1" t="s">
        <v>1224</v>
      </c>
      <c r="G423" s="1" t="s">
        <v>1225</v>
      </c>
      <c r="H423" s="1" t="s">
        <v>422</v>
      </c>
      <c r="I423" s="1" t="s">
        <v>2478</v>
      </c>
      <c r="J423" t="s">
        <v>4631</v>
      </c>
      <c r="K423" s="1" t="s">
        <v>2479</v>
      </c>
    </row>
    <row r="424" spans="1:11" ht="48" customHeight="1">
      <c r="A424" s="1" t="s">
        <v>2480</v>
      </c>
      <c r="B424" s="1" t="s">
        <v>2481</v>
      </c>
      <c r="C424" s="1">
        <v>2022</v>
      </c>
      <c r="D424" s="1" t="s">
        <v>2482</v>
      </c>
      <c r="E424" s="1" t="s">
        <v>1215</v>
      </c>
      <c r="F424" s="1" t="s">
        <v>1216</v>
      </c>
      <c r="G424" s="1" t="s">
        <v>1217</v>
      </c>
      <c r="H424" s="1" t="s">
        <v>2483</v>
      </c>
      <c r="I424" s="1" t="s">
        <v>2484</v>
      </c>
      <c r="J424" t="s">
        <v>4631</v>
      </c>
      <c r="K424" s="1" t="s">
        <v>2485</v>
      </c>
    </row>
    <row r="425" spans="1:11" ht="96" customHeight="1">
      <c r="A425" s="1" t="s">
        <v>2486</v>
      </c>
      <c r="B425" s="1" t="s">
        <v>2487</v>
      </c>
      <c r="C425" s="1">
        <v>2020</v>
      </c>
      <c r="D425" s="1" t="s">
        <v>2488</v>
      </c>
      <c r="E425" s="1" t="s">
        <v>1215</v>
      </c>
      <c r="F425" s="1" t="s">
        <v>1216</v>
      </c>
      <c r="G425" s="1" t="s">
        <v>1217</v>
      </c>
      <c r="H425" s="1" t="s">
        <v>422</v>
      </c>
      <c r="I425" s="1" t="s">
        <v>2489</v>
      </c>
      <c r="J425" t="s">
        <v>4631</v>
      </c>
      <c r="K425" s="1" t="s">
        <v>2490</v>
      </c>
    </row>
    <row r="426" spans="1:11" ht="48" customHeight="1">
      <c r="A426" s="1" t="s">
        <v>2491</v>
      </c>
      <c r="B426" s="1" t="s">
        <v>2492</v>
      </c>
      <c r="C426" s="1">
        <v>2026</v>
      </c>
      <c r="D426" s="1" t="s">
        <v>2493</v>
      </c>
      <c r="E426" s="1" t="s">
        <v>1215</v>
      </c>
      <c r="F426" s="1" t="s">
        <v>1256</v>
      </c>
      <c r="G426" s="1" t="s">
        <v>1257</v>
      </c>
      <c r="H426" s="1" t="s">
        <v>2494</v>
      </c>
      <c r="I426" s="1" t="s">
        <v>2495</v>
      </c>
      <c r="J426" t="s">
        <v>4631</v>
      </c>
      <c r="K426" s="1" t="s">
        <v>2496</v>
      </c>
    </row>
    <row r="427" spans="1:11" ht="48" customHeight="1">
      <c r="A427" s="1" t="s">
        <v>2497</v>
      </c>
      <c r="B427" s="1" t="s">
        <v>2498</v>
      </c>
      <c r="C427" s="1">
        <v>2019</v>
      </c>
      <c r="D427" s="1" t="s">
        <v>2499</v>
      </c>
      <c r="E427" s="1" t="s">
        <v>1215</v>
      </c>
      <c r="F427" s="1" t="s">
        <v>1224</v>
      </c>
      <c r="G427" s="1" t="s">
        <v>1225</v>
      </c>
      <c r="H427" s="1" t="s">
        <v>2500</v>
      </c>
      <c r="I427" s="1" t="s">
        <v>2501</v>
      </c>
      <c r="J427" t="s">
        <v>4631</v>
      </c>
      <c r="K427" s="1" t="s">
        <v>2502</v>
      </c>
    </row>
    <row r="428" spans="1:11" ht="48" customHeight="1">
      <c r="A428" s="1" t="s">
        <v>2503</v>
      </c>
      <c r="B428" s="1" t="s">
        <v>2504</v>
      </c>
      <c r="C428" s="1">
        <v>2020</v>
      </c>
      <c r="D428" s="1" t="s">
        <v>2505</v>
      </c>
      <c r="E428" s="1" t="s">
        <v>1215</v>
      </c>
      <c r="F428" s="1" t="s">
        <v>1256</v>
      </c>
      <c r="G428" s="1" t="s">
        <v>1257</v>
      </c>
      <c r="H428" s="1" t="s">
        <v>2506</v>
      </c>
      <c r="I428" s="1" t="s">
        <v>2507</v>
      </c>
      <c r="J428" t="s">
        <v>4631</v>
      </c>
      <c r="K428" s="1" t="s">
        <v>2508</v>
      </c>
    </row>
    <row r="429" spans="1:11" ht="36" customHeight="1">
      <c r="A429" s="1" t="s">
        <v>2509</v>
      </c>
      <c r="B429" s="1" t="s">
        <v>2510</v>
      </c>
      <c r="C429" s="1">
        <v>2024</v>
      </c>
      <c r="D429" s="1" t="s">
        <v>2511</v>
      </c>
      <c r="E429" s="1" t="s">
        <v>1215</v>
      </c>
      <c r="F429" s="1" t="s">
        <v>1256</v>
      </c>
      <c r="G429" s="1" t="s">
        <v>1257</v>
      </c>
      <c r="H429" s="1" t="s">
        <v>2512</v>
      </c>
      <c r="I429" s="1" t="s">
        <v>2513</v>
      </c>
      <c r="J429" t="s">
        <v>4631</v>
      </c>
      <c r="K429" s="1" t="s">
        <v>2514</v>
      </c>
    </row>
    <row r="430" spans="1:11" ht="48" customHeight="1">
      <c r="A430" s="1" t="s">
        <v>2515</v>
      </c>
      <c r="B430" s="1" t="s">
        <v>2516</v>
      </c>
      <c r="C430" s="1">
        <v>2019</v>
      </c>
      <c r="D430" s="1" t="s">
        <v>2517</v>
      </c>
      <c r="E430" s="1" t="s">
        <v>1215</v>
      </c>
      <c r="F430" s="1" t="s">
        <v>1256</v>
      </c>
      <c r="G430" s="1" t="s">
        <v>1257</v>
      </c>
      <c r="H430" s="1" t="s">
        <v>2518</v>
      </c>
      <c r="I430" s="1" t="s">
        <v>2519</v>
      </c>
      <c r="J430" t="s">
        <v>4631</v>
      </c>
      <c r="K430" s="1" t="s">
        <v>2520</v>
      </c>
    </row>
    <row r="431" spans="1:11" ht="48" customHeight="1">
      <c r="A431" s="1" t="s">
        <v>2521</v>
      </c>
      <c r="B431" s="1" t="s">
        <v>2522</v>
      </c>
      <c r="C431" s="1">
        <v>2022</v>
      </c>
      <c r="D431" s="1" t="s">
        <v>2523</v>
      </c>
      <c r="E431" s="1" t="s">
        <v>1215</v>
      </c>
      <c r="F431" s="1" t="s">
        <v>1224</v>
      </c>
      <c r="G431" s="1" t="s">
        <v>1225</v>
      </c>
      <c r="H431" s="1" t="s">
        <v>2524</v>
      </c>
      <c r="I431" s="1" t="s">
        <v>2525</v>
      </c>
      <c r="J431" t="s">
        <v>4631</v>
      </c>
      <c r="K431" s="1" t="s">
        <v>2526</v>
      </c>
    </row>
    <row r="432" spans="1:11" ht="48" customHeight="1">
      <c r="A432" s="1" t="s">
        <v>2527</v>
      </c>
      <c r="B432" s="1" t="s">
        <v>2528</v>
      </c>
      <c r="C432" s="1">
        <v>2023</v>
      </c>
      <c r="D432" s="1" t="s">
        <v>2529</v>
      </c>
      <c r="E432" s="1" t="s">
        <v>1215</v>
      </c>
      <c r="F432" s="1" t="s">
        <v>1256</v>
      </c>
      <c r="G432" s="1" t="s">
        <v>1257</v>
      </c>
      <c r="H432" s="1" t="s">
        <v>2530</v>
      </c>
      <c r="I432" s="1" t="s">
        <v>2531</v>
      </c>
      <c r="J432" t="s">
        <v>4631</v>
      </c>
      <c r="K432" s="1" t="s">
        <v>2532</v>
      </c>
    </row>
    <row r="433" spans="1:11" ht="48" customHeight="1">
      <c r="A433" s="1" t="s">
        <v>2533</v>
      </c>
      <c r="B433" s="1" t="s">
        <v>2534</v>
      </c>
      <c r="C433" s="1">
        <v>2026</v>
      </c>
      <c r="D433" s="1" t="s">
        <v>2535</v>
      </c>
      <c r="E433" s="1" t="s">
        <v>1215</v>
      </c>
      <c r="F433" s="1" t="s">
        <v>1256</v>
      </c>
      <c r="G433" s="1" t="s">
        <v>1257</v>
      </c>
      <c r="H433" s="1" t="s">
        <v>2536</v>
      </c>
      <c r="I433" s="1" t="s">
        <v>2537</v>
      </c>
      <c r="J433" t="s">
        <v>4631</v>
      </c>
      <c r="K433" s="1" t="s">
        <v>2538</v>
      </c>
    </row>
    <row r="434" spans="1:11" ht="48" customHeight="1">
      <c r="A434" s="1" t="s">
        <v>2539</v>
      </c>
      <c r="B434" s="1" t="s">
        <v>2540</v>
      </c>
      <c r="C434" s="1">
        <v>2021</v>
      </c>
      <c r="D434" s="1" t="s">
        <v>2541</v>
      </c>
      <c r="E434" s="1" t="s">
        <v>1215</v>
      </c>
      <c r="F434" s="1" t="s">
        <v>1224</v>
      </c>
      <c r="G434" s="1" t="s">
        <v>1225</v>
      </c>
      <c r="H434" s="1" t="s">
        <v>2542</v>
      </c>
      <c r="I434" s="1" t="s">
        <v>2543</v>
      </c>
      <c r="J434" t="s">
        <v>4631</v>
      </c>
      <c r="K434" s="1" t="s">
        <v>2544</v>
      </c>
    </row>
    <row r="435" spans="1:11" ht="96" customHeight="1">
      <c r="A435" s="1" t="s">
        <v>2545</v>
      </c>
      <c r="B435" s="1" t="s">
        <v>2546</v>
      </c>
      <c r="C435" s="1">
        <v>2026</v>
      </c>
      <c r="D435" s="1" t="s">
        <v>2547</v>
      </c>
      <c r="E435" s="1" t="s">
        <v>1215</v>
      </c>
      <c r="F435" s="1" t="s">
        <v>1216</v>
      </c>
      <c r="G435" s="1" t="s">
        <v>1217</v>
      </c>
      <c r="H435" s="1" t="s">
        <v>422</v>
      </c>
      <c r="I435" s="1" t="s">
        <v>2548</v>
      </c>
      <c r="J435" t="s">
        <v>4631</v>
      </c>
      <c r="K435" s="1" t="s">
        <v>2549</v>
      </c>
    </row>
    <row r="436" spans="1:11" ht="24" customHeight="1">
      <c r="A436" s="1" t="s">
        <v>2550</v>
      </c>
      <c r="B436" s="1" t="s">
        <v>2551</v>
      </c>
      <c r="C436" s="1">
        <v>2025</v>
      </c>
      <c r="D436" s="1" t="s">
        <v>2552</v>
      </c>
      <c r="E436" s="1" t="s">
        <v>1215</v>
      </c>
      <c r="F436" s="1" t="s">
        <v>1224</v>
      </c>
      <c r="G436" s="1" t="s">
        <v>1225</v>
      </c>
      <c r="H436" s="1" t="s">
        <v>297</v>
      </c>
      <c r="I436" s="1" t="s">
        <v>2553</v>
      </c>
      <c r="J436" t="s">
        <v>4631</v>
      </c>
      <c r="K436" s="1" t="s">
        <v>2554</v>
      </c>
    </row>
    <row r="437" spans="1:11" ht="48" customHeight="1">
      <c r="A437" s="1" t="s">
        <v>2555</v>
      </c>
      <c r="B437" s="1" t="s">
        <v>2556</v>
      </c>
      <c r="C437" s="1">
        <v>2023</v>
      </c>
      <c r="D437" s="1" t="s">
        <v>2557</v>
      </c>
      <c r="E437" s="1" t="s">
        <v>1215</v>
      </c>
      <c r="F437" s="1" t="s">
        <v>1256</v>
      </c>
      <c r="G437" s="1" t="s">
        <v>1257</v>
      </c>
      <c r="H437" s="1" t="s">
        <v>2558</v>
      </c>
      <c r="I437" s="1" t="s">
        <v>2559</v>
      </c>
      <c r="J437" t="s">
        <v>4631</v>
      </c>
      <c r="K437" s="1" t="s">
        <v>2560</v>
      </c>
    </row>
    <row r="438" spans="1:11" ht="120" customHeight="1">
      <c r="A438" s="1" t="s">
        <v>2561</v>
      </c>
      <c r="B438" s="1" t="s">
        <v>2562</v>
      </c>
      <c r="C438" s="1">
        <v>2025</v>
      </c>
      <c r="D438" s="1" t="s">
        <v>2563</v>
      </c>
      <c r="E438" s="1" t="s">
        <v>1215</v>
      </c>
      <c r="F438" s="1" t="s">
        <v>1348</v>
      </c>
      <c r="G438" s="1" t="s">
        <v>1349</v>
      </c>
      <c r="H438" s="1" t="s">
        <v>422</v>
      </c>
      <c r="I438" s="1" t="s">
        <v>2564</v>
      </c>
      <c r="J438" t="s">
        <v>4631</v>
      </c>
      <c r="K438" s="1" t="s">
        <v>2565</v>
      </c>
    </row>
    <row r="439" spans="1:11" ht="48" customHeight="1">
      <c r="A439" s="1" t="s">
        <v>2566</v>
      </c>
      <c r="B439" s="1" t="s">
        <v>2567</v>
      </c>
      <c r="C439" s="1">
        <v>2026</v>
      </c>
      <c r="D439" s="1" t="s">
        <v>2568</v>
      </c>
      <c r="E439" s="1" t="s">
        <v>1215</v>
      </c>
      <c r="F439" s="1" t="s">
        <v>1224</v>
      </c>
      <c r="G439" s="1" t="s">
        <v>1225</v>
      </c>
      <c r="H439" s="1" t="s">
        <v>2569</v>
      </c>
      <c r="I439" s="1" t="s">
        <v>2570</v>
      </c>
      <c r="J439" t="s">
        <v>4631</v>
      </c>
      <c r="K439" s="1" t="s">
        <v>2571</v>
      </c>
    </row>
    <row r="440" spans="1:11" ht="48" customHeight="1">
      <c r="A440" s="1" t="s">
        <v>2572</v>
      </c>
      <c r="B440" s="1" t="s">
        <v>2573</v>
      </c>
      <c r="C440" s="1">
        <v>2025</v>
      </c>
      <c r="D440" s="1" t="s">
        <v>2574</v>
      </c>
      <c r="E440" s="1" t="s">
        <v>1215</v>
      </c>
      <c r="F440" s="1" t="s">
        <v>1216</v>
      </c>
      <c r="G440" s="1" t="s">
        <v>1217</v>
      </c>
      <c r="H440" s="1" t="s">
        <v>2575</v>
      </c>
      <c r="I440" s="1" t="s">
        <v>2576</v>
      </c>
      <c r="J440" t="s">
        <v>4631</v>
      </c>
      <c r="K440" s="1" t="s">
        <v>2577</v>
      </c>
    </row>
    <row r="441" spans="1:11" ht="48" customHeight="1">
      <c r="A441" s="1" t="s">
        <v>2578</v>
      </c>
      <c r="B441" s="1" t="s">
        <v>2579</v>
      </c>
      <c r="C441" s="1">
        <v>2026</v>
      </c>
      <c r="D441" s="1" t="s">
        <v>2580</v>
      </c>
      <c r="E441" s="1" t="s">
        <v>1215</v>
      </c>
      <c r="F441" s="1" t="s">
        <v>1216</v>
      </c>
      <c r="G441" s="1" t="s">
        <v>1217</v>
      </c>
      <c r="H441" s="1" t="s">
        <v>2581</v>
      </c>
      <c r="I441" s="1" t="s">
        <v>2582</v>
      </c>
      <c r="J441" t="s">
        <v>4631</v>
      </c>
      <c r="K441" s="1" t="s">
        <v>2583</v>
      </c>
    </row>
    <row r="442" spans="1:11" ht="36" customHeight="1">
      <c r="A442" s="1" t="s">
        <v>2584</v>
      </c>
      <c r="B442" s="1" t="s">
        <v>2585</v>
      </c>
      <c r="C442" s="1">
        <v>2025</v>
      </c>
      <c r="D442" s="1" t="s">
        <v>2586</v>
      </c>
      <c r="E442" s="1" t="s">
        <v>1215</v>
      </c>
      <c r="F442" s="1" t="s">
        <v>1216</v>
      </c>
      <c r="G442" s="1" t="s">
        <v>1217</v>
      </c>
      <c r="H442" s="1" t="s">
        <v>2587</v>
      </c>
      <c r="I442" s="1" t="s">
        <v>2588</v>
      </c>
      <c r="J442" t="s">
        <v>4631</v>
      </c>
      <c r="K442" s="1" t="s">
        <v>2589</v>
      </c>
    </row>
    <row r="443" spans="1:11" ht="96" customHeight="1">
      <c r="A443" s="1" t="s">
        <v>2590</v>
      </c>
      <c r="B443" s="1" t="s">
        <v>2591</v>
      </c>
      <c r="C443" s="1">
        <v>2023</v>
      </c>
      <c r="D443" s="1" t="s">
        <v>2592</v>
      </c>
      <c r="E443" s="1" t="s">
        <v>1215</v>
      </c>
      <c r="F443" s="1" t="s">
        <v>1256</v>
      </c>
      <c r="G443" s="1" t="s">
        <v>1257</v>
      </c>
      <c r="H443" s="1" t="s">
        <v>422</v>
      </c>
      <c r="I443" s="1" t="s">
        <v>2593</v>
      </c>
      <c r="J443" t="s">
        <v>4631</v>
      </c>
      <c r="K443" s="1" t="s">
        <v>2594</v>
      </c>
    </row>
    <row r="444" spans="1:11" ht="36" customHeight="1">
      <c r="A444" s="1" t="s">
        <v>2595</v>
      </c>
      <c r="B444" s="1" t="s">
        <v>2596</v>
      </c>
      <c r="C444" s="1">
        <v>2022</v>
      </c>
      <c r="D444" s="1" t="s">
        <v>2597</v>
      </c>
      <c r="E444" s="1" t="s">
        <v>1215</v>
      </c>
      <c r="F444" s="1" t="s">
        <v>1216</v>
      </c>
      <c r="G444" s="1" t="s">
        <v>1217</v>
      </c>
      <c r="H444" s="1" t="s">
        <v>2598</v>
      </c>
      <c r="I444" s="1" t="s">
        <v>2599</v>
      </c>
      <c r="J444" t="s">
        <v>4631</v>
      </c>
      <c r="K444" s="1" t="s">
        <v>2600</v>
      </c>
    </row>
    <row r="445" spans="1:11" ht="48" customHeight="1">
      <c r="A445" s="1" t="s">
        <v>2601</v>
      </c>
      <c r="B445" s="1" t="s">
        <v>2602</v>
      </c>
      <c r="C445" s="1">
        <v>2021</v>
      </c>
      <c r="D445" s="1" t="s">
        <v>2603</v>
      </c>
      <c r="E445" s="1" t="s">
        <v>1215</v>
      </c>
      <c r="F445" s="1" t="s">
        <v>1348</v>
      </c>
      <c r="G445" s="1" t="s">
        <v>1349</v>
      </c>
      <c r="H445" s="1" t="s">
        <v>2604</v>
      </c>
      <c r="I445" s="1" t="s">
        <v>2605</v>
      </c>
      <c r="J445" t="s">
        <v>4631</v>
      </c>
      <c r="K445" s="1" t="s">
        <v>2606</v>
      </c>
    </row>
    <row r="446" spans="1:11" ht="84" customHeight="1">
      <c r="A446" s="1" t="s">
        <v>2607</v>
      </c>
      <c r="B446" s="1" t="s">
        <v>2608</v>
      </c>
      <c r="C446" s="1">
        <v>2024</v>
      </c>
      <c r="D446" s="1" t="s">
        <v>2609</v>
      </c>
      <c r="E446" s="1" t="s">
        <v>1215</v>
      </c>
      <c r="F446" s="1" t="s">
        <v>1216</v>
      </c>
      <c r="G446" s="1" t="s">
        <v>1217</v>
      </c>
      <c r="H446" s="1" t="s">
        <v>422</v>
      </c>
      <c r="I446" s="1" t="s">
        <v>2610</v>
      </c>
      <c r="J446" t="s">
        <v>4631</v>
      </c>
      <c r="K446" s="1" t="s">
        <v>2611</v>
      </c>
    </row>
    <row r="447" spans="1:11" ht="48" customHeight="1">
      <c r="A447" s="1" t="s">
        <v>2612</v>
      </c>
      <c r="B447" s="1" t="s">
        <v>2613</v>
      </c>
      <c r="C447" s="1">
        <v>2023</v>
      </c>
      <c r="D447" s="1" t="s">
        <v>2614</v>
      </c>
      <c r="E447" s="1" t="s">
        <v>1215</v>
      </c>
      <c r="F447" s="1" t="s">
        <v>1256</v>
      </c>
      <c r="G447" s="1" t="s">
        <v>1257</v>
      </c>
      <c r="H447" s="1" t="s">
        <v>2615</v>
      </c>
      <c r="I447" s="1" t="s">
        <v>2616</v>
      </c>
      <c r="J447" t="s">
        <v>4631</v>
      </c>
      <c r="K447" s="1" t="s">
        <v>2617</v>
      </c>
    </row>
    <row r="448" spans="1:11" ht="60" customHeight="1">
      <c r="A448" s="1" t="s">
        <v>2618</v>
      </c>
      <c r="B448" s="1" t="s">
        <v>2619</v>
      </c>
      <c r="C448" s="1">
        <v>2025</v>
      </c>
      <c r="D448" s="1" t="s">
        <v>2620</v>
      </c>
      <c r="E448" s="1" t="s">
        <v>1215</v>
      </c>
      <c r="F448" s="1" t="s">
        <v>1256</v>
      </c>
      <c r="G448" s="1" t="s">
        <v>1257</v>
      </c>
      <c r="H448" s="1" t="s">
        <v>2621</v>
      </c>
      <c r="I448" s="1" t="s">
        <v>2622</v>
      </c>
      <c r="J448" t="s">
        <v>4631</v>
      </c>
      <c r="K448" s="1" t="s">
        <v>2623</v>
      </c>
    </row>
    <row r="449" spans="1:11" ht="60" customHeight="1">
      <c r="A449" s="1" t="s">
        <v>2624</v>
      </c>
      <c r="B449" s="1" t="s">
        <v>2625</v>
      </c>
      <c r="C449" s="1">
        <v>2026</v>
      </c>
      <c r="D449" s="1" t="s">
        <v>2626</v>
      </c>
      <c r="E449" s="1" t="s">
        <v>1215</v>
      </c>
      <c r="F449" s="1" t="s">
        <v>1348</v>
      </c>
      <c r="G449" s="1" t="s">
        <v>1349</v>
      </c>
      <c r="H449" s="1" t="s">
        <v>2627</v>
      </c>
      <c r="I449" s="1" t="s">
        <v>2628</v>
      </c>
      <c r="J449" t="s">
        <v>4631</v>
      </c>
      <c r="K449" s="1" t="s">
        <v>2629</v>
      </c>
    </row>
    <row r="450" spans="1:11" ht="96" customHeight="1">
      <c r="A450" s="1" t="s">
        <v>2630</v>
      </c>
      <c r="B450" s="1" t="s">
        <v>2631</v>
      </c>
      <c r="C450" s="1">
        <v>2024</v>
      </c>
      <c r="D450" s="1" t="s">
        <v>2632</v>
      </c>
      <c r="E450" s="1" t="s">
        <v>1215</v>
      </c>
      <c r="F450" s="1" t="s">
        <v>1348</v>
      </c>
      <c r="G450" s="1" t="s">
        <v>1349</v>
      </c>
      <c r="H450" s="1" t="s">
        <v>422</v>
      </c>
      <c r="I450" s="1" t="s">
        <v>2633</v>
      </c>
      <c r="J450" t="s">
        <v>4631</v>
      </c>
      <c r="K450" s="1" t="s">
        <v>2634</v>
      </c>
    </row>
    <row r="451" spans="1:11" ht="24" customHeight="1">
      <c r="A451" s="1" t="s">
        <v>2635</v>
      </c>
      <c r="B451" s="1" t="s">
        <v>2636</v>
      </c>
      <c r="C451" s="1">
        <v>2022</v>
      </c>
      <c r="D451" s="1" t="s">
        <v>2637</v>
      </c>
      <c r="E451" s="1" t="s">
        <v>1215</v>
      </c>
      <c r="F451" s="1" t="s">
        <v>1224</v>
      </c>
      <c r="G451" s="1" t="s">
        <v>1225</v>
      </c>
      <c r="H451" s="1" t="s">
        <v>297</v>
      </c>
      <c r="I451" s="1" t="s">
        <v>2638</v>
      </c>
      <c r="J451" t="s">
        <v>4631</v>
      </c>
      <c r="K451" s="1" t="s">
        <v>2639</v>
      </c>
    </row>
    <row r="452" spans="1:11" ht="48" customHeight="1">
      <c r="A452" s="1" t="s">
        <v>2640</v>
      </c>
      <c r="B452" s="1" t="s">
        <v>2641</v>
      </c>
      <c r="C452" s="1">
        <v>2023</v>
      </c>
      <c r="D452" s="1" t="s">
        <v>2642</v>
      </c>
      <c r="E452" s="1" t="s">
        <v>1215</v>
      </c>
      <c r="F452" s="1" t="s">
        <v>1256</v>
      </c>
      <c r="G452" s="1" t="s">
        <v>1257</v>
      </c>
      <c r="H452" s="1" t="s">
        <v>2643</v>
      </c>
      <c r="I452" s="1" t="s">
        <v>2644</v>
      </c>
      <c r="J452" t="s">
        <v>4631</v>
      </c>
      <c r="K452" s="1" t="s">
        <v>2645</v>
      </c>
    </row>
    <row r="453" spans="1:11" ht="60" customHeight="1">
      <c r="A453" s="1" t="s">
        <v>2646</v>
      </c>
      <c r="B453" s="1" t="s">
        <v>2647</v>
      </c>
      <c r="C453" s="1">
        <v>2022</v>
      </c>
      <c r="D453" s="1" t="s">
        <v>2648</v>
      </c>
      <c r="E453" s="1" t="s">
        <v>1215</v>
      </c>
      <c r="F453" s="1" t="s">
        <v>1256</v>
      </c>
      <c r="G453" s="1" t="s">
        <v>1257</v>
      </c>
      <c r="H453" s="1" t="s">
        <v>422</v>
      </c>
      <c r="I453" s="1" t="s">
        <v>2649</v>
      </c>
      <c r="J453" t="s">
        <v>4631</v>
      </c>
      <c r="K453" s="1" t="s">
        <v>2650</v>
      </c>
    </row>
    <row r="454" spans="1:11" ht="120" customHeight="1">
      <c r="A454" s="1" t="s">
        <v>2651</v>
      </c>
      <c r="B454" s="1" t="s">
        <v>2652</v>
      </c>
      <c r="C454" s="1">
        <v>2016</v>
      </c>
      <c r="D454" s="1" t="s">
        <v>2653</v>
      </c>
      <c r="E454" s="1" t="s">
        <v>1215</v>
      </c>
      <c r="F454" s="1" t="s">
        <v>1216</v>
      </c>
      <c r="G454" s="1" t="s">
        <v>1217</v>
      </c>
      <c r="H454" s="1" t="s">
        <v>422</v>
      </c>
      <c r="I454" s="1" t="s">
        <v>2654</v>
      </c>
      <c r="J454" t="s">
        <v>4631</v>
      </c>
      <c r="K454" s="1" t="s">
        <v>2655</v>
      </c>
    </row>
    <row r="455" spans="1:11" ht="48" customHeight="1">
      <c r="A455" s="1" t="s">
        <v>2656</v>
      </c>
      <c r="B455" s="1" t="s">
        <v>2657</v>
      </c>
      <c r="C455" s="1">
        <v>2023</v>
      </c>
      <c r="D455" s="1" t="s">
        <v>2658</v>
      </c>
      <c r="E455" s="1" t="s">
        <v>1215</v>
      </c>
      <c r="F455" s="1" t="s">
        <v>1348</v>
      </c>
      <c r="G455" s="1" t="s">
        <v>1349</v>
      </c>
      <c r="H455" s="1" t="s">
        <v>2659</v>
      </c>
      <c r="I455" s="1" t="s">
        <v>2660</v>
      </c>
      <c r="J455" t="s">
        <v>4631</v>
      </c>
      <c r="K455" s="1" t="s">
        <v>2661</v>
      </c>
    </row>
    <row r="456" spans="1:11" ht="36" customHeight="1">
      <c r="A456" s="1" t="s">
        <v>2662</v>
      </c>
      <c r="B456" s="1" t="s">
        <v>2663</v>
      </c>
      <c r="C456" s="1">
        <v>2023</v>
      </c>
      <c r="D456" s="1" t="s">
        <v>2664</v>
      </c>
      <c r="E456" s="1" t="s">
        <v>1215</v>
      </c>
      <c r="F456" s="1" t="s">
        <v>1256</v>
      </c>
      <c r="G456" s="1" t="s">
        <v>1257</v>
      </c>
      <c r="H456" s="1" t="s">
        <v>2665</v>
      </c>
      <c r="I456" s="1" t="s">
        <v>2666</v>
      </c>
      <c r="J456" t="s">
        <v>4631</v>
      </c>
      <c r="K456" s="1" t="s">
        <v>2667</v>
      </c>
    </row>
    <row r="457" spans="1:11" ht="24" customHeight="1">
      <c r="A457" s="1" t="s">
        <v>2668</v>
      </c>
      <c r="B457" s="1" t="s">
        <v>2669</v>
      </c>
      <c r="C457" s="1">
        <v>2018</v>
      </c>
      <c r="D457" s="1" t="s">
        <v>2670</v>
      </c>
      <c r="E457" s="1" t="s">
        <v>1215</v>
      </c>
      <c r="F457" s="1" t="s">
        <v>1216</v>
      </c>
      <c r="G457" s="1" t="s">
        <v>1217</v>
      </c>
      <c r="H457" s="1" t="s">
        <v>2671</v>
      </c>
      <c r="I457" s="1" t="s">
        <v>2672</v>
      </c>
      <c r="J457" t="s">
        <v>4631</v>
      </c>
      <c r="K457" s="1" t="s">
        <v>2673</v>
      </c>
    </row>
    <row r="458" spans="1:11" ht="24" customHeight="1">
      <c r="A458" s="1" t="s">
        <v>2674</v>
      </c>
      <c r="B458" s="1" t="s">
        <v>2675</v>
      </c>
      <c r="C458" s="1">
        <v>2026</v>
      </c>
      <c r="D458" s="1" t="s">
        <v>2676</v>
      </c>
      <c r="E458" s="1" t="s">
        <v>1215</v>
      </c>
      <c r="F458" s="1" t="s">
        <v>1256</v>
      </c>
      <c r="G458" s="1" t="s">
        <v>1257</v>
      </c>
      <c r="H458" s="1" t="s">
        <v>2677</v>
      </c>
      <c r="I458" s="1" t="s">
        <v>2678</v>
      </c>
      <c r="J458" t="s">
        <v>4631</v>
      </c>
      <c r="K458" s="1" t="s">
        <v>2679</v>
      </c>
    </row>
    <row r="459" spans="1:11" ht="36" customHeight="1">
      <c r="A459" s="1" t="s">
        <v>2680</v>
      </c>
      <c r="B459" s="1" t="s">
        <v>2681</v>
      </c>
      <c r="C459" s="1">
        <v>2020</v>
      </c>
      <c r="D459" s="1" t="s">
        <v>2682</v>
      </c>
      <c r="E459" s="1" t="s">
        <v>1215</v>
      </c>
      <c r="F459" s="1" t="s">
        <v>1256</v>
      </c>
      <c r="G459" s="1" t="s">
        <v>1257</v>
      </c>
      <c r="H459" s="1" t="s">
        <v>2683</v>
      </c>
      <c r="I459" s="1" t="s">
        <v>2684</v>
      </c>
      <c r="J459" t="s">
        <v>4631</v>
      </c>
      <c r="K459" s="1" t="s">
        <v>2685</v>
      </c>
    </row>
    <row r="460" spans="1:11" ht="48" customHeight="1">
      <c r="A460" s="1" t="s">
        <v>2686</v>
      </c>
      <c r="B460" s="1" t="s">
        <v>2687</v>
      </c>
      <c r="C460" s="1">
        <v>2025</v>
      </c>
      <c r="D460" s="1" t="s">
        <v>2688</v>
      </c>
      <c r="E460" s="1" t="s">
        <v>1215</v>
      </c>
      <c r="F460" s="1" t="s">
        <v>1216</v>
      </c>
      <c r="G460" s="1" t="s">
        <v>1217</v>
      </c>
      <c r="H460" s="1" t="s">
        <v>2689</v>
      </c>
      <c r="I460" s="1" t="s">
        <v>2690</v>
      </c>
      <c r="J460" t="s">
        <v>4631</v>
      </c>
      <c r="K460" s="1" t="s">
        <v>2691</v>
      </c>
    </row>
    <row r="461" spans="1:11" ht="36" customHeight="1">
      <c r="A461" s="1" t="s">
        <v>2692</v>
      </c>
      <c r="B461" s="1" t="s">
        <v>2693</v>
      </c>
      <c r="C461" s="1">
        <v>2024</v>
      </c>
      <c r="D461" s="1" t="s">
        <v>2694</v>
      </c>
      <c r="E461" s="1" t="s">
        <v>1215</v>
      </c>
      <c r="F461" s="1" t="s">
        <v>1256</v>
      </c>
      <c r="G461" s="1" t="s">
        <v>1257</v>
      </c>
      <c r="H461" s="1" t="s">
        <v>2695</v>
      </c>
      <c r="I461" s="1" t="s">
        <v>2696</v>
      </c>
      <c r="J461" t="s">
        <v>4631</v>
      </c>
      <c r="K461" s="1" t="s">
        <v>2697</v>
      </c>
    </row>
    <row r="462" spans="1:11" ht="24" customHeight="1">
      <c r="A462" s="1" t="s">
        <v>2698</v>
      </c>
      <c r="B462" s="1" t="s">
        <v>2699</v>
      </c>
      <c r="C462" s="1">
        <v>2025</v>
      </c>
      <c r="D462" s="1" t="s">
        <v>2700</v>
      </c>
      <c r="E462" s="1" t="s">
        <v>1215</v>
      </c>
      <c r="F462" s="1" t="s">
        <v>1256</v>
      </c>
      <c r="G462" s="1" t="s">
        <v>1257</v>
      </c>
      <c r="H462" s="1" t="s">
        <v>2701</v>
      </c>
      <c r="I462" s="1" t="s">
        <v>2702</v>
      </c>
      <c r="J462" t="s">
        <v>4631</v>
      </c>
      <c r="K462" s="1" t="s">
        <v>2703</v>
      </c>
    </row>
    <row r="463" spans="1:11" ht="36" customHeight="1">
      <c r="A463" s="1" t="s">
        <v>2704</v>
      </c>
      <c r="B463" s="1" t="s">
        <v>2705</v>
      </c>
      <c r="C463" s="1">
        <v>2022</v>
      </c>
      <c r="D463" s="1" t="s">
        <v>2706</v>
      </c>
      <c r="E463" s="1" t="s">
        <v>1215</v>
      </c>
      <c r="F463" s="1" t="s">
        <v>1216</v>
      </c>
      <c r="G463" s="1" t="s">
        <v>1217</v>
      </c>
      <c r="H463" s="1" t="s">
        <v>2707</v>
      </c>
      <c r="I463" s="1" t="s">
        <v>2708</v>
      </c>
      <c r="J463" t="s">
        <v>4631</v>
      </c>
      <c r="K463" s="1" t="s">
        <v>2709</v>
      </c>
    </row>
    <row r="464" spans="1:11" ht="48" customHeight="1">
      <c r="A464" s="1" t="s">
        <v>2710</v>
      </c>
      <c r="B464" s="1" t="s">
        <v>2711</v>
      </c>
      <c r="C464" s="1">
        <v>2023</v>
      </c>
      <c r="D464" s="1" t="s">
        <v>2712</v>
      </c>
      <c r="E464" s="1" t="s">
        <v>1215</v>
      </c>
      <c r="F464" s="1" t="s">
        <v>1256</v>
      </c>
      <c r="G464" s="1" t="s">
        <v>1257</v>
      </c>
      <c r="H464" s="1" t="s">
        <v>2713</v>
      </c>
      <c r="I464" s="1" t="s">
        <v>2714</v>
      </c>
      <c r="J464" t="s">
        <v>4631</v>
      </c>
      <c r="K464" s="1" t="s">
        <v>2715</v>
      </c>
    </row>
    <row r="465" spans="1:11" ht="84" customHeight="1">
      <c r="A465" s="1" t="s">
        <v>2716</v>
      </c>
      <c r="B465" s="1" t="s">
        <v>2717</v>
      </c>
      <c r="C465" s="1">
        <v>2025</v>
      </c>
      <c r="D465" s="1" t="s">
        <v>2718</v>
      </c>
      <c r="E465" s="1" t="s">
        <v>1215</v>
      </c>
      <c r="F465" s="1" t="s">
        <v>1256</v>
      </c>
      <c r="G465" s="1" t="s">
        <v>1257</v>
      </c>
      <c r="H465" s="1" t="s">
        <v>422</v>
      </c>
      <c r="I465" s="1" t="s">
        <v>2719</v>
      </c>
      <c r="J465" t="s">
        <v>4631</v>
      </c>
      <c r="K465" s="1" t="s">
        <v>2720</v>
      </c>
    </row>
    <row r="466" spans="1:11" ht="96" customHeight="1">
      <c r="A466" s="1" t="s">
        <v>2721</v>
      </c>
      <c r="B466" s="1" t="s">
        <v>2722</v>
      </c>
      <c r="C466" s="1">
        <v>2023</v>
      </c>
      <c r="D466" s="1" t="s">
        <v>2723</v>
      </c>
      <c r="E466" s="1" t="s">
        <v>1215</v>
      </c>
      <c r="F466" s="1" t="s">
        <v>1224</v>
      </c>
      <c r="G466" s="1" t="s">
        <v>1225</v>
      </c>
      <c r="H466" s="1" t="s">
        <v>422</v>
      </c>
      <c r="I466" s="1" t="s">
        <v>2724</v>
      </c>
      <c r="J466" t="s">
        <v>4631</v>
      </c>
      <c r="K466" s="1" t="s">
        <v>2725</v>
      </c>
    </row>
    <row r="467" spans="1:11" ht="36" customHeight="1">
      <c r="A467" s="1" t="s">
        <v>2726</v>
      </c>
      <c r="B467" s="1" t="s">
        <v>2727</v>
      </c>
      <c r="C467" s="1">
        <v>2025</v>
      </c>
      <c r="D467" s="1" t="s">
        <v>2728</v>
      </c>
      <c r="E467" s="1" t="s">
        <v>1215</v>
      </c>
      <c r="F467" s="1" t="s">
        <v>1216</v>
      </c>
      <c r="G467" s="1" t="s">
        <v>1217</v>
      </c>
      <c r="H467" s="1" t="s">
        <v>2729</v>
      </c>
      <c r="I467" s="1" t="s">
        <v>2730</v>
      </c>
      <c r="J467" t="s">
        <v>4631</v>
      </c>
      <c r="K467" s="1" t="s">
        <v>2731</v>
      </c>
    </row>
    <row r="468" spans="1:11" ht="36" customHeight="1">
      <c r="A468" s="1" t="s">
        <v>2732</v>
      </c>
      <c r="B468" s="1" t="s">
        <v>2733</v>
      </c>
      <c r="C468" s="1">
        <v>2020</v>
      </c>
      <c r="D468" s="1" t="s">
        <v>2734</v>
      </c>
      <c r="E468" s="1" t="s">
        <v>1215</v>
      </c>
      <c r="F468" s="1" t="s">
        <v>1348</v>
      </c>
      <c r="G468" s="1" t="s">
        <v>1349</v>
      </c>
      <c r="H468" s="1" t="s">
        <v>2735</v>
      </c>
      <c r="I468" s="1" t="s">
        <v>2736</v>
      </c>
      <c r="J468" t="s">
        <v>4631</v>
      </c>
      <c r="K468" s="1" t="s">
        <v>2737</v>
      </c>
    </row>
    <row r="469" spans="1:11" ht="36" customHeight="1">
      <c r="A469" s="1" t="s">
        <v>2738</v>
      </c>
      <c r="B469" s="1" t="s">
        <v>2739</v>
      </c>
      <c r="C469" s="1">
        <v>2018</v>
      </c>
      <c r="D469" s="1" t="s">
        <v>2740</v>
      </c>
      <c r="E469" s="1" t="s">
        <v>1215</v>
      </c>
      <c r="F469" s="1" t="s">
        <v>1224</v>
      </c>
      <c r="G469" s="1" t="s">
        <v>1225</v>
      </c>
      <c r="H469" s="1" t="s">
        <v>2741</v>
      </c>
      <c r="I469" s="1" t="s">
        <v>2742</v>
      </c>
      <c r="J469" t="s">
        <v>4631</v>
      </c>
      <c r="K469" s="1" t="s">
        <v>2743</v>
      </c>
    </row>
    <row r="470" spans="1:11" ht="36" customHeight="1">
      <c r="A470" s="1" t="s">
        <v>2744</v>
      </c>
      <c r="B470" s="1" t="s">
        <v>2745</v>
      </c>
      <c r="C470" s="1">
        <v>2022</v>
      </c>
      <c r="D470" s="1" t="s">
        <v>2746</v>
      </c>
      <c r="E470" s="1" t="s">
        <v>1215</v>
      </c>
      <c r="F470" s="1" t="s">
        <v>1216</v>
      </c>
      <c r="G470" s="1" t="s">
        <v>1217</v>
      </c>
      <c r="H470" s="1" t="s">
        <v>2747</v>
      </c>
      <c r="I470" s="1" t="s">
        <v>2748</v>
      </c>
      <c r="J470" t="s">
        <v>4631</v>
      </c>
      <c r="K470" s="1" t="s">
        <v>2749</v>
      </c>
    </row>
    <row r="471" spans="1:11" ht="36" customHeight="1">
      <c r="A471" s="1" t="s">
        <v>2750</v>
      </c>
      <c r="B471" s="1" t="s">
        <v>2751</v>
      </c>
      <c r="C471" s="1">
        <v>2021</v>
      </c>
      <c r="D471" s="1" t="s">
        <v>2752</v>
      </c>
      <c r="E471" s="1" t="s">
        <v>1215</v>
      </c>
      <c r="F471" s="1" t="s">
        <v>1216</v>
      </c>
      <c r="G471" s="1" t="s">
        <v>1217</v>
      </c>
      <c r="H471" s="1" t="s">
        <v>2753</v>
      </c>
      <c r="I471" s="1" t="s">
        <v>2754</v>
      </c>
      <c r="J471" t="s">
        <v>4631</v>
      </c>
      <c r="K471" s="1" t="s">
        <v>2755</v>
      </c>
    </row>
    <row r="472" spans="1:11" ht="24" customHeight="1">
      <c r="A472" s="1" t="s">
        <v>2756</v>
      </c>
      <c r="B472" s="1" t="s">
        <v>2757</v>
      </c>
      <c r="C472" s="1">
        <v>2018</v>
      </c>
      <c r="D472" s="1" t="s">
        <v>2758</v>
      </c>
      <c r="E472" s="1" t="s">
        <v>1215</v>
      </c>
      <c r="F472" s="1" t="s">
        <v>1256</v>
      </c>
      <c r="G472" s="1" t="s">
        <v>1257</v>
      </c>
      <c r="H472" s="1" t="s">
        <v>297</v>
      </c>
      <c r="I472" s="1" t="s">
        <v>2759</v>
      </c>
      <c r="J472" t="s">
        <v>4631</v>
      </c>
      <c r="K472" s="1" t="s">
        <v>2760</v>
      </c>
    </row>
    <row r="473" spans="1:11" ht="36" customHeight="1">
      <c r="A473" s="1" t="s">
        <v>2761</v>
      </c>
      <c r="B473" s="1" t="s">
        <v>2762</v>
      </c>
      <c r="C473" s="1">
        <v>2024</v>
      </c>
      <c r="D473" s="1" t="s">
        <v>2763</v>
      </c>
      <c r="E473" s="1" t="s">
        <v>1215</v>
      </c>
      <c r="F473" s="1" t="s">
        <v>1348</v>
      </c>
      <c r="G473" s="1" t="s">
        <v>1349</v>
      </c>
      <c r="H473" s="1" t="s">
        <v>2764</v>
      </c>
      <c r="I473" s="1" t="s">
        <v>2765</v>
      </c>
      <c r="J473" t="s">
        <v>4631</v>
      </c>
      <c r="K473" s="1" t="s">
        <v>2766</v>
      </c>
    </row>
    <row r="474" spans="1:11" ht="24" customHeight="1">
      <c r="A474" s="1" t="s">
        <v>2767</v>
      </c>
      <c r="B474" s="1" t="s">
        <v>2768</v>
      </c>
      <c r="C474" s="1">
        <v>2020</v>
      </c>
      <c r="D474" s="1" t="s">
        <v>2769</v>
      </c>
      <c r="E474" s="1" t="s">
        <v>1215</v>
      </c>
      <c r="F474" s="1" t="s">
        <v>1256</v>
      </c>
      <c r="G474" s="1" t="s">
        <v>1257</v>
      </c>
      <c r="H474" s="1" t="s">
        <v>297</v>
      </c>
      <c r="I474" s="1" t="s">
        <v>2770</v>
      </c>
      <c r="J474" t="s">
        <v>4631</v>
      </c>
      <c r="K474" s="1" t="s">
        <v>2771</v>
      </c>
    </row>
    <row r="475" spans="1:11" ht="36" customHeight="1">
      <c r="A475" s="1" t="s">
        <v>2772</v>
      </c>
      <c r="B475" s="1" t="s">
        <v>2773</v>
      </c>
      <c r="C475" s="1">
        <v>2026</v>
      </c>
      <c r="D475" s="1" t="s">
        <v>2774</v>
      </c>
      <c r="E475" s="1" t="s">
        <v>1215</v>
      </c>
      <c r="F475" s="1" t="s">
        <v>1256</v>
      </c>
      <c r="G475" s="1" t="s">
        <v>1257</v>
      </c>
      <c r="H475" s="1" t="s">
        <v>2775</v>
      </c>
      <c r="I475" s="1" t="s">
        <v>2776</v>
      </c>
      <c r="J475" t="s">
        <v>4631</v>
      </c>
      <c r="K475" s="1" t="s">
        <v>2777</v>
      </c>
    </row>
    <row r="476" spans="1:11" ht="36" customHeight="1">
      <c r="A476" s="1" t="s">
        <v>2778</v>
      </c>
      <c r="B476" s="1" t="s">
        <v>2779</v>
      </c>
      <c r="C476" s="1">
        <v>2022</v>
      </c>
      <c r="D476" s="1" t="s">
        <v>2780</v>
      </c>
      <c r="E476" s="1" t="s">
        <v>1215</v>
      </c>
      <c r="F476" s="1" t="s">
        <v>1216</v>
      </c>
      <c r="G476" s="1" t="s">
        <v>1217</v>
      </c>
      <c r="H476" s="1" t="s">
        <v>2781</v>
      </c>
      <c r="I476" s="1" t="s">
        <v>2782</v>
      </c>
      <c r="J476" t="s">
        <v>4631</v>
      </c>
      <c r="K476" s="1" t="s">
        <v>2783</v>
      </c>
    </row>
    <row r="477" spans="1:11" ht="120" customHeight="1">
      <c r="A477" s="1" t="s">
        <v>2784</v>
      </c>
      <c r="B477" s="1" t="s">
        <v>2785</v>
      </c>
      <c r="C477" s="1">
        <v>2022</v>
      </c>
      <c r="D477" s="1" t="s">
        <v>2786</v>
      </c>
      <c r="E477" s="1" t="s">
        <v>1215</v>
      </c>
      <c r="F477" s="1" t="s">
        <v>1256</v>
      </c>
      <c r="G477" s="1" t="s">
        <v>1257</v>
      </c>
      <c r="H477" s="1" t="s">
        <v>422</v>
      </c>
      <c r="I477" s="1" t="s">
        <v>2787</v>
      </c>
      <c r="J477" t="s">
        <v>4631</v>
      </c>
      <c r="K477" s="1" t="s">
        <v>2788</v>
      </c>
    </row>
    <row r="478" spans="1:11" ht="36" customHeight="1">
      <c r="A478" s="1" t="s">
        <v>2789</v>
      </c>
      <c r="B478" s="1" t="s">
        <v>2790</v>
      </c>
      <c r="C478" s="1">
        <v>2026</v>
      </c>
      <c r="D478" s="1" t="s">
        <v>2791</v>
      </c>
      <c r="E478" s="1" t="s">
        <v>1215</v>
      </c>
      <c r="F478" s="1" t="s">
        <v>1256</v>
      </c>
      <c r="G478" s="1" t="s">
        <v>1257</v>
      </c>
      <c r="H478" s="1" t="s">
        <v>2792</v>
      </c>
      <c r="I478" s="1" t="s">
        <v>2793</v>
      </c>
      <c r="J478" t="s">
        <v>4631</v>
      </c>
      <c r="K478" s="1" t="s">
        <v>2794</v>
      </c>
    </row>
    <row r="479" spans="1:11" ht="36" customHeight="1">
      <c r="A479" s="1" t="s">
        <v>2795</v>
      </c>
      <c r="B479" s="1" t="s">
        <v>2796</v>
      </c>
      <c r="C479" s="1">
        <v>2024</v>
      </c>
      <c r="D479" s="1" t="s">
        <v>2797</v>
      </c>
      <c r="E479" s="1" t="s">
        <v>1215</v>
      </c>
      <c r="F479" s="1" t="s">
        <v>1256</v>
      </c>
      <c r="G479" s="1" t="s">
        <v>1257</v>
      </c>
      <c r="H479" s="1" t="s">
        <v>2798</v>
      </c>
      <c r="I479" s="1" t="s">
        <v>2799</v>
      </c>
      <c r="J479" t="s">
        <v>4631</v>
      </c>
      <c r="K479" s="1" t="s">
        <v>2800</v>
      </c>
    </row>
    <row r="480" spans="1:11" ht="36" customHeight="1">
      <c r="A480" s="1" t="s">
        <v>2801</v>
      </c>
      <c r="B480" s="1" t="s">
        <v>2802</v>
      </c>
      <c r="C480" s="1">
        <v>2024</v>
      </c>
      <c r="D480" s="1" t="s">
        <v>2803</v>
      </c>
      <c r="E480" s="1" t="s">
        <v>1215</v>
      </c>
      <c r="F480" s="1" t="s">
        <v>1224</v>
      </c>
      <c r="G480" s="1" t="s">
        <v>1225</v>
      </c>
      <c r="H480" s="1" t="s">
        <v>2804</v>
      </c>
      <c r="I480" s="1" t="s">
        <v>2805</v>
      </c>
      <c r="J480" t="s">
        <v>4631</v>
      </c>
      <c r="K480" s="1" t="s">
        <v>2806</v>
      </c>
    </row>
    <row r="481" spans="1:11" ht="24" customHeight="1">
      <c r="A481" s="1" t="s">
        <v>2807</v>
      </c>
      <c r="B481" s="1" t="s">
        <v>2808</v>
      </c>
      <c r="C481" s="1">
        <v>2023</v>
      </c>
      <c r="D481" s="1" t="s">
        <v>2809</v>
      </c>
      <c r="E481" s="1" t="s">
        <v>1215</v>
      </c>
      <c r="F481" s="1" t="s">
        <v>1224</v>
      </c>
      <c r="G481" s="1" t="s">
        <v>1225</v>
      </c>
      <c r="H481" s="1" t="s">
        <v>297</v>
      </c>
      <c r="I481" s="1" t="s">
        <v>2810</v>
      </c>
      <c r="J481" t="s">
        <v>4631</v>
      </c>
      <c r="K481" s="1" t="s">
        <v>2811</v>
      </c>
    </row>
    <row r="482" spans="1:11" ht="36" customHeight="1">
      <c r="A482" s="1" t="s">
        <v>2812</v>
      </c>
      <c r="B482" s="1" t="s">
        <v>2813</v>
      </c>
      <c r="C482" s="1">
        <v>2025</v>
      </c>
      <c r="D482" s="1" t="s">
        <v>2814</v>
      </c>
      <c r="E482" s="1" t="s">
        <v>1215</v>
      </c>
      <c r="F482" s="1" t="s">
        <v>1216</v>
      </c>
      <c r="G482" s="1" t="s">
        <v>1217</v>
      </c>
      <c r="H482" s="1" t="s">
        <v>2815</v>
      </c>
      <c r="I482" s="1" t="s">
        <v>2816</v>
      </c>
      <c r="J482" t="s">
        <v>4631</v>
      </c>
      <c r="K482" s="1" t="s">
        <v>2817</v>
      </c>
    </row>
    <row r="483" spans="1:11" ht="108" customHeight="1">
      <c r="A483" s="1" t="s">
        <v>2818</v>
      </c>
      <c r="B483" s="1" t="s">
        <v>2819</v>
      </c>
      <c r="C483" s="1">
        <v>2026</v>
      </c>
      <c r="D483" s="1" t="s">
        <v>2820</v>
      </c>
      <c r="E483" s="1" t="s">
        <v>1215</v>
      </c>
      <c r="F483" s="1" t="s">
        <v>1216</v>
      </c>
      <c r="G483" s="1" t="s">
        <v>1217</v>
      </c>
      <c r="H483" s="1" t="s">
        <v>422</v>
      </c>
      <c r="I483" s="1" t="s">
        <v>2821</v>
      </c>
      <c r="J483" t="s">
        <v>4631</v>
      </c>
      <c r="K483" s="1" t="s">
        <v>2822</v>
      </c>
    </row>
    <row r="484" spans="1:11" ht="120" customHeight="1">
      <c r="A484" s="1" t="s">
        <v>2823</v>
      </c>
      <c r="B484" s="1" t="s">
        <v>2824</v>
      </c>
      <c r="C484" s="1">
        <v>2023</v>
      </c>
      <c r="D484" s="1" t="s">
        <v>2825</v>
      </c>
      <c r="E484" s="1" t="s">
        <v>1215</v>
      </c>
      <c r="F484" s="1" t="s">
        <v>1256</v>
      </c>
      <c r="G484" s="1" t="s">
        <v>1257</v>
      </c>
      <c r="H484" s="1" t="s">
        <v>422</v>
      </c>
      <c r="I484" s="1" t="s">
        <v>2826</v>
      </c>
      <c r="J484" t="s">
        <v>4631</v>
      </c>
      <c r="K484" s="1" t="s">
        <v>2827</v>
      </c>
    </row>
    <row r="485" spans="1:11" ht="36" customHeight="1">
      <c r="A485" s="1" t="s">
        <v>2828</v>
      </c>
      <c r="B485" s="1" t="s">
        <v>2829</v>
      </c>
      <c r="C485" s="1">
        <v>2025</v>
      </c>
      <c r="D485" s="1" t="s">
        <v>2830</v>
      </c>
      <c r="E485" s="1" t="s">
        <v>1215</v>
      </c>
      <c r="F485" s="1" t="s">
        <v>1348</v>
      </c>
      <c r="G485" s="1" t="s">
        <v>1349</v>
      </c>
      <c r="H485" s="1" t="s">
        <v>2831</v>
      </c>
      <c r="I485" s="1" t="s">
        <v>2832</v>
      </c>
      <c r="J485" t="s">
        <v>4631</v>
      </c>
      <c r="K485" s="1" t="s">
        <v>2833</v>
      </c>
    </row>
    <row r="486" spans="1:11" ht="36" customHeight="1">
      <c r="A486" s="1" t="s">
        <v>2834</v>
      </c>
      <c r="B486" s="1" t="s">
        <v>2835</v>
      </c>
      <c r="C486" s="1">
        <v>2022</v>
      </c>
      <c r="D486" s="1" t="s">
        <v>2836</v>
      </c>
      <c r="E486" s="1" t="s">
        <v>1215</v>
      </c>
      <c r="F486" s="1" t="s">
        <v>1216</v>
      </c>
      <c r="G486" s="1" t="s">
        <v>1217</v>
      </c>
      <c r="H486" s="1" t="s">
        <v>2837</v>
      </c>
      <c r="I486" s="1" t="s">
        <v>2838</v>
      </c>
      <c r="J486" t="s">
        <v>4631</v>
      </c>
      <c r="K486" s="1" t="s">
        <v>2839</v>
      </c>
    </row>
    <row r="487" spans="1:11" ht="36" customHeight="1">
      <c r="A487" s="1" t="s">
        <v>2840</v>
      </c>
      <c r="B487" s="1" t="s">
        <v>2841</v>
      </c>
      <c r="C487" s="1">
        <v>2017</v>
      </c>
      <c r="D487" s="1" t="s">
        <v>2842</v>
      </c>
      <c r="E487" s="1" t="s">
        <v>1215</v>
      </c>
      <c r="F487" s="1" t="s">
        <v>1224</v>
      </c>
      <c r="G487" s="1" t="s">
        <v>1225</v>
      </c>
      <c r="H487" s="1" t="s">
        <v>2843</v>
      </c>
      <c r="I487" s="1" t="s">
        <v>2844</v>
      </c>
      <c r="J487" t="s">
        <v>4631</v>
      </c>
      <c r="K487" s="1" t="s">
        <v>2845</v>
      </c>
    </row>
    <row r="488" spans="1:11" ht="36" customHeight="1">
      <c r="A488" s="1" t="s">
        <v>2846</v>
      </c>
      <c r="B488" s="1" t="s">
        <v>2847</v>
      </c>
      <c r="C488" s="1">
        <v>2026</v>
      </c>
      <c r="D488" s="1" t="s">
        <v>2848</v>
      </c>
      <c r="E488" s="1" t="s">
        <v>1215</v>
      </c>
      <c r="F488" s="1" t="s">
        <v>1216</v>
      </c>
      <c r="G488" s="1" t="s">
        <v>1217</v>
      </c>
      <c r="H488" s="1" t="s">
        <v>2849</v>
      </c>
      <c r="I488" s="1" t="s">
        <v>2850</v>
      </c>
      <c r="J488" t="s">
        <v>4631</v>
      </c>
      <c r="K488" s="1" t="s">
        <v>2851</v>
      </c>
    </row>
    <row r="489" spans="1:11" ht="36" customHeight="1">
      <c r="A489" s="1" t="s">
        <v>2852</v>
      </c>
      <c r="B489" s="1" t="s">
        <v>2853</v>
      </c>
      <c r="C489" s="1">
        <v>2025</v>
      </c>
      <c r="D489" s="1" t="s">
        <v>2854</v>
      </c>
      <c r="E489" s="1" t="s">
        <v>1215</v>
      </c>
      <c r="F489" s="1" t="s">
        <v>1224</v>
      </c>
      <c r="G489" s="1" t="s">
        <v>1225</v>
      </c>
      <c r="H489" s="1" t="s">
        <v>2855</v>
      </c>
      <c r="I489" s="1" t="s">
        <v>2856</v>
      </c>
      <c r="J489" t="s">
        <v>4631</v>
      </c>
      <c r="K489" s="1" t="s">
        <v>2857</v>
      </c>
    </row>
    <row r="490" spans="1:11" ht="72" customHeight="1">
      <c r="A490" s="1" t="s">
        <v>2858</v>
      </c>
      <c r="B490" s="1" t="s">
        <v>2859</v>
      </c>
      <c r="C490" s="1">
        <v>2025</v>
      </c>
      <c r="D490" s="1" t="s">
        <v>2860</v>
      </c>
      <c r="E490" s="1" t="s">
        <v>1215</v>
      </c>
      <c r="F490" s="1" t="s">
        <v>1256</v>
      </c>
      <c r="G490" s="1" t="s">
        <v>1257</v>
      </c>
      <c r="H490" s="1" t="s">
        <v>422</v>
      </c>
      <c r="I490" s="1" t="s">
        <v>2861</v>
      </c>
      <c r="J490" t="s">
        <v>4631</v>
      </c>
      <c r="K490" s="1" t="s">
        <v>2862</v>
      </c>
    </row>
    <row r="491" spans="1:11" ht="36" customHeight="1">
      <c r="A491" s="1" t="s">
        <v>2863</v>
      </c>
      <c r="B491" s="1" t="s">
        <v>2864</v>
      </c>
      <c r="C491" s="1">
        <v>2025</v>
      </c>
      <c r="D491" s="1" t="s">
        <v>2865</v>
      </c>
      <c r="E491" s="1" t="s">
        <v>1215</v>
      </c>
      <c r="F491" s="1" t="s">
        <v>1348</v>
      </c>
      <c r="G491" s="1" t="s">
        <v>1349</v>
      </c>
      <c r="H491" s="1" t="s">
        <v>2866</v>
      </c>
      <c r="I491" s="1" t="s">
        <v>2867</v>
      </c>
      <c r="J491" t="s">
        <v>4631</v>
      </c>
      <c r="K491" s="1" t="s">
        <v>2868</v>
      </c>
    </row>
    <row r="492" spans="1:11" ht="36" customHeight="1">
      <c r="A492" s="1" t="s">
        <v>2869</v>
      </c>
      <c r="B492" s="1" t="s">
        <v>2870</v>
      </c>
      <c r="C492" s="1">
        <v>2023</v>
      </c>
      <c r="D492" s="1" t="s">
        <v>2871</v>
      </c>
      <c r="E492" s="1" t="s">
        <v>1215</v>
      </c>
      <c r="F492" s="1" t="s">
        <v>1256</v>
      </c>
      <c r="G492" s="1" t="s">
        <v>1257</v>
      </c>
      <c r="H492" s="1" t="s">
        <v>2872</v>
      </c>
      <c r="I492" s="1" t="s">
        <v>2873</v>
      </c>
      <c r="J492" t="s">
        <v>4631</v>
      </c>
      <c r="K492" s="1" t="s">
        <v>2874</v>
      </c>
    </row>
    <row r="493" spans="1:11" ht="132" customHeight="1">
      <c r="A493" s="1" t="s">
        <v>2875</v>
      </c>
      <c r="B493" s="1" t="s">
        <v>2876</v>
      </c>
      <c r="C493" s="1">
        <v>2025</v>
      </c>
      <c r="D493" s="1" t="s">
        <v>2877</v>
      </c>
      <c r="E493" s="1" t="s">
        <v>1215</v>
      </c>
      <c r="F493" s="1" t="s">
        <v>1216</v>
      </c>
      <c r="G493" s="1" t="s">
        <v>1217</v>
      </c>
      <c r="H493" s="1" t="s">
        <v>422</v>
      </c>
      <c r="I493" s="1" t="s">
        <v>2878</v>
      </c>
      <c r="J493" t="s">
        <v>4631</v>
      </c>
      <c r="K493" s="1" t="s">
        <v>2879</v>
      </c>
    </row>
    <row r="494" spans="1:11" ht="36" customHeight="1">
      <c r="A494" s="1" t="s">
        <v>2880</v>
      </c>
      <c r="B494" s="1" t="s">
        <v>2881</v>
      </c>
      <c r="C494" s="1">
        <v>2026</v>
      </c>
      <c r="D494" s="1" t="s">
        <v>2882</v>
      </c>
      <c r="E494" s="1" t="s">
        <v>1215</v>
      </c>
      <c r="F494" s="1" t="s">
        <v>1256</v>
      </c>
      <c r="G494" s="1" t="s">
        <v>1257</v>
      </c>
      <c r="H494" s="1" t="s">
        <v>2883</v>
      </c>
      <c r="I494" s="1" t="s">
        <v>2884</v>
      </c>
      <c r="J494" t="s">
        <v>4631</v>
      </c>
      <c r="K494" s="1" t="s">
        <v>2885</v>
      </c>
    </row>
    <row r="495" spans="1:11" ht="108" customHeight="1">
      <c r="A495" s="1" t="s">
        <v>2886</v>
      </c>
      <c r="B495" s="1" t="s">
        <v>2887</v>
      </c>
      <c r="C495" s="1">
        <v>2021</v>
      </c>
      <c r="D495" s="1" t="s">
        <v>2888</v>
      </c>
      <c r="E495" s="1" t="s">
        <v>1215</v>
      </c>
      <c r="F495" s="1" t="s">
        <v>1256</v>
      </c>
      <c r="G495" s="1" t="s">
        <v>1257</v>
      </c>
      <c r="H495" s="1" t="s">
        <v>422</v>
      </c>
      <c r="I495" s="1" t="s">
        <v>2889</v>
      </c>
      <c r="J495" t="s">
        <v>4631</v>
      </c>
      <c r="K495" s="1" t="s">
        <v>2890</v>
      </c>
    </row>
    <row r="496" spans="1:11" ht="24" customHeight="1">
      <c r="A496" s="1" t="s">
        <v>2891</v>
      </c>
      <c r="B496" s="1" t="s">
        <v>2892</v>
      </c>
      <c r="C496" s="1">
        <v>2018</v>
      </c>
      <c r="D496" s="1" t="s">
        <v>2893</v>
      </c>
      <c r="E496" s="1" t="s">
        <v>1215</v>
      </c>
      <c r="F496" s="1" t="s">
        <v>1224</v>
      </c>
      <c r="G496" s="1" t="s">
        <v>1225</v>
      </c>
      <c r="H496" s="1" t="s">
        <v>222</v>
      </c>
      <c r="I496" s="1" t="s">
        <v>2894</v>
      </c>
      <c r="J496" t="s">
        <v>4631</v>
      </c>
      <c r="K496" s="1" t="s">
        <v>2895</v>
      </c>
    </row>
    <row r="497" spans="1:11" ht="36" customHeight="1">
      <c r="A497" s="1" t="s">
        <v>2896</v>
      </c>
      <c r="B497" s="1" t="s">
        <v>2897</v>
      </c>
      <c r="C497" s="1">
        <v>2022</v>
      </c>
      <c r="D497" s="1" t="s">
        <v>2898</v>
      </c>
      <c r="E497" s="1" t="s">
        <v>1215</v>
      </c>
      <c r="F497" s="1" t="s">
        <v>1256</v>
      </c>
      <c r="G497" s="1" t="s">
        <v>1257</v>
      </c>
      <c r="H497" s="1" t="s">
        <v>2899</v>
      </c>
      <c r="I497" s="1" t="s">
        <v>2900</v>
      </c>
      <c r="J497" t="s">
        <v>4631</v>
      </c>
      <c r="K497" s="1" t="s">
        <v>2901</v>
      </c>
    </row>
    <row r="498" spans="1:11" ht="36" customHeight="1">
      <c r="A498" s="1" t="s">
        <v>2902</v>
      </c>
      <c r="B498" s="1" t="s">
        <v>2903</v>
      </c>
      <c r="C498" s="1">
        <v>2025</v>
      </c>
      <c r="D498" s="1" t="s">
        <v>2904</v>
      </c>
      <c r="E498" s="1" t="s">
        <v>1215</v>
      </c>
      <c r="F498" s="1" t="s">
        <v>1224</v>
      </c>
      <c r="G498" s="1" t="s">
        <v>1225</v>
      </c>
      <c r="H498" s="1" t="s">
        <v>2905</v>
      </c>
      <c r="I498" s="1" t="s">
        <v>2906</v>
      </c>
      <c r="J498" t="s">
        <v>4631</v>
      </c>
      <c r="K498" s="1" t="s">
        <v>2907</v>
      </c>
    </row>
    <row r="499" spans="1:11" ht="24" customHeight="1">
      <c r="A499" s="1" t="s">
        <v>2908</v>
      </c>
      <c r="B499" s="1" t="s">
        <v>2909</v>
      </c>
      <c r="C499" s="1">
        <v>2021</v>
      </c>
      <c r="D499" s="1" t="s">
        <v>2910</v>
      </c>
      <c r="E499" s="1" t="s">
        <v>1215</v>
      </c>
      <c r="F499" s="1" t="s">
        <v>1216</v>
      </c>
      <c r="G499" s="1" t="s">
        <v>1217</v>
      </c>
      <c r="H499" s="1" t="s">
        <v>205</v>
      </c>
      <c r="I499" s="1" t="s">
        <v>2911</v>
      </c>
      <c r="J499" t="s">
        <v>4631</v>
      </c>
      <c r="K499" s="1" t="s">
        <v>2912</v>
      </c>
    </row>
    <row r="500" spans="1:11" ht="108" customHeight="1">
      <c r="A500" s="1" t="s">
        <v>2913</v>
      </c>
      <c r="B500" s="1" t="s">
        <v>2914</v>
      </c>
      <c r="C500" s="1">
        <v>2025</v>
      </c>
      <c r="D500" s="1" t="s">
        <v>2915</v>
      </c>
      <c r="E500" s="1" t="s">
        <v>1215</v>
      </c>
      <c r="F500" s="1" t="s">
        <v>1216</v>
      </c>
      <c r="G500" s="1" t="s">
        <v>1217</v>
      </c>
      <c r="H500" s="1" t="s">
        <v>422</v>
      </c>
      <c r="I500" s="1" t="s">
        <v>2916</v>
      </c>
      <c r="J500" t="s">
        <v>4631</v>
      </c>
      <c r="K500" s="1" t="s">
        <v>2917</v>
      </c>
    </row>
    <row r="501" spans="1:11" ht="108" customHeight="1">
      <c r="A501" s="1" t="s">
        <v>2918</v>
      </c>
      <c r="B501" s="1" t="s">
        <v>2919</v>
      </c>
      <c r="C501" s="1">
        <v>2023</v>
      </c>
      <c r="D501" s="1" t="s">
        <v>2920</v>
      </c>
      <c r="E501" s="1" t="s">
        <v>1215</v>
      </c>
      <c r="F501" s="1" t="s">
        <v>1224</v>
      </c>
      <c r="G501" s="1" t="s">
        <v>1225</v>
      </c>
      <c r="H501" s="1" t="s">
        <v>422</v>
      </c>
      <c r="I501" s="1" t="s">
        <v>2921</v>
      </c>
      <c r="J501" t="s">
        <v>4631</v>
      </c>
      <c r="K501" s="1" t="s">
        <v>2922</v>
      </c>
    </row>
    <row r="502" spans="1:11" ht="48" customHeight="1">
      <c r="A502" s="1" t="s">
        <v>2923</v>
      </c>
      <c r="B502" s="1" t="s">
        <v>2924</v>
      </c>
      <c r="C502" s="1">
        <v>2026</v>
      </c>
      <c r="D502" s="1" t="s">
        <v>2925</v>
      </c>
      <c r="E502" s="1" t="s">
        <v>1215</v>
      </c>
      <c r="F502" s="1" t="s">
        <v>1224</v>
      </c>
      <c r="G502" s="1" t="s">
        <v>1225</v>
      </c>
      <c r="H502" s="1" t="s">
        <v>2926</v>
      </c>
      <c r="I502" s="1" t="s">
        <v>2927</v>
      </c>
      <c r="J502" t="s">
        <v>4631</v>
      </c>
      <c r="K502" s="1" t="s">
        <v>2928</v>
      </c>
    </row>
    <row r="503" spans="1:11" ht="36" customHeight="1">
      <c r="A503" s="1" t="s">
        <v>2929</v>
      </c>
      <c r="B503" s="1" t="s">
        <v>2930</v>
      </c>
      <c r="C503" s="1">
        <v>2024</v>
      </c>
      <c r="D503" s="1" t="s">
        <v>2931</v>
      </c>
      <c r="E503" s="1" t="s">
        <v>1215</v>
      </c>
      <c r="F503" s="1" t="s">
        <v>1256</v>
      </c>
      <c r="G503" s="1" t="s">
        <v>1257</v>
      </c>
      <c r="H503" s="1" t="s">
        <v>2932</v>
      </c>
      <c r="I503" s="1" t="s">
        <v>2933</v>
      </c>
      <c r="J503" t="s">
        <v>4631</v>
      </c>
      <c r="K503" s="1" t="s">
        <v>2934</v>
      </c>
    </row>
    <row r="504" spans="1:11" ht="36" customHeight="1">
      <c r="A504" s="1" t="s">
        <v>2935</v>
      </c>
      <c r="B504" s="1" t="s">
        <v>2936</v>
      </c>
      <c r="C504" s="1">
        <v>2022</v>
      </c>
      <c r="D504" s="1" t="s">
        <v>2937</v>
      </c>
      <c r="E504" s="1" t="s">
        <v>1215</v>
      </c>
      <c r="F504" s="1" t="s">
        <v>1256</v>
      </c>
      <c r="G504" s="1" t="s">
        <v>1257</v>
      </c>
      <c r="H504" s="1" t="s">
        <v>2938</v>
      </c>
      <c r="I504" s="1" t="s">
        <v>2939</v>
      </c>
      <c r="J504" t="s">
        <v>4631</v>
      </c>
      <c r="K504" s="1" t="s">
        <v>2940</v>
      </c>
    </row>
    <row r="505" spans="1:11" ht="24" customHeight="1">
      <c r="A505" s="1" t="s">
        <v>2941</v>
      </c>
      <c r="B505" s="1" t="s">
        <v>2942</v>
      </c>
      <c r="C505" s="1">
        <v>2025</v>
      </c>
      <c r="D505" s="1" t="s">
        <v>2943</v>
      </c>
      <c r="E505" s="1" t="s">
        <v>1215</v>
      </c>
      <c r="F505" s="1" t="s">
        <v>1224</v>
      </c>
      <c r="G505" s="1" t="s">
        <v>1225</v>
      </c>
      <c r="H505" s="1" t="s">
        <v>205</v>
      </c>
      <c r="I505" s="1" t="s">
        <v>2944</v>
      </c>
      <c r="J505" t="s">
        <v>4631</v>
      </c>
      <c r="K505" s="1" t="s">
        <v>2945</v>
      </c>
    </row>
    <row r="506" spans="1:11" ht="120" customHeight="1">
      <c r="A506" s="1" t="s">
        <v>2946</v>
      </c>
      <c r="B506" s="1" t="s">
        <v>2947</v>
      </c>
      <c r="C506" s="1">
        <v>2026</v>
      </c>
      <c r="D506" s="1" t="s">
        <v>2948</v>
      </c>
      <c r="E506" s="1" t="s">
        <v>1215</v>
      </c>
      <c r="F506" s="1" t="s">
        <v>1224</v>
      </c>
      <c r="G506" s="1" t="s">
        <v>1225</v>
      </c>
      <c r="H506" s="1" t="s">
        <v>422</v>
      </c>
      <c r="I506" s="1" t="s">
        <v>2949</v>
      </c>
      <c r="J506" t="s">
        <v>4631</v>
      </c>
      <c r="K506" s="1" t="s">
        <v>2950</v>
      </c>
    </row>
    <row r="507" spans="1:11" ht="36" customHeight="1">
      <c r="A507" s="1" t="s">
        <v>2951</v>
      </c>
      <c r="B507" s="1" t="s">
        <v>2952</v>
      </c>
      <c r="C507" s="1">
        <v>2021</v>
      </c>
      <c r="D507" s="1" t="s">
        <v>2953</v>
      </c>
      <c r="E507" s="1" t="s">
        <v>1215</v>
      </c>
      <c r="F507" s="1" t="s">
        <v>1348</v>
      </c>
      <c r="G507" s="1" t="s">
        <v>1349</v>
      </c>
      <c r="H507" s="1" t="s">
        <v>2954</v>
      </c>
      <c r="I507" s="1" t="s">
        <v>2955</v>
      </c>
      <c r="J507" t="s">
        <v>4631</v>
      </c>
      <c r="K507" s="1" t="s">
        <v>2956</v>
      </c>
    </row>
    <row r="508" spans="1:11" ht="36" customHeight="1">
      <c r="A508" s="1" t="s">
        <v>2957</v>
      </c>
      <c r="B508" s="1" t="s">
        <v>2958</v>
      </c>
      <c r="C508" s="1">
        <v>2017</v>
      </c>
      <c r="D508" s="1" t="s">
        <v>2959</v>
      </c>
      <c r="E508" s="1" t="s">
        <v>1215</v>
      </c>
      <c r="F508" s="1" t="s">
        <v>2137</v>
      </c>
      <c r="G508" s="1" t="s">
        <v>2138</v>
      </c>
      <c r="H508" s="1" t="s">
        <v>2960</v>
      </c>
      <c r="I508" s="1" t="s">
        <v>2961</v>
      </c>
      <c r="J508" t="s">
        <v>4631</v>
      </c>
      <c r="K508" s="1" t="s">
        <v>2962</v>
      </c>
    </row>
    <row r="509" spans="1:11" ht="24" customHeight="1">
      <c r="A509" s="1" t="s">
        <v>2963</v>
      </c>
      <c r="B509" s="1" t="s">
        <v>2964</v>
      </c>
      <c r="C509" s="1">
        <v>2025</v>
      </c>
      <c r="D509" s="1" t="s">
        <v>2965</v>
      </c>
      <c r="E509" s="1" t="s">
        <v>1215</v>
      </c>
      <c r="F509" s="1" t="s">
        <v>1348</v>
      </c>
      <c r="G509" s="1" t="s">
        <v>1349</v>
      </c>
      <c r="H509" s="1" t="s">
        <v>222</v>
      </c>
      <c r="I509" s="1" t="s">
        <v>2966</v>
      </c>
      <c r="J509" t="s">
        <v>4631</v>
      </c>
      <c r="K509" s="1" t="s">
        <v>2967</v>
      </c>
    </row>
    <row r="510" spans="1:11" ht="72" customHeight="1">
      <c r="A510" s="1" t="s">
        <v>2968</v>
      </c>
      <c r="B510" s="1" t="s">
        <v>2969</v>
      </c>
      <c r="C510" s="1">
        <v>2026</v>
      </c>
      <c r="D510" s="1" t="s">
        <v>2970</v>
      </c>
      <c r="E510" s="1" t="s">
        <v>1215</v>
      </c>
      <c r="F510" s="1" t="s">
        <v>1256</v>
      </c>
      <c r="G510" s="1" t="s">
        <v>1257</v>
      </c>
      <c r="H510" s="1" t="s">
        <v>422</v>
      </c>
      <c r="I510" s="1" t="s">
        <v>2971</v>
      </c>
      <c r="J510" t="s">
        <v>4631</v>
      </c>
      <c r="K510" s="1" t="s">
        <v>2972</v>
      </c>
    </row>
    <row r="511" spans="1:11" ht="36" customHeight="1">
      <c r="A511" s="1" t="s">
        <v>2973</v>
      </c>
      <c r="B511" s="1" t="s">
        <v>2974</v>
      </c>
      <c r="C511" s="1">
        <v>2021</v>
      </c>
      <c r="D511" s="1" t="s">
        <v>2975</v>
      </c>
      <c r="E511" s="1" t="s">
        <v>1215</v>
      </c>
      <c r="F511" s="1" t="s">
        <v>2137</v>
      </c>
      <c r="G511" s="1" t="s">
        <v>2138</v>
      </c>
      <c r="H511" s="1" t="s">
        <v>2976</v>
      </c>
      <c r="I511" s="1" t="s">
        <v>2977</v>
      </c>
      <c r="J511" t="s">
        <v>4631</v>
      </c>
      <c r="K511" s="1" t="s">
        <v>2978</v>
      </c>
    </row>
    <row r="512" spans="1:11" ht="144" customHeight="1">
      <c r="A512" s="1" t="s">
        <v>2979</v>
      </c>
      <c r="B512" s="1" t="s">
        <v>2980</v>
      </c>
      <c r="C512" s="1">
        <v>2015</v>
      </c>
      <c r="D512" s="1" t="s">
        <v>2981</v>
      </c>
      <c r="E512" s="1" t="s">
        <v>1215</v>
      </c>
      <c r="F512" s="1" t="s">
        <v>2137</v>
      </c>
      <c r="G512" s="1" t="s">
        <v>2138</v>
      </c>
      <c r="H512" s="1" t="s">
        <v>422</v>
      </c>
      <c r="I512" s="1" t="s">
        <v>2982</v>
      </c>
      <c r="J512" t="s">
        <v>4631</v>
      </c>
      <c r="K512" s="1" t="s">
        <v>2983</v>
      </c>
    </row>
    <row r="513" spans="1:11" ht="96" customHeight="1">
      <c r="A513" s="1" t="s">
        <v>2984</v>
      </c>
      <c r="B513" s="1" t="s">
        <v>2985</v>
      </c>
      <c r="C513" s="1">
        <v>2026</v>
      </c>
      <c r="D513" s="1" t="s">
        <v>2986</v>
      </c>
      <c r="E513" s="1" t="s">
        <v>1215</v>
      </c>
      <c r="F513" s="1" t="s">
        <v>1216</v>
      </c>
      <c r="G513" s="1" t="s">
        <v>1217</v>
      </c>
      <c r="H513" s="1" t="s">
        <v>422</v>
      </c>
      <c r="I513" s="1" t="s">
        <v>2987</v>
      </c>
      <c r="J513" t="s">
        <v>4631</v>
      </c>
      <c r="K513" s="1" t="s">
        <v>2988</v>
      </c>
    </row>
    <row r="514" spans="1:11" ht="24" customHeight="1">
      <c r="A514" s="1" t="s">
        <v>2989</v>
      </c>
      <c r="B514" s="1" t="s">
        <v>2990</v>
      </c>
      <c r="C514" s="1">
        <v>2023</v>
      </c>
      <c r="D514" s="1" t="s">
        <v>2991</v>
      </c>
      <c r="E514" s="1" t="s">
        <v>1215</v>
      </c>
      <c r="F514" s="1" t="s">
        <v>1256</v>
      </c>
      <c r="G514" s="1" t="s">
        <v>1257</v>
      </c>
      <c r="H514" s="1" t="s">
        <v>2992</v>
      </c>
      <c r="I514" s="1" t="s">
        <v>2993</v>
      </c>
      <c r="J514" t="s">
        <v>4631</v>
      </c>
      <c r="K514" s="1" t="s">
        <v>2994</v>
      </c>
    </row>
    <row r="515" spans="1:11" ht="36" customHeight="1">
      <c r="A515" s="1" t="s">
        <v>2995</v>
      </c>
      <c r="B515" s="1" t="s">
        <v>2996</v>
      </c>
      <c r="C515" s="1">
        <v>2024</v>
      </c>
      <c r="D515" s="1" t="s">
        <v>2997</v>
      </c>
      <c r="E515" s="1" t="s">
        <v>1215</v>
      </c>
      <c r="F515" s="1" t="s">
        <v>1224</v>
      </c>
      <c r="G515" s="1" t="s">
        <v>1225</v>
      </c>
      <c r="H515" s="1" t="s">
        <v>2998</v>
      </c>
      <c r="I515" s="1" t="s">
        <v>2999</v>
      </c>
      <c r="J515" t="s">
        <v>4631</v>
      </c>
      <c r="K515" s="1" t="s">
        <v>3000</v>
      </c>
    </row>
    <row r="516" spans="1:11" ht="36" customHeight="1">
      <c r="A516" s="1" t="s">
        <v>3001</v>
      </c>
      <c r="B516" s="1" t="s">
        <v>3002</v>
      </c>
      <c r="C516" s="1">
        <v>2022</v>
      </c>
      <c r="D516" s="1" t="s">
        <v>3003</v>
      </c>
      <c r="E516" s="1" t="s">
        <v>1215</v>
      </c>
      <c r="F516" s="1" t="s">
        <v>1224</v>
      </c>
      <c r="G516" s="1" t="s">
        <v>1225</v>
      </c>
      <c r="H516" s="1" t="s">
        <v>3004</v>
      </c>
      <c r="I516" s="1" t="s">
        <v>3005</v>
      </c>
      <c r="J516" t="s">
        <v>4631</v>
      </c>
      <c r="K516" s="1" t="s">
        <v>3006</v>
      </c>
    </row>
    <row r="517" spans="1:11" ht="36" customHeight="1">
      <c r="A517" s="1" t="s">
        <v>3007</v>
      </c>
      <c r="B517" s="1" t="s">
        <v>3008</v>
      </c>
      <c r="C517" s="1">
        <v>2025</v>
      </c>
      <c r="D517" s="1" t="s">
        <v>3009</v>
      </c>
      <c r="E517" s="1" t="s">
        <v>1215</v>
      </c>
      <c r="F517" s="1" t="s">
        <v>1256</v>
      </c>
      <c r="G517" s="1" t="s">
        <v>1257</v>
      </c>
      <c r="H517" s="1" t="s">
        <v>3010</v>
      </c>
      <c r="I517" s="1" t="s">
        <v>3011</v>
      </c>
      <c r="J517" t="s">
        <v>4631</v>
      </c>
      <c r="K517" s="1" t="s">
        <v>3012</v>
      </c>
    </row>
    <row r="518" spans="1:11" ht="36" customHeight="1">
      <c r="A518" s="1" t="s">
        <v>3013</v>
      </c>
      <c r="B518" s="1" t="s">
        <v>3014</v>
      </c>
      <c r="C518" s="1">
        <v>2025</v>
      </c>
      <c r="D518" s="1" t="s">
        <v>3015</v>
      </c>
      <c r="E518" s="1" t="s">
        <v>1215</v>
      </c>
      <c r="F518" s="1" t="s">
        <v>1216</v>
      </c>
      <c r="G518" s="1" t="s">
        <v>1217</v>
      </c>
      <c r="H518" s="1" t="s">
        <v>205</v>
      </c>
      <c r="I518" s="1" t="s">
        <v>3016</v>
      </c>
      <c r="J518" t="s">
        <v>4631</v>
      </c>
      <c r="K518" s="1" t="s">
        <v>3017</v>
      </c>
    </row>
    <row r="519" spans="1:11" ht="72" customHeight="1">
      <c r="A519" s="1" t="s">
        <v>3018</v>
      </c>
      <c r="B519" s="1" t="s">
        <v>3019</v>
      </c>
      <c r="C519" s="1">
        <v>2026</v>
      </c>
      <c r="D519" s="1" t="s">
        <v>3020</v>
      </c>
      <c r="E519" s="1" t="s">
        <v>1215</v>
      </c>
      <c r="F519" s="1" t="s">
        <v>1216</v>
      </c>
      <c r="G519" s="1" t="s">
        <v>1217</v>
      </c>
      <c r="H519" s="1" t="s">
        <v>422</v>
      </c>
      <c r="I519" s="1" t="s">
        <v>3021</v>
      </c>
      <c r="J519" t="s">
        <v>4631</v>
      </c>
      <c r="K519" s="1" t="s">
        <v>3022</v>
      </c>
    </row>
    <row r="520" spans="1:11" ht="36" customHeight="1">
      <c r="A520" s="1" t="s">
        <v>3023</v>
      </c>
      <c r="B520" s="1" t="s">
        <v>3024</v>
      </c>
      <c r="C520" s="1">
        <v>2025</v>
      </c>
      <c r="D520" s="1" t="s">
        <v>3025</v>
      </c>
      <c r="E520" s="1" t="s">
        <v>1215</v>
      </c>
      <c r="F520" s="1" t="s">
        <v>1256</v>
      </c>
      <c r="G520" s="1" t="s">
        <v>1257</v>
      </c>
      <c r="H520" s="1" t="s">
        <v>3026</v>
      </c>
      <c r="I520" s="1" t="s">
        <v>3027</v>
      </c>
      <c r="J520" t="s">
        <v>4631</v>
      </c>
      <c r="K520" s="1" t="s">
        <v>3028</v>
      </c>
    </row>
    <row r="521" spans="1:11" ht="72" customHeight="1">
      <c r="A521" s="1" t="s">
        <v>3029</v>
      </c>
      <c r="B521" s="1" t="s">
        <v>3030</v>
      </c>
      <c r="C521" s="1">
        <v>2025</v>
      </c>
      <c r="D521" s="1" t="s">
        <v>3031</v>
      </c>
      <c r="E521" s="1" t="s">
        <v>1215</v>
      </c>
      <c r="F521" s="1" t="s">
        <v>1216</v>
      </c>
      <c r="G521" s="1" t="s">
        <v>1217</v>
      </c>
      <c r="H521" s="1" t="s">
        <v>422</v>
      </c>
      <c r="I521" s="1" t="s">
        <v>3032</v>
      </c>
      <c r="J521" t="s">
        <v>4631</v>
      </c>
      <c r="K521" s="1" t="s">
        <v>3033</v>
      </c>
    </row>
    <row r="522" spans="1:11" ht="96" customHeight="1">
      <c r="A522" s="1" t="s">
        <v>3034</v>
      </c>
      <c r="B522" s="1" t="s">
        <v>3035</v>
      </c>
      <c r="C522" s="1">
        <v>2026</v>
      </c>
      <c r="D522" s="1" t="s">
        <v>3036</v>
      </c>
      <c r="E522" s="1" t="s">
        <v>1215</v>
      </c>
      <c r="F522" s="1" t="s">
        <v>1256</v>
      </c>
      <c r="G522" s="1" t="s">
        <v>1257</v>
      </c>
      <c r="H522" s="1" t="s">
        <v>422</v>
      </c>
      <c r="I522" s="1" t="s">
        <v>3037</v>
      </c>
      <c r="J522" t="s">
        <v>4631</v>
      </c>
      <c r="K522" s="1" t="s">
        <v>3038</v>
      </c>
    </row>
    <row r="523" spans="1:11" ht="24" customHeight="1">
      <c r="A523" s="1" t="s">
        <v>3039</v>
      </c>
      <c r="B523" s="1" t="s">
        <v>3040</v>
      </c>
      <c r="C523" s="1">
        <v>2025</v>
      </c>
      <c r="D523" s="1" t="s">
        <v>3041</v>
      </c>
      <c r="E523" s="1" t="s">
        <v>1215</v>
      </c>
      <c r="F523" s="1" t="s">
        <v>1256</v>
      </c>
      <c r="G523" s="1" t="s">
        <v>1257</v>
      </c>
      <c r="H523" s="1" t="s">
        <v>222</v>
      </c>
      <c r="I523" s="1" t="s">
        <v>3042</v>
      </c>
      <c r="J523" t="s">
        <v>4631</v>
      </c>
      <c r="K523" s="1" t="s">
        <v>3043</v>
      </c>
    </row>
    <row r="524" spans="1:11" ht="36" customHeight="1">
      <c r="A524" s="1" t="s">
        <v>3044</v>
      </c>
      <c r="B524" s="1" t="s">
        <v>3045</v>
      </c>
      <c r="C524" s="1">
        <v>2026</v>
      </c>
      <c r="D524" s="1" t="s">
        <v>3046</v>
      </c>
      <c r="E524" s="1" t="s">
        <v>1215</v>
      </c>
      <c r="F524" s="1" t="s">
        <v>1216</v>
      </c>
      <c r="G524" s="1" t="s">
        <v>1217</v>
      </c>
      <c r="H524" s="1" t="s">
        <v>3047</v>
      </c>
      <c r="I524" s="1" t="s">
        <v>3048</v>
      </c>
      <c r="J524" t="s">
        <v>4631</v>
      </c>
      <c r="K524" s="1" t="s">
        <v>3049</v>
      </c>
    </row>
    <row r="525" spans="1:11" ht="36" customHeight="1">
      <c r="A525" s="1" t="s">
        <v>3050</v>
      </c>
      <c r="B525" s="1" t="s">
        <v>3051</v>
      </c>
      <c r="C525" s="1">
        <v>2025</v>
      </c>
      <c r="D525" s="1" t="s">
        <v>3052</v>
      </c>
      <c r="E525" s="1" t="s">
        <v>1215</v>
      </c>
      <c r="F525" s="1" t="s">
        <v>1256</v>
      </c>
      <c r="G525" s="1" t="s">
        <v>1257</v>
      </c>
      <c r="H525" s="1" t="s">
        <v>3053</v>
      </c>
      <c r="I525" s="1" t="s">
        <v>3054</v>
      </c>
      <c r="J525" t="s">
        <v>4631</v>
      </c>
      <c r="K525" s="1" t="s">
        <v>3055</v>
      </c>
    </row>
    <row r="526" spans="1:11" ht="24" customHeight="1">
      <c r="A526" s="1" t="s">
        <v>3056</v>
      </c>
      <c r="B526" s="1" t="s">
        <v>3057</v>
      </c>
      <c r="C526" s="1">
        <v>2023</v>
      </c>
      <c r="D526" s="1" t="s">
        <v>3058</v>
      </c>
      <c r="E526" s="1" t="s">
        <v>1215</v>
      </c>
      <c r="F526" s="1" t="s">
        <v>1256</v>
      </c>
      <c r="G526" s="1" t="s">
        <v>1257</v>
      </c>
      <c r="H526" s="1" t="s">
        <v>222</v>
      </c>
      <c r="I526" s="1" t="s">
        <v>3059</v>
      </c>
      <c r="J526" t="s">
        <v>4631</v>
      </c>
      <c r="K526" s="1" t="s">
        <v>3060</v>
      </c>
    </row>
    <row r="527" spans="1:11" ht="72" customHeight="1">
      <c r="A527" s="1" t="s">
        <v>3061</v>
      </c>
      <c r="B527" s="1" t="s">
        <v>3062</v>
      </c>
      <c r="C527" s="1">
        <v>2024</v>
      </c>
      <c r="D527" s="1" t="s">
        <v>3063</v>
      </c>
      <c r="E527" s="1" t="s">
        <v>1215</v>
      </c>
      <c r="F527" s="1" t="s">
        <v>1256</v>
      </c>
      <c r="G527" s="1" t="s">
        <v>1257</v>
      </c>
      <c r="H527" s="1" t="s">
        <v>422</v>
      </c>
      <c r="I527" s="1" t="s">
        <v>3064</v>
      </c>
      <c r="J527" t="s">
        <v>4631</v>
      </c>
      <c r="K527" s="1" t="s">
        <v>3065</v>
      </c>
    </row>
    <row r="528" spans="1:11" ht="120" customHeight="1">
      <c r="A528" s="1" t="s">
        <v>3066</v>
      </c>
      <c r="B528" s="1" t="s">
        <v>3067</v>
      </c>
      <c r="C528" s="1">
        <v>2025</v>
      </c>
      <c r="D528" s="1" t="s">
        <v>3068</v>
      </c>
      <c r="E528" s="1" t="s">
        <v>1215</v>
      </c>
      <c r="F528" s="1" t="s">
        <v>1216</v>
      </c>
      <c r="G528" s="1" t="s">
        <v>1217</v>
      </c>
      <c r="H528" s="1" t="s">
        <v>422</v>
      </c>
      <c r="I528" s="1" t="s">
        <v>3069</v>
      </c>
      <c r="J528" t="s">
        <v>4631</v>
      </c>
      <c r="K528" s="1" t="s">
        <v>3070</v>
      </c>
    </row>
    <row r="529" spans="1:11" ht="84" customHeight="1">
      <c r="A529" s="1" t="s">
        <v>3071</v>
      </c>
      <c r="B529" s="1" t="s">
        <v>3072</v>
      </c>
      <c r="C529" s="1">
        <v>2025</v>
      </c>
      <c r="D529" s="1" t="s">
        <v>3073</v>
      </c>
      <c r="E529" s="1" t="s">
        <v>1215</v>
      </c>
      <c r="F529" s="1" t="s">
        <v>1224</v>
      </c>
      <c r="G529" s="1" t="s">
        <v>1225</v>
      </c>
      <c r="H529" s="1" t="s">
        <v>422</v>
      </c>
      <c r="I529" s="1" t="s">
        <v>3074</v>
      </c>
      <c r="J529" t="s">
        <v>4631</v>
      </c>
      <c r="K529" s="1" t="s">
        <v>3075</v>
      </c>
    </row>
    <row r="530" spans="1:11" ht="108" customHeight="1">
      <c r="A530" s="1" t="s">
        <v>3076</v>
      </c>
      <c r="B530" s="1" t="s">
        <v>3077</v>
      </c>
      <c r="C530" s="1">
        <v>2023</v>
      </c>
      <c r="D530" s="1" t="s">
        <v>3078</v>
      </c>
      <c r="E530" s="1" t="s">
        <v>1215</v>
      </c>
      <c r="F530" s="1" t="s">
        <v>1216</v>
      </c>
      <c r="G530" s="1" t="s">
        <v>1217</v>
      </c>
      <c r="H530" s="1" t="s">
        <v>422</v>
      </c>
      <c r="I530" s="1" t="s">
        <v>3079</v>
      </c>
      <c r="J530" t="s">
        <v>4631</v>
      </c>
      <c r="K530" s="1" t="s">
        <v>3080</v>
      </c>
    </row>
    <row r="531" spans="1:11" ht="36" customHeight="1">
      <c r="A531" s="1" t="s">
        <v>3081</v>
      </c>
      <c r="B531" s="1" t="s">
        <v>3082</v>
      </c>
      <c r="C531" s="1">
        <v>2022</v>
      </c>
      <c r="D531" s="1" t="s">
        <v>3083</v>
      </c>
      <c r="E531" s="1" t="s">
        <v>1215</v>
      </c>
      <c r="F531" s="1" t="s">
        <v>1216</v>
      </c>
      <c r="G531" s="1" t="s">
        <v>1217</v>
      </c>
      <c r="H531" s="1" t="s">
        <v>3084</v>
      </c>
      <c r="I531" s="1" t="s">
        <v>3085</v>
      </c>
      <c r="J531" t="s">
        <v>4631</v>
      </c>
      <c r="K531" s="1" t="s">
        <v>3086</v>
      </c>
    </row>
    <row r="532" spans="1:11" ht="108" customHeight="1">
      <c r="A532" s="1" t="s">
        <v>3087</v>
      </c>
      <c r="B532" s="1" t="s">
        <v>3088</v>
      </c>
      <c r="C532" s="1">
        <v>2023</v>
      </c>
      <c r="D532" s="1" t="s">
        <v>3089</v>
      </c>
      <c r="E532" s="1" t="s">
        <v>1215</v>
      </c>
      <c r="F532" s="1" t="s">
        <v>1256</v>
      </c>
      <c r="G532" s="1" t="s">
        <v>1257</v>
      </c>
      <c r="H532" s="1" t="s">
        <v>422</v>
      </c>
      <c r="I532" s="1" t="s">
        <v>3090</v>
      </c>
      <c r="J532" t="s">
        <v>4631</v>
      </c>
      <c r="K532" s="1" t="s">
        <v>3091</v>
      </c>
    </row>
    <row r="533" spans="1:11" ht="72" customHeight="1">
      <c r="A533" s="1" t="s">
        <v>3092</v>
      </c>
      <c r="B533" s="1" t="s">
        <v>3093</v>
      </c>
      <c r="C533" s="1">
        <v>2025</v>
      </c>
      <c r="D533" s="1" t="s">
        <v>3094</v>
      </c>
      <c r="E533" s="1" t="s">
        <v>1215</v>
      </c>
      <c r="F533" s="1" t="s">
        <v>1216</v>
      </c>
      <c r="G533" s="1" t="s">
        <v>1217</v>
      </c>
      <c r="H533" s="1" t="s">
        <v>422</v>
      </c>
      <c r="I533" s="1" t="s">
        <v>3095</v>
      </c>
      <c r="J533" t="s">
        <v>4631</v>
      </c>
      <c r="K533" s="1" t="s">
        <v>3096</v>
      </c>
    </row>
    <row r="534" spans="1:11" ht="60" customHeight="1">
      <c r="A534" s="1" t="s">
        <v>3097</v>
      </c>
      <c r="B534" s="1" t="s">
        <v>3098</v>
      </c>
      <c r="C534" s="1">
        <v>2024</v>
      </c>
      <c r="D534" s="1" t="s">
        <v>3099</v>
      </c>
      <c r="E534" s="1" t="s">
        <v>1215</v>
      </c>
      <c r="F534" s="1" t="s">
        <v>1348</v>
      </c>
      <c r="G534" s="1" t="s">
        <v>1349</v>
      </c>
      <c r="H534" s="1" t="s">
        <v>422</v>
      </c>
      <c r="I534" s="1" t="s">
        <v>3100</v>
      </c>
      <c r="J534" t="s">
        <v>4631</v>
      </c>
      <c r="K534" s="1" t="s">
        <v>3101</v>
      </c>
    </row>
    <row r="535" spans="1:11" ht="36" customHeight="1">
      <c r="A535" s="1" t="s">
        <v>3102</v>
      </c>
      <c r="B535" s="1" t="s">
        <v>3103</v>
      </c>
      <c r="C535" s="1">
        <v>2022</v>
      </c>
      <c r="D535" s="1" t="s">
        <v>3104</v>
      </c>
      <c r="E535" s="1" t="s">
        <v>1215</v>
      </c>
      <c r="F535" s="1" t="s">
        <v>1256</v>
      </c>
      <c r="G535" s="1" t="s">
        <v>1257</v>
      </c>
      <c r="H535" s="1" t="s">
        <v>3105</v>
      </c>
      <c r="I535" s="1" t="s">
        <v>3106</v>
      </c>
      <c r="J535" t="s">
        <v>4631</v>
      </c>
      <c r="K535" s="1" t="s">
        <v>3107</v>
      </c>
    </row>
    <row r="536" spans="1:11" ht="36" customHeight="1">
      <c r="A536" s="1" t="s">
        <v>3108</v>
      </c>
      <c r="B536" s="1" t="s">
        <v>3109</v>
      </c>
      <c r="C536" s="1">
        <v>2024</v>
      </c>
      <c r="D536" s="1" t="s">
        <v>3110</v>
      </c>
      <c r="E536" s="1" t="s">
        <v>1215</v>
      </c>
      <c r="F536" s="1" t="s">
        <v>1224</v>
      </c>
      <c r="G536" s="1" t="s">
        <v>1225</v>
      </c>
      <c r="H536" s="1" t="s">
        <v>3111</v>
      </c>
      <c r="I536" s="1" t="s">
        <v>3112</v>
      </c>
      <c r="J536" t="s">
        <v>4631</v>
      </c>
      <c r="K536" s="1" t="s">
        <v>3113</v>
      </c>
    </row>
    <row r="537" spans="1:11" ht="60" customHeight="1">
      <c r="A537" s="1" t="s">
        <v>3114</v>
      </c>
      <c r="B537" s="1" t="s">
        <v>3115</v>
      </c>
      <c r="C537" s="1">
        <v>2024</v>
      </c>
      <c r="D537" s="1" t="s">
        <v>3116</v>
      </c>
      <c r="E537" s="1" t="s">
        <v>1215</v>
      </c>
      <c r="F537" s="1" t="s">
        <v>1216</v>
      </c>
      <c r="G537" s="1" t="s">
        <v>1217</v>
      </c>
      <c r="H537" s="1" t="s">
        <v>422</v>
      </c>
      <c r="I537" s="1" t="s">
        <v>3117</v>
      </c>
      <c r="J537" t="s">
        <v>4631</v>
      </c>
      <c r="K537" s="1" t="s">
        <v>3118</v>
      </c>
    </row>
    <row r="538" spans="1:11" ht="84" customHeight="1">
      <c r="A538" s="1" t="s">
        <v>3119</v>
      </c>
      <c r="B538" s="1" t="s">
        <v>3120</v>
      </c>
      <c r="C538" s="1">
        <v>2024</v>
      </c>
      <c r="D538" s="1" t="s">
        <v>3121</v>
      </c>
      <c r="E538" s="1" t="s">
        <v>1215</v>
      </c>
      <c r="F538" s="1" t="s">
        <v>1216</v>
      </c>
      <c r="G538" s="1" t="s">
        <v>1217</v>
      </c>
      <c r="H538" s="1" t="s">
        <v>422</v>
      </c>
      <c r="I538" s="1" t="s">
        <v>3122</v>
      </c>
      <c r="J538" t="s">
        <v>4631</v>
      </c>
      <c r="K538" s="1" t="s">
        <v>3123</v>
      </c>
    </row>
    <row r="539" spans="1:11" ht="108" customHeight="1">
      <c r="A539" s="1" t="s">
        <v>3124</v>
      </c>
      <c r="B539" s="1" t="s">
        <v>3125</v>
      </c>
      <c r="C539" s="1">
        <v>2023</v>
      </c>
      <c r="D539" s="1" t="s">
        <v>3126</v>
      </c>
      <c r="E539" s="1" t="s">
        <v>1215</v>
      </c>
      <c r="F539" s="1" t="s">
        <v>1224</v>
      </c>
      <c r="G539" s="1" t="s">
        <v>1225</v>
      </c>
      <c r="H539" s="1" t="s">
        <v>422</v>
      </c>
      <c r="I539" s="1" t="s">
        <v>3127</v>
      </c>
      <c r="J539" t="s">
        <v>4631</v>
      </c>
      <c r="K539" s="1" t="s">
        <v>3128</v>
      </c>
    </row>
    <row r="540" spans="1:11" ht="108" customHeight="1">
      <c r="A540" s="1" t="s">
        <v>3129</v>
      </c>
      <c r="B540" s="1" t="s">
        <v>3130</v>
      </c>
      <c r="C540" s="1">
        <v>2023</v>
      </c>
      <c r="D540" s="1" t="s">
        <v>3131</v>
      </c>
      <c r="E540" s="1" t="s">
        <v>1215</v>
      </c>
      <c r="F540" s="1" t="s">
        <v>1256</v>
      </c>
      <c r="G540" s="1" t="s">
        <v>1257</v>
      </c>
      <c r="H540" s="1" t="s">
        <v>422</v>
      </c>
      <c r="I540" s="1" t="s">
        <v>3132</v>
      </c>
      <c r="J540" t="s">
        <v>4631</v>
      </c>
      <c r="K540" s="1" t="s">
        <v>3133</v>
      </c>
    </row>
    <row r="541" spans="1:11" ht="132" customHeight="1">
      <c r="A541" s="1" t="s">
        <v>3134</v>
      </c>
      <c r="B541" s="1" t="s">
        <v>3135</v>
      </c>
      <c r="C541" s="1">
        <v>2024</v>
      </c>
      <c r="D541" s="1" t="s">
        <v>3136</v>
      </c>
      <c r="E541" s="1" t="s">
        <v>1215</v>
      </c>
      <c r="F541" s="1" t="s">
        <v>1224</v>
      </c>
      <c r="G541" s="1" t="s">
        <v>1225</v>
      </c>
      <c r="H541" s="1" t="s">
        <v>422</v>
      </c>
      <c r="I541" s="1" t="s">
        <v>3137</v>
      </c>
      <c r="J541" t="s">
        <v>4631</v>
      </c>
      <c r="K541" s="1" t="s">
        <v>3138</v>
      </c>
    </row>
    <row r="542" spans="1:11" ht="60" customHeight="1">
      <c r="A542" s="1" t="s">
        <v>3139</v>
      </c>
      <c r="B542" s="1" t="s">
        <v>3140</v>
      </c>
      <c r="C542" s="1">
        <v>2021</v>
      </c>
      <c r="D542" s="1" t="s">
        <v>3141</v>
      </c>
      <c r="E542" s="1" t="s">
        <v>1215</v>
      </c>
      <c r="F542" s="1" t="s">
        <v>1348</v>
      </c>
      <c r="G542" s="1" t="s">
        <v>1349</v>
      </c>
      <c r="H542" s="1" t="s">
        <v>3142</v>
      </c>
      <c r="I542" s="1" t="s">
        <v>3143</v>
      </c>
      <c r="J542" t="s">
        <v>4631</v>
      </c>
      <c r="K542" s="1" t="s">
        <v>3144</v>
      </c>
    </row>
    <row r="543" spans="1:11" ht="36" customHeight="1">
      <c r="A543" s="1" t="s">
        <v>3145</v>
      </c>
      <c r="B543" s="1" t="s">
        <v>3146</v>
      </c>
      <c r="C543" s="1">
        <v>2022</v>
      </c>
      <c r="D543" s="1" t="s">
        <v>3147</v>
      </c>
      <c r="E543" s="1" t="s">
        <v>1215</v>
      </c>
      <c r="F543" s="1" t="s">
        <v>1224</v>
      </c>
      <c r="G543" s="1" t="s">
        <v>1225</v>
      </c>
      <c r="H543" s="1" t="s">
        <v>3148</v>
      </c>
      <c r="I543" s="1" t="s">
        <v>3149</v>
      </c>
      <c r="J543" t="s">
        <v>4631</v>
      </c>
      <c r="K543" s="1" t="s">
        <v>3150</v>
      </c>
    </row>
    <row r="544" spans="1:11" ht="108" customHeight="1">
      <c r="A544" s="1" t="s">
        <v>3151</v>
      </c>
      <c r="B544" s="1" t="s">
        <v>3152</v>
      </c>
      <c r="C544" s="1">
        <v>2022</v>
      </c>
      <c r="D544" s="1" t="s">
        <v>3153</v>
      </c>
      <c r="E544" s="1" t="s">
        <v>1215</v>
      </c>
      <c r="F544" s="1" t="s">
        <v>1216</v>
      </c>
      <c r="G544" s="1" t="s">
        <v>1217</v>
      </c>
      <c r="H544" s="1" t="s">
        <v>422</v>
      </c>
      <c r="I544" s="1" t="s">
        <v>3154</v>
      </c>
      <c r="J544" t="s">
        <v>4631</v>
      </c>
      <c r="K544" s="1" t="s">
        <v>3155</v>
      </c>
    </row>
    <row r="545" spans="1:11" ht="108" customHeight="1">
      <c r="A545" s="1" t="s">
        <v>3156</v>
      </c>
      <c r="B545" s="1" t="s">
        <v>3157</v>
      </c>
      <c r="C545" s="1">
        <v>2019</v>
      </c>
      <c r="D545" s="1" t="s">
        <v>3158</v>
      </c>
      <c r="E545" s="1" t="s">
        <v>1215</v>
      </c>
      <c r="F545" s="1" t="s">
        <v>1256</v>
      </c>
      <c r="G545" s="1" t="s">
        <v>1257</v>
      </c>
      <c r="H545" s="1" t="s">
        <v>422</v>
      </c>
      <c r="I545" s="1" t="s">
        <v>3159</v>
      </c>
      <c r="J545" t="s">
        <v>4631</v>
      </c>
      <c r="K545" s="1" t="s">
        <v>3160</v>
      </c>
    </row>
    <row r="546" spans="1:11" ht="132" customHeight="1">
      <c r="A546" s="1" t="s">
        <v>3161</v>
      </c>
      <c r="B546" s="1" t="s">
        <v>3162</v>
      </c>
      <c r="C546" s="1">
        <v>2021</v>
      </c>
      <c r="D546" s="1" t="s">
        <v>3163</v>
      </c>
      <c r="E546" s="1" t="s">
        <v>1215</v>
      </c>
      <c r="F546" s="1" t="s">
        <v>1216</v>
      </c>
      <c r="G546" s="1" t="s">
        <v>1217</v>
      </c>
      <c r="H546" s="1" t="s">
        <v>422</v>
      </c>
      <c r="I546" s="1" t="s">
        <v>3164</v>
      </c>
      <c r="J546" t="s">
        <v>4631</v>
      </c>
      <c r="K546" s="1" t="s">
        <v>3165</v>
      </c>
    </row>
    <row r="547" spans="1:11" ht="36" customHeight="1">
      <c r="A547" s="1" t="s">
        <v>3166</v>
      </c>
      <c r="B547" s="1" t="s">
        <v>3167</v>
      </c>
      <c r="C547" s="1">
        <v>2022</v>
      </c>
      <c r="D547" s="1" t="s">
        <v>3168</v>
      </c>
      <c r="E547" s="1" t="s">
        <v>1215</v>
      </c>
      <c r="F547" s="1" t="s">
        <v>1348</v>
      </c>
      <c r="G547" s="1" t="s">
        <v>1349</v>
      </c>
      <c r="H547" s="1" t="s">
        <v>3169</v>
      </c>
      <c r="I547" s="1" t="s">
        <v>3170</v>
      </c>
      <c r="J547" t="s">
        <v>4631</v>
      </c>
      <c r="K547" s="1" t="s">
        <v>3171</v>
      </c>
    </row>
    <row r="548" spans="1:11" ht="36" customHeight="1">
      <c r="A548" s="1" t="s">
        <v>3172</v>
      </c>
      <c r="B548" s="1" t="s">
        <v>3173</v>
      </c>
      <c r="C548" s="1">
        <v>2021</v>
      </c>
      <c r="D548" s="1" t="s">
        <v>3174</v>
      </c>
      <c r="E548" s="1" t="s">
        <v>1215</v>
      </c>
      <c r="F548" s="1" t="s">
        <v>1256</v>
      </c>
      <c r="G548" s="1" t="s">
        <v>1257</v>
      </c>
      <c r="H548" s="1" t="s">
        <v>3175</v>
      </c>
      <c r="I548" s="1" t="s">
        <v>3176</v>
      </c>
      <c r="J548" t="s">
        <v>4631</v>
      </c>
      <c r="K548" s="1" t="s">
        <v>3177</v>
      </c>
    </row>
    <row r="549" spans="1:11" ht="36" customHeight="1">
      <c r="A549" s="1" t="s">
        <v>3178</v>
      </c>
      <c r="B549" s="1" t="s">
        <v>3179</v>
      </c>
      <c r="C549" s="1">
        <v>2020</v>
      </c>
      <c r="D549" s="1" t="s">
        <v>3180</v>
      </c>
      <c r="E549" s="1" t="s">
        <v>1215</v>
      </c>
      <c r="F549" s="1" t="s">
        <v>1224</v>
      </c>
      <c r="G549" s="1" t="s">
        <v>1225</v>
      </c>
      <c r="H549" s="1" t="s">
        <v>297</v>
      </c>
      <c r="I549" s="1" t="s">
        <v>3181</v>
      </c>
      <c r="J549" t="s">
        <v>4631</v>
      </c>
      <c r="K549" s="1" t="s">
        <v>3182</v>
      </c>
    </row>
    <row r="550" spans="1:11" ht="120" customHeight="1">
      <c r="A550" s="1" t="s">
        <v>3183</v>
      </c>
      <c r="B550" s="1" t="s">
        <v>3184</v>
      </c>
      <c r="C550" s="1">
        <v>2022</v>
      </c>
      <c r="D550" s="1" t="s">
        <v>3185</v>
      </c>
      <c r="E550" s="1" t="s">
        <v>1215</v>
      </c>
      <c r="F550" s="1" t="s">
        <v>1224</v>
      </c>
      <c r="G550" s="1" t="s">
        <v>1225</v>
      </c>
      <c r="H550" s="1" t="s">
        <v>422</v>
      </c>
      <c r="I550" s="1" t="s">
        <v>3186</v>
      </c>
      <c r="J550" t="s">
        <v>4631</v>
      </c>
      <c r="K550" s="1" t="s">
        <v>3187</v>
      </c>
    </row>
    <row r="551" spans="1:11" ht="120" customHeight="1">
      <c r="A551" s="1" t="s">
        <v>3188</v>
      </c>
      <c r="B551" s="1" t="s">
        <v>3189</v>
      </c>
      <c r="C551" s="1">
        <v>2022</v>
      </c>
      <c r="D551" s="1" t="s">
        <v>3190</v>
      </c>
      <c r="E551" s="1" t="s">
        <v>1215</v>
      </c>
      <c r="F551" s="1" t="s">
        <v>1256</v>
      </c>
      <c r="G551" s="1" t="s">
        <v>1257</v>
      </c>
      <c r="H551" s="1" t="s">
        <v>422</v>
      </c>
      <c r="I551" s="1" t="s">
        <v>3191</v>
      </c>
      <c r="J551" t="s">
        <v>4631</v>
      </c>
      <c r="K551" s="1" t="s">
        <v>3192</v>
      </c>
    </row>
    <row r="552" spans="1:11" ht="108" customHeight="1">
      <c r="A552" s="1" t="s">
        <v>3193</v>
      </c>
      <c r="B552" s="1" t="s">
        <v>3194</v>
      </c>
      <c r="C552" s="1">
        <v>2019</v>
      </c>
      <c r="D552" s="1" t="s">
        <v>3195</v>
      </c>
      <c r="E552" s="1" t="s">
        <v>1215</v>
      </c>
      <c r="F552" s="1" t="s">
        <v>1216</v>
      </c>
      <c r="G552" s="1" t="s">
        <v>1217</v>
      </c>
      <c r="H552" s="1" t="s">
        <v>422</v>
      </c>
      <c r="I552" s="1" t="s">
        <v>3196</v>
      </c>
      <c r="J552" t="s">
        <v>4631</v>
      </c>
      <c r="K552" s="1" t="s">
        <v>3197</v>
      </c>
    </row>
    <row r="553" spans="1:11" ht="84" customHeight="1">
      <c r="A553" s="1" t="s">
        <v>3198</v>
      </c>
      <c r="B553" s="1" t="s">
        <v>3199</v>
      </c>
      <c r="C553" s="1">
        <v>2017</v>
      </c>
      <c r="D553" s="1" t="s">
        <v>3200</v>
      </c>
      <c r="E553" s="1" t="s">
        <v>1215</v>
      </c>
      <c r="F553" s="1" t="s">
        <v>1216</v>
      </c>
      <c r="G553" s="1" t="s">
        <v>1217</v>
      </c>
      <c r="H553" s="1" t="s">
        <v>422</v>
      </c>
      <c r="I553" s="1" t="s">
        <v>3201</v>
      </c>
      <c r="J553" t="s">
        <v>4631</v>
      </c>
      <c r="K553" s="1" t="s">
        <v>3202</v>
      </c>
    </row>
    <row r="554" spans="1:11" ht="96" customHeight="1">
      <c r="A554" s="1" t="s">
        <v>3203</v>
      </c>
      <c r="B554" s="1" t="s">
        <v>3204</v>
      </c>
      <c r="C554" s="1">
        <v>2018</v>
      </c>
      <c r="D554" s="1" t="s">
        <v>3205</v>
      </c>
      <c r="E554" s="1" t="s">
        <v>1215</v>
      </c>
      <c r="F554" s="1" t="s">
        <v>1348</v>
      </c>
      <c r="G554" s="1" t="s">
        <v>1349</v>
      </c>
      <c r="H554" s="1" t="s">
        <v>422</v>
      </c>
      <c r="I554" s="1" t="s">
        <v>3206</v>
      </c>
      <c r="J554" t="s">
        <v>4631</v>
      </c>
      <c r="K554" s="1" t="s">
        <v>3207</v>
      </c>
    </row>
    <row r="555" spans="1:11" ht="24" customHeight="1">
      <c r="A555" s="1" t="s">
        <v>3208</v>
      </c>
      <c r="B555" s="1" t="s">
        <v>3209</v>
      </c>
      <c r="C555" s="1">
        <v>2024</v>
      </c>
      <c r="D555" s="1" t="s">
        <v>3210</v>
      </c>
      <c r="E555" s="1" t="s">
        <v>1215</v>
      </c>
      <c r="F555" s="1" t="s">
        <v>1256</v>
      </c>
      <c r="G555" s="1" t="s">
        <v>1257</v>
      </c>
      <c r="H555" s="1" t="s">
        <v>3211</v>
      </c>
      <c r="I555" s="1" t="s">
        <v>3212</v>
      </c>
      <c r="J555" t="s">
        <v>4631</v>
      </c>
      <c r="K555" s="1" t="s">
        <v>3213</v>
      </c>
    </row>
    <row r="556" spans="1:11" ht="36" customHeight="1">
      <c r="A556" s="1" t="s">
        <v>3214</v>
      </c>
      <c r="B556" s="1" t="s">
        <v>3215</v>
      </c>
      <c r="C556" s="1">
        <v>2017</v>
      </c>
      <c r="D556" s="1" t="s">
        <v>3216</v>
      </c>
      <c r="E556" s="1" t="s">
        <v>1215</v>
      </c>
      <c r="F556" s="1" t="s">
        <v>2137</v>
      </c>
      <c r="G556" s="1" t="s">
        <v>2138</v>
      </c>
      <c r="H556" s="1" t="s">
        <v>3217</v>
      </c>
      <c r="I556" s="1" t="s">
        <v>3218</v>
      </c>
      <c r="J556" t="s">
        <v>4631</v>
      </c>
      <c r="K556" s="1" t="s">
        <v>3219</v>
      </c>
    </row>
    <row r="557" spans="1:11" ht="36" customHeight="1">
      <c r="A557" s="1" t="s">
        <v>3220</v>
      </c>
      <c r="B557" s="1" t="s">
        <v>3221</v>
      </c>
      <c r="C557" s="1">
        <v>2024</v>
      </c>
      <c r="D557" s="1" t="s">
        <v>3222</v>
      </c>
      <c r="E557" s="1" t="s">
        <v>1215</v>
      </c>
      <c r="F557" s="1" t="s">
        <v>1216</v>
      </c>
      <c r="G557" s="1" t="s">
        <v>1217</v>
      </c>
      <c r="H557" s="1" t="s">
        <v>3223</v>
      </c>
      <c r="I557" s="1" t="s">
        <v>3224</v>
      </c>
      <c r="J557" t="s">
        <v>4631</v>
      </c>
      <c r="K557" s="1" t="s">
        <v>3225</v>
      </c>
    </row>
    <row r="558" spans="1:11" ht="36" customHeight="1">
      <c r="A558" s="1" t="s">
        <v>3226</v>
      </c>
      <c r="B558" s="1" t="s">
        <v>3227</v>
      </c>
      <c r="C558" s="1">
        <v>2023</v>
      </c>
      <c r="D558" s="1" t="s">
        <v>3228</v>
      </c>
      <c r="E558" s="1" t="s">
        <v>1215</v>
      </c>
      <c r="F558" s="1" t="s">
        <v>2137</v>
      </c>
      <c r="G558" s="1" t="s">
        <v>2138</v>
      </c>
      <c r="H558" s="1" t="s">
        <v>3229</v>
      </c>
      <c r="I558" s="1" t="s">
        <v>3230</v>
      </c>
      <c r="J558" t="s">
        <v>4631</v>
      </c>
      <c r="K558" s="1" t="s">
        <v>3231</v>
      </c>
    </row>
    <row r="559" spans="1:11" ht="36" customHeight="1">
      <c r="A559" s="1" t="s">
        <v>3232</v>
      </c>
      <c r="B559" s="1" t="s">
        <v>3233</v>
      </c>
      <c r="C559" s="1">
        <v>2019</v>
      </c>
      <c r="D559" s="1" t="s">
        <v>3234</v>
      </c>
      <c r="E559" s="1" t="s">
        <v>1215</v>
      </c>
      <c r="F559" s="1" t="s">
        <v>1256</v>
      </c>
      <c r="G559" s="1" t="s">
        <v>1257</v>
      </c>
      <c r="H559" s="1" t="s">
        <v>3235</v>
      </c>
      <c r="I559" s="1" t="s">
        <v>3236</v>
      </c>
      <c r="J559" t="s">
        <v>4631</v>
      </c>
      <c r="K559" s="1" t="s">
        <v>3237</v>
      </c>
    </row>
    <row r="560" spans="1:11" ht="48" customHeight="1">
      <c r="A560" s="1" t="s">
        <v>3238</v>
      </c>
      <c r="B560" s="1" t="s">
        <v>3239</v>
      </c>
      <c r="C560" s="1">
        <v>2021</v>
      </c>
      <c r="D560" s="1" t="s">
        <v>3240</v>
      </c>
      <c r="E560" s="1" t="s">
        <v>1215</v>
      </c>
      <c r="F560" s="1" t="s">
        <v>1256</v>
      </c>
      <c r="G560" s="1" t="s">
        <v>1257</v>
      </c>
      <c r="H560" s="1" t="s">
        <v>3241</v>
      </c>
      <c r="I560" s="1" t="s">
        <v>3242</v>
      </c>
      <c r="J560" t="s">
        <v>4631</v>
      </c>
      <c r="K560" s="1" t="s">
        <v>3243</v>
      </c>
    </row>
    <row r="561" spans="1:11" ht="36" customHeight="1">
      <c r="A561" s="1" t="s">
        <v>3244</v>
      </c>
      <c r="B561" s="1" t="s">
        <v>3245</v>
      </c>
      <c r="C561" s="1">
        <v>2018</v>
      </c>
      <c r="D561" s="1" t="s">
        <v>3246</v>
      </c>
      <c r="E561" s="1" t="s">
        <v>1215</v>
      </c>
      <c r="F561" s="1" t="s">
        <v>1216</v>
      </c>
      <c r="G561" s="1" t="s">
        <v>1217</v>
      </c>
      <c r="H561" s="1" t="s">
        <v>3247</v>
      </c>
      <c r="I561" s="1" t="s">
        <v>3248</v>
      </c>
      <c r="J561" t="s">
        <v>4631</v>
      </c>
      <c r="K561" s="1" t="s">
        <v>3249</v>
      </c>
    </row>
    <row r="562" spans="1:11" ht="48" customHeight="1">
      <c r="A562" s="1" t="s">
        <v>3250</v>
      </c>
      <c r="B562" s="1" t="s">
        <v>3251</v>
      </c>
      <c r="C562" s="1">
        <v>2024</v>
      </c>
      <c r="D562" s="1" t="s">
        <v>3252</v>
      </c>
      <c r="E562" s="1" t="s">
        <v>1215</v>
      </c>
      <c r="F562" s="1" t="s">
        <v>1216</v>
      </c>
      <c r="G562" s="1" t="s">
        <v>1217</v>
      </c>
      <c r="H562" s="1" t="s">
        <v>3253</v>
      </c>
      <c r="I562" s="1" t="s">
        <v>3254</v>
      </c>
      <c r="J562" t="s">
        <v>4631</v>
      </c>
      <c r="K562" s="1" t="s">
        <v>3255</v>
      </c>
    </row>
    <row r="563" spans="1:11" ht="48" customHeight="1">
      <c r="A563" s="1" t="s">
        <v>3256</v>
      </c>
      <c r="B563" s="1" t="s">
        <v>3257</v>
      </c>
      <c r="C563" s="1">
        <v>2023</v>
      </c>
      <c r="D563" s="1" t="s">
        <v>3258</v>
      </c>
      <c r="E563" s="1" t="s">
        <v>1215</v>
      </c>
      <c r="F563" s="1" t="s">
        <v>1256</v>
      </c>
      <c r="G563" s="1" t="s">
        <v>1257</v>
      </c>
      <c r="H563" s="1" t="s">
        <v>3259</v>
      </c>
      <c r="I563" s="1" t="s">
        <v>3260</v>
      </c>
      <c r="J563" t="s">
        <v>4631</v>
      </c>
      <c r="K563" s="1" t="s">
        <v>3261</v>
      </c>
    </row>
    <row r="564" spans="1:11" ht="36" customHeight="1">
      <c r="A564" s="1" t="s">
        <v>3262</v>
      </c>
      <c r="B564" s="1" t="s">
        <v>3263</v>
      </c>
      <c r="C564" s="1">
        <v>2024</v>
      </c>
      <c r="D564" s="1" t="s">
        <v>3264</v>
      </c>
      <c r="E564" s="1" t="s">
        <v>1215</v>
      </c>
      <c r="F564" s="1" t="s">
        <v>1216</v>
      </c>
      <c r="G564" s="1" t="s">
        <v>1217</v>
      </c>
      <c r="H564" s="1" t="s">
        <v>3265</v>
      </c>
      <c r="I564" s="1" t="s">
        <v>3266</v>
      </c>
      <c r="J564" t="s">
        <v>4631</v>
      </c>
      <c r="K564" s="1" t="s">
        <v>3267</v>
      </c>
    </row>
    <row r="565" spans="1:11" ht="36" customHeight="1">
      <c r="A565" s="1" t="s">
        <v>3268</v>
      </c>
      <c r="B565" s="1" t="s">
        <v>3269</v>
      </c>
      <c r="C565" s="1">
        <v>2026</v>
      </c>
      <c r="D565" s="1" t="s">
        <v>3270</v>
      </c>
      <c r="E565" s="1" t="s">
        <v>1215</v>
      </c>
      <c r="F565" s="1" t="s">
        <v>1256</v>
      </c>
      <c r="G565" s="1" t="s">
        <v>1257</v>
      </c>
      <c r="H565" s="1" t="s">
        <v>3271</v>
      </c>
      <c r="I565" s="1" t="s">
        <v>3272</v>
      </c>
      <c r="J565" t="s">
        <v>4631</v>
      </c>
      <c r="K565" s="1" t="s">
        <v>3273</v>
      </c>
    </row>
    <row r="566" spans="1:11" ht="36" customHeight="1">
      <c r="A566" s="1" t="s">
        <v>3274</v>
      </c>
      <c r="B566" s="1" t="s">
        <v>3275</v>
      </c>
      <c r="C566" s="1">
        <v>2020</v>
      </c>
      <c r="D566" s="1" t="s">
        <v>3276</v>
      </c>
      <c r="E566" s="1" t="s">
        <v>1215</v>
      </c>
      <c r="F566" s="1" t="s">
        <v>1216</v>
      </c>
      <c r="G566" s="1" t="s">
        <v>1217</v>
      </c>
      <c r="H566" s="1" t="s">
        <v>3277</v>
      </c>
      <c r="I566" s="1" t="s">
        <v>3278</v>
      </c>
      <c r="J566" t="s">
        <v>4631</v>
      </c>
      <c r="K566" s="1" t="s">
        <v>3279</v>
      </c>
    </row>
    <row r="567" spans="1:11" ht="36" customHeight="1">
      <c r="A567" s="1" t="s">
        <v>3280</v>
      </c>
      <c r="B567" s="1" t="s">
        <v>3281</v>
      </c>
      <c r="C567" s="1">
        <v>2023</v>
      </c>
      <c r="D567" s="1" t="s">
        <v>3282</v>
      </c>
      <c r="E567" s="1" t="s">
        <v>1215</v>
      </c>
      <c r="F567" s="1" t="s">
        <v>1256</v>
      </c>
      <c r="G567" s="1" t="s">
        <v>1257</v>
      </c>
      <c r="H567" s="1" t="s">
        <v>3283</v>
      </c>
      <c r="I567" s="1" t="s">
        <v>3284</v>
      </c>
      <c r="J567" t="s">
        <v>4631</v>
      </c>
      <c r="K567" s="1" t="s">
        <v>3285</v>
      </c>
    </row>
    <row r="568" spans="1:11" ht="36" customHeight="1">
      <c r="A568" s="1" t="s">
        <v>3286</v>
      </c>
      <c r="B568" s="1" t="s">
        <v>3287</v>
      </c>
      <c r="C568" s="1">
        <v>2022</v>
      </c>
      <c r="D568" s="1" t="s">
        <v>3288</v>
      </c>
      <c r="E568" s="1" t="s">
        <v>1215</v>
      </c>
      <c r="F568" s="1" t="s">
        <v>1216</v>
      </c>
      <c r="G568" s="1" t="s">
        <v>1217</v>
      </c>
      <c r="H568" s="1" t="s">
        <v>3289</v>
      </c>
      <c r="I568" s="1" t="s">
        <v>3290</v>
      </c>
      <c r="J568" t="s">
        <v>4631</v>
      </c>
      <c r="K568" s="1" t="s">
        <v>3291</v>
      </c>
    </row>
    <row r="569" spans="1:11" ht="36" customHeight="1">
      <c r="A569" s="1" t="s">
        <v>3292</v>
      </c>
      <c r="B569" s="1" t="s">
        <v>3293</v>
      </c>
      <c r="C569" s="1">
        <v>2023</v>
      </c>
      <c r="D569" s="1" t="s">
        <v>3294</v>
      </c>
      <c r="E569" s="1" t="s">
        <v>1215</v>
      </c>
      <c r="F569" s="1" t="s">
        <v>1224</v>
      </c>
      <c r="G569" s="1" t="s">
        <v>1225</v>
      </c>
      <c r="H569" s="1" t="s">
        <v>3295</v>
      </c>
      <c r="I569" s="1" t="s">
        <v>3296</v>
      </c>
      <c r="J569" t="s">
        <v>4631</v>
      </c>
      <c r="K569" s="1" t="s">
        <v>3297</v>
      </c>
    </row>
    <row r="570" spans="1:11" ht="36" customHeight="1">
      <c r="A570" s="1" t="s">
        <v>3298</v>
      </c>
      <c r="B570" s="1" t="s">
        <v>3299</v>
      </c>
      <c r="C570" s="1">
        <v>2023</v>
      </c>
      <c r="D570" s="1" t="s">
        <v>3300</v>
      </c>
      <c r="E570" s="1" t="s">
        <v>1215</v>
      </c>
      <c r="F570" s="1" t="s">
        <v>1348</v>
      </c>
      <c r="G570" s="1" t="s">
        <v>1349</v>
      </c>
      <c r="H570" s="1" t="s">
        <v>3301</v>
      </c>
      <c r="I570" s="1" t="s">
        <v>3302</v>
      </c>
      <c r="J570" t="s">
        <v>4631</v>
      </c>
      <c r="K570" s="1" t="s">
        <v>3303</v>
      </c>
    </row>
    <row r="571" spans="1:11" ht="36" customHeight="1">
      <c r="A571" s="1" t="s">
        <v>3304</v>
      </c>
      <c r="B571" s="1" t="s">
        <v>3305</v>
      </c>
      <c r="C571" s="1">
        <v>2022</v>
      </c>
      <c r="D571" s="1" t="s">
        <v>3306</v>
      </c>
      <c r="E571" s="1" t="s">
        <v>1215</v>
      </c>
      <c r="F571" s="1" t="s">
        <v>1256</v>
      </c>
      <c r="G571" s="1" t="s">
        <v>1257</v>
      </c>
      <c r="H571" s="1" t="s">
        <v>3307</v>
      </c>
      <c r="I571" s="1" t="s">
        <v>3308</v>
      </c>
      <c r="J571" t="s">
        <v>4631</v>
      </c>
      <c r="K571" s="1" t="s">
        <v>3309</v>
      </c>
    </row>
    <row r="572" spans="1:11" ht="36" customHeight="1">
      <c r="A572" s="1" t="s">
        <v>3310</v>
      </c>
      <c r="B572" s="1" t="s">
        <v>3311</v>
      </c>
      <c r="C572" s="1">
        <v>2022</v>
      </c>
      <c r="D572" s="1" t="s">
        <v>3312</v>
      </c>
      <c r="E572" s="1" t="s">
        <v>1215</v>
      </c>
      <c r="F572" s="1" t="s">
        <v>1256</v>
      </c>
      <c r="G572" s="1" t="s">
        <v>1257</v>
      </c>
      <c r="H572" s="1" t="s">
        <v>3313</v>
      </c>
      <c r="I572" s="1" t="s">
        <v>3314</v>
      </c>
      <c r="J572" t="s">
        <v>4631</v>
      </c>
      <c r="K572" s="1" t="s">
        <v>3315</v>
      </c>
    </row>
    <row r="573" spans="1:11" ht="36" customHeight="1">
      <c r="A573" s="1" t="s">
        <v>3316</v>
      </c>
      <c r="B573" s="1" t="s">
        <v>3317</v>
      </c>
      <c r="C573" s="1">
        <v>2021</v>
      </c>
      <c r="D573" s="1" t="s">
        <v>3318</v>
      </c>
      <c r="E573" s="1" t="s">
        <v>1215</v>
      </c>
      <c r="F573" s="1" t="s">
        <v>2137</v>
      </c>
      <c r="G573" s="1" t="s">
        <v>2138</v>
      </c>
      <c r="H573" s="1" t="s">
        <v>3319</v>
      </c>
      <c r="I573" s="1" t="s">
        <v>3320</v>
      </c>
      <c r="J573" t="s">
        <v>4631</v>
      </c>
      <c r="K573" s="1" t="s">
        <v>3321</v>
      </c>
    </row>
    <row r="574" spans="1:11" ht="48" customHeight="1">
      <c r="A574" s="1" t="s">
        <v>3322</v>
      </c>
      <c r="B574" s="1" t="s">
        <v>3323</v>
      </c>
      <c r="C574" s="1">
        <v>2022</v>
      </c>
      <c r="D574" s="1" t="s">
        <v>3324</v>
      </c>
      <c r="E574" s="1" t="s">
        <v>1215</v>
      </c>
      <c r="F574" s="1" t="s">
        <v>1216</v>
      </c>
      <c r="G574" s="1" t="s">
        <v>1217</v>
      </c>
      <c r="H574" s="1" t="s">
        <v>3325</v>
      </c>
      <c r="I574" s="1" t="s">
        <v>3326</v>
      </c>
      <c r="J574" t="s">
        <v>4631</v>
      </c>
      <c r="K574" s="1" t="s">
        <v>3327</v>
      </c>
    </row>
    <row r="575" spans="1:11" ht="48" customHeight="1">
      <c r="A575" s="1" t="s">
        <v>3328</v>
      </c>
      <c r="B575" s="1" t="s">
        <v>3329</v>
      </c>
      <c r="C575" s="1">
        <v>2019</v>
      </c>
      <c r="D575" s="1" t="s">
        <v>3330</v>
      </c>
      <c r="E575" s="1" t="s">
        <v>1215</v>
      </c>
      <c r="F575" s="1" t="s">
        <v>1216</v>
      </c>
      <c r="G575" s="1" t="s">
        <v>1217</v>
      </c>
      <c r="H575" s="1" t="s">
        <v>3331</v>
      </c>
      <c r="I575" s="1" t="s">
        <v>3332</v>
      </c>
      <c r="J575" t="s">
        <v>4631</v>
      </c>
      <c r="K575" s="1" t="s">
        <v>3333</v>
      </c>
    </row>
    <row r="576" spans="1:11" ht="36" customHeight="1">
      <c r="A576" s="1" t="s">
        <v>3334</v>
      </c>
      <c r="B576" s="1" t="s">
        <v>3335</v>
      </c>
      <c r="C576" s="1">
        <v>2023</v>
      </c>
      <c r="D576" s="1" t="s">
        <v>3336</v>
      </c>
      <c r="E576" s="1" t="s">
        <v>1215</v>
      </c>
      <c r="F576" s="1" t="s">
        <v>1224</v>
      </c>
      <c r="G576" s="1" t="s">
        <v>1225</v>
      </c>
      <c r="H576" s="1" t="s">
        <v>3337</v>
      </c>
      <c r="I576" s="1" t="s">
        <v>3338</v>
      </c>
      <c r="J576" t="s">
        <v>4631</v>
      </c>
      <c r="K576" s="1" t="s">
        <v>3339</v>
      </c>
    </row>
    <row r="577" spans="1:11" ht="36" customHeight="1">
      <c r="A577" s="1" t="s">
        <v>3340</v>
      </c>
      <c r="B577" s="1" t="s">
        <v>3341</v>
      </c>
      <c r="C577" s="1">
        <v>2018</v>
      </c>
      <c r="D577" s="1" t="s">
        <v>3342</v>
      </c>
      <c r="E577" s="1" t="s">
        <v>1215</v>
      </c>
      <c r="F577" s="1" t="s">
        <v>2137</v>
      </c>
      <c r="G577" s="1" t="s">
        <v>2138</v>
      </c>
      <c r="H577" s="1" t="s">
        <v>3343</v>
      </c>
      <c r="I577" s="1" t="s">
        <v>3344</v>
      </c>
      <c r="J577" t="s">
        <v>4631</v>
      </c>
      <c r="K577" s="1" t="s">
        <v>3345</v>
      </c>
    </row>
    <row r="578" spans="1:11" ht="36" customHeight="1">
      <c r="A578" s="1" t="s">
        <v>3346</v>
      </c>
      <c r="B578" s="1" t="s">
        <v>3347</v>
      </c>
      <c r="C578" s="1">
        <v>2024</v>
      </c>
      <c r="D578" s="1" t="s">
        <v>3348</v>
      </c>
      <c r="E578" s="1" t="s">
        <v>1215</v>
      </c>
      <c r="F578" s="1" t="s">
        <v>1256</v>
      </c>
      <c r="G578" s="1" t="s">
        <v>1257</v>
      </c>
      <c r="H578" s="1" t="s">
        <v>3349</v>
      </c>
      <c r="I578" s="1" t="s">
        <v>3350</v>
      </c>
      <c r="J578" t="s">
        <v>4631</v>
      </c>
      <c r="K578" s="1" t="s">
        <v>3351</v>
      </c>
    </row>
    <row r="579" spans="1:11" ht="36" customHeight="1">
      <c r="A579" s="1" t="s">
        <v>3352</v>
      </c>
      <c r="B579" s="1" t="s">
        <v>3353</v>
      </c>
      <c r="C579" s="1">
        <v>2020</v>
      </c>
      <c r="D579" s="1" t="s">
        <v>3354</v>
      </c>
      <c r="E579" s="1" t="s">
        <v>1215</v>
      </c>
      <c r="F579" s="1" t="s">
        <v>1224</v>
      </c>
      <c r="G579" s="1" t="s">
        <v>1225</v>
      </c>
      <c r="H579" s="1" t="s">
        <v>3355</v>
      </c>
      <c r="I579" s="1" t="s">
        <v>3356</v>
      </c>
      <c r="J579" t="s">
        <v>4631</v>
      </c>
      <c r="K579" s="1" t="s">
        <v>3357</v>
      </c>
    </row>
    <row r="580" spans="1:11" ht="36" customHeight="1">
      <c r="A580" s="1" t="s">
        <v>3358</v>
      </c>
      <c r="B580" s="1" t="s">
        <v>3359</v>
      </c>
      <c r="C580" s="1">
        <v>2019</v>
      </c>
      <c r="D580" s="1" t="s">
        <v>3360</v>
      </c>
      <c r="E580" s="1" t="s">
        <v>1215</v>
      </c>
      <c r="F580" s="1" t="s">
        <v>1216</v>
      </c>
      <c r="G580" s="1" t="s">
        <v>1217</v>
      </c>
      <c r="H580" s="1" t="s">
        <v>3361</v>
      </c>
      <c r="I580" s="1" t="s">
        <v>3362</v>
      </c>
      <c r="J580" t="s">
        <v>4631</v>
      </c>
      <c r="K580" s="1" t="s">
        <v>3363</v>
      </c>
    </row>
    <row r="581" spans="1:11" ht="36" customHeight="1">
      <c r="A581" s="1" t="s">
        <v>3364</v>
      </c>
      <c r="B581" s="1" t="s">
        <v>3365</v>
      </c>
      <c r="C581" s="1">
        <v>2025</v>
      </c>
      <c r="D581" s="1" t="s">
        <v>3366</v>
      </c>
      <c r="E581" s="1" t="s">
        <v>1215</v>
      </c>
      <c r="F581" s="1" t="s">
        <v>1348</v>
      </c>
      <c r="G581" s="1" t="s">
        <v>1349</v>
      </c>
      <c r="H581" s="1" t="s">
        <v>3367</v>
      </c>
      <c r="I581" s="1" t="s">
        <v>3368</v>
      </c>
      <c r="J581" t="s">
        <v>4631</v>
      </c>
      <c r="K581" s="1" t="s">
        <v>3369</v>
      </c>
    </row>
    <row r="582" spans="1:11" ht="36" customHeight="1">
      <c r="A582" s="1" t="s">
        <v>3370</v>
      </c>
      <c r="B582" s="1" t="s">
        <v>3371</v>
      </c>
      <c r="C582" s="1">
        <v>2023</v>
      </c>
      <c r="D582" s="1" t="s">
        <v>3372</v>
      </c>
      <c r="E582" s="1" t="s">
        <v>1215</v>
      </c>
      <c r="F582" s="1" t="s">
        <v>1224</v>
      </c>
      <c r="G582" s="1" t="s">
        <v>1225</v>
      </c>
      <c r="H582" s="1" t="s">
        <v>3373</v>
      </c>
      <c r="I582" s="1" t="s">
        <v>3374</v>
      </c>
      <c r="J582" t="s">
        <v>4631</v>
      </c>
      <c r="K582" s="1" t="s">
        <v>3375</v>
      </c>
    </row>
    <row r="583" spans="1:11" ht="24" customHeight="1">
      <c r="A583" s="1" t="s">
        <v>3376</v>
      </c>
      <c r="B583" s="1" t="s">
        <v>3377</v>
      </c>
      <c r="C583" s="1">
        <v>2020</v>
      </c>
      <c r="D583" s="1" t="s">
        <v>3378</v>
      </c>
      <c r="E583" s="1" t="s">
        <v>1215</v>
      </c>
      <c r="F583" s="1" t="s">
        <v>1216</v>
      </c>
      <c r="G583" s="1" t="s">
        <v>1217</v>
      </c>
      <c r="H583" s="1" t="s">
        <v>3379</v>
      </c>
      <c r="I583" s="1" t="s">
        <v>3380</v>
      </c>
      <c r="J583" t="s">
        <v>4631</v>
      </c>
      <c r="K583" s="1" t="s">
        <v>3381</v>
      </c>
    </row>
    <row r="584" spans="1:11" ht="24" customHeight="1">
      <c r="A584" s="1" t="s">
        <v>3382</v>
      </c>
      <c r="B584" s="1" t="s">
        <v>3383</v>
      </c>
      <c r="C584" s="1">
        <v>2021</v>
      </c>
      <c r="D584" s="1" t="s">
        <v>3384</v>
      </c>
      <c r="E584" s="1" t="s">
        <v>1215</v>
      </c>
      <c r="F584" s="1" t="s">
        <v>1216</v>
      </c>
      <c r="G584" s="1" t="s">
        <v>1217</v>
      </c>
      <c r="H584" s="1" t="s">
        <v>3385</v>
      </c>
      <c r="I584" s="1" t="s">
        <v>3386</v>
      </c>
      <c r="J584" t="s">
        <v>4631</v>
      </c>
      <c r="K584" s="1" t="s">
        <v>3387</v>
      </c>
    </row>
    <row r="585" spans="1:11" ht="24" customHeight="1">
      <c r="A585" s="1" t="s">
        <v>3388</v>
      </c>
      <c r="B585" s="1" t="s">
        <v>3389</v>
      </c>
      <c r="C585" s="1">
        <v>2018</v>
      </c>
      <c r="D585" s="1" t="s">
        <v>3390</v>
      </c>
      <c r="E585" s="1" t="s">
        <v>1215</v>
      </c>
      <c r="F585" s="1" t="s">
        <v>1256</v>
      </c>
      <c r="G585" s="1" t="s">
        <v>1257</v>
      </c>
      <c r="H585" s="1" t="s">
        <v>3391</v>
      </c>
      <c r="I585" s="1" t="s">
        <v>3392</v>
      </c>
      <c r="J585" t="s">
        <v>4631</v>
      </c>
      <c r="K585" s="1" t="s">
        <v>3393</v>
      </c>
    </row>
    <row r="586" spans="1:11" ht="24" customHeight="1">
      <c r="A586" s="1" t="s">
        <v>3394</v>
      </c>
      <c r="B586" s="1" t="s">
        <v>3395</v>
      </c>
      <c r="C586" s="1">
        <v>2018</v>
      </c>
      <c r="D586" s="1" t="s">
        <v>3396</v>
      </c>
      <c r="E586" s="1" t="s">
        <v>1215</v>
      </c>
      <c r="F586" s="1" t="s">
        <v>1256</v>
      </c>
      <c r="G586" s="1" t="s">
        <v>1257</v>
      </c>
      <c r="H586" s="1" t="s">
        <v>3397</v>
      </c>
      <c r="I586" s="1" t="s">
        <v>3398</v>
      </c>
      <c r="J586" t="s">
        <v>4631</v>
      </c>
      <c r="K586" s="1" t="s">
        <v>3399</v>
      </c>
    </row>
    <row r="587" spans="1:11" ht="24" customHeight="1">
      <c r="A587" s="1" t="s">
        <v>3400</v>
      </c>
      <c r="B587" s="1" t="s">
        <v>3401</v>
      </c>
      <c r="C587" s="1">
        <v>2017</v>
      </c>
      <c r="D587" s="1" t="s">
        <v>3402</v>
      </c>
      <c r="E587" s="1" t="s">
        <v>1215</v>
      </c>
      <c r="F587" s="1" t="s">
        <v>1216</v>
      </c>
      <c r="G587" s="1" t="s">
        <v>1217</v>
      </c>
      <c r="H587" s="1" t="s">
        <v>3403</v>
      </c>
      <c r="I587" s="1" t="s">
        <v>3404</v>
      </c>
      <c r="J587" t="s">
        <v>4631</v>
      </c>
      <c r="K587" s="1" t="s">
        <v>3405</v>
      </c>
    </row>
    <row r="588" spans="1:11" ht="24" customHeight="1">
      <c r="A588" s="1" t="s">
        <v>3406</v>
      </c>
      <c r="B588" s="1" t="s">
        <v>3407</v>
      </c>
      <c r="C588" s="1">
        <v>2018</v>
      </c>
      <c r="D588" s="1" t="s">
        <v>3408</v>
      </c>
      <c r="E588" s="1" t="s">
        <v>1215</v>
      </c>
      <c r="F588" s="1" t="s">
        <v>1256</v>
      </c>
      <c r="G588" s="1" t="s">
        <v>1257</v>
      </c>
      <c r="H588" s="1" t="s">
        <v>3409</v>
      </c>
      <c r="I588" s="1" t="s">
        <v>3410</v>
      </c>
      <c r="J588" t="s">
        <v>4631</v>
      </c>
      <c r="K588" s="1" t="s">
        <v>3411</v>
      </c>
    </row>
    <row r="589" spans="1:11" ht="24" customHeight="1">
      <c r="A589" s="1" t="s">
        <v>3412</v>
      </c>
      <c r="B589" s="1" t="s">
        <v>3413</v>
      </c>
      <c r="C589" s="1">
        <v>2020</v>
      </c>
      <c r="D589" s="1" t="s">
        <v>3414</v>
      </c>
      <c r="E589" s="1" t="s">
        <v>1215</v>
      </c>
      <c r="F589" s="1" t="s">
        <v>1224</v>
      </c>
      <c r="G589" s="1" t="s">
        <v>1225</v>
      </c>
      <c r="H589" s="1" t="s">
        <v>3415</v>
      </c>
      <c r="I589" s="1" t="s">
        <v>3416</v>
      </c>
      <c r="J589" t="s">
        <v>4631</v>
      </c>
      <c r="K589" s="1" t="s">
        <v>3417</v>
      </c>
    </row>
    <row r="590" spans="1:11" ht="24" customHeight="1">
      <c r="A590" s="1" t="s">
        <v>3418</v>
      </c>
      <c r="B590" s="1" t="s">
        <v>3419</v>
      </c>
      <c r="C590" s="1">
        <v>2024</v>
      </c>
      <c r="D590" s="1" t="s">
        <v>3420</v>
      </c>
      <c r="E590" s="1" t="s">
        <v>1215</v>
      </c>
      <c r="F590" s="1" t="s">
        <v>2137</v>
      </c>
      <c r="G590" s="1" t="s">
        <v>2138</v>
      </c>
      <c r="H590" s="1" t="s">
        <v>3421</v>
      </c>
      <c r="I590" s="1" t="s">
        <v>3422</v>
      </c>
      <c r="J590" t="s">
        <v>4631</v>
      </c>
      <c r="K590" s="1" t="s">
        <v>3423</v>
      </c>
    </row>
    <row r="591" spans="1:11" ht="24" customHeight="1">
      <c r="A591" s="1" t="s">
        <v>3424</v>
      </c>
      <c r="B591" s="1" t="s">
        <v>3425</v>
      </c>
      <c r="C591" s="1">
        <v>2025</v>
      </c>
      <c r="D591" s="1" t="s">
        <v>3426</v>
      </c>
      <c r="E591" s="1" t="s">
        <v>1215</v>
      </c>
      <c r="F591" s="1" t="s">
        <v>2137</v>
      </c>
      <c r="G591" s="1" t="s">
        <v>2138</v>
      </c>
      <c r="H591" s="1" t="s">
        <v>3427</v>
      </c>
      <c r="I591" s="1" t="s">
        <v>3428</v>
      </c>
      <c r="J591" t="s">
        <v>4631</v>
      </c>
      <c r="K591" s="1" t="s">
        <v>3429</v>
      </c>
    </row>
    <row r="592" spans="1:11" ht="24" customHeight="1">
      <c r="A592" s="1" t="s">
        <v>3430</v>
      </c>
      <c r="B592" s="1" t="s">
        <v>3431</v>
      </c>
      <c r="C592" s="1">
        <v>2023</v>
      </c>
      <c r="D592" s="1" t="s">
        <v>3432</v>
      </c>
      <c r="E592" s="1" t="s">
        <v>1215</v>
      </c>
      <c r="F592" s="1" t="s">
        <v>1216</v>
      </c>
      <c r="G592" s="1" t="s">
        <v>1217</v>
      </c>
      <c r="H592" s="1" t="s">
        <v>3433</v>
      </c>
      <c r="I592" s="1" t="s">
        <v>3434</v>
      </c>
      <c r="J592" t="s">
        <v>4631</v>
      </c>
      <c r="K592" s="1" t="s">
        <v>3435</v>
      </c>
    </row>
    <row r="593" spans="1:11" ht="24" customHeight="1">
      <c r="A593" s="1" t="s">
        <v>3436</v>
      </c>
      <c r="B593" s="1" t="s">
        <v>3437</v>
      </c>
      <c r="C593" s="1">
        <v>2026</v>
      </c>
      <c r="D593" s="1" t="s">
        <v>3438</v>
      </c>
      <c r="E593" s="1" t="s">
        <v>1215</v>
      </c>
      <c r="F593" s="1" t="s">
        <v>2137</v>
      </c>
      <c r="G593" s="1" t="s">
        <v>2138</v>
      </c>
      <c r="H593" s="1" t="s">
        <v>3439</v>
      </c>
      <c r="I593" s="1" t="s">
        <v>3440</v>
      </c>
      <c r="J593" t="s">
        <v>4631</v>
      </c>
      <c r="K593" s="1" t="s">
        <v>3441</v>
      </c>
    </row>
    <row r="594" spans="1:11" ht="36" customHeight="1">
      <c r="A594" s="1" t="s">
        <v>3442</v>
      </c>
      <c r="B594" s="1" t="s">
        <v>3443</v>
      </c>
      <c r="C594" s="1">
        <v>2024</v>
      </c>
      <c r="D594" s="1" t="s">
        <v>3444</v>
      </c>
      <c r="E594" s="1" t="s">
        <v>1215</v>
      </c>
      <c r="F594" s="1" t="s">
        <v>1256</v>
      </c>
      <c r="G594" s="1" t="s">
        <v>1257</v>
      </c>
      <c r="H594" s="1" t="s">
        <v>3445</v>
      </c>
      <c r="I594" s="1" t="s">
        <v>3446</v>
      </c>
      <c r="J594" t="s">
        <v>4631</v>
      </c>
      <c r="K594" s="1" t="s">
        <v>3447</v>
      </c>
    </row>
    <row r="595" spans="1:11" ht="24" customHeight="1">
      <c r="A595" s="1" t="s">
        <v>3448</v>
      </c>
      <c r="B595" s="1" t="s">
        <v>3449</v>
      </c>
      <c r="C595" s="1">
        <v>2021</v>
      </c>
      <c r="D595" s="1" t="s">
        <v>3450</v>
      </c>
      <c r="E595" s="1" t="s">
        <v>1215</v>
      </c>
      <c r="F595" s="1" t="s">
        <v>1224</v>
      </c>
      <c r="G595" s="1" t="s">
        <v>1225</v>
      </c>
      <c r="H595" s="1" t="s">
        <v>3451</v>
      </c>
      <c r="I595" s="1" t="s">
        <v>3452</v>
      </c>
      <c r="J595" t="s">
        <v>4631</v>
      </c>
      <c r="K595" s="1" t="s">
        <v>3453</v>
      </c>
    </row>
    <row r="596" spans="1:11" ht="24" customHeight="1">
      <c r="A596" s="1" t="s">
        <v>3454</v>
      </c>
      <c r="B596" s="1" t="s">
        <v>3455</v>
      </c>
      <c r="C596" s="1">
        <v>2016</v>
      </c>
      <c r="D596" s="1" t="s">
        <v>3456</v>
      </c>
      <c r="E596" s="1" t="s">
        <v>1215</v>
      </c>
      <c r="F596" s="1" t="s">
        <v>2137</v>
      </c>
      <c r="G596" s="1" t="s">
        <v>2138</v>
      </c>
      <c r="H596" s="1" t="s">
        <v>3457</v>
      </c>
      <c r="I596" s="1" t="s">
        <v>3458</v>
      </c>
      <c r="J596" t="s">
        <v>4631</v>
      </c>
      <c r="K596" s="1" t="s">
        <v>3459</v>
      </c>
    </row>
    <row r="597" spans="1:11" ht="24" customHeight="1">
      <c r="A597" s="1" t="s">
        <v>3460</v>
      </c>
      <c r="B597" s="1" t="s">
        <v>3461</v>
      </c>
      <c r="C597" s="1">
        <v>2022</v>
      </c>
      <c r="D597" s="1" t="s">
        <v>3462</v>
      </c>
      <c r="E597" s="1" t="s">
        <v>1215</v>
      </c>
      <c r="F597" s="1" t="s">
        <v>1224</v>
      </c>
      <c r="G597" s="1" t="s">
        <v>1225</v>
      </c>
      <c r="H597" s="1" t="s">
        <v>3463</v>
      </c>
      <c r="I597" s="1" t="s">
        <v>3464</v>
      </c>
      <c r="J597" t="s">
        <v>4631</v>
      </c>
      <c r="K597" s="1" t="s">
        <v>3465</v>
      </c>
    </row>
    <row r="598" spans="1:11" ht="36" customHeight="1">
      <c r="A598" s="1" t="s">
        <v>3466</v>
      </c>
      <c r="B598" s="1" t="s">
        <v>3467</v>
      </c>
      <c r="C598" s="1">
        <v>2022</v>
      </c>
      <c r="D598" s="1" t="s">
        <v>3468</v>
      </c>
      <c r="E598" s="1" t="s">
        <v>1215</v>
      </c>
      <c r="F598" s="1" t="s">
        <v>1216</v>
      </c>
      <c r="G598" s="1" t="s">
        <v>1217</v>
      </c>
      <c r="H598" s="1" t="s">
        <v>3469</v>
      </c>
      <c r="I598" s="1" t="s">
        <v>3470</v>
      </c>
      <c r="J598" t="s">
        <v>4631</v>
      </c>
      <c r="K598" s="1" t="s">
        <v>3471</v>
      </c>
    </row>
    <row r="599" spans="1:11" ht="24" customHeight="1">
      <c r="A599" s="1" t="s">
        <v>3472</v>
      </c>
      <c r="B599" s="1" t="s">
        <v>3473</v>
      </c>
      <c r="C599" s="1">
        <v>2024</v>
      </c>
      <c r="D599" s="1" t="s">
        <v>3474</v>
      </c>
      <c r="E599" s="1" t="s">
        <v>1215</v>
      </c>
      <c r="F599" s="1" t="s">
        <v>1348</v>
      </c>
      <c r="G599" s="1" t="s">
        <v>1349</v>
      </c>
      <c r="H599" s="1" t="s">
        <v>3475</v>
      </c>
      <c r="I599" s="1" t="s">
        <v>3476</v>
      </c>
      <c r="J599" t="s">
        <v>4631</v>
      </c>
      <c r="K599" s="1" t="s">
        <v>3477</v>
      </c>
    </row>
    <row r="600" spans="1:11" ht="24" customHeight="1">
      <c r="A600" s="1" t="s">
        <v>3478</v>
      </c>
      <c r="B600" s="1" t="s">
        <v>3479</v>
      </c>
      <c r="C600" s="1">
        <v>2017</v>
      </c>
      <c r="D600" s="1" t="s">
        <v>3480</v>
      </c>
      <c r="E600" s="1" t="s">
        <v>1215</v>
      </c>
      <c r="F600" s="1" t="s">
        <v>2137</v>
      </c>
      <c r="G600" s="1" t="s">
        <v>2138</v>
      </c>
      <c r="H600" s="1" t="s">
        <v>3481</v>
      </c>
      <c r="I600" s="1" t="s">
        <v>3482</v>
      </c>
      <c r="J600" t="s">
        <v>4631</v>
      </c>
      <c r="K600" s="1" t="s">
        <v>3483</v>
      </c>
    </row>
    <row r="601" spans="1:11" ht="36" customHeight="1">
      <c r="A601" s="1" t="s">
        <v>3484</v>
      </c>
      <c r="B601" s="1" t="s">
        <v>3485</v>
      </c>
      <c r="C601" s="1">
        <v>2024</v>
      </c>
      <c r="D601" s="1" t="s">
        <v>3486</v>
      </c>
      <c r="E601" s="1" t="s">
        <v>1215</v>
      </c>
      <c r="F601" s="1" t="s">
        <v>1216</v>
      </c>
      <c r="G601" s="1" t="s">
        <v>1217</v>
      </c>
      <c r="H601" s="1" t="s">
        <v>3487</v>
      </c>
      <c r="I601" s="1" t="s">
        <v>3488</v>
      </c>
      <c r="J601" t="s">
        <v>4631</v>
      </c>
      <c r="K601" s="1" t="s">
        <v>3489</v>
      </c>
    </row>
    <row r="602" spans="1:11" ht="24" customHeight="1">
      <c r="A602" s="1" t="s">
        <v>3490</v>
      </c>
      <c r="B602" s="1" t="s">
        <v>3491</v>
      </c>
      <c r="C602" s="1">
        <v>2024</v>
      </c>
      <c r="D602" s="1" t="s">
        <v>3492</v>
      </c>
      <c r="E602" s="1" t="s">
        <v>1215</v>
      </c>
      <c r="F602" s="1" t="s">
        <v>1256</v>
      </c>
      <c r="G602" s="1" t="s">
        <v>1257</v>
      </c>
      <c r="H602" s="1" t="s">
        <v>3493</v>
      </c>
      <c r="I602" s="1" t="s">
        <v>3494</v>
      </c>
      <c r="J602" t="s">
        <v>4631</v>
      </c>
      <c r="K602" s="1" t="s">
        <v>3495</v>
      </c>
    </row>
    <row r="603" spans="1:11" ht="24" customHeight="1">
      <c r="A603" s="1" t="s">
        <v>3496</v>
      </c>
      <c r="B603" s="1" t="s">
        <v>3497</v>
      </c>
      <c r="C603" s="1">
        <v>2024</v>
      </c>
      <c r="D603" s="1" t="s">
        <v>3498</v>
      </c>
      <c r="E603" s="1" t="s">
        <v>1215</v>
      </c>
      <c r="F603" s="1" t="s">
        <v>1256</v>
      </c>
      <c r="G603" s="1" t="s">
        <v>1257</v>
      </c>
      <c r="H603" s="1" t="s">
        <v>3499</v>
      </c>
      <c r="I603" s="1" t="s">
        <v>3500</v>
      </c>
      <c r="J603" t="s">
        <v>4631</v>
      </c>
      <c r="K603" s="1" t="s">
        <v>3501</v>
      </c>
    </row>
    <row r="604" spans="1:11" ht="24" customHeight="1">
      <c r="A604" s="1" t="s">
        <v>3502</v>
      </c>
      <c r="B604" s="1" t="s">
        <v>3503</v>
      </c>
      <c r="C604" s="1">
        <v>2024</v>
      </c>
      <c r="D604" s="1" t="s">
        <v>3504</v>
      </c>
      <c r="E604" s="1" t="s">
        <v>1215</v>
      </c>
      <c r="F604" s="1" t="s">
        <v>1216</v>
      </c>
      <c r="G604" s="1" t="s">
        <v>1217</v>
      </c>
      <c r="H604" s="1" t="s">
        <v>3505</v>
      </c>
      <c r="I604" s="1" t="s">
        <v>3506</v>
      </c>
      <c r="J604" t="s">
        <v>4631</v>
      </c>
      <c r="K604" s="1" t="s">
        <v>3507</v>
      </c>
    </row>
    <row r="605" spans="1:11" ht="24" customHeight="1">
      <c r="A605" s="1" t="s">
        <v>3508</v>
      </c>
      <c r="B605" s="1" t="s">
        <v>3509</v>
      </c>
      <c r="C605" s="1">
        <v>2024</v>
      </c>
      <c r="D605" s="1" t="s">
        <v>3510</v>
      </c>
      <c r="E605" s="1" t="s">
        <v>1215</v>
      </c>
      <c r="F605" s="1" t="s">
        <v>2137</v>
      </c>
      <c r="G605" s="1" t="s">
        <v>2138</v>
      </c>
      <c r="H605" s="1" t="s">
        <v>3511</v>
      </c>
      <c r="I605" s="1" t="s">
        <v>3512</v>
      </c>
      <c r="J605" t="s">
        <v>4631</v>
      </c>
      <c r="K605" s="1" t="s">
        <v>3513</v>
      </c>
    </row>
    <row r="606" spans="1:11" ht="24" customHeight="1">
      <c r="A606" s="1" t="s">
        <v>3514</v>
      </c>
      <c r="B606" s="1" t="s">
        <v>3515</v>
      </c>
      <c r="C606" s="1">
        <v>2022</v>
      </c>
      <c r="D606" s="1" t="s">
        <v>3516</v>
      </c>
      <c r="E606" s="1" t="s">
        <v>1215</v>
      </c>
      <c r="F606" s="1" t="s">
        <v>1216</v>
      </c>
      <c r="G606" s="1" t="s">
        <v>1217</v>
      </c>
      <c r="H606" s="1" t="s">
        <v>3517</v>
      </c>
      <c r="I606" s="1" t="s">
        <v>3518</v>
      </c>
      <c r="J606" t="s">
        <v>4631</v>
      </c>
      <c r="K606" s="1" t="s">
        <v>3519</v>
      </c>
    </row>
    <row r="607" spans="1:11" ht="36" customHeight="1">
      <c r="A607" s="1" t="s">
        <v>3520</v>
      </c>
      <c r="B607" s="1" t="s">
        <v>3521</v>
      </c>
      <c r="C607" s="1">
        <v>2024</v>
      </c>
      <c r="D607" s="1" t="s">
        <v>3522</v>
      </c>
      <c r="E607" s="1" t="s">
        <v>1215</v>
      </c>
      <c r="F607" s="1" t="s">
        <v>1224</v>
      </c>
      <c r="G607" s="1" t="s">
        <v>1225</v>
      </c>
      <c r="H607" s="1" t="s">
        <v>3523</v>
      </c>
      <c r="I607" s="1" t="s">
        <v>3524</v>
      </c>
      <c r="J607" t="s">
        <v>4631</v>
      </c>
      <c r="K607" s="1" t="s">
        <v>3525</v>
      </c>
    </row>
    <row r="608" spans="1:11" ht="24" customHeight="1">
      <c r="A608" s="1" t="s">
        <v>3526</v>
      </c>
      <c r="B608" s="1" t="s">
        <v>3527</v>
      </c>
      <c r="C608" s="1">
        <v>2022</v>
      </c>
      <c r="D608" s="1" t="s">
        <v>3528</v>
      </c>
      <c r="E608" s="1" t="s">
        <v>1215</v>
      </c>
      <c r="F608" s="1" t="s">
        <v>1256</v>
      </c>
      <c r="G608" s="1" t="s">
        <v>1257</v>
      </c>
      <c r="H608" s="1" t="s">
        <v>3529</v>
      </c>
      <c r="I608" s="1" t="s">
        <v>3530</v>
      </c>
      <c r="J608" t="s">
        <v>4631</v>
      </c>
      <c r="K608" s="1" t="s">
        <v>3531</v>
      </c>
    </row>
    <row r="609" spans="1:11" ht="36" customHeight="1">
      <c r="A609" s="1" t="s">
        <v>3532</v>
      </c>
      <c r="B609" s="1" t="s">
        <v>3533</v>
      </c>
      <c r="C609" s="1">
        <v>2024</v>
      </c>
      <c r="D609" s="1" t="s">
        <v>3534</v>
      </c>
      <c r="E609" s="1" t="s">
        <v>1215</v>
      </c>
      <c r="F609" s="1" t="s">
        <v>1216</v>
      </c>
      <c r="G609" s="1" t="s">
        <v>1217</v>
      </c>
      <c r="H609" s="1" t="s">
        <v>3535</v>
      </c>
      <c r="I609" s="1" t="s">
        <v>3536</v>
      </c>
      <c r="J609" t="s">
        <v>4631</v>
      </c>
      <c r="K609" s="1" t="s">
        <v>3537</v>
      </c>
    </row>
    <row r="610" spans="1:11" ht="36" customHeight="1">
      <c r="A610" s="1" t="s">
        <v>3538</v>
      </c>
      <c r="B610" s="1" t="s">
        <v>3539</v>
      </c>
      <c r="C610" s="1">
        <v>2020</v>
      </c>
      <c r="D610" s="1" t="s">
        <v>3540</v>
      </c>
      <c r="E610" s="1" t="s">
        <v>1215</v>
      </c>
      <c r="F610" s="1" t="s">
        <v>1256</v>
      </c>
      <c r="G610" s="1" t="s">
        <v>1257</v>
      </c>
      <c r="H610" s="1" t="s">
        <v>3541</v>
      </c>
      <c r="I610" s="1" t="s">
        <v>3542</v>
      </c>
      <c r="J610" t="s">
        <v>4631</v>
      </c>
      <c r="K610" s="1" t="s">
        <v>3543</v>
      </c>
    </row>
    <row r="611" spans="1:11" ht="24" customHeight="1">
      <c r="A611" s="1" t="s">
        <v>3544</v>
      </c>
      <c r="B611" s="1" t="s">
        <v>3545</v>
      </c>
      <c r="C611" s="1">
        <v>2024</v>
      </c>
      <c r="D611" s="1" t="s">
        <v>3546</v>
      </c>
      <c r="E611" s="1" t="s">
        <v>1215</v>
      </c>
      <c r="F611" s="1" t="s">
        <v>1216</v>
      </c>
      <c r="G611" s="1" t="s">
        <v>1217</v>
      </c>
      <c r="H611" s="1" t="s">
        <v>3547</v>
      </c>
      <c r="I611" s="1" t="s">
        <v>3548</v>
      </c>
      <c r="J611" t="s">
        <v>4631</v>
      </c>
      <c r="K611" s="1" t="s">
        <v>3549</v>
      </c>
    </row>
    <row r="612" spans="1:11" ht="24" customHeight="1">
      <c r="A612" s="1" t="s">
        <v>3550</v>
      </c>
      <c r="B612" s="1" t="s">
        <v>3551</v>
      </c>
      <c r="C612" s="1">
        <v>2024</v>
      </c>
      <c r="D612" s="1" t="s">
        <v>3552</v>
      </c>
      <c r="E612" s="1" t="s">
        <v>1215</v>
      </c>
      <c r="F612" s="1" t="s">
        <v>1224</v>
      </c>
      <c r="G612" s="1" t="s">
        <v>1225</v>
      </c>
      <c r="H612" s="1" t="s">
        <v>3553</v>
      </c>
      <c r="I612" s="1" t="s">
        <v>3554</v>
      </c>
      <c r="J612" t="s">
        <v>4631</v>
      </c>
      <c r="K612" s="1" t="s">
        <v>3555</v>
      </c>
    </row>
    <row r="613" spans="1:11" ht="24" customHeight="1">
      <c r="A613" s="1" t="s">
        <v>3556</v>
      </c>
      <c r="B613" s="1" t="s">
        <v>3557</v>
      </c>
      <c r="C613" s="1">
        <v>2022</v>
      </c>
      <c r="D613" s="1" t="s">
        <v>3558</v>
      </c>
      <c r="E613" s="1" t="s">
        <v>1215</v>
      </c>
      <c r="F613" s="1" t="s">
        <v>1224</v>
      </c>
      <c r="G613" s="1" t="s">
        <v>1225</v>
      </c>
      <c r="H613" s="1" t="s">
        <v>3559</v>
      </c>
      <c r="I613" s="1" t="s">
        <v>3560</v>
      </c>
      <c r="J613" t="s">
        <v>4631</v>
      </c>
      <c r="K613" s="1" t="s">
        <v>3561</v>
      </c>
    </row>
    <row r="614" spans="1:11" ht="36" customHeight="1">
      <c r="A614" s="1" t="s">
        <v>3562</v>
      </c>
      <c r="B614" s="1" t="s">
        <v>3563</v>
      </c>
      <c r="C614" s="1">
        <v>2026</v>
      </c>
      <c r="D614" s="1" t="s">
        <v>3564</v>
      </c>
      <c r="E614" s="1" t="s">
        <v>1215</v>
      </c>
      <c r="F614" s="1" t="s">
        <v>1224</v>
      </c>
      <c r="G614" s="1" t="s">
        <v>1225</v>
      </c>
      <c r="H614" s="1" t="s">
        <v>3565</v>
      </c>
      <c r="I614" s="1" t="s">
        <v>3566</v>
      </c>
      <c r="J614" t="s">
        <v>4631</v>
      </c>
      <c r="K614" s="1" t="s">
        <v>3567</v>
      </c>
    </row>
    <row r="615" spans="1:11" ht="36" customHeight="1">
      <c r="A615" s="1" t="s">
        <v>3568</v>
      </c>
      <c r="B615" s="1" t="s">
        <v>3569</v>
      </c>
      <c r="C615" s="1">
        <v>2021</v>
      </c>
      <c r="D615" s="1" t="s">
        <v>3570</v>
      </c>
      <c r="E615" s="1" t="s">
        <v>1215</v>
      </c>
      <c r="F615" s="1" t="s">
        <v>1256</v>
      </c>
      <c r="G615" s="1" t="s">
        <v>1257</v>
      </c>
      <c r="H615" s="1" t="s">
        <v>3571</v>
      </c>
      <c r="I615" s="1" t="s">
        <v>3572</v>
      </c>
      <c r="J615" t="s">
        <v>4631</v>
      </c>
      <c r="K615" s="1" t="s">
        <v>3573</v>
      </c>
    </row>
    <row r="616" spans="1:11" ht="36" customHeight="1">
      <c r="A616" s="1" t="s">
        <v>3574</v>
      </c>
      <c r="B616" s="1" t="s">
        <v>3575</v>
      </c>
      <c r="C616" s="1">
        <v>2024</v>
      </c>
      <c r="D616" s="1" t="s">
        <v>3576</v>
      </c>
      <c r="E616" s="1" t="s">
        <v>1215</v>
      </c>
      <c r="F616" s="1" t="s">
        <v>1256</v>
      </c>
      <c r="G616" s="1" t="s">
        <v>1257</v>
      </c>
      <c r="H616" s="1" t="s">
        <v>730</v>
      </c>
      <c r="I616" s="1" t="s">
        <v>3577</v>
      </c>
      <c r="J616" t="s">
        <v>4631</v>
      </c>
      <c r="K616" s="1" t="s">
        <v>3578</v>
      </c>
    </row>
    <row r="617" spans="1:11" ht="24" customHeight="1">
      <c r="A617" s="1" t="s">
        <v>3579</v>
      </c>
      <c r="B617" s="1" t="s">
        <v>3580</v>
      </c>
      <c r="C617" s="1">
        <v>2022</v>
      </c>
      <c r="D617" s="1" t="s">
        <v>3581</v>
      </c>
      <c r="E617" s="1" t="s">
        <v>1215</v>
      </c>
      <c r="F617" s="1" t="s">
        <v>2137</v>
      </c>
      <c r="G617" s="1" t="s">
        <v>2138</v>
      </c>
      <c r="H617" s="1" t="s">
        <v>3582</v>
      </c>
      <c r="I617" s="1" t="s">
        <v>3583</v>
      </c>
      <c r="J617" t="s">
        <v>4631</v>
      </c>
      <c r="K617" s="1" t="s">
        <v>3584</v>
      </c>
    </row>
    <row r="618" spans="1:11" ht="24" customHeight="1">
      <c r="A618" s="1" t="s">
        <v>3585</v>
      </c>
      <c r="B618" s="1" t="s">
        <v>3586</v>
      </c>
      <c r="C618" s="1">
        <v>2021</v>
      </c>
      <c r="D618" s="1" t="s">
        <v>3587</v>
      </c>
      <c r="E618" s="1" t="s">
        <v>1215</v>
      </c>
      <c r="F618" s="1" t="s">
        <v>1216</v>
      </c>
      <c r="G618" s="1" t="s">
        <v>1217</v>
      </c>
      <c r="H618" s="1" t="s">
        <v>3588</v>
      </c>
      <c r="I618" s="1" t="s">
        <v>3589</v>
      </c>
      <c r="J618" t="s">
        <v>4631</v>
      </c>
      <c r="K618" s="1" t="s">
        <v>3590</v>
      </c>
    </row>
    <row r="619" spans="1:11" ht="24" customHeight="1">
      <c r="A619" s="1" t="s">
        <v>3591</v>
      </c>
      <c r="B619" s="1" t="s">
        <v>3592</v>
      </c>
      <c r="C619" s="1">
        <v>2020</v>
      </c>
      <c r="D619" s="1" t="s">
        <v>3593</v>
      </c>
      <c r="E619" s="1" t="s">
        <v>1215</v>
      </c>
      <c r="F619" s="1" t="s">
        <v>1216</v>
      </c>
      <c r="G619" s="1" t="s">
        <v>1217</v>
      </c>
      <c r="H619" s="1" t="s">
        <v>3594</v>
      </c>
      <c r="I619" s="1" t="s">
        <v>3595</v>
      </c>
      <c r="J619" t="s">
        <v>4631</v>
      </c>
      <c r="K619" s="1" t="s">
        <v>3596</v>
      </c>
    </row>
    <row r="620" spans="1:11" ht="24" customHeight="1">
      <c r="A620" s="1" t="s">
        <v>3597</v>
      </c>
      <c r="B620" s="1" t="s">
        <v>3598</v>
      </c>
      <c r="C620" s="1">
        <v>2022</v>
      </c>
      <c r="D620" s="1" t="s">
        <v>3599</v>
      </c>
      <c r="E620" s="1" t="s">
        <v>1215</v>
      </c>
      <c r="F620" s="1" t="s">
        <v>1256</v>
      </c>
      <c r="G620" s="1" t="s">
        <v>1257</v>
      </c>
      <c r="H620" s="1" t="s">
        <v>3600</v>
      </c>
      <c r="I620" s="1" t="s">
        <v>3601</v>
      </c>
      <c r="J620" t="s">
        <v>4631</v>
      </c>
      <c r="K620" s="1" t="s">
        <v>3602</v>
      </c>
    </row>
    <row r="621" spans="1:11" ht="24" customHeight="1">
      <c r="A621" s="1" t="s">
        <v>3603</v>
      </c>
      <c r="B621" s="1" t="s">
        <v>3604</v>
      </c>
      <c r="C621" s="1">
        <v>2019</v>
      </c>
      <c r="D621" s="1" t="s">
        <v>3605</v>
      </c>
      <c r="E621" s="1" t="s">
        <v>1215</v>
      </c>
      <c r="F621" s="1" t="s">
        <v>2137</v>
      </c>
      <c r="G621" s="1" t="s">
        <v>2138</v>
      </c>
      <c r="H621" s="1" t="s">
        <v>3606</v>
      </c>
      <c r="I621" s="1" t="s">
        <v>3607</v>
      </c>
      <c r="J621" t="s">
        <v>4631</v>
      </c>
      <c r="K621" s="1" t="s">
        <v>3608</v>
      </c>
    </row>
    <row r="622" spans="1:11" ht="36" customHeight="1">
      <c r="A622" s="1" t="s">
        <v>3609</v>
      </c>
      <c r="B622" s="1" t="s">
        <v>3610</v>
      </c>
      <c r="C622" s="1">
        <v>2025</v>
      </c>
      <c r="D622" s="1" t="s">
        <v>3611</v>
      </c>
      <c r="E622" s="1" t="s">
        <v>1215</v>
      </c>
      <c r="F622" s="1" t="s">
        <v>1216</v>
      </c>
      <c r="G622" s="1" t="s">
        <v>1217</v>
      </c>
      <c r="H622" s="1" t="s">
        <v>3612</v>
      </c>
      <c r="I622" s="1" t="s">
        <v>3613</v>
      </c>
      <c r="J622" t="s">
        <v>4631</v>
      </c>
      <c r="K622" s="1" t="s">
        <v>3614</v>
      </c>
    </row>
    <row r="623" spans="1:11" ht="24" customHeight="1">
      <c r="A623" s="1" t="s">
        <v>3615</v>
      </c>
      <c r="B623" s="1" t="s">
        <v>3616</v>
      </c>
      <c r="C623" s="1">
        <v>2022</v>
      </c>
      <c r="D623" s="1" t="s">
        <v>3617</v>
      </c>
      <c r="E623" s="1" t="s">
        <v>1215</v>
      </c>
      <c r="F623" s="1" t="s">
        <v>1256</v>
      </c>
      <c r="G623" s="1" t="s">
        <v>1257</v>
      </c>
      <c r="H623" s="1" t="s">
        <v>784</v>
      </c>
      <c r="I623" s="1" t="s">
        <v>3618</v>
      </c>
      <c r="J623" t="s">
        <v>4631</v>
      </c>
      <c r="K623" s="1" t="s">
        <v>3619</v>
      </c>
    </row>
    <row r="624" spans="1:11" ht="24" customHeight="1">
      <c r="A624" s="1" t="s">
        <v>3620</v>
      </c>
      <c r="B624" s="1" t="s">
        <v>3621</v>
      </c>
      <c r="C624" s="1">
        <v>2018</v>
      </c>
      <c r="D624" s="1" t="s">
        <v>3622</v>
      </c>
      <c r="E624" s="1" t="s">
        <v>1215</v>
      </c>
      <c r="F624" s="1" t="s">
        <v>2137</v>
      </c>
      <c r="G624" s="1" t="s">
        <v>2138</v>
      </c>
      <c r="H624" s="1" t="s">
        <v>3623</v>
      </c>
      <c r="I624" s="1" t="s">
        <v>3624</v>
      </c>
      <c r="J624" t="s">
        <v>4631</v>
      </c>
      <c r="K624" s="1" t="s">
        <v>3625</v>
      </c>
    </row>
    <row r="625" spans="1:11" ht="24" customHeight="1">
      <c r="A625" s="1" t="s">
        <v>3626</v>
      </c>
      <c r="B625" s="1" t="s">
        <v>3627</v>
      </c>
      <c r="C625" s="1">
        <v>2020</v>
      </c>
      <c r="D625" s="1" t="s">
        <v>3628</v>
      </c>
      <c r="E625" s="1" t="s">
        <v>1215</v>
      </c>
      <c r="F625" s="1" t="s">
        <v>2137</v>
      </c>
      <c r="G625" s="1" t="s">
        <v>2138</v>
      </c>
      <c r="H625" s="1" t="s">
        <v>3629</v>
      </c>
      <c r="I625" s="1" t="s">
        <v>3630</v>
      </c>
      <c r="J625" t="s">
        <v>4631</v>
      </c>
      <c r="K625" s="1" t="s">
        <v>3631</v>
      </c>
    </row>
    <row r="626" spans="1:11" ht="36" customHeight="1">
      <c r="A626" s="1" t="s">
        <v>3632</v>
      </c>
      <c r="B626" s="1" t="s">
        <v>3633</v>
      </c>
      <c r="C626" s="1">
        <v>2015</v>
      </c>
      <c r="D626" s="1" t="s">
        <v>3634</v>
      </c>
      <c r="E626" s="1" t="s">
        <v>1215</v>
      </c>
      <c r="F626" s="1" t="s">
        <v>2137</v>
      </c>
      <c r="G626" s="1" t="s">
        <v>2138</v>
      </c>
      <c r="H626" s="1" t="s">
        <v>3635</v>
      </c>
      <c r="I626" s="1" t="s">
        <v>3636</v>
      </c>
      <c r="J626" t="s">
        <v>4631</v>
      </c>
      <c r="K626" s="1" t="s">
        <v>3637</v>
      </c>
    </row>
    <row r="627" spans="1:11" ht="24" customHeight="1">
      <c r="A627" s="1" t="s">
        <v>3638</v>
      </c>
      <c r="B627" s="1" t="s">
        <v>3639</v>
      </c>
      <c r="C627" s="1">
        <v>2022</v>
      </c>
      <c r="D627" s="1" t="s">
        <v>3640</v>
      </c>
      <c r="E627" s="1" t="s">
        <v>1215</v>
      </c>
      <c r="F627" s="1" t="s">
        <v>1224</v>
      </c>
      <c r="G627" s="1" t="s">
        <v>1225</v>
      </c>
      <c r="H627" s="1" t="s">
        <v>3641</v>
      </c>
      <c r="I627" s="1" t="s">
        <v>3642</v>
      </c>
      <c r="J627" t="s">
        <v>4631</v>
      </c>
      <c r="K627" s="1" t="s">
        <v>3643</v>
      </c>
    </row>
    <row r="628" spans="1:11" ht="36" customHeight="1">
      <c r="A628" s="1" t="s">
        <v>3644</v>
      </c>
      <c r="B628" s="1" t="s">
        <v>3645</v>
      </c>
      <c r="C628" s="1">
        <v>2022</v>
      </c>
      <c r="D628" s="1" t="s">
        <v>3646</v>
      </c>
      <c r="E628" s="1" t="s">
        <v>1215</v>
      </c>
      <c r="F628" s="1" t="s">
        <v>2137</v>
      </c>
      <c r="G628" s="1" t="s">
        <v>2138</v>
      </c>
      <c r="H628" s="1" t="s">
        <v>3475</v>
      </c>
      <c r="I628" s="1" t="s">
        <v>3647</v>
      </c>
      <c r="J628" t="s">
        <v>4631</v>
      </c>
      <c r="K628" s="1" t="s">
        <v>3648</v>
      </c>
    </row>
    <row r="629" spans="1:11" ht="24" customHeight="1">
      <c r="A629" s="1" t="s">
        <v>3649</v>
      </c>
      <c r="B629" s="1" t="s">
        <v>3650</v>
      </c>
      <c r="C629" s="1">
        <v>2022</v>
      </c>
      <c r="D629" s="1" t="s">
        <v>3651</v>
      </c>
      <c r="E629" s="1" t="s">
        <v>1215</v>
      </c>
      <c r="F629" s="1" t="s">
        <v>1348</v>
      </c>
      <c r="G629" s="1" t="s">
        <v>1349</v>
      </c>
      <c r="H629" s="1" t="s">
        <v>3652</v>
      </c>
      <c r="I629" s="1" t="s">
        <v>3653</v>
      </c>
      <c r="J629" t="s">
        <v>4631</v>
      </c>
      <c r="K629" s="1" t="s">
        <v>3654</v>
      </c>
    </row>
    <row r="630" spans="1:11" ht="24" customHeight="1">
      <c r="A630" s="1" t="s">
        <v>3655</v>
      </c>
      <c r="B630" s="1" t="s">
        <v>3656</v>
      </c>
      <c r="C630" s="1">
        <v>2019</v>
      </c>
      <c r="D630" s="1" t="s">
        <v>3657</v>
      </c>
      <c r="E630" s="1" t="s">
        <v>1215</v>
      </c>
      <c r="F630" s="1" t="s">
        <v>1348</v>
      </c>
      <c r="G630" s="1" t="s">
        <v>1349</v>
      </c>
      <c r="H630" s="1" t="s">
        <v>3658</v>
      </c>
      <c r="I630" s="1" t="s">
        <v>3659</v>
      </c>
      <c r="J630" t="s">
        <v>4631</v>
      </c>
      <c r="K630" s="1" t="s">
        <v>3660</v>
      </c>
    </row>
    <row r="631" spans="1:11" ht="24" customHeight="1">
      <c r="A631" s="1" t="s">
        <v>3661</v>
      </c>
      <c r="B631" s="1" t="s">
        <v>3662</v>
      </c>
      <c r="C631" s="1">
        <v>2021</v>
      </c>
      <c r="D631" s="1" t="s">
        <v>3663</v>
      </c>
      <c r="E631" s="1" t="s">
        <v>1215</v>
      </c>
      <c r="F631" s="1" t="s">
        <v>1256</v>
      </c>
      <c r="G631" s="1" t="s">
        <v>1257</v>
      </c>
      <c r="H631" s="1" t="s">
        <v>3664</v>
      </c>
      <c r="I631" s="1" t="s">
        <v>3665</v>
      </c>
      <c r="J631" t="s">
        <v>4631</v>
      </c>
      <c r="K631" s="1" t="s">
        <v>3666</v>
      </c>
    </row>
    <row r="632" spans="1:11" ht="24" customHeight="1">
      <c r="A632" s="1" t="s">
        <v>3667</v>
      </c>
      <c r="B632" s="1" t="s">
        <v>3668</v>
      </c>
      <c r="C632" s="1">
        <v>2023</v>
      </c>
      <c r="D632" s="1" t="s">
        <v>3669</v>
      </c>
      <c r="E632" s="1" t="s">
        <v>1215</v>
      </c>
      <c r="F632" s="1" t="s">
        <v>1256</v>
      </c>
      <c r="G632" s="1" t="s">
        <v>1257</v>
      </c>
      <c r="H632" s="1" t="s">
        <v>3670</v>
      </c>
      <c r="I632" s="1" t="s">
        <v>3671</v>
      </c>
      <c r="J632" t="s">
        <v>4631</v>
      </c>
      <c r="K632" s="1" t="s">
        <v>3672</v>
      </c>
    </row>
    <row r="633" spans="1:11" ht="24" customHeight="1">
      <c r="A633" s="1" t="s">
        <v>3673</v>
      </c>
      <c r="B633" s="1" t="s">
        <v>3674</v>
      </c>
      <c r="C633" s="1">
        <v>2024</v>
      </c>
      <c r="D633" s="1" t="s">
        <v>3675</v>
      </c>
      <c r="E633" s="1" t="s">
        <v>1215</v>
      </c>
      <c r="F633" s="1" t="s">
        <v>1348</v>
      </c>
      <c r="G633" s="1" t="s">
        <v>1349</v>
      </c>
      <c r="H633" s="1" t="s">
        <v>3676</v>
      </c>
      <c r="I633" s="1" t="s">
        <v>3677</v>
      </c>
      <c r="J633" t="s">
        <v>4631</v>
      </c>
      <c r="K633" s="1" t="s">
        <v>3678</v>
      </c>
    </row>
    <row r="634" spans="1:11" ht="24" customHeight="1">
      <c r="A634" s="1" t="s">
        <v>3679</v>
      </c>
      <c r="B634" s="1" t="s">
        <v>3680</v>
      </c>
      <c r="C634" s="1">
        <v>2022</v>
      </c>
      <c r="D634" s="1" t="s">
        <v>3681</v>
      </c>
      <c r="E634" s="1" t="s">
        <v>1215</v>
      </c>
      <c r="F634" s="1" t="s">
        <v>1216</v>
      </c>
      <c r="G634" s="1" t="s">
        <v>1217</v>
      </c>
      <c r="H634" s="1" t="s">
        <v>3682</v>
      </c>
      <c r="I634" s="1" t="s">
        <v>3683</v>
      </c>
      <c r="J634" t="s">
        <v>4631</v>
      </c>
      <c r="K634" s="1" t="s">
        <v>3684</v>
      </c>
    </row>
    <row r="635" spans="1:11" ht="24" customHeight="1">
      <c r="A635" s="1" t="s">
        <v>3685</v>
      </c>
      <c r="B635" s="1" t="s">
        <v>3686</v>
      </c>
      <c r="C635" s="1">
        <v>2018</v>
      </c>
      <c r="D635" s="1" t="s">
        <v>3687</v>
      </c>
      <c r="E635" s="1" t="s">
        <v>1215</v>
      </c>
      <c r="F635" s="1" t="s">
        <v>1256</v>
      </c>
      <c r="G635" s="1" t="s">
        <v>1257</v>
      </c>
      <c r="H635" s="1" t="s">
        <v>826</v>
      </c>
      <c r="I635" s="1" t="s">
        <v>3688</v>
      </c>
      <c r="J635" t="s">
        <v>4631</v>
      </c>
      <c r="K635" s="1" t="s">
        <v>3689</v>
      </c>
    </row>
    <row r="636" spans="1:11" ht="24" customHeight="1">
      <c r="A636" s="1" t="s">
        <v>3690</v>
      </c>
      <c r="B636" s="1" t="s">
        <v>3691</v>
      </c>
      <c r="C636" s="1">
        <v>2023</v>
      </c>
      <c r="D636" s="1" t="s">
        <v>3692</v>
      </c>
      <c r="E636" s="1" t="s">
        <v>1215</v>
      </c>
      <c r="F636" s="1" t="s">
        <v>1224</v>
      </c>
      <c r="G636" s="1" t="s">
        <v>1225</v>
      </c>
      <c r="H636" s="1" t="s">
        <v>3693</v>
      </c>
      <c r="I636" s="1" t="s">
        <v>3694</v>
      </c>
      <c r="J636" t="s">
        <v>4631</v>
      </c>
      <c r="K636" s="1" t="s">
        <v>3695</v>
      </c>
    </row>
    <row r="637" spans="1:11" ht="24" customHeight="1">
      <c r="A637" s="1" t="s">
        <v>3696</v>
      </c>
      <c r="B637" s="1" t="s">
        <v>3697</v>
      </c>
      <c r="C637" s="1">
        <v>2020</v>
      </c>
      <c r="D637" s="1" t="s">
        <v>3698</v>
      </c>
      <c r="E637" s="1" t="s">
        <v>1215</v>
      </c>
      <c r="F637" s="1" t="s">
        <v>1216</v>
      </c>
      <c r="G637" s="1" t="s">
        <v>1217</v>
      </c>
      <c r="H637" s="1" t="s">
        <v>3699</v>
      </c>
      <c r="I637" s="1" t="s">
        <v>3700</v>
      </c>
      <c r="J637" t="s">
        <v>4631</v>
      </c>
      <c r="K637" s="1" t="s">
        <v>3701</v>
      </c>
    </row>
    <row r="638" spans="1:11" ht="24" customHeight="1">
      <c r="A638" s="1" t="s">
        <v>3702</v>
      </c>
      <c r="B638" s="1" t="s">
        <v>3703</v>
      </c>
      <c r="C638" s="1">
        <v>2020</v>
      </c>
      <c r="D638" s="1" t="s">
        <v>3704</v>
      </c>
      <c r="E638" s="1" t="s">
        <v>1215</v>
      </c>
      <c r="F638" s="1" t="s">
        <v>1216</v>
      </c>
      <c r="G638" s="1" t="s">
        <v>1217</v>
      </c>
      <c r="H638" s="1" t="s">
        <v>3705</v>
      </c>
      <c r="I638" s="1" t="s">
        <v>3706</v>
      </c>
      <c r="J638" t="s">
        <v>4631</v>
      </c>
      <c r="K638" s="1" t="s">
        <v>3707</v>
      </c>
    </row>
    <row r="639" spans="1:11" ht="24" customHeight="1">
      <c r="A639" s="1" t="s">
        <v>3708</v>
      </c>
      <c r="B639" s="1" t="s">
        <v>3709</v>
      </c>
      <c r="C639" s="1">
        <v>2025</v>
      </c>
      <c r="D639" s="1" t="s">
        <v>3710</v>
      </c>
      <c r="E639" s="1" t="s">
        <v>1215</v>
      </c>
      <c r="F639" s="1" t="s">
        <v>1348</v>
      </c>
      <c r="G639" s="1" t="s">
        <v>1349</v>
      </c>
      <c r="H639" s="1" t="s">
        <v>3711</v>
      </c>
      <c r="I639" s="1" t="s">
        <v>3712</v>
      </c>
      <c r="J639" t="s">
        <v>4631</v>
      </c>
      <c r="K639" s="1" t="s">
        <v>3713</v>
      </c>
    </row>
    <row r="640" spans="1:11" ht="24" customHeight="1">
      <c r="A640" s="1" t="s">
        <v>3714</v>
      </c>
      <c r="B640" s="1" t="s">
        <v>3715</v>
      </c>
      <c r="C640" s="1">
        <v>2021</v>
      </c>
      <c r="D640" s="1" t="s">
        <v>3716</v>
      </c>
      <c r="E640" s="1" t="s">
        <v>1215</v>
      </c>
      <c r="F640" s="1" t="s">
        <v>1224</v>
      </c>
      <c r="G640" s="1" t="s">
        <v>1225</v>
      </c>
      <c r="H640" s="1" t="s">
        <v>3717</v>
      </c>
      <c r="I640" s="1" t="s">
        <v>3718</v>
      </c>
      <c r="J640" t="s">
        <v>4631</v>
      </c>
      <c r="K640" s="1" t="s">
        <v>3719</v>
      </c>
    </row>
    <row r="641" spans="1:11" ht="24" customHeight="1">
      <c r="A641" s="1" t="s">
        <v>3720</v>
      </c>
      <c r="B641" s="1" t="s">
        <v>3721</v>
      </c>
      <c r="C641" s="1">
        <v>2020</v>
      </c>
      <c r="D641" s="1" t="s">
        <v>3722</v>
      </c>
      <c r="E641" s="1" t="s">
        <v>1215</v>
      </c>
      <c r="F641" s="1" t="s">
        <v>1256</v>
      </c>
      <c r="G641" s="1" t="s">
        <v>1257</v>
      </c>
      <c r="H641" s="1" t="s">
        <v>3723</v>
      </c>
      <c r="I641" s="1" t="s">
        <v>3724</v>
      </c>
      <c r="J641" t="s">
        <v>4631</v>
      </c>
      <c r="K641" s="1" t="s">
        <v>3725</v>
      </c>
    </row>
    <row r="642" spans="1:11" ht="36" customHeight="1">
      <c r="A642" s="1" t="s">
        <v>3726</v>
      </c>
      <c r="B642" s="1" t="s">
        <v>3727</v>
      </c>
      <c r="C642" s="1">
        <v>2025</v>
      </c>
      <c r="D642" s="1" t="s">
        <v>3728</v>
      </c>
      <c r="E642" s="1" t="s">
        <v>1215</v>
      </c>
      <c r="F642" s="1" t="s">
        <v>1256</v>
      </c>
      <c r="G642" s="1" t="s">
        <v>1257</v>
      </c>
      <c r="H642" s="1" t="s">
        <v>3729</v>
      </c>
      <c r="I642" s="1" t="s">
        <v>3730</v>
      </c>
      <c r="J642" t="s">
        <v>4631</v>
      </c>
      <c r="K642" s="1" t="s">
        <v>3731</v>
      </c>
    </row>
    <row r="643" spans="1:11" ht="24" customHeight="1">
      <c r="A643" s="1" t="s">
        <v>3732</v>
      </c>
      <c r="B643" s="1" t="s">
        <v>3733</v>
      </c>
      <c r="C643" s="1">
        <v>2025</v>
      </c>
      <c r="D643" s="1" t="s">
        <v>3734</v>
      </c>
      <c r="E643" s="1" t="s">
        <v>1215</v>
      </c>
      <c r="F643" s="1" t="s">
        <v>2137</v>
      </c>
      <c r="G643" s="1" t="s">
        <v>2138</v>
      </c>
      <c r="H643" s="1" t="s">
        <v>3735</v>
      </c>
      <c r="I643" s="1" t="s">
        <v>3736</v>
      </c>
      <c r="J643" t="s">
        <v>4631</v>
      </c>
      <c r="K643" s="1" t="s">
        <v>3737</v>
      </c>
    </row>
    <row r="644" spans="1:11" ht="24" customHeight="1">
      <c r="A644" s="1" t="s">
        <v>3738</v>
      </c>
      <c r="B644" s="1" t="s">
        <v>3739</v>
      </c>
      <c r="C644" s="1">
        <v>2024</v>
      </c>
      <c r="D644" s="1" t="s">
        <v>3740</v>
      </c>
      <c r="E644" s="1" t="s">
        <v>1215</v>
      </c>
      <c r="F644" s="1" t="s">
        <v>2137</v>
      </c>
      <c r="G644" s="1" t="s">
        <v>2138</v>
      </c>
      <c r="H644" s="1" t="s">
        <v>3741</v>
      </c>
      <c r="I644" s="1" t="s">
        <v>3742</v>
      </c>
      <c r="J644" t="s">
        <v>4631</v>
      </c>
      <c r="K644" s="1" t="s">
        <v>3743</v>
      </c>
    </row>
    <row r="645" spans="1:11" ht="24" customHeight="1">
      <c r="A645" s="1" t="s">
        <v>3744</v>
      </c>
      <c r="B645" s="1" t="s">
        <v>3745</v>
      </c>
      <c r="C645" s="1">
        <v>2024</v>
      </c>
      <c r="D645" s="1" t="s">
        <v>3746</v>
      </c>
      <c r="E645" s="1" t="s">
        <v>1215</v>
      </c>
      <c r="F645" s="1" t="s">
        <v>2137</v>
      </c>
      <c r="G645" s="1" t="s">
        <v>2138</v>
      </c>
      <c r="H645" s="1" t="s">
        <v>3747</v>
      </c>
      <c r="I645" s="1" t="s">
        <v>3748</v>
      </c>
      <c r="J645" t="s">
        <v>4631</v>
      </c>
      <c r="K645" s="1" t="s">
        <v>3749</v>
      </c>
    </row>
    <row r="646" spans="1:11" ht="24" customHeight="1">
      <c r="A646" s="1" t="s">
        <v>3750</v>
      </c>
      <c r="B646" s="1" t="s">
        <v>3751</v>
      </c>
      <c r="C646" s="1">
        <v>2026</v>
      </c>
      <c r="D646" s="1" t="s">
        <v>3752</v>
      </c>
      <c r="E646" s="1" t="s">
        <v>1215</v>
      </c>
      <c r="F646" s="1" t="s">
        <v>1224</v>
      </c>
      <c r="G646" s="1" t="s">
        <v>1225</v>
      </c>
      <c r="H646" s="1" t="s">
        <v>3753</v>
      </c>
      <c r="I646" s="1" t="s">
        <v>3754</v>
      </c>
      <c r="J646" t="s">
        <v>4631</v>
      </c>
      <c r="K646" s="1" t="s">
        <v>3755</v>
      </c>
    </row>
    <row r="647" spans="1:11" ht="24" customHeight="1">
      <c r="A647" s="1" t="s">
        <v>3756</v>
      </c>
      <c r="B647" s="1" t="s">
        <v>3757</v>
      </c>
      <c r="C647" s="1">
        <v>2024</v>
      </c>
      <c r="D647" s="1" t="s">
        <v>3758</v>
      </c>
      <c r="E647" s="1" t="s">
        <v>1215</v>
      </c>
      <c r="F647" s="1" t="s">
        <v>1216</v>
      </c>
      <c r="G647" s="1" t="s">
        <v>1217</v>
      </c>
      <c r="H647" s="1" t="s">
        <v>3759</v>
      </c>
      <c r="I647" s="1" t="s">
        <v>3760</v>
      </c>
      <c r="J647" t="s">
        <v>4631</v>
      </c>
      <c r="K647" s="1" t="s">
        <v>3761</v>
      </c>
    </row>
    <row r="648" spans="1:11" ht="36" customHeight="1">
      <c r="A648" s="1" t="s">
        <v>3762</v>
      </c>
      <c r="B648" s="1" t="s">
        <v>3763</v>
      </c>
      <c r="C648" s="1">
        <v>2022</v>
      </c>
      <c r="D648" s="1" t="s">
        <v>3764</v>
      </c>
      <c r="E648" s="1" t="s">
        <v>1215</v>
      </c>
      <c r="F648" s="1" t="s">
        <v>1216</v>
      </c>
      <c r="G648" s="1" t="s">
        <v>1217</v>
      </c>
      <c r="H648" s="1" t="s">
        <v>3765</v>
      </c>
      <c r="I648" s="1" t="s">
        <v>3766</v>
      </c>
      <c r="J648" t="s">
        <v>4631</v>
      </c>
      <c r="K648" s="1" t="s">
        <v>3767</v>
      </c>
    </row>
    <row r="649" spans="1:11" ht="24" customHeight="1">
      <c r="A649" s="1" t="s">
        <v>3768</v>
      </c>
      <c r="B649" s="1" t="s">
        <v>3769</v>
      </c>
      <c r="C649" s="1">
        <v>2026</v>
      </c>
      <c r="D649" s="1" t="s">
        <v>3770</v>
      </c>
      <c r="E649" s="1" t="s">
        <v>1215</v>
      </c>
      <c r="F649" s="1" t="s">
        <v>1224</v>
      </c>
      <c r="G649" s="1" t="s">
        <v>1225</v>
      </c>
      <c r="H649" s="1" t="s">
        <v>3771</v>
      </c>
      <c r="I649" s="1" t="s">
        <v>3772</v>
      </c>
      <c r="J649" t="s">
        <v>4631</v>
      </c>
      <c r="K649" s="1" t="s">
        <v>3773</v>
      </c>
    </row>
    <row r="650" spans="1:11" ht="24" customHeight="1">
      <c r="A650" s="1" t="s">
        <v>3774</v>
      </c>
      <c r="B650" s="1" t="s">
        <v>3775</v>
      </c>
      <c r="C650" s="1">
        <v>2025</v>
      </c>
      <c r="D650" s="1" t="s">
        <v>3776</v>
      </c>
      <c r="E650" s="1" t="s">
        <v>1215</v>
      </c>
      <c r="F650" s="1" t="s">
        <v>1224</v>
      </c>
      <c r="G650" s="1" t="s">
        <v>1225</v>
      </c>
      <c r="H650" s="1" t="s">
        <v>3777</v>
      </c>
      <c r="I650" s="1" t="s">
        <v>3778</v>
      </c>
      <c r="J650" t="s">
        <v>4631</v>
      </c>
      <c r="K650" s="1" t="s">
        <v>3779</v>
      </c>
    </row>
    <row r="651" spans="1:11" ht="24" customHeight="1">
      <c r="A651" s="1" t="s">
        <v>3780</v>
      </c>
      <c r="B651" s="1" t="s">
        <v>3781</v>
      </c>
      <c r="C651" s="1">
        <v>2019</v>
      </c>
      <c r="D651" s="1" t="s">
        <v>3782</v>
      </c>
      <c r="E651" s="1" t="s">
        <v>1215</v>
      </c>
      <c r="F651" s="1" t="s">
        <v>2137</v>
      </c>
      <c r="G651" s="1" t="s">
        <v>2138</v>
      </c>
      <c r="H651" s="1" t="s">
        <v>3783</v>
      </c>
      <c r="I651" s="1" t="s">
        <v>3784</v>
      </c>
      <c r="J651" t="s">
        <v>4631</v>
      </c>
      <c r="K651" s="1" t="s">
        <v>3785</v>
      </c>
    </row>
    <row r="652" spans="1:11" ht="36" customHeight="1">
      <c r="A652" s="1" t="s">
        <v>3786</v>
      </c>
      <c r="B652" s="1" t="s">
        <v>3787</v>
      </c>
      <c r="C652" s="1">
        <v>2019</v>
      </c>
      <c r="D652" s="1" t="s">
        <v>3788</v>
      </c>
      <c r="E652" s="1" t="s">
        <v>1215</v>
      </c>
      <c r="F652" s="1" t="s">
        <v>2137</v>
      </c>
      <c r="G652" s="1" t="s">
        <v>2138</v>
      </c>
      <c r="H652" s="1" t="s">
        <v>3789</v>
      </c>
      <c r="I652" s="1" t="s">
        <v>3790</v>
      </c>
      <c r="J652" t="s">
        <v>4631</v>
      </c>
      <c r="K652" s="1" t="s">
        <v>3791</v>
      </c>
    </row>
    <row r="653" spans="1:11" ht="24" customHeight="1">
      <c r="A653" s="1" t="s">
        <v>3792</v>
      </c>
      <c r="B653" s="1" t="s">
        <v>3793</v>
      </c>
      <c r="C653" s="1">
        <v>2020</v>
      </c>
      <c r="D653" s="1" t="s">
        <v>3794</v>
      </c>
      <c r="E653" s="1" t="s">
        <v>1215</v>
      </c>
      <c r="F653" s="1" t="s">
        <v>2137</v>
      </c>
      <c r="G653" s="1" t="s">
        <v>2138</v>
      </c>
      <c r="H653" s="1" t="s">
        <v>3795</v>
      </c>
      <c r="I653" s="1" t="s">
        <v>3796</v>
      </c>
      <c r="J653" t="s">
        <v>4631</v>
      </c>
      <c r="K653" s="1" t="s">
        <v>3797</v>
      </c>
    </row>
    <row r="654" spans="1:11" ht="24" customHeight="1">
      <c r="A654" s="1" t="s">
        <v>3798</v>
      </c>
      <c r="B654" s="1" t="s">
        <v>3799</v>
      </c>
      <c r="C654" s="1">
        <v>2026</v>
      </c>
      <c r="D654" s="1" t="s">
        <v>3800</v>
      </c>
      <c r="E654" s="1" t="s">
        <v>1215</v>
      </c>
      <c r="F654" s="1" t="s">
        <v>1216</v>
      </c>
      <c r="G654" s="1" t="s">
        <v>1217</v>
      </c>
      <c r="H654" s="1" t="s">
        <v>3801</v>
      </c>
      <c r="I654" s="1" t="s">
        <v>3802</v>
      </c>
      <c r="J654" t="s">
        <v>4631</v>
      </c>
      <c r="K654" s="1" t="s">
        <v>3803</v>
      </c>
    </row>
    <row r="655" spans="1:11" ht="24" customHeight="1">
      <c r="A655" s="1" t="s">
        <v>3804</v>
      </c>
      <c r="B655" s="1" t="s">
        <v>3805</v>
      </c>
      <c r="C655" s="1">
        <v>2026</v>
      </c>
      <c r="D655" s="1" t="s">
        <v>3806</v>
      </c>
      <c r="E655" s="1" t="s">
        <v>1215</v>
      </c>
      <c r="F655" s="1" t="s">
        <v>1256</v>
      </c>
      <c r="G655" s="1" t="s">
        <v>1257</v>
      </c>
      <c r="H655" s="1" t="s">
        <v>3807</v>
      </c>
      <c r="I655" s="1" t="s">
        <v>3808</v>
      </c>
      <c r="J655" t="s">
        <v>4631</v>
      </c>
      <c r="K655" s="1" t="s">
        <v>3809</v>
      </c>
    </row>
    <row r="656" spans="1:11" ht="24" customHeight="1">
      <c r="A656" s="1" t="s">
        <v>3810</v>
      </c>
      <c r="B656" s="1" t="s">
        <v>3811</v>
      </c>
      <c r="C656" s="1">
        <v>2024</v>
      </c>
      <c r="D656" s="1" t="s">
        <v>3812</v>
      </c>
      <c r="E656" s="1" t="s">
        <v>1215</v>
      </c>
      <c r="F656" s="1" t="s">
        <v>1216</v>
      </c>
      <c r="G656" s="1" t="s">
        <v>1217</v>
      </c>
      <c r="H656" s="1" t="s">
        <v>3813</v>
      </c>
      <c r="I656" s="1" t="s">
        <v>3814</v>
      </c>
      <c r="J656" t="s">
        <v>4631</v>
      </c>
      <c r="K656" s="1" t="s">
        <v>3815</v>
      </c>
    </row>
    <row r="657" spans="1:11" ht="24" customHeight="1">
      <c r="A657" s="1" t="s">
        <v>3816</v>
      </c>
      <c r="B657" s="1" t="s">
        <v>3817</v>
      </c>
      <c r="C657" s="1">
        <v>2023</v>
      </c>
      <c r="D657" s="1" t="s">
        <v>3818</v>
      </c>
      <c r="E657" s="1" t="s">
        <v>1215</v>
      </c>
      <c r="F657" s="1" t="s">
        <v>1348</v>
      </c>
      <c r="G657" s="1" t="s">
        <v>1349</v>
      </c>
      <c r="H657" s="1" t="s">
        <v>3819</v>
      </c>
      <c r="I657" s="1" t="s">
        <v>3820</v>
      </c>
      <c r="J657" t="s">
        <v>4631</v>
      </c>
      <c r="K657" s="1" t="s">
        <v>3821</v>
      </c>
    </row>
    <row r="658" spans="1:11" ht="24" customHeight="1">
      <c r="A658" s="1" t="s">
        <v>3822</v>
      </c>
      <c r="B658" s="1" t="s">
        <v>3823</v>
      </c>
      <c r="C658" s="1">
        <v>2023</v>
      </c>
      <c r="D658" s="1" t="s">
        <v>3824</v>
      </c>
      <c r="E658" s="1" t="s">
        <v>1215</v>
      </c>
      <c r="F658" s="1" t="s">
        <v>1256</v>
      </c>
      <c r="G658" s="1" t="s">
        <v>1257</v>
      </c>
      <c r="H658" s="1" t="s">
        <v>3825</v>
      </c>
      <c r="I658" s="1" t="s">
        <v>3826</v>
      </c>
      <c r="J658" t="s">
        <v>4631</v>
      </c>
      <c r="K658" s="1" t="s">
        <v>3827</v>
      </c>
    </row>
    <row r="659" spans="1:11" ht="24" customHeight="1">
      <c r="A659" s="1" t="s">
        <v>3828</v>
      </c>
      <c r="B659" s="1" t="s">
        <v>3829</v>
      </c>
      <c r="C659" s="1">
        <v>2024</v>
      </c>
      <c r="D659" s="1" t="s">
        <v>3830</v>
      </c>
      <c r="E659" s="1" t="s">
        <v>1215</v>
      </c>
      <c r="F659" s="1" t="s">
        <v>1216</v>
      </c>
      <c r="G659" s="1" t="s">
        <v>1217</v>
      </c>
      <c r="H659" s="1" t="s">
        <v>3831</v>
      </c>
      <c r="I659" s="1" t="s">
        <v>3832</v>
      </c>
      <c r="J659" t="s">
        <v>4631</v>
      </c>
      <c r="K659" s="1" t="s">
        <v>3833</v>
      </c>
    </row>
    <row r="660" spans="1:11" ht="24" customHeight="1">
      <c r="A660" s="1" t="s">
        <v>3834</v>
      </c>
      <c r="B660" s="1" t="s">
        <v>3835</v>
      </c>
      <c r="C660" s="1">
        <v>2024</v>
      </c>
      <c r="D660" s="1" t="s">
        <v>3836</v>
      </c>
      <c r="E660" s="1" t="s">
        <v>1215</v>
      </c>
      <c r="F660" s="1" t="s">
        <v>1256</v>
      </c>
      <c r="G660" s="1" t="s">
        <v>1257</v>
      </c>
      <c r="H660" s="1" t="s">
        <v>3837</v>
      </c>
      <c r="I660" s="1" t="s">
        <v>3838</v>
      </c>
      <c r="J660" t="s">
        <v>4631</v>
      </c>
      <c r="K660" s="1" t="s">
        <v>3839</v>
      </c>
    </row>
    <row r="661" spans="1:11" ht="24" customHeight="1">
      <c r="A661" s="1" t="s">
        <v>3840</v>
      </c>
      <c r="B661" s="1" t="s">
        <v>3841</v>
      </c>
      <c r="C661" s="1">
        <v>2024</v>
      </c>
      <c r="D661" s="1" t="s">
        <v>3842</v>
      </c>
      <c r="E661" s="1" t="s">
        <v>1215</v>
      </c>
      <c r="F661" s="1" t="s">
        <v>1348</v>
      </c>
      <c r="G661" s="1" t="s">
        <v>1349</v>
      </c>
      <c r="H661" s="1" t="s">
        <v>3843</v>
      </c>
      <c r="I661" s="1" t="s">
        <v>3844</v>
      </c>
      <c r="J661" t="s">
        <v>4631</v>
      </c>
      <c r="K661" s="1" t="s">
        <v>3845</v>
      </c>
    </row>
    <row r="662" spans="1:11" ht="24" customHeight="1">
      <c r="A662" s="1" t="s">
        <v>3846</v>
      </c>
      <c r="B662" s="1" t="s">
        <v>3847</v>
      </c>
      <c r="C662" s="1">
        <v>2023</v>
      </c>
      <c r="D662" s="1" t="s">
        <v>3848</v>
      </c>
      <c r="E662" s="1" t="s">
        <v>1215</v>
      </c>
      <c r="F662" s="1" t="s">
        <v>1224</v>
      </c>
      <c r="G662" s="1" t="s">
        <v>1225</v>
      </c>
      <c r="H662" s="1" t="s">
        <v>3849</v>
      </c>
      <c r="I662" s="1" t="s">
        <v>3850</v>
      </c>
      <c r="J662" t="s">
        <v>4631</v>
      </c>
      <c r="K662" s="1" t="s">
        <v>3851</v>
      </c>
    </row>
    <row r="663" spans="1:11" ht="24" customHeight="1">
      <c r="A663" s="1" t="s">
        <v>3852</v>
      </c>
      <c r="B663" s="1" t="s">
        <v>3853</v>
      </c>
      <c r="C663" s="1">
        <v>2021</v>
      </c>
      <c r="D663" s="1" t="s">
        <v>3854</v>
      </c>
      <c r="E663" s="1" t="s">
        <v>1215</v>
      </c>
      <c r="F663" s="1" t="s">
        <v>1224</v>
      </c>
      <c r="G663" s="1" t="s">
        <v>1225</v>
      </c>
      <c r="H663" s="1" t="s">
        <v>3855</v>
      </c>
      <c r="I663" s="1" t="s">
        <v>3856</v>
      </c>
      <c r="J663" t="s">
        <v>4631</v>
      </c>
      <c r="K663" s="1" t="s">
        <v>3857</v>
      </c>
    </row>
    <row r="664" spans="1:11" ht="24" customHeight="1">
      <c r="A664" s="1" t="s">
        <v>3858</v>
      </c>
      <c r="B664" s="1" t="s">
        <v>3859</v>
      </c>
      <c r="C664" s="1">
        <v>2018</v>
      </c>
      <c r="D664" s="1" t="s">
        <v>3860</v>
      </c>
      <c r="E664" s="1" t="s">
        <v>1215</v>
      </c>
      <c r="F664" s="1" t="s">
        <v>1216</v>
      </c>
      <c r="G664" s="1" t="s">
        <v>1217</v>
      </c>
      <c r="H664" s="1" t="s">
        <v>3861</v>
      </c>
      <c r="I664" s="1" t="s">
        <v>3862</v>
      </c>
      <c r="J664" t="s">
        <v>4631</v>
      </c>
      <c r="K664" s="1" t="s">
        <v>3863</v>
      </c>
    </row>
    <row r="665" spans="1:11" ht="24" customHeight="1">
      <c r="A665" s="1" t="s">
        <v>3864</v>
      </c>
      <c r="B665" s="1" t="s">
        <v>3865</v>
      </c>
      <c r="C665" s="1">
        <v>2020</v>
      </c>
      <c r="D665" s="1" t="s">
        <v>3866</v>
      </c>
      <c r="E665" s="1" t="s">
        <v>1215</v>
      </c>
      <c r="F665" s="1" t="s">
        <v>1256</v>
      </c>
      <c r="G665" s="1" t="s">
        <v>1257</v>
      </c>
      <c r="H665" s="1" t="s">
        <v>3867</v>
      </c>
      <c r="I665" s="1" t="s">
        <v>3868</v>
      </c>
      <c r="J665" t="s">
        <v>4631</v>
      </c>
      <c r="K665" s="1" t="s">
        <v>3869</v>
      </c>
    </row>
    <row r="666" spans="1:11" ht="24" customHeight="1">
      <c r="A666" s="1" t="s">
        <v>3870</v>
      </c>
      <c r="B666" s="1" t="s">
        <v>3871</v>
      </c>
      <c r="C666" s="1">
        <v>2019</v>
      </c>
      <c r="D666" s="1" t="s">
        <v>3872</v>
      </c>
      <c r="E666" s="1" t="s">
        <v>1215</v>
      </c>
      <c r="F666" s="1" t="s">
        <v>1216</v>
      </c>
      <c r="G666" s="1" t="s">
        <v>1217</v>
      </c>
      <c r="H666" s="1" t="s">
        <v>3873</v>
      </c>
      <c r="I666" s="1" t="s">
        <v>3874</v>
      </c>
      <c r="J666" t="s">
        <v>4631</v>
      </c>
      <c r="K666" s="1" t="s">
        <v>3875</v>
      </c>
    </row>
    <row r="667" spans="1:11" ht="24" customHeight="1">
      <c r="A667" s="1" t="s">
        <v>3876</v>
      </c>
      <c r="B667" s="1" t="s">
        <v>3877</v>
      </c>
      <c r="C667" s="1">
        <v>2021</v>
      </c>
      <c r="D667" s="1" t="s">
        <v>3878</v>
      </c>
      <c r="E667" s="1" t="s">
        <v>1215</v>
      </c>
      <c r="F667" s="1" t="s">
        <v>1256</v>
      </c>
      <c r="G667" s="1" t="s">
        <v>1257</v>
      </c>
      <c r="H667" s="1" t="s">
        <v>3523</v>
      </c>
      <c r="I667" s="1" t="s">
        <v>3879</v>
      </c>
      <c r="J667" t="s">
        <v>4631</v>
      </c>
      <c r="K667" s="1" t="s">
        <v>3880</v>
      </c>
    </row>
    <row r="668" spans="1:11" ht="24" customHeight="1">
      <c r="A668" s="1" t="s">
        <v>3881</v>
      </c>
      <c r="B668" s="1" t="s">
        <v>3882</v>
      </c>
      <c r="C668" s="1">
        <v>2022</v>
      </c>
      <c r="D668" s="1" t="s">
        <v>3883</v>
      </c>
      <c r="E668" s="1" t="s">
        <v>1215</v>
      </c>
      <c r="F668" s="1" t="s">
        <v>1216</v>
      </c>
      <c r="G668" s="1" t="s">
        <v>1217</v>
      </c>
      <c r="H668" s="1" t="s">
        <v>3884</v>
      </c>
      <c r="I668" s="1" t="s">
        <v>3885</v>
      </c>
      <c r="J668" t="s">
        <v>4631</v>
      </c>
      <c r="K668" s="1" t="s">
        <v>3886</v>
      </c>
    </row>
    <row r="669" spans="1:11" ht="24" customHeight="1">
      <c r="A669" s="1" t="s">
        <v>3887</v>
      </c>
      <c r="B669" s="1" t="s">
        <v>3888</v>
      </c>
      <c r="C669" s="1">
        <v>2021</v>
      </c>
      <c r="D669" s="1" t="s">
        <v>3889</v>
      </c>
      <c r="E669" s="1" t="s">
        <v>1215</v>
      </c>
      <c r="F669" s="1" t="s">
        <v>1256</v>
      </c>
      <c r="G669" s="1" t="s">
        <v>1257</v>
      </c>
      <c r="H669" s="1" t="s">
        <v>3890</v>
      </c>
      <c r="I669" s="1" t="s">
        <v>3891</v>
      </c>
      <c r="J669" t="s">
        <v>4631</v>
      </c>
      <c r="K669" s="1" t="s">
        <v>3892</v>
      </c>
    </row>
    <row r="670" spans="1:11" ht="24" customHeight="1">
      <c r="A670" s="1" t="s">
        <v>3893</v>
      </c>
      <c r="B670" s="1" t="s">
        <v>3894</v>
      </c>
      <c r="C670" s="1">
        <v>2021</v>
      </c>
      <c r="D670" s="1" t="s">
        <v>3895</v>
      </c>
      <c r="E670" s="1" t="s">
        <v>1215</v>
      </c>
      <c r="F670" s="1" t="s">
        <v>1216</v>
      </c>
      <c r="G670" s="1" t="s">
        <v>1217</v>
      </c>
      <c r="H670" s="1" t="s">
        <v>3896</v>
      </c>
      <c r="I670" s="1" t="s">
        <v>3897</v>
      </c>
      <c r="J670" t="s">
        <v>4631</v>
      </c>
      <c r="K670" s="1" t="s">
        <v>3898</v>
      </c>
    </row>
    <row r="671" spans="1:11" ht="36" customHeight="1">
      <c r="A671" s="1" t="s">
        <v>3899</v>
      </c>
      <c r="B671" s="1" t="s">
        <v>3900</v>
      </c>
      <c r="C671" s="1">
        <v>2020</v>
      </c>
      <c r="D671" s="1" t="s">
        <v>3901</v>
      </c>
      <c r="E671" s="1" t="s">
        <v>1215</v>
      </c>
      <c r="F671" s="1" t="s">
        <v>1216</v>
      </c>
      <c r="G671" s="1" t="s">
        <v>1217</v>
      </c>
      <c r="H671" s="1" t="s">
        <v>3902</v>
      </c>
      <c r="I671" s="1" t="s">
        <v>3903</v>
      </c>
      <c r="J671" t="s">
        <v>4631</v>
      </c>
      <c r="K671" s="1" t="s">
        <v>3904</v>
      </c>
    </row>
    <row r="672" spans="1:11" ht="24" customHeight="1">
      <c r="A672" s="1" t="s">
        <v>3905</v>
      </c>
      <c r="B672" s="1" t="s">
        <v>3906</v>
      </c>
      <c r="C672" s="1">
        <v>2018</v>
      </c>
      <c r="D672" s="1" t="s">
        <v>3907</v>
      </c>
      <c r="E672" s="1" t="s">
        <v>1215</v>
      </c>
      <c r="F672" s="1" t="s">
        <v>1256</v>
      </c>
      <c r="G672" s="1" t="s">
        <v>1257</v>
      </c>
      <c r="H672" s="1" t="s">
        <v>730</v>
      </c>
      <c r="I672" s="1" t="s">
        <v>3908</v>
      </c>
      <c r="J672" t="s">
        <v>4631</v>
      </c>
      <c r="K672" s="1" t="s">
        <v>3909</v>
      </c>
    </row>
    <row r="673" spans="1:11" ht="36" customHeight="1">
      <c r="A673" s="1" t="s">
        <v>3910</v>
      </c>
      <c r="B673" s="1" t="s">
        <v>3911</v>
      </c>
      <c r="C673" s="1">
        <v>2017</v>
      </c>
      <c r="D673" s="1" t="s">
        <v>3912</v>
      </c>
      <c r="E673" s="1" t="s">
        <v>1215</v>
      </c>
      <c r="F673" s="1" t="s">
        <v>1348</v>
      </c>
      <c r="G673" s="1" t="s">
        <v>1349</v>
      </c>
      <c r="H673" s="1" t="s">
        <v>3913</v>
      </c>
      <c r="I673" s="1" t="s">
        <v>3914</v>
      </c>
      <c r="J673" t="s">
        <v>4631</v>
      </c>
      <c r="K673" s="1" t="s">
        <v>3915</v>
      </c>
    </row>
    <row r="674" spans="1:11" ht="24" customHeight="1">
      <c r="A674" s="1" t="s">
        <v>3916</v>
      </c>
      <c r="B674" s="1" t="s">
        <v>3917</v>
      </c>
      <c r="C674" s="1">
        <v>2017</v>
      </c>
      <c r="D674" s="1" t="s">
        <v>3918</v>
      </c>
      <c r="E674" s="1" t="s">
        <v>1215</v>
      </c>
      <c r="F674" s="1" t="s">
        <v>1216</v>
      </c>
      <c r="G674" s="1" t="s">
        <v>1217</v>
      </c>
      <c r="H674" s="1" t="s">
        <v>3919</v>
      </c>
      <c r="I674" s="1" t="s">
        <v>3920</v>
      </c>
      <c r="J674" t="s">
        <v>4631</v>
      </c>
      <c r="K674" s="1" t="s">
        <v>3921</v>
      </c>
    </row>
    <row r="675" spans="1:11" ht="24" customHeight="1">
      <c r="A675" s="1" t="s">
        <v>3922</v>
      </c>
      <c r="B675" s="1" t="s">
        <v>3923</v>
      </c>
      <c r="C675" s="1">
        <v>2019</v>
      </c>
      <c r="D675" s="1" t="s">
        <v>3924</v>
      </c>
      <c r="E675" s="1" t="s">
        <v>1215</v>
      </c>
      <c r="F675" s="1" t="s">
        <v>1216</v>
      </c>
      <c r="G675" s="1" t="s">
        <v>1217</v>
      </c>
      <c r="H675" s="1" t="s">
        <v>3925</v>
      </c>
      <c r="I675" s="1" t="s">
        <v>3926</v>
      </c>
      <c r="J675" t="s">
        <v>4631</v>
      </c>
      <c r="K675" s="1" t="s">
        <v>3927</v>
      </c>
    </row>
    <row r="676" spans="1:11" ht="48" customHeight="1">
      <c r="A676" s="1" t="s">
        <v>3928</v>
      </c>
      <c r="B676" s="1" t="s">
        <v>3929</v>
      </c>
      <c r="C676" s="1">
        <v>2022</v>
      </c>
      <c r="D676" s="1" t="s">
        <v>3930</v>
      </c>
      <c r="E676" s="1" t="s">
        <v>1215</v>
      </c>
      <c r="F676" s="1" t="s">
        <v>1256</v>
      </c>
      <c r="G676" s="1" t="s">
        <v>1257</v>
      </c>
      <c r="H676" s="1" t="s">
        <v>3931</v>
      </c>
      <c r="I676" s="1" t="s">
        <v>3932</v>
      </c>
      <c r="J676" t="s">
        <v>4631</v>
      </c>
      <c r="K676" s="1" t="s">
        <v>3933</v>
      </c>
    </row>
    <row r="677" spans="1:11" ht="36" customHeight="1">
      <c r="A677" s="1" t="s">
        <v>3934</v>
      </c>
      <c r="B677" s="1" t="s">
        <v>3935</v>
      </c>
      <c r="C677" s="1">
        <v>2019</v>
      </c>
      <c r="D677" s="1" t="s">
        <v>3936</v>
      </c>
      <c r="E677" s="1" t="s">
        <v>1215</v>
      </c>
      <c r="F677" s="1" t="s">
        <v>1224</v>
      </c>
      <c r="G677" s="1" t="s">
        <v>1225</v>
      </c>
      <c r="H677" s="1" t="s">
        <v>3937</v>
      </c>
      <c r="I677" s="1" t="s">
        <v>3938</v>
      </c>
      <c r="J677" t="s">
        <v>4631</v>
      </c>
      <c r="K677" s="1" t="s">
        <v>3939</v>
      </c>
    </row>
    <row r="678" spans="1:11" ht="48" customHeight="1">
      <c r="A678" s="1" t="s">
        <v>3940</v>
      </c>
      <c r="B678" s="1" t="s">
        <v>3941</v>
      </c>
      <c r="C678" s="1">
        <v>2023</v>
      </c>
      <c r="D678" s="1" t="s">
        <v>3942</v>
      </c>
      <c r="E678" s="1" t="s">
        <v>1215</v>
      </c>
      <c r="F678" s="1" t="s">
        <v>1216</v>
      </c>
      <c r="G678" s="1" t="s">
        <v>1217</v>
      </c>
      <c r="H678" s="1" t="s">
        <v>3943</v>
      </c>
      <c r="I678" s="1" t="s">
        <v>3944</v>
      </c>
      <c r="J678" t="s">
        <v>4631</v>
      </c>
      <c r="K678" s="1" t="s">
        <v>3945</v>
      </c>
    </row>
    <row r="679" spans="1:11" ht="48" customHeight="1">
      <c r="A679" s="1" t="s">
        <v>3946</v>
      </c>
      <c r="B679" s="1" t="s">
        <v>3947</v>
      </c>
      <c r="C679" s="1">
        <v>2022</v>
      </c>
      <c r="D679" s="1" t="s">
        <v>3948</v>
      </c>
      <c r="E679" s="1" t="s">
        <v>1215</v>
      </c>
      <c r="F679" s="1" t="s">
        <v>1224</v>
      </c>
      <c r="G679" s="1" t="s">
        <v>1225</v>
      </c>
      <c r="H679" s="1" t="s">
        <v>3949</v>
      </c>
      <c r="I679" s="1" t="s">
        <v>3950</v>
      </c>
      <c r="J679" t="s">
        <v>4631</v>
      </c>
      <c r="K679" s="1" t="s">
        <v>3951</v>
      </c>
    </row>
    <row r="680" spans="1:11" ht="48" customHeight="1">
      <c r="A680" s="1" t="s">
        <v>3952</v>
      </c>
      <c r="B680" s="1" t="s">
        <v>3953</v>
      </c>
      <c r="C680" s="1">
        <v>2025</v>
      </c>
      <c r="D680" s="1" t="s">
        <v>3954</v>
      </c>
      <c r="E680" s="1" t="s">
        <v>1215</v>
      </c>
      <c r="F680" s="1" t="s">
        <v>1224</v>
      </c>
      <c r="G680" s="1" t="s">
        <v>1225</v>
      </c>
      <c r="H680" s="1" t="s">
        <v>3955</v>
      </c>
      <c r="I680" s="1" t="s">
        <v>3956</v>
      </c>
      <c r="J680" t="s">
        <v>4631</v>
      </c>
      <c r="K680" s="1" t="s">
        <v>3957</v>
      </c>
    </row>
    <row r="681" spans="1:11" ht="48" customHeight="1">
      <c r="A681" s="1" t="s">
        <v>3958</v>
      </c>
      <c r="B681" s="1" t="s">
        <v>3959</v>
      </c>
      <c r="C681" s="1">
        <v>2018</v>
      </c>
      <c r="D681" s="1" t="s">
        <v>3960</v>
      </c>
      <c r="E681" s="1" t="s">
        <v>1215</v>
      </c>
      <c r="F681" s="1" t="s">
        <v>1348</v>
      </c>
      <c r="G681" s="1" t="s">
        <v>1349</v>
      </c>
      <c r="H681" s="1" t="s">
        <v>3961</v>
      </c>
      <c r="I681" s="1" t="s">
        <v>3962</v>
      </c>
      <c r="J681" t="s">
        <v>4631</v>
      </c>
      <c r="K681" s="1" t="s">
        <v>3963</v>
      </c>
    </row>
    <row r="682" spans="1:11" ht="48" customHeight="1">
      <c r="A682" s="1" t="s">
        <v>3964</v>
      </c>
      <c r="B682" s="1" t="s">
        <v>3965</v>
      </c>
      <c r="C682" s="1">
        <v>2015</v>
      </c>
      <c r="D682" s="1" t="s">
        <v>3966</v>
      </c>
      <c r="E682" s="1" t="s">
        <v>1215</v>
      </c>
      <c r="F682" s="1" t="s">
        <v>1224</v>
      </c>
      <c r="G682" s="1" t="s">
        <v>1225</v>
      </c>
      <c r="H682" s="1" t="s">
        <v>3967</v>
      </c>
      <c r="I682" s="1" t="s">
        <v>3968</v>
      </c>
      <c r="J682" t="s">
        <v>4631</v>
      </c>
      <c r="K682" s="1" t="s">
        <v>3969</v>
      </c>
    </row>
    <row r="683" spans="1:11" ht="36" customHeight="1">
      <c r="A683" s="1" t="s">
        <v>3970</v>
      </c>
      <c r="B683" s="1" t="s">
        <v>3971</v>
      </c>
      <c r="C683" s="1">
        <v>2019</v>
      </c>
      <c r="D683" s="1" t="s">
        <v>3972</v>
      </c>
      <c r="E683" s="1" t="s">
        <v>1215</v>
      </c>
      <c r="F683" s="1" t="s">
        <v>1216</v>
      </c>
      <c r="G683" s="1" t="s">
        <v>1217</v>
      </c>
      <c r="H683" s="1" t="s">
        <v>3973</v>
      </c>
      <c r="I683" s="1" t="s">
        <v>3974</v>
      </c>
      <c r="J683" t="s">
        <v>4631</v>
      </c>
      <c r="K683" s="1" t="s">
        <v>3975</v>
      </c>
    </row>
    <row r="684" spans="1:11" ht="48" customHeight="1">
      <c r="A684" s="1" t="s">
        <v>3976</v>
      </c>
      <c r="B684" s="1" t="s">
        <v>3977</v>
      </c>
      <c r="C684" s="1">
        <v>2024</v>
      </c>
      <c r="D684" s="1" t="s">
        <v>3978</v>
      </c>
      <c r="E684" s="1" t="s">
        <v>1215</v>
      </c>
      <c r="F684" s="1" t="s">
        <v>1256</v>
      </c>
      <c r="G684" s="1" t="s">
        <v>1257</v>
      </c>
      <c r="H684" s="1" t="s">
        <v>3979</v>
      </c>
      <c r="I684" s="1" t="s">
        <v>3980</v>
      </c>
      <c r="J684" t="s">
        <v>4631</v>
      </c>
      <c r="K684" s="1" t="s">
        <v>3981</v>
      </c>
    </row>
    <row r="685" spans="1:11" ht="48" customHeight="1">
      <c r="A685" s="1" t="s">
        <v>3982</v>
      </c>
      <c r="B685" s="1" t="s">
        <v>3983</v>
      </c>
      <c r="C685" s="1">
        <v>2025</v>
      </c>
      <c r="D685" s="1" t="s">
        <v>3984</v>
      </c>
      <c r="E685" s="1" t="s">
        <v>1215</v>
      </c>
      <c r="F685" s="1" t="s">
        <v>1224</v>
      </c>
      <c r="G685" s="1" t="s">
        <v>1225</v>
      </c>
      <c r="H685" s="1" t="s">
        <v>3985</v>
      </c>
      <c r="I685" s="1" t="s">
        <v>3986</v>
      </c>
      <c r="J685" t="s">
        <v>4631</v>
      </c>
      <c r="K685" s="1" t="s">
        <v>3987</v>
      </c>
    </row>
    <row r="686" spans="1:11" ht="36" customHeight="1">
      <c r="A686" s="1" t="s">
        <v>3988</v>
      </c>
      <c r="B686" s="1" t="s">
        <v>3989</v>
      </c>
      <c r="C686" s="1">
        <v>2026</v>
      </c>
      <c r="D686" s="1" t="s">
        <v>3990</v>
      </c>
      <c r="E686" s="1" t="s">
        <v>1215</v>
      </c>
      <c r="F686" s="1" t="s">
        <v>2137</v>
      </c>
      <c r="G686" s="1" t="s">
        <v>2138</v>
      </c>
      <c r="H686" s="1" t="s">
        <v>3991</v>
      </c>
      <c r="I686" s="1" t="s">
        <v>3992</v>
      </c>
      <c r="J686" t="s">
        <v>4631</v>
      </c>
      <c r="K686" s="1" t="s">
        <v>3993</v>
      </c>
    </row>
    <row r="687" spans="1:11" ht="36" customHeight="1">
      <c r="A687" s="1" t="s">
        <v>3994</v>
      </c>
      <c r="B687" s="1" t="s">
        <v>3995</v>
      </c>
      <c r="C687" s="1">
        <v>2024</v>
      </c>
      <c r="D687" s="1" t="s">
        <v>3996</v>
      </c>
      <c r="E687" s="1" t="s">
        <v>1215</v>
      </c>
      <c r="F687" s="1" t="s">
        <v>1224</v>
      </c>
      <c r="G687" s="1" t="s">
        <v>1225</v>
      </c>
      <c r="H687" s="1" t="s">
        <v>3997</v>
      </c>
      <c r="I687" s="1" t="s">
        <v>3998</v>
      </c>
      <c r="J687" t="s">
        <v>4631</v>
      </c>
      <c r="K687" s="1" t="s">
        <v>3999</v>
      </c>
    </row>
    <row r="688" spans="1:11" ht="60" customHeight="1">
      <c r="A688" s="1" t="s">
        <v>4000</v>
      </c>
      <c r="B688" s="1" t="s">
        <v>4001</v>
      </c>
      <c r="C688" s="1">
        <v>2022</v>
      </c>
      <c r="D688" s="1" t="s">
        <v>4002</v>
      </c>
      <c r="E688" s="1" t="s">
        <v>1215</v>
      </c>
      <c r="F688" s="1" t="s">
        <v>1216</v>
      </c>
      <c r="G688" s="1" t="s">
        <v>1217</v>
      </c>
      <c r="H688" s="1" t="s">
        <v>4003</v>
      </c>
      <c r="I688" s="1" t="s">
        <v>4004</v>
      </c>
      <c r="J688" t="s">
        <v>4631</v>
      </c>
      <c r="K688" s="1" t="s">
        <v>4005</v>
      </c>
    </row>
    <row r="689" spans="1:11" ht="48" customHeight="1">
      <c r="A689" s="1" t="s">
        <v>4006</v>
      </c>
      <c r="B689" s="1" t="s">
        <v>4007</v>
      </c>
      <c r="C689" s="1">
        <v>2022</v>
      </c>
      <c r="D689" s="1" t="s">
        <v>4008</v>
      </c>
      <c r="E689" s="1" t="s">
        <v>1215</v>
      </c>
      <c r="F689" s="1" t="s">
        <v>1216</v>
      </c>
      <c r="G689" s="1" t="s">
        <v>1217</v>
      </c>
      <c r="H689" s="1" t="s">
        <v>4009</v>
      </c>
      <c r="I689" s="1" t="s">
        <v>4010</v>
      </c>
      <c r="J689" t="s">
        <v>4631</v>
      </c>
      <c r="K689" s="1" t="s">
        <v>4011</v>
      </c>
    </row>
    <row r="690" spans="1:11" ht="48" customHeight="1">
      <c r="A690" s="1" t="s">
        <v>4012</v>
      </c>
      <c r="B690" s="1" t="s">
        <v>4013</v>
      </c>
      <c r="C690" s="1">
        <v>2019</v>
      </c>
      <c r="D690" s="1" t="s">
        <v>4014</v>
      </c>
      <c r="E690" s="1" t="s">
        <v>1215</v>
      </c>
      <c r="F690" s="1" t="s">
        <v>1216</v>
      </c>
      <c r="G690" s="1" t="s">
        <v>1217</v>
      </c>
      <c r="H690" s="1" t="s">
        <v>4015</v>
      </c>
      <c r="I690" s="1" t="s">
        <v>4016</v>
      </c>
      <c r="J690" t="s">
        <v>4631</v>
      </c>
      <c r="K690" s="1" t="s">
        <v>4017</v>
      </c>
    </row>
    <row r="691" spans="1:11" ht="36" customHeight="1">
      <c r="A691" s="1" t="s">
        <v>4018</v>
      </c>
      <c r="B691" s="1" t="s">
        <v>4019</v>
      </c>
      <c r="C691" s="1">
        <v>2017</v>
      </c>
      <c r="D691" s="1" t="s">
        <v>4020</v>
      </c>
      <c r="E691" s="1" t="s">
        <v>1215</v>
      </c>
      <c r="F691" s="1" t="s">
        <v>1256</v>
      </c>
      <c r="G691" s="1" t="s">
        <v>1257</v>
      </c>
      <c r="H691" s="1" t="s">
        <v>4021</v>
      </c>
      <c r="I691" s="1" t="s">
        <v>4022</v>
      </c>
      <c r="J691" t="s">
        <v>4631</v>
      </c>
      <c r="K691" s="1" t="s">
        <v>4023</v>
      </c>
    </row>
    <row r="692" spans="1:11" ht="48" customHeight="1">
      <c r="A692" s="1" t="s">
        <v>4024</v>
      </c>
      <c r="B692" s="1" t="s">
        <v>4025</v>
      </c>
      <c r="C692" s="1">
        <v>2023</v>
      </c>
      <c r="D692" s="1" t="s">
        <v>4026</v>
      </c>
      <c r="E692" s="1" t="s">
        <v>1215</v>
      </c>
      <c r="F692" s="1" t="s">
        <v>1216</v>
      </c>
      <c r="G692" s="1" t="s">
        <v>1217</v>
      </c>
      <c r="H692" s="1" t="s">
        <v>4027</v>
      </c>
      <c r="I692" s="1" t="s">
        <v>4028</v>
      </c>
      <c r="J692" t="s">
        <v>4631</v>
      </c>
      <c r="K692" s="1" t="s">
        <v>4029</v>
      </c>
    </row>
    <row r="693" spans="1:11" ht="60" customHeight="1">
      <c r="A693" s="1" t="s">
        <v>4030</v>
      </c>
      <c r="B693" s="1" t="s">
        <v>4031</v>
      </c>
      <c r="C693" s="1">
        <v>2020</v>
      </c>
      <c r="D693" s="1" t="s">
        <v>4032</v>
      </c>
      <c r="E693" s="1" t="s">
        <v>1215</v>
      </c>
      <c r="F693" s="1" t="s">
        <v>1216</v>
      </c>
      <c r="G693" s="1" t="s">
        <v>1217</v>
      </c>
      <c r="H693" s="1" t="s">
        <v>4033</v>
      </c>
      <c r="I693" s="1" t="s">
        <v>4034</v>
      </c>
      <c r="J693" t="s">
        <v>4631</v>
      </c>
      <c r="K693" s="1" t="s">
        <v>4035</v>
      </c>
    </row>
    <row r="694" spans="1:11" ht="36" customHeight="1">
      <c r="A694" s="1" t="s">
        <v>4036</v>
      </c>
      <c r="B694" s="1" t="s">
        <v>4037</v>
      </c>
      <c r="C694" s="1">
        <v>2026</v>
      </c>
      <c r="D694" s="1" t="s">
        <v>4038</v>
      </c>
      <c r="E694" s="1" t="s">
        <v>1215</v>
      </c>
      <c r="F694" s="1" t="s">
        <v>1224</v>
      </c>
      <c r="G694" s="1" t="s">
        <v>1225</v>
      </c>
      <c r="H694" s="1" t="s">
        <v>4039</v>
      </c>
      <c r="I694" s="1" t="s">
        <v>4040</v>
      </c>
      <c r="J694" t="s">
        <v>4631</v>
      </c>
      <c r="K694" s="1" t="s">
        <v>4041</v>
      </c>
    </row>
    <row r="695" spans="1:11" ht="48" customHeight="1">
      <c r="A695" s="1" t="s">
        <v>4042</v>
      </c>
      <c r="B695" s="1" t="s">
        <v>4043</v>
      </c>
      <c r="C695" s="1">
        <v>2022</v>
      </c>
      <c r="D695" s="1" t="s">
        <v>4044</v>
      </c>
      <c r="E695" s="1" t="s">
        <v>1215</v>
      </c>
      <c r="F695" s="1" t="s">
        <v>1348</v>
      </c>
      <c r="G695" s="1" t="s">
        <v>1349</v>
      </c>
      <c r="H695" s="1" t="s">
        <v>4045</v>
      </c>
      <c r="I695" s="1" t="s">
        <v>4046</v>
      </c>
      <c r="J695" t="s">
        <v>4631</v>
      </c>
      <c r="K695" s="1" t="s">
        <v>4047</v>
      </c>
    </row>
    <row r="696" spans="1:11" ht="48" customHeight="1">
      <c r="A696" s="1" t="s">
        <v>4048</v>
      </c>
      <c r="B696" s="1" t="s">
        <v>4049</v>
      </c>
      <c r="C696" s="1">
        <v>2016</v>
      </c>
      <c r="D696" s="1" t="s">
        <v>4050</v>
      </c>
      <c r="E696" s="1" t="s">
        <v>1215</v>
      </c>
      <c r="F696" s="1" t="s">
        <v>1348</v>
      </c>
      <c r="G696" s="1" t="s">
        <v>1349</v>
      </c>
      <c r="H696" s="1" t="s">
        <v>4051</v>
      </c>
      <c r="I696" s="1" t="s">
        <v>4052</v>
      </c>
      <c r="J696" t="s">
        <v>4631</v>
      </c>
      <c r="K696" s="1" t="s">
        <v>4053</v>
      </c>
    </row>
    <row r="697" spans="1:11" ht="36" customHeight="1">
      <c r="A697" s="1" t="s">
        <v>4054</v>
      </c>
      <c r="B697" s="1" t="s">
        <v>4055</v>
      </c>
      <c r="C697" s="1">
        <v>2020</v>
      </c>
      <c r="D697" s="1" t="s">
        <v>4056</v>
      </c>
      <c r="E697" s="1" t="s">
        <v>1215</v>
      </c>
      <c r="F697" s="1" t="s">
        <v>1224</v>
      </c>
      <c r="G697" s="1" t="s">
        <v>1225</v>
      </c>
      <c r="H697" s="1" t="s">
        <v>4057</v>
      </c>
      <c r="I697" s="1" t="s">
        <v>4058</v>
      </c>
      <c r="J697" t="s">
        <v>4631</v>
      </c>
      <c r="K697" s="1" t="s">
        <v>4059</v>
      </c>
    </row>
    <row r="698" spans="1:11" ht="48" customHeight="1">
      <c r="A698" s="1" t="s">
        <v>4060</v>
      </c>
      <c r="B698" s="1" t="s">
        <v>4061</v>
      </c>
      <c r="C698" s="1">
        <v>2020</v>
      </c>
      <c r="D698" s="1" t="s">
        <v>4062</v>
      </c>
      <c r="E698" s="1" t="s">
        <v>1215</v>
      </c>
      <c r="F698" s="1" t="s">
        <v>1256</v>
      </c>
      <c r="G698" s="1" t="s">
        <v>1257</v>
      </c>
      <c r="H698" s="1" t="s">
        <v>4063</v>
      </c>
      <c r="I698" s="1" t="s">
        <v>4064</v>
      </c>
      <c r="J698" t="s">
        <v>4631</v>
      </c>
      <c r="K698" s="1" t="s">
        <v>4065</v>
      </c>
    </row>
    <row r="699" spans="1:11" ht="48" customHeight="1">
      <c r="A699" s="1" t="s">
        <v>4066</v>
      </c>
      <c r="B699" s="1" t="s">
        <v>4067</v>
      </c>
      <c r="C699" s="1">
        <v>2018</v>
      </c>
      <c r="D699" s="1" t="s">
        <v>4068</v>
      </c>
      <c r="E699" s="1" t="s">
        <v>1215</v>
      </c>
      <c r="F699" s="1" t="s">
        <v>2137</v>
      </c>
      <c r="G699" s="1" t="s">
        <v>2138</v>
      </c>
      <c r="H699" s="1" t="s">
        <v>4069</v>
      </c>
      <c r="I699" s="1" t="s">
        <v>4070</v>
      </c>
      <c r="J699" t="s">
        <v>4631</v>
      </c>
      <c r="K699" s="1" t="s">
        <v>4071</v>
      </c>
    </row>
    <row r="700" spans="1:11" ht="60" customHeight="1">
      <c r="A700" s="1" t="s">
        <v>4072</v>
      </c>
      <c r="B700" s="1" t="s">
        <v>4073</v>
      </c>
      <c r="C700" s="1">
        <v>2020</v>
      </c>
      <c r="D700" s="1" t="s">
        <v>4074</v>
      </c>
      <c r="E700" s="1" t="s">
        <v>1215</v>
      </c>
      <c r="F700" s="1" t="s">
        <v>1224</v>
      </c>
      <c r="G700" s="1" t="s">
        <v>1225</v>
      </c>
      <c r="H700" s="1" t="s">
        <v>4075</v>
      </c>
      <c r="I700" s="1" t="s">
        <v>4076</v>
      </c>
      <c r="J700" t="s">
        <v>4631</v>
      </c>
      <c r="K700" s="1" t="s">
        <v>4077</v>
      </c>
    </row>
    <row r="701" spans="1:11" ht="60" customHeight="1">
      <c r="A701" s="1" t="s">
        <v>4078</v>
      </c>
      <c r="B701" s="1" t="s">
        <v>4079</v>
      </c>
      <c r="C701" s="1">
        <v>2020</v>
      </c>
      <c r="D701" s="1" t="s">
        <v>4080</v>
      </c>
      <c r="E701" s="1" t="s">
        <v>1215</v>
      </c>
      <c r="F701" s="1" t="s">
        <v>1224</v>
      </c>
      <c r="G701" s="1" t="s">
        <v>1225</v>
      </c>
      <c r="H701" s="1" t="s">
        <v>4081</v>
      </c>
      <c r="I701" s="1" t="s">
        <v>4082</v>
      </c>
      <c r="J701" t="s">
        <v>4631</v>
      </c>
      <c r="K701" s="1" t="s">
        <v>4083</v>
      </c>
    </row>
    <row r="702" spans="1:11" ht="48" customHeight="1">
      <c r="A702" s="1" t="s">
        <v>4084</v>
      </c>
      <c r="B702" s="1" t="s">
        <v>4085</v>
      </c>
      <c r="C702" s="1">
        <v>2026</v>
      </c>
      <c r="D702" s="1" t="s">
        <v>4086</v>
      </c>
      <c r="E702" s="1" t="s">
        <v>1215</v>
      </c>
      <c r="F702" s="1" t="s">
        <v>1224</v>
      </c>
      <c r="G702" s="1" t="s">
        <v>1225</v>
      </c>
      <c r="H702" s="1" t="s">
        <v>4087</v>
      </c>
      <c r="I702" s="1" t="s">
        <v>4088</v>
      </c>
      <c r="J702" t="s">
        <v>4631</v>
      </c>
      <c r="K702" s="1" t="s">
        <v>4089</v>
      </c>
    </row>
    <row r="703" spans="1:11" ht="24" customHeight="1">
      <c r="A703" s="1" t="s">
        <v>4090</v>
      </c>
      <c r="B703" s="1" t="s">
        <v>4091</v>
      </c>
      <c r="C703" s="1">
        <v>2017</v>
      </c>
      <c r="D703" s="1" t="s">
        <v>4092</v>
      </c>
      <c r="E703" s="1" t="s">
        <v>1215</v>
      </c>
      <c r="F703" s="1" t="s">
        <v>1348</v>
      </c>
      <c r="G703" s="1" t="s">
        <v>1349</v>
      </c>
      <c r="H703" s="1" t="s">
        <v>4093</v>
      </c>
      <c r="I703" s="1" t="s">
        <v>4094</v>
      </c>
      <c r="J703" t="s">
        <v>4631</v>
      </c>
      <c r="K703" s="1" t="s">
        <v>4095</v>
      </c>
    </row>
    <row r="704" spans="1:11" ht="60" customHeight="1">
      <c r="A704" s="1" t="s">
        <v>4096</v>
      </c>
      <c r="B704" s="1" t="s">
        <v>4097</v>
      </c>
      <c r="C704" s="1">
        <v>2024</v>
      </c>
      <c r="D704" s="1" t="s">
        <v>4098</v>
      </c>
      <c r="E704" s="1" t="s">
        <v>1215</v>
      </c>
      <c r="F704" s="1" t="s">
        <v>1348</v>
      </c>
      <c r="G704" s="1" t="s">
        <v>1349</v>
      </c>
      <c r="H704" s="1" t="s">
        <v>4099</v>
      </c>
      <c r="I704" s="1" t="s">
        <v>4100</v>
      </c>
      <c r="J704" t="s">
        <v>4631</v>
      </c>
      <c r="K704" s="1" t="s">
        <v>4101</v>
      </c>
    </row>
    <row r="705" spans="1:11" ht="36" customHeight="1">
      <c r="A705" s="1" t="s">
        <v>4102</v>
      </c>
      <c r="B705" s="1" t="s">
        <v>4103</v>
      </c>
      <c r="C705" s="1">
        <v>2023</v>
      </c>
      <c r="D705" s="1" t="s">
        <v>4104</v>
      </c>
      <c r="E705" s="1" t="s">
        <v>1215</v>
      </c>
      <c r="F705" s="1" t="s">
        <v>1216</v>
      </c>
      <c r="G705" s="1" t="s">
        <v>1217</v>
      </c>
      <c r="H705" s="1" t="s">
        <v>4105</v>
      </c>
      <c r="I705" s="1" t="s">
        <v>4106</v>
      </c>
      <c r="J705" t="s">
        <v>4631</v>
      </c>
      <c r="K705" s="1" t="s">
        <v>4107</v>
      </c>
    </row>
    <row r="706" spans="1:11" ht="60" customHeight="1">
      <c r="A706" s="1" t="s">
        <v>4108</v>
      </c>
      <c r="B706" s="1" t="s">
        <v>4109</v>
      </c>
      <c r="C706" s="1">
        <v>2026</v>
      </c>
      <c r="D706" s="1" t="s">
        <v>4110</v>
      </c>
      <c r="E706" s="1" t="s">
        <v>1215</v>
      </c>
      <c r="F706" s="1" t="s">
        <v>1216</v>
      </c>
      <c r="G706" s="1" t="s">
        <v>1217</v>
      </c>
      <c r="H706" s="1" t="s">
        <v>4111</v>
      </c>
      <c r="I706" s="1" t="s">
        <v>4112</v>
      </c>
      <c r="J706" t="s">
        <v>4631</v>
      </c>
      <c r="K706" s="1" t="s">
        <v>4113</v>
      </c>
    </row>
    <row r="707" spans="1:11" ht="24" customHeight="1">
      <c r="A707" s="1" t="s">
        <v>4114</v>
      </c>
      <c r="B707" s="1" t="s">
        <v>4115</v>
      </c>
      <c r="C707" s="1">
        <v>2022</v>
      </c>
      <c r="D707" s="1" t="s">
        <v>4116</v>
      </c>
      <c r="E707" s="1" t="s">
        <v>1215</v>
      </c>
      <c r="F707" s="1" t="s">
        <v>1348</v>
      </c>
      <c r="G707" s="1" t="s">
        <v>1349</v>
      </c>
      <c r="H707" s="1" t="s">
        <v>4117</v>
      </c>
      <c r="I707" s="1" t="s">
        <v>4118</v>
      </c>
      <c r="J707" t="s">
        <v>4631</v>
      </c>
      <c r="K707" s="1" t="s">
        <v>4119</v>
      </c>
    </row>
    <row r="708" spans="1:11" ht="36" customHeight="1">
      <c r="A708" s="1" t="s">
        <v>4120</v>
      </c>
      <c r="B708" s="1" t="s">
        <v>4121</v>
      </c>
      <c r="C708" s="1">
        <v>2023</v>
      </c>
      <c r="D708" s="1" t="s">
        <v>4122</v>
      </c>
      <c r="E708" s="1" t="s">
        <v>1215</v>
      </c>
      <c r="F708" s="1" t="s">
        <v>1256</v>
      </c>
      <c r="G708" s="1" t="s">
        <v>1257</v>
      </c>
      <c r="H708" s="1" t="s">
        <v>4123</v>
      </c>
      <c r="I708" s="1" t="s">
        <v>4124</v>
      </c>
      <c r="J708" t="s">
        <v>4631</v>
      </c>
      <c r="K708" s="1" t="s">
        <v>4125</v>
      </c>
    </row>
    <row r="709" spans="1:11" ht="36" customHeight="1">
      <c r="A709" s="1" t="s">
        <v>4126</v>
      </c>
      <c r="B709" s="1" t="s">
        <v>4127</v>
      </c>
      <c r="C709" s="1">
        <v>2024</v>
      </c>
      <c r="D709" s="1" t="s">
        <v>4128</v>
      </c>
      <c r="E709" s="1" t="s">
        <v>1215</v>
      </c>
      <c r="F709" s="1" t="s">
        <v>1216</v>
      </c>
      <c r="G709" s="1" t="s">
        <v>1217</v>
      </c>
      <c r="H709" s="1" t="s">
        <v>4129</v>
      </c>
      <c r="I709" s="1" t="s">
        <v>4130</v>
      </c>
      <c r="J709" t="s">
        <v>4631</v>
      </c>
      <c r="K709" s="1" t="s">
        <v>4131</v>
      </c>
    </row>
    <row r="710" spans="1:11" ht="36" customHeight="1">
      <c r="A710" s="1" t="s">
        <v>4132</v>
      </c>
      <c r="B710" s="1" t="s">
        <v>4133</v>
      </c>
      <c r="C710" s="1">
        <v>2023</v>
      </c>
      <c r="D710" s="1" t="s">
        <v>4134</v>
      </c>
      <c r="E710" s="1" t="s">
        <v>1215</v>
      </c>
      <c r="F710" s="1" t="s">
        <v>1216</v>
      </c>
      <c r="G710" s="1" t="s">
        <v>1217</v>
      </c>
      <c r="H710" s="1" t="s">
        <v>4135</v>
      </c>
      <c r="I710" s="1" t="s">
        <v>4136</v>
      </c>
      <c r="J710" t="s">
        <v>4631</v>
      </c>
      <c r="K710" s="1" t="s">
        <v>4137</v>
      </c>
    </row>
    <row r="711" spans="1:11" ht="72" customHeight="1">
      <c r="A711" s="1" t="s">
        <v>4138</v>
      </c>
      <c r="B711" s="1" t="s">
        <v>4139</v>
      </c>
      <c r="C711" s="1">
        <v>2023</v>
      </c>
      <c r="D711" s="1" t="s">
        <v>4140</v>
      </c>
      <c r="E711" s="1" t="s">
        <v>1215</v>
      </c>
      <c r="F711" s="1" t="s">
        <v>1256</v>
      </c>
      <c r="G711" s="1" t="s">
        <v>1257</v>
      </c>
      <c r="H711" s="1" t="s">
        <v>4141</v>
      </c>
      <c r="I711" s="1" t="s">
        <v>4142</v>
      </c>
      <c r="J711" t="s">
        <v>4631</v>
      </c>
      <c r="K711" s="1" t="s">
        <v>4143</v>
      </c>
    </row>
    <row r="712" spans="1:11" ht="72" customHeight="1">
      <c r="A712" s="1" t="s">
        <v>4144</v>
      </c>
      <c r="B712" s="1" t="s">
        <v>4145</v>
      </c>
      <c r="C712" s="1">
        <v>2023</v>
      </c>
      <c r="D712" s="1" t="s">
        <v>4146</v>
      </c>
      <c r="E712" s="1" t="s">
        <v>1215</v>
      </c>
      <c r="F712" s="1" t="s">
        <v>1256</v>
      </c>
      <c r="G712" s="1" t="s">
        <v>1257</v>
      </c>
      <c r="H712" s="1" t="s">
        <v>4147</v>
      </c>
      <c r="I712" s="1" t="s">
        <v>4148</v>
      </c>
      <c r="J712" t="s">
        <v>4631</v>
      </c>
      <c r="K712" s="1" t="s">
        <v>4149</v>
      </c>
    </row>
    <row r="713" spans="1:11" ht="60" customHeight="1">
      <c r="A713" s="1" t="s">
        <v>4150</v>
      </c>
      <c r="B713" s="1" t="s">
        <v>4151</v>
      </c>
      <c r="C713" s="1">
        <v>2023</v>
      </c>
      <c r="D713" s="1" t="s">
        <v>4152</v>
      </c>
      <c r="E713" s="1" t="s">
        <v>1215</v>
      </c>
      <c r="F713" s="1" t="s">
        <v>1348</v>
      </c>
      <c r="G713" s="1" t="s">
        <v>1349</v>
      </c>
      <c r="H713" s="1" t="s">
        <v>4153</v>
      </c>
      <c r="I713" s="1" t="s">
        <v>4154</v>
      </c>
      <c r="J713" t="s">
        <v>4631</v>
      </c>
      <c r="K713" s="1" t="s">
        <v>4155</v>
      </c>
    </row>
    <row r="714" spans="1:11" ht="36" customHeight="1">
      <c r="A714" s="1" t="s">
        <v>4156</v>
      </c>
      <c r="B714" s="1" t="s">
        <v>4157</v>
      </c>
      <c r="C714" s="1">
        <v>2019</v>
      </c>
      <c r="D714" s="1" t="s">
        <v>4158</v>
      </c>
      <c r="E714" s="1" t="s">
        <v>1215</v>
      </c>
      <c r="F714" s="1" t="s">
        <v>1348</v>
      </c>
      <c r="G714" s="1" t="s">
        <v>1349</v>
      </c>
      <c r="H714" s="1" t="s">
        <v>4159</v>
      </c>
      <c r="I714" s="1" t="s">
        <v>4160</v>
      </c>
      <c r="J714" t="s">
        <v>4631</v>
      </c>
      <c r="K714" s="1" t="s">
        <v>4161</v>
      </c>
    </row>
    <row r="715" spans="1:11" ht="60" customHeight="1">
      <c r="A715" s="1" t="s">
        <v>4162</v>
      </c>
      <c r="B715" s="1" t="s">
        <v>4163</v>
      </c>
      <c r="C715" s="1">
        <v>2026</v>
      </c>
      <c r="D715" s="1" t="s">
        <v>4164</v>
      </c>
      <c r="E715" s="1" t="s">
        <v>1215</v>
      </c>
      <c r="F715" s="1" t="s">
        <v>1216</v>
      </c>
      <c r="G715" s="1" t="s">
        <v>1217</v>
      </c>
      <c r="H715" s="1" t="s">
        <v>4165</v>
      </c>
      <c r="I715" s="1" t="s">
        <v>4166</v>
      </c>
      <c r="J715" t="s">
        <v>4631</v>
      </c>
      <c r="K715" s="1" t="s">
        <v>4167</v>
      </c>
    </row>
    <row r="716" spans="1:11" ht="72" customHeight="1">
      <c r="A716" s="1" t="s">
        <v>4168</v>
      </c>
      <c r="B716" s="1" t="s">
        <v>4169</v>
      </c>
      <c r="C716" s="1">
        <v>2019</v>
      </c>
      <c r="D716" s="1" t="s">
        <v>4170</v>
      </c>
      <c r="E716" s="1" t="s">
        <v>1215</v>
      </c>
      <c r="F716" s="1" t="s">
        <v>1224</v>
      </c>
      <c r="G716" s="1" t="s">
        <v>1225</v>
      </c>
      <c r="H716" s="1" t="s">
        <v>4171</v>
      </c>
      <c r="I716" s="1" t="s">
        <v>4172</v>
      </c>
      <c r="J716" t="s">
        <v>4631</v>
      </c>
      <c r="K716" s="1" t="s">
        <v>4173</v>
      </c>
    </row>
    <row r="717" spans="1:11" ht="36" customHeight="1">
      <c r="A717" s="1" t="s">
        <v>4174</v>
      </c>
      <c r="B717" s="1" t="s">
        <v>4175</v>
      </c>
      <c r="C717" s="1">
        <v>2021</v>
      </c>
      <c r="D717" s="1" t="s">
        <v>4176</v>
      </c>
      <c r="E717" s="1" t="s">
        <v>1215</v>
      </c>
      <c r="F717" s="1" t="s">
        <v>1216</v>
      </c>
      <c r="G717" s="1" t="s">
        <v>1217</v>
      </c>
      <c r="H717" s="1" t="s">
        <v>4177</v>
      </c>
      <c r="I717" s="1" t="s">
        <v>4178</v>
      </c>
      <c r="J717" t="s">
        <v>4631</v>
      </c>
      <c r="K717" s="1" t="s">
        <v>4179</v>
      </c>
    </row>
    <row r="718" spans="1:11" ht="60" customHeight="1">
      <c r="A718" s="1" t="s">
        <v>4180</v>
      </c>
      <c r="B718" s="1" t="s">
        <v>4181</v>
      </c>
      <c r="C718" s="1">
        <v>2021</v>
      </c>
      <c r="D718" s="1" t="s">
        <v>4182</v>
      </c>
      <c r="E718" s="1" t="s">
        <v>1215</v>
      </c>
      <c r="F718" s="1" t="s">
        <v>1256</v>
      </c>
      <c r="G718" s="1" t="s">
        <v>1257</v>
      </c>
      <c r="H718" s="1" t="s">
        <v>4183</v>
      </c>
      <c r="I718" s="1" t="s">
        <v>4184</v>
      </c>
      <c r="J718" t="s">
        <v>4631</v>
      </c>
      <c r="K718" s="1" t="s">
        <v>4185</v>
      </c>
    </row>
    <row r="719" spans="1:11" ht="36" customHeight="1">
      <c r="A719" s="1" t="s">
        <v>4186</v>
      </c>
      <c r="B719" s="1" t="s">
        <v>4187</v>
      </c>
      <c r="C719" s="1">
        <v>2025</v>
      </c>
      <c r="D719" s="1" t="s">
        <v>4188</v>
      </c>
      <c r="E719" s="1" t="s">
        <v>1215</v>
      </c>
      <c r="F719" s="1" t="s">
        <v>1348</v>
      </c>
      <c r="G719" s="1" t="s">
        <v>1349</v>
      </c>
      <c r="H719" s="1" t="s">
        <v>4189</v>
      </c>
      <c r="I719" s="1" t="s">
        <v>4190</v>
      </c>
      <c r="J719" t="s">
        <v>4631</v>
      </c>
      <c r="K719" s="1" t="s">
        <v>4191</v>
      </c>
    </row>
    <row r="720" spans="1:11" ht="24" customHeight="1">
      <c r="A720" s="1" t="s">
        <v>4192</v>
      </c>
      <c r="B720" s="1" t="s">
        <v>4193</v>
      </c>
      <c r="C720" s="1">
        <v>2024</v>
      </c>
      <c r="D720" s="1" t="s">
        <v>4194</v>
      </c>
      <c r="E720" s="1" t="s">
        <v>1215</v>
      </c>
      <c r="F720" s="1" t="s">
        <v>1256</v>
      </c>
      <c r="G720" s="1" t="s">
        <v>1257</v>
      </c>
      <c r="H720" s="1" t="s">
        <v>4195</v>
      </c>
      <c r="I720" s="1" t="s">
        <v>4196</v>
      </c>
      <c r="J720" t="s">
        <v>4631</v>
      </c>
      <c r="K720" s="1" t="s">
        <v>4197</v>
      </c>
    </row>
    <row r="721" spans="1:11" ht="48" customHeight="1">
      <c r="A721" s="1" t="s">
        <v>4198</v>
      </c>
      <c r="B721" s="1" t="s">
        <v>4199</v>
      </c>
      <c r="C721" s="1">
        <v>2026</v>
      </c>
      <c r="D721" s="1" t="s">
        <v>4200</v>
      </c>
      <c r="E721" s="1" t="s">
        <v>1215</v>
      </c>
      <c r="F721" s="1" t="s">
        <v>1224</v>
      </c>
      <c r="G721" s="1" t="s">
        <v>1225</v>
      </c>
      <c r="H721" s="1" t="s">
        <v>4201</v>
      </c>
      <c r="I721" s="1" t="s">
        <v>4202</v>
      </c>
      <c r="J721" t="s">
        <v>4631</v>
      </c>
      <c r="K721" s="1" t="s">
        <v>4203</v>
      </c>
    </row>
    <row r="722" spans="1:11" ht="48" customHeight="1">
      <c r="A722" s="1" t="s">
        <v>4204</v>
      </c>
      <c r="B722" s="1" t="s">
        <v>4205</v>
      </c>
      <c r="C722" s="1">
        <v>2021</v>
      </c>
      <c r="D722" s="1" t="s">
        <v>4206</v>
      </c>
      <c r="E722" s="1" t="s">
        <v>1215</v>
      </c>
      <c r="F722" s="1" t="s">
        <v>1224</v>
      </c>
      <c r="G722" s="1" t="s">
        <v>1225</v>
      </c>
      <c r="H722" s="1" t="s">
        <v>4207</v>
      </c>
      <c r="I722" s="1" t="s">
        <v>4208</v>
      </c>
      <c r="J722" t="s">
        <v>4631</v>
      </c>
      <c r="K722" s="1" t="s">
        <v>4209</v>
      </c>
    </row>
    <row r="723" spans="1:11" ht="48" customHeight="1">
      <c r="A723" s="1" t="s">
        <v>4210</v>
      </c>
      <c r="B723" s="1" t="s">
        <v>4211</v>
      </c>
      <c r="C723" s="1">
        <v>2018</v>
      </c>
      <c r="D723" s="1" t="s">
        <v>4212</v>
      </c>
      <c r="E723" s="1" t="s">
        <v>1215</v>
      </c>
      <c r="F723" s="1" t="s">
        <v>1224</v>
      </c>
      <c r="G723" s="1" t="s">
        <v>1225</v>
      </c>
      <c r="H723" s="1" t="s">
        <v>4213</v>
      </c>
      <c r="I723" s="1" t="s">
        <v>4214</v>
      </c>
      <c r="J723" t="s">
        <v>4631</v>
      </c>
      <c r="K723" s="1" t="s">
        <v>4215</v>
      </c>
    </row>
    <row r="724" spans="1:11" ht="72" customHeight="1">
      <c r="A724" s="1" t="s">
        <v>4216</v>
      </c>
      <c r="B724" s="1" t="s">
        <v>4217</v>
      </c>
      <c r="C724" s="1">
        <v>2023</v>
      </c>
      <c r="D724" s="1" t="s">
        <v>4218</v>
      </c>
      <c r="E724" s="1" t="s">
        <v>1215</v>
      </c>
      <c r="F724" s="1" t="s">
        <v>1224</v>
      </c>
      <c r="G724" s="1" t="s">
        <v>1225</v>
      </c>
      <c r="H724" s="1" t="s">
        <v>4219</v>
      </c>
      <c r="I724" s="1" t="s">
        <v>4220</v>
      </c>
      <c r="J724" t="s">
        <v>4631</v>
      </c>
      <c r="K724" s="1" t="s">
        <v>4221</v>
      </c>
    </row>
    <row r="725" spans="1:11" ht="60" customHeight="1">
      <c r="A725" s="1" t="s">
        <v>4222</v>
      </c>
      <c r="B725" s="1" t="s">
        <v>4223</v>
      </c>
      <c r="C725" s="1">
        <v>2021</v>
      </c>
      <c r="D725" s="1" t="s">
        <v>4224</v>
      </c>
      <c r="E725" s="1" t="s">
        <v>1215</v>
      </c>
      <c r="F725" s="1" t="s">
        <v>1256</v>
      </c>
      <c r="G725" s="1" t="s">
        <v>1257</v>
      </c>
      <c r="H725" s="1" t="s">
        <v>4225</v>
      </c>
      <c r="I725" s="1" t="s">
        <v>4226</v>
      </c>
      <c r="J725" t="s">
        <v>4631</v>
      </c>
      <c r="K725" s="1" t="s">
        <v>4227</v>
      </c>
    </row>
    <row r="726" spans="1:11" ht="72" customHeight="1">
      <c r="A726" s="1" t="s">
        <v>4228</v>
      </c>
      <c r="B726" s="1" t="s">
        <v>4229</v>
      </c>
      <c r="C726" s="1">
        <v>2022</v>
      </c>
      <c r="D726" s="1" t="s">
        <v>4230</v>
      </c>
      <c r="E726" s="1" t="s">
        <v>1215</v>
      </c>
      <c r="F726" s="1" t="s">
        <v>1256</v>
      </c>
      <c r="G726" s="1" t="s">
        <v>1257</v>
      </c>
      <c r="H726" s="1" t="s">
        <v>4231</v>
      </c>
      <c r="I726" s="1" t="s">
        <v>4232</v>
      </c>
      <c r="J726" t="s">
        <v>4631</v>
      </c>
      <c r="K726" s="1" t="s">
        <v>4233</v>
      </c>
    </row>
    <row r="727" spans="1:11" ht="60" customHeight="1">
      <c r="A727" s="1" t="s">
        <v>4234</v>
      </c>
      <c r="B727" s="1" t="s">
        <v>4235</v>
      </c>
      <c r="C727" s="1">
        <v>2024</v>
      </c>
      <c r="D727" s="1" t="s">
        <v>4236</v>
      </c>
      <c r="E727" s="1" t="s">
        <v>1215</v>
      </c>
      <c r="F727" s="1" t="s">
        <v>1224</v>
      </c>
      <c r="G727" s="1" t="s">
        <v>1225</v>
      </c>
      <c r="H727" s="1" t="s">
        <v>4237</v>
      </c>
      <c r="I727" s="1" t="s">
        <v>4238</v>
      </c>
      <c r="J727" t="s">
        <v>4631</v>
      </c>
      <c r="K727" s="1" t="s">
        <v>4239</v>
      </c>
    </row>
    <row r="728" spans="1:11" ht="60" customHeight="1">
      <c r="A728" s="1" t="s">
        <v>4240</v>
      </c>
      <c r="B728" s="1" t="s">
        <v>4241</v>
      </c>
      <c r="C728" s="1">
        <v>2023</v>
      </c>
      <c r="D728" s="1" t="s">
        <v>4242</v>
      </c>
      <c r="E728" s="1" t="s">
        <v>1215</v>
      </c>
      <c r="F728" s="1" t="s">
        <v>1224</v>
      </c>
      <c r="G728" s="1" t="s">
        <v>1225</v>
      </c>
      <c r="H728" s="1" t="s">
        <v>4243</v>
      </c>
      <c r="I728" s="1" t="s">
        <v>4244</v>
      </c>
      <c r="J728" t="s">
        <v>4631</v>
      </c>
      <c r="K728" s="1" t="s">
        <v>4245</v>
      </c>
    </row>
    <row r="729" spans="1:11" ht="60" customHeight="1">
      <c r="A729" s="1" t="s">
        <v>4246</v>
      </c>
      <c r="B729" s="1" t="s">
        <v>4247</v>
      </c>
      <c r="C729" s="1">
        <v>2026</v>
      </c>
      <c r="D729" s="1" t="s">
        <v>4248</v>
      </c>
      <c r="E729" s="1" t="s">
        <v>1215</v>
      </c>
      <c r="F729" s="1" t="s">
        <v>1224</v>
      </c>
      <c r="G729" s="1" t="s">
        <v>1225</v>
      </c>
      <c r="H729" s="1" t="s">
        <v>4249</v>
      </c>
      <c r="I729" s="1" t="s">
        <v>4250</v>
      </c>
      <c r="J729" t="s">
        <v>4631</v>
      </c>
      <c r="K729" s="1" t="s">
        <v>4251</v>
      </c>
    </row>
    <row r="730" spans="1:11" ht="60" customHeight="1">
      <c r="A730" s="1" t="s">
        <v>4252</v>
      </c>
      <c r="B730" s="1" t="s">
        <v>4253</v>
      </c>
      <c r="C730" s="1">
        <v>2026</v>
      </c>
      <c r="D730" s="1" t="s">
        <v>4254</v>
      </c>
      <c r="E730" s="1" t="s">
        <v>1215</v>
      </c>
      <c r="F730" s="1" t="s">
        <v>1224</v>
      </c>
      <c r="G730" s="1" t="s">
        <v>1225</v>
      </c>
      <c r="H730" s="1" t="s">
        <v>4255</v>
      </c>
      <c r="I730" s="1" t="s">
        <v>4256</v>
      </c>
      <c r="J730" t="s">
        <v>4631</v>
      </c>
      <c r="K730" s="1" t="s">
        <v>4257</v>
      </c>
    </row>
    <row r="731" spans="1:11" ht="48" customHeight="1">
      <c r="A731" s="1" t="s">
        <v>4258</v>
      </c>
      <c r="B731" s="1" t="s">
        <v>4259</v>
      </c>
      <c r="C731" s="1">
        <v>2021</v>
      </c>
      <c r="D731" s="1" t="s">
        <v>4260</v>
      </c>
      <c r="E731" s="1" t="s">
        <v>1215</v>
      </c>
      <c r="F731" s="1" t="s">
        <v>1216</v>
      </c>
      <c r="G731" s="1" t="s">
        <v>1217</v>
      </c>
      <c r="H731" s="1" t="s">
        <v>4261</v>
      </c>
      <c r="I731" s="1" t="s">
        <v>4262</v>
      </c>
      <c r="J731" t="s">
        <v>4631</v>
      </c>
      <c r="K731" s="1" t="s">
        <v>4263</v>
      </c>
    </row>
    <row r="732" spans="1:11" ht="24" customHeight="1">
      <c r="A732" s="1" t="s">
        <v>4264</v>
      </c>
      <c r="B732" s="1" t="s">
        <v>4265</v>
      </c>
      <c r="C732" s="1">
        <v>2023</v>
      </c>
      <c r="D732" s="1" t="s">
        <v>4266</v>
      </c>
      <c r="E732" s="1" t="s">
        <v>1215</v>
      </c>
      <c r="F732" s="1" t="s">
        <v>1256</v>
      </c>
      <c r="G732" s="1" t="s">
        <v>1257</v>
      </c>
      <c r="H732" s="1" t="s">
        <v>4267</v>
      </c>
      <c r="I732" s="1" t="s">
        <v>4268</v>
      </c>
      <c r="J732" t="s">
        <v>4631</v>
      </c>
      <c r="K732" s="1" t="s">
        <v>4269</v>
      </c>
    </row>
    <row r="733" spans="1:11" ht="60" customHeight="1">
      <c r="A733" s="1" t="s">
        <v>4270</v>
      </c>
      <c r="B733" s="1" t="s">
        <v>4271</v>
      </c>
      <c r="C733" s="1">
        <v>2026</v>
      </c>
      <c r="D733" s="1" t="s">
        <v>4272</v>
      </c>
      <c r="E733" s="1" t="s">
        <v>1215</v>
      </c>
      <c r="F733" s="1" t="s">
        <v>2137</v>
      </c>
      <c r="G733" s="1" t="s">
        <v>2138</v>
      </c>
      <c r="H733" s="1" t="s">
        <v>4273</v>
      </c>
      <c r="I733" s="1" t="s">
        <v>4274</v>
      </c>
      <c r="J733" t="s">
        <v>4631</v>
      </c>
      <c r="K733" s="1" t="s">
        <v>4275</v>
      </c>
    </row>
    <row r="734" spans="1:11" ht="60" customHeight="1">
      <c r="A734" s="1" t="s">
        <v>4276</v>
      </c>
      <c r="B734" s="1" t="s">
        <v>4277</v>
      </c>
      <c r="C734" s="1">
        <v>2025</v>
      </c>
      <c r="D734" s="1" t="s">
        <v>4278</v>
      </c>
      <c r="E734" s="1" t="s">
        <v>1215</v>
      </c>
      <c r="F734" s="1" t="s">
        <v>1216</v>
      </c>
      <c r="G734" s="1" t="s">
        <v>1217</v>
      </c>
      <c r="H734" s="1" t="s">
        <v>4279</v>
      </c>
      <c r="I734" s="1" t="s">
        <v>4280</v>
      </c>
      <c r="J734" t="s">
        <v>4631</v>
      </c>
      <c r="K734" s="1" t="s">
        <v>4281</v>
      </c>
    </row>
    <row r="735" spans="1:11" ht="72" customHeight="1">
      <c r="A735" s="1" t="s">
        <v>4282</v>
      </c>
      <c r="B735" s="1" t="s">
        <v>4283</v>
      </c>
      <c r="C735" s="1">
        <v>2024</v>
      </c>
      <c r="D735" s="1" t="s">
        <v>4284</v>
      </c>
      <c r="E735" s="1" t="s">
        <v>1215</v>
      </c>
      <c r="F735" s="1" t="s">
        <v>1224</v>
      </c>
      <c r="G735" s="1" t="s">
        <v>1225</v>
      </c>
      <c r="H735" s="1" t="s">
        <v>4285</v>
      </c>
      <c r="I735" s="1" t="s">
        <v>4286</v>
      </c>
      <c r="J735" t="s">
        <v>4631</v>
      </c>
      <c r="K735" s="1" t="s">
        <v>4287</v>
      </c>
    </row>
    <row r="736" spans="1:11" ht="60" customHeight="1">
      <c r="A736" s="1" t="s">
        <v>4288</v>
      </c>
      <c r="B736" s="1" t="s">
        <v>4289</v>
      </c>
      <c r="C736" s="1">
        <v>2019</v>
      </c>
      <c r="D736" s="1" t="s">
        <v>4290</v>
      </c>
      <c r="E736" s="1" t="s">
        <v>1215</v>
      </c>
      <c r="F736" s="1" t="s">
        <v>1256</v>
      </c>
      <c r="G736" s="1" t="s">
        <v>1257</v>
      </c>
      <c r="H736" s="1" t="s">
        <v>4291</v>
      </c>
      <c r="I736" s="1" t="s">
        <v>4292</v>
      </c>
      <c r="J736" t="s">
        <v>4631</v>
      </c>
      <c r="K736" s="1" t="s">
        <v>4293</v>
      </c>
    </row>
    <row r="737" spans="1:11" ht="36" customHeight="1">
      <c r="A737" s="1" t="s">
        <v>4294</v>
      </c>
      <c r="B737" s="1" t="s">
        <v>4295</v>
      </c>
      <c r="C737" s="1">
        <v>2023</v>
      </c>
      <c r="D737" s="1" t="s">
        <v>4296</v>
      </c>
      <c r="E737" s="1" t="s">
        <v>1215</v>
      </c>
      <c r="F737" s="1" t="s">
        <v>1216</v>
      </c>
      <c r="G737" s="1" t="s">
        <v>1217</v>
      </c>
      <c r="H737" s="1" t="s">
        <v>4297</v>
      </c>
      <c r="I737" s="1" t="s">
        <v>4298</v>
      </c>
      <c r="J737" t="s">
        <v>4631</v>
      </c>
      <c r="K737" s="1" t="s">
        <v>4299</v>
      </c>
    </row>
    <row r="738" spans="1:11" ht="48" customHeight="1">
      <c r="A738" s="1" t="s">
        <v>4300</v>
      </c>
      <c r="B738" s="1" t="s">
        <v>4301</v>
      </c>
      <c r="C738" s="1">
        <v>2019</v>
      </c>
      <c r="D738" s="1" t="s">
        <v>4302</v>
      </c>
      <c r="E738" s="1" t="s">
        <v>1215</v>
      </c>
      <c r="F738" s="1" t="s">
        <v>1224</v>
      </c>
      <c r="G738" s="1" t="s">
        <v>1225</v>
      </c>
      <c r="H738" s="1" t="s">
        <v>4303</v>
      </c>
      <c r="I738" s="1" t="s">
        <v>4304</v>
      </c>
      <c r="J738" t="s">
        <v>4631</v>
      </c>
      <c r="K738" s="1" t="s">
        <v>4305</v>
      </c>
    </row>
    <row r="739" spans="1:11" ht="24" customHeight="1">
      <c r="A739" s="1" t="s">
        <v>4306</v>
      </c>
      <c r="B739" s="1" t="s">
        <v>4307</v>
      </c>
      <c r="C739" s="1">
        <v>2023</v>
      </c>
      <c r="D739" s="1" t="s">
        <v>4308</v>
      </c>
      <c r="E739" s="1" t="s">
        <v>1215</v>
      </c>
      <c r="F739" s="1" t="s">
        <v>1216</v>
      </c>
      <c r="G739" s="1" t="s">
        <v>1217</v>
      </c>
      <c r="H739" s="1" t="s">
        <v>4309</v>
      </c>
      <c r="I739" s="1" t="s">
        <v>4310</v>
      </c>
      <c r="J739" t="s">
        <v>4631</v>
      </c>
      <c r="K739" s="1" t="s">
        <v>4311</v>
      </c>
    </row>
    <row r="740" spans="1:11" ht="24" customHeight="1">
      <c r="A740" s="1" t="s">
        <v>4312</v>
      </c>
      <c r="B740" s="1" t="s">
        <v>4313</v>
      </c>
      <c r="C740" s="1">
        <v>2026</v>
      </c>
      <c r="D740" s="1" t="s">
        <v>4314</v>
      </c>
      <c r="E740" s="1" t="s">
        <v>1215</v>
      </c>
      <c r="F740" s="1" t="s">
        <v>1216</v>
      </c>
      <c r="G740" s="1" t="s">
        <v>1217</v>
      </c>
      <c r="H740" s="1" t="s">
        <v>4315</v>
      </c>
      <c r="I740" s="1" t="s">
        <v>4316</v>
      </c>
      <c r="J740" t="s">
        <v>4631</v>
      </c>
      <c r="K740" s="1" t="s">
        <v>4317</v>
      </c>
    </row>
    <row r="741" spans="1:11" ht="24" customHeight="1">
      <c r="A741" s="1" t="s">
        <v>4318</v>
      </c>
      <c r="B741" s="1" t="s">
        <v>4319</v>
      </c>
      <c r="C741" s="1">
        <v>2016</v>
      </c>
      <c r="D741" s="1" t="s">
        <v>4320</v>
      </c>
      <c r="E741" s="1" t="s">
        <v>1215</v>
      </c>
      <c r="F741" s="1" t="s">
        <v>1256</v>
      </c>
      <c r="G741" s="1" t="s">
        <v>1257</v>
      </c>
      <c r="H741" s="1" t="s">
        <v>4321</v>
      </c>
      <c r="I741" s="1" t="s">
        <v>4322</v>
      </c>
      <c r="J741" t="s">
        <v>4631</v>
      </c>
      <c r="K741" s="1" t="s">
        <v>4323</v>
      </c>
    </row>
    <row r="742" spans="1:11" ht="48" customHeight="1">
      <c r="A742" s="1" t="s">
        <v>4324</v>
      </c>
      <c r="B742" s="1" t="s">
        <v>4325</v>
      </c>
      <c r="C742" s="1">
        <v>2023</v>
      </c>
      <c r="D742" s="1" t="s">
        <v>4326</v>
      </c>
      <c r="E742" s="1" t="s">
        <v>1215</v>
      </c>
      <c r="F742" s="1" t="s">
        <v>1348</v>
      </c>
      <c r="G742" s="1" t="s">
        <v>1349</v>
      </c>
      <c r="H742" s="1" t="s">
        <v>4327</v>
      </c>
      <c r="I742" s="1" t="s">
        <v>4328</v>
      </c>
      <c r="J742" t="s">
        <v>4631</v>
      </c>
      <c r="K742" s="1" t="s">
        <v>4329</v>
      </c>
    </row>
    <row r="743" spans="1:11" ht="36" customHeight="1">
      <c r="A743" s="1" t="s">
        <v>4330</v>
      </c>
      <c r="B743" s="1" t="s">
        <v>4331</v>
      </c>
      <c r="C743" s="1">
        <v>2024</v>
      </c>
      <c r="D743" s="1" t="s">
        <v>4332</v>
      </c>
      <c r="E743" s="1" t="s">
        <v>1215</v>
      </c>
      <c r="F743" s="1" t="s">
        <v>1256</v>
      </c>
      <c r="G743" s="1" t="s">
        <v>1257</v>
      </c>
      <c r="H743" s="1" t="s">
        <v>4333</v>
      </c>
      <c r="I743" s="1" t="s">
        <v>4334</v>
      </c>
      <c r="J743" t="s">
        <v>4631</v>
      </c>
      <c r="K743" s="1" t="s">
        <v>4335</v>
      </c>
    </row>
    <row r="744" spans="1:11" ht="36" customHeight="1">
      <c r="A744" s="1" t="s">
        <v>4336</v>
      </c>
      <c r="B744" s="1" t="s">
        <v>4337</v>
      </c>
      <c r="C744" s="1">
        <v>2023</v>
      </c>
      <c r="D744" s="1" t="s">
        <v>4338</v>
      </c>
      <c r="E744" s="1" t="s">
        <v>1215</v>
      </c>
      <c r="F744" s="1" t="s">
        <v>1256</v>
      </c>
      <c r="G744" s="1" t="s">
        <v>1257</v>
      </c>
      <c r="H744" s="1" t="s">
        <v>4339</v>
      </c>
      <c r="I744" s="1" t="s">
        <v>4340</v>
      </c>
      <c r="J744" t="s">
        <v>4631</v>
      </c>
      <c r="K744" s="1" t="s">
        <v>4341</v>
      </c>
    </row>
    <row r="745" spans="1:11" ht="36" customHeight="1">
      <c r="A745" s="1" t="s">
        <v>4342</v>
      </c>
      <c r="B745" s="1" t="s">
        <v>4343</v>
      </c>
      <c r="C745" s="1">
        <v>2024</v>
      </c>
      <c r="D745" s="1" t="s">
        <v>4344</v>
      </c>
      <c r="E745" s="1" t="s">
        <v>1215</v>
      </c>
      <c r="F745" s="1" t="s">
        <v>1256</v>
      </c>
      <c r="G745" s="1" t="s">
        <v>1257</v>
      </c>
      <c r="H745" s="1" t="s">
        <v>4345</v>
      </c>
      <c r="I745" s="1" t="s">
        <v>4346</v>
      </c>
      <c r="J745" t="s">
        <v>4631</v>
      </c>
      <c r="K745" s="1" t="s">
        <v>4347</v>
      </c>
    </row>
    <row r="746" spans="1:11" ht="48" customHeight="1">
      <c r="A746" s="1" t="s">
        <v>4348</v>
      </c>
      <c r="B746" s="1" t="s">
        <v>4349</v>
      </c>
      <c r="C746" s="1">
        <v>2025</v>
      </c>
      <c r="D746" s="1" t="s">
        <v>4350</v>
      </c>
      <c r="E746" s="1" t="s">
        <v>1215</v>
      </c>
      <c r="F746" s="1" t="s">
        <v>1224</v>
      </c>
      <c r="G746" s="1" t="s">
        <v>1225</v>
      </c>
      <c r="H746" s="1" t="s">
        <v>4351</v>
      </c>
      <c r="I746" s="1" t="s">
        <v>4352</v>
      </c>
      <c r="J746" t="s">
        <v>4631</v>
      </c>
      <c r="K746" s="1" t="s">
        <v>4353</v>
      </c>
    </row>
    <row r="747" spans="1:11" ht="60" customHeight="1">
      <c r="A747" s="1" t="s">
        <v>4354</v>
      </c>
      <c r="B747" s="1" t="s">
        <v>4355</v>
      </c>
      <c r="C747" s="1">
        <v>2021</v>
      </c>
      <c r="D747" s="1" t="s">
        <v>4356</v>
      </c>
      <c r="E747" s="1" t="s">
        <v>1215</v>
      </c>
      <c r="F747" s="1" t="s">
        <v>1224</v>
      </c>
      <c r="G747" s="1" t="s">
        <v>1225</v>
      </c>
      <c r="H747" s="1" t="s">
        <v>4357</v>
      </c>
      <c r="I747" s="1" t="s">
        <v>4358</v>
      </c>
      <c r="J747" t="s">
        <v>4631</v>
      </c>
      <c r="K747" s="1" t="s">
        <v>4359</v>
      </c>
    </row>
    <row r="748" spans="1:11" ht="36" customHeight="1">
      <c r="A748" s="1" t="s">
        <v>4360</v>
      </c>
      <c r="B748" s="1" t="s">
        <v>4361</v>
      </c>
      <c r="C748" s="1">
        <v>2023</v>
      </c>
      <c r="D748" s="1" t="s">
        <v>4362</v>
      </c>
      <c r="E748" s="1" t="s">
        <v>1215</v>
      </c>
      <c r="F748" s="1" t="s">
        <v>1216</v>
      </c>
      <c r="G748" s="1" t="s">
        <v>1217</v>
      </c>
      <c r="H748" s="1" t="s">
        <v>4363</v>
      </c>
      <c r="I748" s="1" t="s">
        <v>4364</v>
      </c>
      <c r="J748" t="s">
        <v>4631</v>
      </c>
      <c r="K748" s="1" t="s">
        <v>4365</v>
      </c>
    </row>
    <row r="749" spans="1:11" ht="48" customHeight="1">
      <c r="A749" s="1" t="s">
        <v>4366</v>
      </c>
      <c r="B749" s="1" t="s">
        <v>4367</v>
      </c>
      <c r="C749" s="1">
        <v>2024</v>
      </c>
      <c r="D749" s="1" t="s">
        <v>4368</v>
      </c>
      <c r="E749" s="1" t="s">
        <v>1215</v>
      </c>
      <c r="F749" s="1" t="s">
        <v>1216</v>
      </c>
      <c r="G749" s="1" t="s">
        <v>1217</v>
      </c>
      <c r="H749" s="1" t="s">
        <v>4369</v>
      </c>
      <c r="I749" s="1" t="s">
        <v>4370</v>
      </c>
      <c r="J749" t="s">
        <v>4631</v>
      </c>
      <c r="K749" s="1" t="s">
        <v>4371</v>
      </c>
    </row>
    <row r="750" spans="1:11" ht="24" customHeight="1">
      <c r="A750" s="1" t="s">
        <v>4372</v>
      </c>
      <c r="B750" s="1" t="s">
        <v>4373</v>
      </c>
      <c r="C750" s="1">
        <v>2024</v>
      </c>
      <c r="D750" s="1" t="s">
        <v>4374</v>
      </c>
      <c r="E750" s="1" t="s">
        <v>1215</v>
      </c>
      <c r="F750" s="1" t="s">
        <v>1256</v>
      </c>
      <c r="G750" s="1" t="s">
        <v>1257</v>
      </c>
      <c r="H750" s="1" t="s">
        <v>4375</v>
      </c>
      <c r="I750" s="1" t="s">
        <v>4376</v>
      </c>
      <c r="J750" t="s">
        <v>4631</v>
      </c>
      <c r="K750" s="1" t="s">
        <v>4377</v>
      </c>
    </row>
    <row r="751" spans="1:11" ht="48" customHeight="1">
      <c r="A751" s="1" t="s">
        <v>4378</v>
      </c>
      <c r="B751" s="1" t="s">
        <v>4379</v>
      </c>
      <c r="C751" s="1">
        <v>2021</v>
      </c>
      <c r="D751" s="1" t="s">
        <v>4380</v>
      </c>
      <c r="E751" s="1" t="s">
        <v>1215</v>
      </c>
      <c r="F751" s="1" t="s">
        <v>1216</v>
      </c>
      <c r="G751" s="1" t="s">
        <v>1217</v>
      </c>
      <c r="H751" s="1" t="s">
        <v>4381</v>
      </c>
      <c r="I751" s="1" t="s">
        <v>4382</v>
      </c>
      <c r="J751" t="s">
        <v>4631</v>
      </c>
      <c r="K751" s="1" t="s">
        <v>4383</v>
      </c>
    </row>
    <row r="752" spans="1:11" ht="60" customHeight="1">
      <c r="A752" s="1" t="s">
        <v>4384</v>
      </c>
      <c r="B752" s="1" t="s">
        <v>4385</v>
      </c>
      <c r="C752" s="1">
        <v>2022</v>
      </c>
      <c r="D752" s="1" t="s">
        <v>4386</v>
      </c>
      <c r="E752" s="1" t="s">
        <v>1215</v>
      </c>
      <c r="F752" s="1" t="s">
        <v>1256</v>
      </c>
      <c r="G752" s="1" t="s">
        <v>1257</v>
      </c>
      <c r="H752" s="1" t="s">
        <v>4387</v>
      </c>
      <c r="I752" s="1" t="s">
        <v>4388</v>
      </c>
      <c r="J752" t="s">
        <v>4631</v>
      </c>
      <c r="K752" s="1" t="s">
        <v>4389</v>
      </c>
    </row>
    <row r="753" spans="1:11" ht="24" customHeight="1">
      <c r="A753" s="1" t="s">
        <v>4390</v>
      </c>
      <c r="B753" s="1" t="s">
        <v>4391</v>
      </c>
      <c r="C753" s="1">
        <v>2026</v>
      </c>
      <c r="D753" s="1" t="s">
        <v>4392</v>
      </c>
      <c r="E753" s="1" t="s">
        <v>1215</v>
      </c>
      <c r="F753" s="1" t="s">
        <v>1256</v>
      </c>
      <c r="G753" s="1" t="s">
        <v>1257</v>
      </c>
      <c r="H753" s="1" t="s">
        <v>4393</v>
      </c>
      <c r="I753" s="1" t="s">
        <v>4394</v>
      </c>
      <c r="J753" t="s">
        <v>4631</v>
      </c>
      <c r="K753" s="1" t="s">
        <v>4395</v>
      </c>
    </row>
    <row r="754" spans="1:11" ht="24" customHeight="1">
      <c r="A754" s="1" t="s">
        <v>4396</v>
      </c>
      <c r="B754" s="1" t="s">
        <v>4397</v>
      </c>
      <c r="C754" s="1">
        <v>2026</v>
      </c>
      <c r="D754" s="1" t="s">
        <v>4398</v>
      </c>
      <c r="E754" s="1" t="s">
        <v>1215</v>
      </c>
      <c r="F754" s="1" t="s">
        <v>1216</v>
      </c>
      <c r="G754" s="1" t="s">
        <v>1217</v>
      </c>
      <c r="H754" s="1" t="s">
        <v>4399</v>
      </c>
      <c r="I754" s="1" t="s">
        <v>4400</v>
      </c>
      <c r="J754" t="s">
        <v>4631</v>
      </c>
      <c r="K754" s="1" t="s">
        <v>4401</v>
      </c>
    </row>
    <row r="755" spans="1:11" ht="60" customHeight="1">
      <c r="A755" s="1" t="s">
        <v>4402</v>
      </c>
      <c r="B755" s="1" t="s">
        <v>4403</v>
      </c>
      <c r="C755" s="1">
        <v>2020</v>
      </c>
      <c r="D755" s="1" t="s">
        <v>4404</v>
      </c>
      <c r="E755" s="1" t="s">
        <v>1215</v>
      </c>
      <c r="F755" s="1" t="s">
        <v>1216</v>
      </c>
      <c r="G755" s="1" t="s">
        <v>1217</v>
      </c>
      <c r="H755" s="1" t="s">
        <v>4405</v>
      </c>
      <c r="I755" s="1" t="s">
        <v>4406</v>
      </c>
      <c r="J755" t="s">
        <v>4631</v>
      </c>
      <c r="K755" s="1" t="s">
        <v>4407</v>
      </c>
    </row>
    <row r="756" spans="1:11" ht="60" customHeight="1">
      <c r="A756" s="1" t="s">
        <v>4408</v>
      </c>
      <c r="B756" s="1" t="s">
        <v>4409</v>
      </c>
      <c r="C756" s="1">
        <v>2025</v>
      </c>
      <c r="D756" s="1" t="s">
        <v>4410</v>
      </c>
      <c r="E756" s="1" t="s">
        <v>1215</v>
      </c>
      <c r="F756" s="1" t="s">
        <v>1256</v>
      </c>
      <c r="G756" s="1" t="s">
        <v>1257</v>
      </c>
      <c r="H756" s="1" t="s">
        <v>4411</v>
      </c>
      <c r="I756" s="1" t="s">
        <v>4412</v>
      </c>
      <c r="J756" t="s">
        <v>4631</v>
      </c>
      <c r="K756" s="1" t="s">
        <v>4413</v>
      </c>
    </row>
    <row r="757" spans="1:11" ht="60" customHeight="1">
      <c r="A757" s="1" t="s">
        <v>4414</v>
      </c>
      <c r="B757" s="1" t="s">
        <v>4415</v>
      </c>
      <c r="C757" s="1">
        <v>2019</v>
      </c>
      <c r="D757" s="1" t="s">
        <v>4416</v>
      </c>
      <c r="E757" s="1" t="s">
        <v>1215</v>
      </c>
      <c r="F757" s="1" t="s">
        <v>1256</v>
      </c>
      <c r="G757" s="1" t="s">
        <v>1257</v>
      </c>
      <c r="H757" s="1" t="s">
        <v>4417</v>
      </c>
      <c r="I757" s="1" t="s">
        <v>4418</v>
      </c>
      <c r="J757" t="s">
        <v>4631</v>
      </c>
      <c r="K757" s="1" t="s">
        <v>4419</v>
      </c>
    </row>
    <row r="758" spans="1:11" ht="36" customHeight="1">
      <c r="A758" s="1" t="s">
        <v>4420</v>
      </c>
      <c r="B758" s="1" t="s">
        <v>4421</v>
      </c>
      <c r="C758" s="1">
        <v>2025</v>
      </c>
      <c r="D758" s="1" t="s">
        <v>4422</v>
      </c>
      <c r="E758" s="1" t="s">
        <v>1215</v>
      </c>
      <c r="F758" s="1" t="s">
        <v>1256</v>
      </c>
      <c r="G758" s="1" t="s">
        <v>1257</v>
      </c>
      <c r="H758" s="1" t="s">
        <v>4423</v>
      </c>
      <c r="I758" s="1" t="s">
        <v>4424</v>
      </c>
      <c r="J758" t="s">
        <v>4631</v>
      </c>
      <c r="K758" s="1" t="s">
        <v>4425</v>
      </c>
    </row>
    <row r="759" spans="1:11" ht="48" customHeight="1">
      <c r="A759" s="1" t="s">
        <v>4426</v>
      </c>
      <c r="B759" s="1" t="s">
        <v>4427</v>
      </c>
      <c r="C759" s="1">
        <v>2024</v>
      </c>
      <c r="D759" s="1" t="s">
        <v>4428</v>
      </c>
      <c r="E759" s="1" t="s">
        <v>1215</v>
      </c>
      <c r="F759" s="1" t="s">
        <v>1224</v>
      </c>
      <c r="G759" s="1" t="s">
        <v>1225</v>
      </c>
      <c r="H759" s="1" t="s">
        <v>4429</v>
      </c>
      <c r="I759" s="1" t="s">
        <v>4430</v>
      </c>
      <c r="J759" t="s">
        <v>4631</v>
      </c>
      <c r="K759" s="1" t="s">
        <v>4431</v>
      </c>
    </row>
    <row r="760" spans="1:11" ht="24" customHeight="1">
      <c r="A760" s="1" t="s">
        <v>4432</v>
      </c>
      <c r="B760" s="1" t="s">
        <v>4433</v>
      </c>
      <c r="C760" s="1">
        <v>2024</v>
      </c>
      <c r="D760" s="1" t="s">
        <v>4434</v>
      </c>
      <c r="E760" s="1" t="s">
        <v>1215</v>
      </c>
      <c r="F760" s="1" t="s">
        <v>1216</v>
      </c>
      <c r="G760" s="1" t="s">
        <v>1217</v>
      </c>
      <c r="H760" s="1" t="s">
        <v>4435</v>
      </c>
      <c r="I760" s="1" t="s">
        <v>4436</v>
      </c>
      <c r="J760" t="s">
        <v>4631</v>
      </c>
      <c r="K760" s="1" t="s">
        <v>4437</v>
      </c>
    </row>
    <row r="761" spans="1:11" ht="60" customHeight="1">
      <c r="A761" s="1" t="s">
        <v>4438</v>
      </c>
      <c r="B761" s="1" t="s">
        <v>4439</v>
      </c>
      <c r="C761" s="1">
        <v>2025</v>
      </c>
      <c r="D761" s="1" t="s">
        <v>4440</v>
      </c>
      <c r="E761" s="1" t="s">
        <v>1215</v>
      </c>
      <c r="F761" s="1" t="s">
        <v>1224</v>
      </c>
      <c r="G761" s="1" t="s">
        <v>1225</v>
      </c>
      <c r="H761" s="1" t="s">
        <v>4441</v>
      </c>
      <c r="I761" s="1" t="s">
        <v>4442</v>
      </c>
      <c r="J761" t="s">
        <v>4631</v>
      </c>
      <c r="K761" s="1" t="s">
        <v>4443</v>
      </c>
    </row>
    <row r="762" spans="1:11" ht="36" customHeight="1">
      <c r="A762" s="1" t="s">
        <v>4444</v>
      </c>
      <c r="B762" s="1" t="s">
        <v>4445</v>
      </c>
      <c r="C762" s="1">
        <v>2025</v>
      </c>
      <c r="D762" s="1" t="s">
        <v>4446</v>
      </c>
      <c r="E762" s="1" t="s">
        <v>1215</v>
      </c>
      <c r="F762" s="1" t="s">
        <v>1256</v>
      </c>
      <c r="G762" s="1" t="s">
        <v>1257</v>
      </c>
      <c r="H762" s="1" t="s">
        <v>4447</v>
      </c>
      <c r="I762" s="1" t="s">
        <v>4448</v>
      </c>
      <c r="J762" t="s">
        <v>4631</v>
      </c>
      <c r="K762" s="1" t="s">
        <v>4449</v>
      </c>
    </row>
    <row r="763" spans="1:11" ht="60" customHeight="1">
      <c r="A763" s="1" t="s">
        <v>4450</v>
      </c>
      <c r="B763" s="1" t="s">
        <v>4451</v>
      </c>
      <c r="C763" s="1">
        <v>2025</v>
      </c>
      <c r="D763" s="1" t="s">
        <v>4452</v>
      </c>
      <c r="E763" s="1" t="s">
        <v>1215</v>
      </c>
      <c r="F763" s="1" t="s">
        <v>1348</v>
      </c>
      <c r="G763" s="1" t="s">
        <v>1349</v>
      </c>
      <c r="H763" s="1" t="s">
        <v>4453</v>
      </c>
      <c r="I763" s="1" t="s">
        <v>4454</v>
      </c>
      <c r="J763" t="s">
        <v>4631</v>
      </c>
      <c r="K763" s="1" t="s">
        <v>4455</v>
      </c>
    </row>
    <row r="764" spans="1:11" ht="24" customHeight="1">
      <c r="A764" s="1" t="s">
        <v>4456</v>
      </c>
      <c r="B764" s="1" t="s">
        <v>4457</v>
      </c>
      <c r="C764" s="1">
        <v>2026</v>
      </c>
      <c r="D764" s="1" t="s">
        <v>4458</v>
      </c>
      <c r="E764" s="1" t="s">
        <v>1215</v>
      </c>
      <c r="F764" s="1" t="s">
        <v>1256</v>
      </c>
      <c r="G764" s="1" t="s">
        <v>1257</v>
      </c>
      <c r="H764" s="1" t="s">
        <v>4459</v>
      </c>
      <c r="I764" s="1" t="s">
        <v>4460</v>
      </c>
      <c r="J764" t="s">
        <v>4631</v>
      </c>
      <c r="K764" s="1" t="s">
        <v>4461</v>
      </c>
    </row>
    <row r="765" spans="1:11" ht="24" customHeight="1">
      <c r="A765" s="1" t="s">
        <v>4462</v>
      </c>
      <c r="B765" s="1" t="s">
        <v>4463</v>
      </c>
      <c r="C765" s="1">
        <v>2026</v>
      </c>
      <c r="D765" s="1" t="s">
        <v>4464</v>
      </c>
      <c r="E765" s="1" t="s">
        <v>1215</v>
      </c>
      <c r="F765" s="1" t="s">
        <v>1224</v>
      </c>
      <c r="G765" s="1" t="s">
        <v>1225</v>
      </c>
      <c r="H765" s="1" t="s">
        <v>4465</v>
      </c>
      <c r="I765" s="1" t="s">
        <v>4466</v>
      </c>
      <c r="J765" t="s">
        <v>4631</v>
      </c>
      <c r="K765" s="1" t="s">
        <v>4467</v>
      </c>
    </row>
    <row r="766" spans="1:11" ht="24" customHeight="1">
      <c r="A766" s="1" t="s">
        <v>4468</v>
      </c>
      <c r="B766" s="1" t="s">
        <v>4469</v>
      </c>
      <c r="C766" s="1">
        <v>2024</v>
      </c>
      <c r="D766" s="1" t="s">
        <v>4470</v>
      </c>
      <c r="E766" s="1" t="s">
        <v>1215</v>
      </c>
      <c r="F766" s="1" t="s">
        <v>1224</v>
      </c>
      <c r="G766" s="1" t="s">
        <v>1225</v>
      </c>
      <c r="H766" s="1" t="s">
        <v>4471</v>
      </c>
      <c r="I766" s="1" t="s">
        <v>4472</v>
      </c>
      <c r="J766" t="s">
        <v>4631</v>
      </c>
      <c r="K766" s="1" t="s">
        <v>4473</v>
      </c>
    </row>
    <row r="767" spans="1:11" ht="24" customHeight="1">
      <c r="A767" s="1" t="s">
        <v>4474</v>
      </c>
      <c r="B767" s="1" t="s">
        <v>4475</v>
      </c>
      <c r="C767" s="1">
        <v>2024</v>
      </c>
      <c r="D767" s="1" t="s">
        <v>4476</v>
      </c>
      <c r="E767" s="1" t="s">
        <v>1215</v>
      </c>
      <c r="F767" s="1" t="s">
        <v>1348</v>
      </c>
      <c r="G767" s="1" t="s">
        <v>1349</v>
      </c>
      <c r="H767" s="1" t="s">
        <v>4477</v>
      </c>
      <c r="I767" s="1" t="s">
        <v>4478</v>
      </c>
      <c r="J767" t="s">
        <v>4631</v>
      </c>
      <c r="K767" s="1" t="s">
        <v>4479</v>
      </c>
    </row>
    <row r="768" spans="1:11" ht="36" customHeight="1">
      <c r="A768" s="1" t="s">
        <v>4480</v>
      </c>
      <c r="B768" s="1" t="s">
        <v>4481</v>
      </c>
      <c r="C768" s="1">
        <v>2025</v>
      </c>
      <c r="D768" s="1" t="s">
        <v>4482</v>
      </c>
      <c r="E768" s="1" t="s">
        <v>1215</v>
      </c>
      <c r="F768" s="1" t="s">
        <v>1224</v>
      </c>
      <c r="G768" s="1" t="s">
        <v>1225</v>
      </c>
      <c r="H768" s="1" t="s">
        <v>4483</v>
      </c>
      <c r="I768" s="1" t="s">
        <v>4484</v>
      </c>
      <c r="J768" t="s">
        <v>4631</v>
      </c>
      <c r="K768" s="1" t="s">
        <v>4485</v>
      </c>
    </row>
    <row r="769" spans="1:11" ht="36" customHeight="1">
      <c r="A769" s="1" t="s">
        <v>4486</v>
      </c>
      <c r="B769" s="1" t="s">
        <v>4487</v>
      </c>
      <c r="C769" s="1">
        <v>2025</v>
      </c>
      <c r="D769" s="1" t="s">
        <v>4488</v>
      </c>
      <c r="E769" s="1" t="s">
        <v>1215</v>
      </c>
      <c r="F769" s="1" t="s">
        <v>1224</v>
      </c>
      <c r="G769" s="1" t="s">
        <v>1225</v>
      </c>
      <c r="H769" s="1" t="s">
        <v>4489</v>
      </c>
      <c r="I769" s="1" t="s">
        <v>4490</v>
      </c>
      <c r="J769" t="s">
        <v>4631</v>
      </c>
      <c r="K769" s="1" t="s">
        <v>4491</v>
      </c>
    </row>
    <row r="770" spans="1:11" ht="24" customHeight="1">
      <c r="A770" s="1" t="s">
        <v>4492</v>
      </c>
      <c r="B770" s="1" t="s">
        <v>4493</v>
      </c>
      <c r="C770" s="1">
        <v>2023</v>
      </c>
      <c r="D770" s="1" t="s">
        <v>4494</v>
      </c>
      <c r="E770" s="1" t="s">
        <v>1215</v>
      </c>
      <c r="F770" s="1" t="s">
        <v>1256</v>
      </c>
      <c r="G770" s="1" t="s">
        <v>1257</v>
      </c>
      <c r="H770" s="1" t="s">
        <v>4495</v>
      </c>
      <c r="I770" s="1" t="s">
        <v>4496</v>
      </c>
      <c r="J770" t="s">
        <v>4631</v>
      </c>
      <c r="K770" s="1" t="s">
        <v>4497</v>
      </c>
    </row>
    <row r="771" spans="1:11" ht="60" customHeight="1">
      <c r="A771" s="1" t="s">
        <v>4498</v>
      </c>
      <c r="B771" s="1" t="s">
        <v>4499</v>
      </c>
      <c r="C771" s="1">
        <v>2023</v>
      </c>
      <c r="D771" s="1" t="s">
        <v>4500</v>
      </c>
      <c r="E771" s="1" t="s">
        <v>1215</v>
      </c>
      <c r="F771" s="1" t="s">
        <v>1256</v>
      </c>
      <c r="G771" s="1" t="s">
        <v>1257</v>
      </c>
      <c r="H771" s="1" t="s">
        <v>4501</v>
      </c>
      <c r="I771" s="1" t="s">
        <v>4502</v>
      </c>
      <c r="J771" t="s">
        <v>4631</v>
      </c>
      <c r="K771" s="1" t="s">
        <v>4503</v>
      </c>
    </row>
    <row r="772" spans="1:11" ht="60" customHeight="1">
      <c r="A772" s="1" t="s">
        <v>4504</v>
      </c>
      <c r="B772" s="1" t="s">
        <v>4505</v>
      </c>
      <c r="C772" s="1">
        <v>2019</v>
      </c>
      <c r="D772" s="1" t="s">
        <v>4506</v>
      </c>
      <c r="E772" s="1" t="s">
        <v>1215</v>
      </c>
      <c r="F772" s="1" t="s">
        <v>1256</v>
      </c>
      <c r="G772" s="1" t="s">
        <v>1257</v>
      </c>
      <c r="H772" s="1" t="s">
        <v>4507</v>
      </c>
      <c r="I772" s="1" t="s">
        <v>4508</v>
      </c>
      <c r="J772" t="s">
        <v>4631</v>
      </c>
      <c r="K772" s="1" t="s">
        <v>4509</v>
      </c>
    </row>
    <row r="773" spans="1:11" ht="24" customHeight="1">
      <c r="A773" s="1" t="s">
        <v>4510</v>
      </c>
      <c r="B773" s="1" t="s">
        <v>4511</v>
      </c>
      <c r="C773" s="1">
        <v>2021</v>
      </c>
      <c r="D773" s="1" t="s">
        <v>4512</v>
      </c>
      <c r="E773" s="1" t="s">
        <v>1215</v>
      </c>
      <c r="F773" s="1" t="s">
        <v>1256</v>
      </c>
      <c r="G773" s="1" t="s">
        <v>1257</v>
      </c>
      <c r="H773" s="1" t="s">
        <v>4513</v>
      </c>
      <c r="I773" s="1" t="s">
        <v>4514</v>
      </c>
      <c r="J773" t="s">
        <v>4631</v>
      </c>
      <c r="K773" s="1" t="s">
        <v>4515</v>
      </c>
    </row>
    <row r="774" spans="1:11" ht="24" customHeight="1">
      <c r="A774" s="1" t="s">
        <v>4516</v>
      </c>
      <c r="B774" s="1" t="s">
        <v>4517</v>
      </c>
      <c r="C774" s="1">
        <v>2021</v>
      </c>
      <c r="D774" s="1" t="s">
        <v>4518</v>
      </c>
      <c r="E774" s="1" t="s">
        <v>1215</v>
      </c>
      <c r="F774" s="1" t="s">
        <v>1256</v>
      </c>
      <c r="G774" s="1" t="s">
        <v>1257</v>
      </c>
      <c r="H774" s="1" t="s">
        <v>4519</v>
      </c>
      <c r="I774" s="1" t="s">
        <v>4520</v>
      </c>
      <c r="J774" t="s">
        <v>4631</v>
      </c>
      <c r="K774" s="1" t="s">
        <v>4521</v>
      </c>
    </row>
    <row r="775" spans="1:11" ht="24" customHeight="1">
      <c r="A775" s="1" t="s">
        <v>4522</v>
      </c>
      <c r="B775" s="1" t="s">
        <v>4523</v>
      </c>
      <c r="C775" s="1">
        <v>2020</v>
      </c>
      <c r="D775" s="1" t="s">
        <v>4524</v>
      </c>
      <c r="E775" s="1" t="s">
        <v>1215</v>
      </c>
      <c r="F775" s="1" t="s">
        <v>1216</v>
      </c>
      <c r="G775" s="1" t="s">
        <v>1217</v>
      </c>
      <c r="H775" s="1" t="s">
        <v>4525</v>
      </c>
      <c r="I775" s="1" t="s">
        <v>4526</v>
      </c>
      <c r="J775" t="s">
        <v>4631</v>
      </c>
      <c r="K775" s="1" t="s">
        <v>4527</v>
      </c>
    </row>
    <row r="776" spans="1:11" ht="48" customHeight="1">
      <c r="A776" s="1" t="s">
        <v>4528</v>
      </c>
      <c r="B776" s="1" t="s">
        <v>4529</v>
      </c>
      <c r="C776" s="1">
        <v>2019</v>
      </c>
      <c r="D776" s="1" t="s">
        <v>4530</v>
      </c>
      <c r="E776" s="1" t="s">
        <v>1215</v>
      </c>
      <c r="F776" s="1" t="s">
        <v>1256</v>
      </c>
      <c r="G776" s="1" t="s">
        <v>1257</v>
      </c>
      <c r="H776" s="1" t="s">
        <v>4531</v>
      </c>
      <c r="I776" s="1" t="s">
        <v>4532</v>
      </c>
      <c r="J776" t="s">
        <v>4631</v>
      </c>
      <c r="K776" s="1" t="s">
        <v>4533</v>
      </c>
    </row>
    <row r="777" spans="1:11" ht="24" customHeight="1">
      <c r="A777" s="1" t="s">
        <v>4534</v>
      </c>
      <c r="B777" s="1" t="s">
        <v>4535</v>
      </c>
      <c r="C777" s="1">
        <v>2020</v>
      </c>
      <c r="D777" s="1" t="s">
        <v>4536</v>
      </c>
      <c r="E777" s="1" t="s">
        <v>1215</v>
      </c>
      <c r="F777" s="1" t="s">
        <v>1224</v>
      </c>
      <c r="G777" s="1" t="s">
        <v>1225</v>
      </c>
      <c r="H777" s="1" t="s">
        <v>4537</v>
      </c>
      <c r="I777" s="1" t="s">
        <v>4538</v>
      </c>
      <c r="J777" t="s">
        <v>4631</v>
      </c>
      <c r="K777" s="1" t="s">
        <v>4539</v>
      </c>
    </row>
    <row r="778" spans="1:11" ht="24" customHeight="1">
      <c r="A778" s="1" t="s">
        <v>4540</v>
      </c>
      <c r="B778" s="1" t="s">
        <v>4541</v>
      </c>
      <c r="C778" s="1">
        <v>2022</v>
      </c>
      <c r="D778" s="1" t="s">
        <v>4542</v>
      </c>
      <c r="E778" s="1" t="s">
        <v>1215</v>
      </c>
      <c r="F778" s="1" t="s">
        <v>1216</v>
      </c>
      <c r="G778" s="1" t="s">
        <v>1217</v>
      </c>
      <c r="H778" s="1" t="s">
        <v>4543</v>
      </c>
      <c r="I778" s="1" t="s">
        <v>4544</v>
      </c>
      <c r="J778" t="s">
        <v>4631</v>
      </c>
      <c r="K778" s="1" t="s">
        <v>4545</v>
      </c>
    </row>
    <row r="779" spans="1:11" ht="24" customHeight="1">
      <c r="A779" s="1" t="s">
        <v>4546</v>
      </c>
      <c r="B779" s="1" t="s">
        <v>4547</v>
      </c>
      <c r="C779" s="1">
        <v>2020</v>
      </c>
      <c r="D779" s="1" t="s">
        <v>4548</v>
      </c>
      <c r="E779" s="1" t="s">
        <v>1215</v>
      </c>
      <c r="F779" s="1" t="s">
        <v>1256</v>
      </c>
      <c r="G779" s="1" t="s">
        <v>1257</v>
      </c>
      <c r="H779" s="1" t="s">
        <v>4549</v>
      </c>
      <c r="I779" s="1" t="s">
        <v>4550</v>
      </c>
      <c r="J779" t="s">
        <v>4631</v>
      </c>
      <c r="K779" s="1" t="s">
        <v>4551</v>
      </c>
    </row>
    <row r="780" spans="1:11" ht="36" customHeight="1">
      <c r="A780" s="1" t="s">
        <v>4552</v>
      </c>
      <c r="B780" s="1" t="s">
        <v>4553</v>
      </c>
      <c r="C780" s="1">
        <v>2020</v>
      </c>
      <c r="D780" s="1" t="s">
        <v>4554</v>
      </c>
      <c r="E780" s="1" t="s">
        <v>1215</v>
      </c>
      <c r="F780" s="1" t="s">
        <v>1224</v>
      </c>
      <c r="G780" s="1" t="s">
        <v>1225</v>
      </c>
      <c r="H780" s="1" t="s">
        <v>4555</v>
      </c>
      <c r="I780" s="1" t="s">
        <v>4556</v>
      </c>
      <c r="J780" t="s">
        <v>4631</v>
      </c>
      <c r="K780" s="1" t="s">
        <v>4557</v>
      </c>
    </row>
    <row r="781" spans="1:11" ht="24" customHeight="1">
      <c r="A781" s="1" t="s">
        <v>4558</v>
      </c>
      <c r="B781" s="1" t="s">
        <v>4559</v>
      </c>
      <c r="C781" s="1">
        <v>2020</v>
      </c>
      <c r="D781" s="1" t="s">
        <v>4560</v>
      </c>
      <c r="E781" s="1" t="s">
        <v>1215</v>
      </c>
      <c r="F781" s="1" t="s">
        <v>1224</v>
      </c>
      <c r="G781" s="1" t="s">
        <v>1225</v>
      </c>
      <c r="H781" s="1" t="s">
        <v>4561</v>
      </c>
      <c r="I781" s="1" t="s">
        <v>4562</v>
      </c>
      <c r="J781" t="s">
        <v>4631</v>
      </c>
      <c r="K781" s="1" t="s">
        <v>4563</v>
      </c>
    </row>
    <row r="782" spans="1:11" ht="60" customHeight="1">
      <c r="A782" s="1" t="s">
        <v>4564</v>
      </c>
      <c r="B782" s="1" t="s">
        <v>4565</v>
      </c>
      <c r="C782" s="1">
        <v>2020</v>
      </c>
      <c r="D782" s="1" t="s">
        <v>4566</v>
      </c>
      <c r="E782" s="1" t="s">
        <v>1215</v>
      </c>
      <c r="F782" s="1" t="s">
        <v>1224</v>
      </c>
      <c r="G782" s="1" t="s">
        <v>1225</v>
      </c>
      <c r="H782" s="1" t="s">
        <v>4567</v>
      </c>
      <c r="I782" s="1" t="s">
        <v>4568</v>
      </c>
      <c r="J782" t="s">
        <v>4631</v>
      </c>
      <c r="K782" s="1" t="s">
        <v>4569</v>
      </c>
    </row>
    <row r="783" spans="1:11" ht="48" customHeight="1">
      <c r="A783" s="1" t="s">
        <v>4570</v>
      </c>
      <c r="B783" s="1" t="s">
        <v>4571</v>
      </c>
      <c r="C783" s="1">
        <v>2022</v>
      </c>
      <c r="D783" s="1" t="s">
        <v>4572</v>
      </c>
      <c r="E783" s="1" t="s">
        <v>1215</v>
      </c>
      <c r="F783" s="1" t="s">
        <v>1224</v>
      </c>
      <c r="G783" s="1" t="s">
        <v>1225</v>
      </c>
      <c r="H783" s="1" t="s">
        <v>4573</v>
      </c>
      <c r="I783" s="1" t="s">
        <v>4574</v>
      </c>
      <c r="J783" t="s">
        <v>4631</v>
      </c>
      <c r="K783" s="1" t="s">
        <v>4575</v>
      </c>
    </row>
    <row r="784" spans="1:11" ht="60" customHeight="1">
      <c r="A784" s="1" t="s">
        <v>4576</v>
      </c>
      <c r="B784" s="1" t="s">
        <v>4577</v>
      </c>
      <c r="C784" s="1">
        <v>2017</v>
      </c>
      <c r="D784" s="1" t="s">
        <v>4578</v>
      </c>
      <c r="E784" s="1" t="s">
        <v>1215</v>
      </c>
      <c r="F784" s="1" t="s">
        <v>1216</v>
      </c>
      <c r="G784" s="1" t="s">
        <v>1217</v>
      </c>
      <c r="H784" s="1" t="s">
        <v>4579</v>
      </c>
      <c r="I784" s="1" t="s">
        <v>4580</v>
      </c>
      <c r="J784" t="s">
        <v>4631</v>
      </c>
      <c r="K784" s="1" t="s">
        <v>4581</v>
      </c>
    </row>
    <row r="785" spans="1:11" ht="48" customHeight="1">
      <c r="A785" s="1" t="s">
        <v>4582</v>
      </c>
      <c r="B785" s="1" t="s">
        <v>4583</v>
      </c>
      <c r="C785" s="1">
        <v>2018</v>
      </c>
      <c r="D785" s="1" t="s">
        <v>4584</v>
      </c>
      <c r="E785" s="1" t="s">
        <v>1215</v>
      </c>
      <c r="F785" s="1" t="s">
        <v>1216</v>
      </c>
      <c r="G785" s="1" t="s">
        <v>1217</v>
      </c>
      <c r="H785" s="1" t="s">
        <v>4585</v>
      </c>
      <c r="I785" s="1" t="s">
        <v>4586</v>
      </c>
      <c r="J785" t="s">
        <v>4631</v>
      </c>
      <c r="K785" s="1" t="s">
        <v>4587</v>
      </c>
    </row>
    <row r="786" spans="1:11" ht="48" customHeight="1">
      <c r="A786" s="1" t="s">
        <v>4588</v>
      </c>
      <c r="B786" s="1" t="s">
        <v>4589</v>
      </c>
      <c r="C786" s="1">
        <v>2017</v>
      </c>
      <c r="D786" s="1" t="s">
        <v>4590</v>
      </c>
      <c r="E786" s="1" t="s">
        <v>1215</v>
      </c>
      <c r="F786" s="1" t="s">
        <v>1224</v>
      </c>
      <c r="G786" s="1" t="s">
        <v>1225</v>
      </c>
      <c r="H786" s="1" t="s">
        <v>4591</v>
      </c>
      <c r="I786" s="1" t="s">
        <v>4592</v>
      </c>
      <c r="J786" t="s">
        <v>4631</v>
      </c>
      <c r="K786" s="1" t="s">
        <v>4593</v>
      </c>
    </row>
    <row r="787" spans="1:11" ht="48" customHeight="1">
      <c r="A787" s="1" t="s">
        <v>4594</v>
      </c>
      <c r="B787" s="1" t="s">
        <v>4595</v>
      </c>
      <c r="C787" s="1">
        <v>2018</v>
      </c>
      <c r="D787" s="1" t="s">
        <v>4596</v>
      </c>
      <c r="E787" s="1" t="s">
        <v>1215</v>
      </c>
      <c r="F787" s="1" t="s">
        <v>1216</v>
      </c>
      <c r="G787" s="1" t="s">
        <v>1217</v>
      </c>
      <c r="H787" s="1" t="s">
        <v>4597</v>
      </c>
      <c r="I787" s="1" t="s">
        <v>4598</v>
      </c>
      <c r="J787" t="s">
        <v>4631</v>
      </c>
      <c r="K787" s="1" t="s">
        <v>4599</v>
      </c>
    </row>
    <row r="788" spans="1:11" ht="48" customHeight="1">
      <c r="A788" s="1" t="s">
        <v>4600</v>
      </c>
      <c r="B788" s="1" t="s">
        <v>4601</v>
      </c>
      <c r="C788" s="1">
        <v>2022</v>
      </c>
      <c r="D788" s="1" t="s">
        <v>4602</v>
      </c>
      <c r="E788" s="1" t="s">
        <v>1215</v>
      </c>
      <c r="F788" s="1" t="s">
        <v>2137</v>
      </c>
      <c r="G788" s="1" t="s">
        <v>2138</v>
      </c>
      <c r="H788" s="1" t="s">
        <v>4603</v>
      </c>
      <c r="I788" s="1" t="s">
        <v>4604</v>
      </c>
      <c r="J788" t="s">
        <v>4631</v>
      </c>
      <c r="K788" s="1" t="s">
        <v>4605</v>
      </c>
    </row>
    <row r="789" spans="1:11" ht="24" customHeight="1">
      <c r="A789" s="1" t="s">
        <v>4606</v>
      </c>
      <c r="B789" s="1" t="s">
        <v>4607</v>
      </c>
      <c r="C789" s="1">
        <v>2024</v>
      </c>
      <c r="D789" s="1" t="s">
        <v>4608</v>
      </c>
      <c r="E789" s="1" t="s">
        <v>1215</v>
      </c>
      <c r="F789" s="1" t="s">
        <v>1224</v>
      </c>
      <c r="G789" s="1" t="s">
        <v>1225</v>
      </c>
      <c r="H789" s="1" t="s">
        <v>4609</v>
      </c>
      <c r="I789" s="1" t="s">
        <v>4610</v>
      </c>
      <c r="J789" t="s">
        <v>4631</v>
      </c>
      <c r="K789" s="1" t="s">
        <v>4611</v>
      </c>
    </row>
    <row r="790" spans="1:11" ht="24" customHeight="1">
      <c r="A790" s="1" t="s">
        <v>4612</v>
      </c>
      <c r="B790" s="1" t="s">
        <v>4613</v>
      </c>
      <c r="C790" s="1">
        <v>2025</v>
      </c>
      <c r="D790" s="1" t="s">
        <v>4614</v>
      </c>
      <c r="E790" s="1" t="s">
        <v>1215</v>
      </c>
      <c r="F790" s="1" t="s">
        <v>1256</v>
      </c>
      <c r="G790" s="1" t="s">
        <v>1257</v>
      </c>
      <c r="H790" s="1" t="s">
        <v>4615</v>
      </c>
      <c r="I790" s="1" t="s">
        <v>4616</v>
      </c>
      <c r="J790" t="s">
        <v>4631</v>
      </c>
      <c r="K790" s="1" t="s">
        <v>4617</v>
      </c>
    </row>
    <row r="791" spans="1:11" ht="24" customHeight="1">
      <c r="A791" s="1" t="s">
        <v>4618</v>
      </c>
      <c r="B791" s="1" t="s">
        <v>4619</v>
      </c>
      <c r="C791" s="1">
        <v>2017</v>
      </c>
      <c r="D791" s="1" t="s">
        <v>4620</v>
      </c>
      <c r="E791" s="1" t="s">
        <v>1215</v>
      </c>
      <c r="F791" s="1" t="s">
        <v>1216</v>
      </c>
      <c r="G791" s="1" t="s">
        <v>1217</v>
      </c>
      <c r="H791" s="1" t="s">
        <v>4621</v>
      </c>
      <c r="I791" s="1" t="s">
        <v>4622</v>
      </c>
      <c r="J791" t="s">
        <v>4631</v>
      </c>
      <c r="K791" s="1" t="s">
        <v>4623</v>
      </c>
    </row>
    <row r="792" spans="1:11" ht="48" customHeight="1">
      <c r="A792" s="1" t="s">
        <v>4624</v>
      </c>
      <c r="B792" s="1" t="s">
        <v>4625</v>
      </c>
      <c r="C792" s="1">
        <v>2026</v>
      </c>
      <c r="D792" s="1" t="s">
        <v>4626</v>
      </c>
      <c r="E792" s="1" t="s">
        <v>4627</v>
      </c>
      <c r="F792" s="1" t="s">
        <v>1256</v>
      </c>
      <c r="G792" s="1" t="s">
        <v>4628</v>
      </c>
      <c r="H792" s="1" t="s">
        <v>4629</v>
      </c>
      <c r="I792" s="1" t="s">
        <v>4630</v>
      </c>
      <c r="J792" t="s">
        <v>4631</v>
      </c>
      <c r="K792" s="1" t="s">
        <v>4632</v>
      </c>
    </row>
    <row r="793" spans="1:11" ht="48" customHeight="1">
      <c r="A793" s="1" t="s">
        <v>4633</v>
      </c>
      <c r="B793" s="1" t="s">
        <v>4634</v>
      </c>
      <c r="C793" s="1">
        <v>2023</v>
      </c>
      <c r="D793" s="1" t="s">
        <v>4635</v>
      </c>
      <c r="E793" s="1" t="s">
        <v>4627</v>
      </c>
      <c r="F793" s="1" t="s">
        <v>1256</v>
      </c>
      <c r="G793" s="1" t="s">
        <v>4636</v>
      </c>
      <c r="H793" s="1" t="s">
        <v>4637</v>
      </c>
      <c r="I793" s="1" t="s">
        <v>4638</v>
      </c>
      <c r="J793" t="s">
        <v>4631</v>
      </c>
      <c r="K793" s="1" t="s">
        <v>4639</v>
      </c>
    </row>
    <row r="794" spans="1:11" ht="48" customHeight="1">
      <c r="A794" s="1" t="s">
        <v>4640</v>
      </c>
      <c r="B794" s="1" t="s">
        <v>4641</v>
      </c>
      <c r="C794" s="1">
        <v>2026</v>
      </c>
      <c r="D794" s="1" t="s">
        <v>4642</v>
      </c>
      <c r="E794" s="1" t="s">
        <v>4627</v>
      </c>
      <c r="F794" s="1" t="s">
        <v>1216</v>
      </c>
      <c r="G794" s="1" t="s">
        <v>4643</v>
      </c>
      <c r="H794" s="1" t="s">
        <v>4644</v>
      </c>
      <c r="I794" s="1" t="s">
        <v>4645</v>
      </c>
      <c r="J794" t="s">
        <v>4631</v>
      </c>
      <c r="K794" s="1" t="s">
        <v>4647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
  <sheetViews>
    <sheetView showGridLines="0" topLeftCell="K1" workbookViewId="0"/>
  </sheetViews>
  <sheetFormatPr baseColWidth="10" defaultColWidth="8.83203125" defaultRowHeight="15"/>
  <cols>
    <col min="1" max="1" width="34" customWidth="1"/>
    <col min="2" max="2" width="58" customWidth="1"/>
    <col min="3" max="3" width="16" customWidth="1"/>
    <col min="4" max="7" width="34" customWidth="1"/>
    <col min="8" max="9" width="58" customWidth="1"/>
    <col min="10" max="12" width="34" customWidth="1"/>
  </cols>
  <sheetData>
    <row r="1" spans="1:12" ht="38" customHeight="1">
      <c r="A1" s="2" t="s">
        <v>37</v>
      </c>
      <c r="B1" s="2" t="s">
        <v>38</v>
      </c>
      <c r="C1" s="2" t="s">
        <v>39</v>
      </c>
      <c r="D1" s="2" t="s">
        <v>40</v>
      </c>
      <c r="E1" s="2" t="s">
        <v>41</v>
      </c>
      <c r="F1" s="2" t="s">
        <v>42</v>
      </c>
      <c r="G1" s="2" t="s">
        <v>43</v>
      </c>
      <c r="H1" s="2" t="s">
        <v>44</v>
      </c>
      <c r="I1" s="2" t="s">
        <v>45</v>
      </c>
      <c r="J1" s="2" t="s">
        <v>46</v>
      </c>
      <c r="K1" s="2" t="s">
        <v>47</v>
      </c>
      <c r="L1" s="2" t="s">
        <v>9</v>
      </c>
    </row>
    <row r="2" spans="1:12" ht="36" customHeight="1">
      <c r="A2" s="1" t="s">
        <v>4648</v>
      </c>
      <c r="B2" s="1" t="s">
        <v>4649</v>
      </c>
      <c r="C2" s="1">
        <v>2021</v>
      </c>
      <c r="D2" s="1" t="s">
        <v>4650</v>
      </c>
      <c r="E2" s="1" t="s">
        <v>4651</v>
      </c>
      <c r="F2" s="1" t="s">
        <v>4652</v>
      </c>
      <c r="G2" s="1" t="s">
        <v>4653</v>
      </c>
      <c r="H2" s="1" t="s">
        <v>4654</v>
      </c>
      <c r="I2" s="1" t="s">
        <v>4655</v>
      </c>
      <c r="J2" s="1" t="s">
        <v>56</v>
      </c>
      <c r="K2" s="1" t="s">
        <v>4656</v>
      </c>
      <c r="L2" s="1" t="s">
        <v>4657</v>
      </c>
    </row>
    <row r="3" spans="1:12" ht="36" customHeight="1">
      <c r="A3" s="1" t="s">
        <v>4658</v>
      </c>
      <c r="B3" s="1" t="s">
        <v>4659</v>
      </c>
      <c r="C3" s="1">
        <v>2022</v>
      </c>
      <c r="D3" s="1" t="s">
        <v>4660</v>
      </c>
      <c r="E3" s="1" t="s">
        <v>4651</v>
      </c>
      <c r="F3" s="1" t="s">
        <v>4652</v>
      </c>
      <c r="G3" s="1" t="s">
        <v>4653</v>
      </c>
      <c r="H3" s="1" t="s">
        <v>4661</v>
      </c>
      <c r="I3" s="1" t="s">
        <v>4662</v>
      </c>
      <c r="J3" s="1" t="s">
        <v>56</v>
      </c>
      <c r="K3" s="1" t="s">
        <v>4656</v>
      </c>
      <c r="L3" s="1" t="s">
        <v>4663</v>
      </c>
    </row>
    <row r="4" spans="1:12" ht="36" customHeight="1">
      <c r="A4" s="1" t="s">
        <v>4664</v>
      </c>
      <c r="B4" s="1" t="s">
        <v>4665</v>
      </c>
      <c r="C4" s="1">
        <v>2020</v>
      </c>
      <c r="D4" s="1" t="s">
        <v>4666</v>
      </c>
      <c r="E4" s="1" t="s">
        <v>4651</v>
      </c>
      <c r="F4" s="1" t="s">
        <v>4652</v>
      </c>
      <c r="G4" s="1" t="s">
        <v>4653</v>
      </c>
      <c r="H4" s="1" t="s">
        <v>4667</v>
      </c>
      <c r="I4" s="1" t="s">
        <v>4668</v>
      </c>
      <c r="J4" s="1" t="s">
        <v>56</v>
      </c>
      <c r="K4" s="1" t="s">
        <v>4656</v>
      </c>
      <c r="L4" s="1" t="s">
        <v>4669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92"/>
  <sheetViews>
    <sheetView showGridLines="0" zoomScale="50" workbookViewId="0">
      <pane xSplit="1" ySplit="1" topLeftCell="J2" activePane="bottomRight" state="frozen"/>
      <selection pane="topRight"/>
      <selection pane="bottomLeft"/>
      <selection pane="bottomRight" activeCell="B2" sqref="B2"/>
    </sheetView>
  </sheetViews>
  <sheetFormatPr baseColWidth="10" defaultColWidth="8.83203125" defaultRowHeight="15"/>
  <cols>
    <col min="1" max="4" width="34" customWidth="1"/>
    <col min="5" max="7" width="16" customWidth="1"/>
    <col min="8" max="8" width="34" customWidth="1"/>
    <col min="9" max="14" width="58" customWidth="1"/>
    <col min="15" max="18" width="34" customWidth="1"/>
  </cols>
  <sheetData>
    <row r="1" spans="1:18" ht="38" customHeight="1">
      <c r="A1" s="2" t="s">
        <v>37</v>
      </c>
      <c r="B1" s="2" t="s">
        <v>4670</v>
      </c>
      <c r="C1" s="2" t="s">
        <v>4671</v>
      </c>
      <c r="D1" s="2" t="s">
        <v>4672</v>
      </c>
      <c r="E1" s="2" t="s">
        <v>4673</v>
      </c>
      <c r="F1" s="2" t="s">
        <v>4674</v>
      </c>
      <c r="G1" s="2" t="s">
        <v>4675</v>
      </c>
      <c r="H1" s="2" t="s">
        <v>4676</v>
      </c>
      <c r="I1" s="2" t="s">
        <v>4677</v>
      </c>
      <c r="J1" s="2" t="s">
        <v>4678</v>
      </c>
      <c r="K1" s="2" t="s">
        <v>4679</v>
      </c>
      <c r="L1" s="2" t="s">
        <v>4680</v>
      </c>
      <c r="M1" s="2" t="s">
        <v>4681</v>
      </c>
      <c r="N1" s="2" t="s">
        <v>4682</v>
      </c>
      <c r="O1" s="2" t="s">
        <v>4683</v>
      </c>
      <c r="P1" s="2" t="s">
        <v>4684</v>
      </c>
      <c r="Q1" s="2" t="s">
        <v>4685</v>
      </c>
      <c r="R1" s="2" t="s">
        <v>4686</v>
      </c>
    </row>
    <row r="2" spans="1:18" ht="72" customHeight="1">
      <c r="A2" s="1" t="s">
        <v>4687</v>
      </c>
      <c r="B2" s="1" t="s">
        <v>4688</v>
      </c>
      <c r="C2" s="1" t="s">
        <v>4689</v>
      </c>
      <c r="D2" s="1" t="s">
        <v>4690</v>
      </c>
      <c r="E2" s="1">
        <v>1</v>
      </c>
      <c r="F2" s="1">
        <v>0</v>
      </c>
      <c r="G2" s="1">
        <v>1</v>
      </c>
      <c r="H2" s="1" t="s">
        <v>4691</v>
      </c>
      <c r="I2" s="1" t="s">
        <v>4692</v>
      </c>
      <c r="J2" s="1" t="s">
        <v>4693</v>
      </c>
      <c r="K2" s="1"/>
      <c r="L2" s="1" t="s">
        <v>4694</v>
      </c>
      <c r="M2" s="1" t="s">
        <v>4695</v>
      </c>
      <c r="N2" s="1" t="s">
        <v>4696</v>
      </c>
      <c r="O2" s="1" t="s">
        <v>4697</v>
      </c>
      <c r="P2" s="1" t="s">
        <v>4698</v>
      </c>
      <c r="Q2" s="1" t="s">
        <v>4699</v>
      </c>
      <c r="R2" s="1" t="s">
        <v>4700</v>
      </c>
    </row>
    <row r="3" spans="1:18" ht="72" customHeight="1">
      <c r="A3" s="1" t="s">
        <v>4701</v>
      </c>
      <c r="B3" s="1" t="s">
        <v>4702</v>
      </c>
      <c r="C3" s="1" t="s">
        <v>4703</v>
      </c>
      <c r="D3" s="1" t="s">
        <v>4704</v>
      </c>
      <c r="E3" s="1">
        <v>4</v>
      </c>
      <c r="F3" s="1">
        <v>3</v>
      </c>
      <c r="G3" s="1">
        <v>4</v>
      </c>
      <c r="H3" s="1" t="s">
        <v>4691</v>
      </c>
      <c r="I3" s="1" t="s">
        <v>4705</v>
      </c>
      <c r="J3" s="1" t="s">
        <v>4706</v>
      </c>
      <c r="K3" s="1" t="s">
        <v>4707</v>
      </c>
      <c r="L3" s="1" t="s">
        <v>4708</v>
      </c>
      <c r="M3" s="1" t="s">
        <v>4709</v>
      </c>
      <c r="N3" s="1" t="s">
        <v>4710</v>
      </c>
      <c r="O3" s="1" t="s">
        <v>4697</v>
      </c>
      <c r="P3" s="1" t="s">
        <v>4711</v>
      </c>
      <c r="Q3" s="1" t="s">
        <v>4712</v>
      </c>
      <c r="R3" s="1" t="s">
        <v>4713</v>
      </c>
    </row>
    <row r="4" spans="1:18" ht="36" customHeight="1">
      <c r="A4" s="1" t="s">
        <v>4701</v>
      </c>
      <c r="B4" s="1" t="s">
        <v>4688</v>
      </c>
      <c r="C4" s="1" t="s">
        <v>4714</v>
      </c>
      <c r="D4" s="1" t="s">
        <v>4715</v>
      </c>
      <c r="E4" s="1">
        <v>2</v>
      </c>
      <c r="F4" s="1">
        <v>1</v>
      </c>
      <c r="G4" s="1">
        <v>1</v>
      </c>
      <c r="H4" s="1" t="s">
        <v>4646</v>
      </c>
      <c r="I4" s="1" t="s">
        <v>4716</v>
      </c>
      <c r="J4" s="1" t="s">
        <v>4717</v>
      </c>
      <c r="K4" s="1"/>
      <c r="L4" s="1" t="s">
        <v>4718</v>
      </c>
      <c r="M4" s="1" t="s">
        <v>4719</v>
      </c>
      <c r="N4" s="1" t="s">
        <v>4720</v>
      </c>
      <c r="O4" s="1" t="s">
        <v>4721</v>
      </c>
      <c r="P4" s="1" t="s">
        <v>4722</v>
      </c>
      <c r="Q4" s="1" t="s">
        <v>4723</v>
      </c>
      <c r="R4" s="1" t="s">
        <v>4724</v>
      </c>
    </row>
    <row r="5" spans="1:18" ht="84" customHeight="1">
      <c r="A5" s="1" t="s">
        <v>4725</v>
      </c>
      <c r="B5" s="1" t="s">
        <v>4702</v>
      </c>
      <c r="C5" s="1" t="s">
        <v>4703</v>
      </c>
      <c r="D5" s="1" t="s">
        <v>4704</v>
      </c>
      <c r="E5" s="1">
        <v>2</v>
      </c>
      <c r="F5" s="1">
        <v>3</v>
      </c>
      <c r="G5" s="1">
        <v>4</v>
      </c>
      <c r="H5" s="1" t="s">
        <v>4691</v>
      </c>
      <c r="I5" s="1" t="s">
        <v>4726</v>
      </c>
      <c r="J5" s="1"/>
      <c r="K5" s="1" t="s">
        <v>4727</v>
      </c>
      <c r="L5" s="1" t="s">
        <v>4728</v>
      </c>
      <c r="M5" s="1" t="s">
        <v>4729</v>
      </c>
      <c r="N5" s="1" t="s">
        <v>4730</v>
      </c>
      <c r="O5" s="1" t="s">
        <v>4697</v>
      </c>
      <c r="P5" s="1" t="s">
        <v>4731</v>
      </c>
      <c r="Q5" s="1" t="s">
        <v>4732</v>
      </c>
      <c r="R5" s="1" t="s">
        <v>4733</v>
      </c>
    </row>
    <row r="6" spans="1:18" ht="48" customHeight="1">
      <c r="A6" s="1" t="s">
        <v>4725</v>
      </c>
      <c r="B6" s="1" t="s">
        <v>4688</v>
      </c>
      <c r="C6" s="1" t="s">
        <v>4734</v>
      </c>
      <c r="D6" s="1" t="s">
        <v>4735</v>
      </c>
      <c r="E6" s="1">
        <v>2</v>
      </c>
      <c r="F6" s="1">
        <v>1</v>
      </c>
      <c r="G6" s="1">
        <v>2</v>
      </c>
      <c r="H6" s="1" t="s">
        <v>4691</v>
      </c>
      <c r="I6" s="1" t="s">
        <v>4736</v>
      </c>
      <c r="J6" s="1" t="s">
        <v>4737</v>
      </c>
      <c r="K6" s="1"/>
      <c r="L6" s="1" t="s">
        <v>4738</v>
      </c>
      <c r="M6" s="1" t="s">
        <v>4739</v>
      </c>
      <c r="N6" s="1" t="s">
        <v>4740</v>
      </c>
      <c r="O6" s="1" t="s">
        <v>4697</v>
      </c>
      <c r="P6" s="1" t="s">
        <v>4741</v>
      </c>
      <c r="Q6" s="1" t="s">
        <v>4742</v>
      </c>
      <c r="R6" s="1" t="s">
        <v>4743</v>
      </c>
    </row>
    <row r="7" spans="1:18" ht="72" customHeight="1">
      <c r="A7" s="1" t="s">
        <v>4725</v>
      </c>
      <c r="B7" s="1" t="s">
        <v>4688</v>
      </c>
      <c r="C7" s="1" t="s">
        <v>4744</v>
      </c>
      <c r="D7" s="1" t="s">
        <v>4745</v>
      </c>
      <c r="E7" s="1">
        <v>1</v>
      </c>
      <c r="F7" s="1">
        <v>0</v>
      </c>
      <c r="G7" s="1">
        <v>2</v>
      </c>
      <c r="H7" s="1" t="s">
        <v>4691</v>
      </c>
      <c r="I7" s="1" t="s">
        <v>4746</v>
      </c>
      <c r="J7" s="1" t="s">
        <v>4747</v>
      </c>
      <c r="K7" s="1"/>
      <c r="L7" s="1" t="s">
        <v>4748</v>
      </c>
      <c r="M7" s="1" t="s">
        <v>4749</v>
      </c>
      <c r="N7" s="1" t="s">
        <v>4750</v>
      </c>
      <c r="O7" s="1" t="s">
        <v>4697</v>
      </c>
      <c r="P7" s="1" t="s">
        <v>4751</v>
      </c>
      <c r="Q7" s="1" t="s">
        <v>4752</v>
      </c>
      <c r="R7" s="1" t="s">
        <v>4753</v>
      </c>
    </row>
    <row r="8" spans="1:18" ht="96" customHeight="1">
      <c r="A8" s="1" t="s">
        <v>4725</v>
      </c>
      <c r="B8" s="1" t="s">
        <v>4688</v>
      </c>
      <c r="C8" s="1" t="s">
        <v>4714</v>
      </c>
      <c r="D8" s="1" t="s">
        <v>4715</v>
      </c>
      <c r="E8" s="1">
        <v>2</v>
      </c>
      <c r="F8" s="1">
        <v>1</v>
      </c>
      <c r="G8" s="1">
        <v>2</v>
      </c>
      <c r="H8" s="1" t="s">
        <v>4646</v>
      </c>
      <c r="I8" s="1" t="s">
        <v>4754</v>
      </c>
      <c r="J8" s="1" t="s">
        <v>4755</v>
      </c>
      <c r="K8" s="1"/>
      <c r="L8" s="1" t="s">
        <v>4756</v>
      </c>
      <c r="M8" s="1" t="s">
        <v>4757</v>
      </c>
      <c r="N8" s="1" t="s">
        <v>4758</v>
      </c>
      <c r="O8" s="1" t="s">
        <v>4721</v>
      </c>
      <c r="P8" s="1" t="s">
        <v>4759</v>
      </c>
      <c r="Q8" s="1" t="s">
        <v>4760</v>
      </c>
      <c r="R8" s="1" t="s">
        <v>4761</v>
      </c>
    </row>
    <row r="9" spans="1:18" ht="60" customHeight="1">
      <c r="A9" s="1" t="s">
        <v>4762</v>
      </c>
      <c r="B9" s="1" t="s">
        <v>4688</v>
      </c>
      <c r="C9" s="1" t="s">
        <v>4744</v>
      </c>
      <c r="D9" s="1" t="s">
        <v>4745</v>
      </c>
      <c r="E9" s="1">
        <v>0</v>
      </c>
      <c r="F9" s="1">
        <v>1</v>
      </c>
      <c r="G9" s="1">
        <v>1</v>
      </c>
      <c r="H9" s="1" t="s">
        <v>4691</v>
      </c>
      <c r="I9" s="1" t="s">
        <v>4763</v>
      </c>
      <c r="J9" s="1" t="s">
        <v>4764</v>
      </c>
      <c r="K9" s="1"/>
      <c r="L9" s="1" t="s">
        <v>4765</v>
      </c>
      <c r="M9" s="1" t="s">
        <v>4766</v>
      </c>
      <c r="N9" s="1" t="s">
        <v>4767</v>
      </c>
      <c r="O9" s="1" t="s">
        <v>4697</v>
      </c>
      <c r="P9" s="1" t="s">
        <v>4768</v>
      </c>
      <c r="Q9" s="1" t="s">
        <v>4769</v>
      </c>
      <c r="R9" s="1" t="s">
        <v>4770</v>
      </c>
    </row>
    <row r="10" spans="1:18" ht="60" customHeight="1">
      <c r="A10" s="1" t="s">
        <v>4771</v>
      </c>
      <c r="B10" s="1" t="s">
        <v>4688</v>
      </c>
      <c r="C10" s="1" t="s">
        <v>4734</v>
      </c>
      <c r="D10" s="1" t="s">
        <v>4735</v>
      </c>
      <c r="E10" s="1">
        <v>0</v>
      </c>
      <c r="F10" s="1">
        <v>2</v>
      </c>
      <c r="G10" s="1">
        <v>2</v>
      </c>
      <c r="H10" s="1" t="s">
        <v>4691</v>
      </c>
      <c r="I10" s="1" t="s">
        <v>4747</v>
      </c>
      <c r="J10" s="1" t="s">
        <v>4772</v>
      </c>
      <c r="K10" s="1"/>
      <c r="L10" s="1" t="s">
        <v>4773</v>
      </c>
      <c r="M10" s="1" t="s">
        <v>4774</v>
      </c>
      <c r="N10" s="1" t="s">
        <v>4775</v>
      </c>
      <c r="O10" s="1" t="s">
        <v>4697</v>
      </c>
      <c r="P10" s="1" t="s">
        <v>4776</v>
      </c>
      <c r="Q10" s="1" t="s">
        <v>4777</v>
      </c>
      <c r="R10" s="1" t="s">
        <v>4778</v>
      </c>
    </row>
    <row r="11" spans="1:18" ht="36" customHeight="1">
      <c r="A11" s="1" t="s">
        <v>4771</v>
      </c>
      <c r="B11" s="1" t="s">
        <v>4688</v>
      </c>
      <c r="C11" s="1" t="s">
        <v>4714</v>
      </c>
      <c r="D11" s="1" t="s">
        <v>4715</v>
      </c>
      <c r="E11" s="1">
        <v>2</v>
      </c>
      <c r="F11" s="1">
        <v>1</v>
      </c>
      <c r="G11" s="1">
        <v>1</v>
      </c>
      <c r="H11" s="1" t="s">
        <v>4646</v>
      </c>
      <c r="I11" s="1" t="s">
        <v>4779</v>
      </c>
      <c r="J11" s="1" t="s">
        <v>4780</v>
      </c>
      <c r="K11" s="1"/>
      <c r="L11" s="1" t="s">
        <v>4781</v>
      </c>
      <c r="M11" s="1" t="s">
        <v>4782</v>
      </c>
      <c r="N11" s="1" t="s">
        <v>4720</v>
      </c>
      <c r="O11" s="1" t="s">
        <v>4721</v>
      </c>
      <c r="P11" s="1" t="s">
        <v>4783</v>
      </c>
      <c r="Q11" s="1" t="s">
        <v>4784</v>
      </c>
      <c r="R11" s="1" t="s">
        <v>4785</v>
      </c>
    </row>
    <row r="12" spans="1:18" ht="72" customHeight="1">
      <c r="A12" s="1" t="s">
        <v>4786</v>
      </c>
      <c r="B12" s="1" t="s">
        <v>4702</v>
      </c>
      <c r="C12" s="1" t="s">
        <v>4703</v>
      </c>
      <c r="D12" s="1" t="s">
        <v>4704</v>
      </c>
      <c r="E12" s="1">
        <v>4</v>
      </c>
      <c r="F12" s="1">
        <v>5</v>
      </c>
      <c r="G12" s="1">
        <v>5</v>
      </c>
      <c r="H12" s="1" t="s">
        <v>4691</v>
      </c>
      <c r="I12" s="1" t="s">
        <v>4787</v>
      </c>
      <c r="J12" s="1" t="s">
        <v>4788</v>
      </c>
      <c r="K12" s="1" t="s">
        <v>4789</v>
      </c>
      <c r="L12" s="1" t="s">
        <v>4790</v>
      </c>
      <c r="M12" s="1" t="s">
        <v>4791</v>
      </c>
      <c r="N12" s="1" t="s">
        <v>4792</v>
      </c>
      <c r="O12" s="1" t="s">
        <v>4697</v>
      </c>
      <c r="P12" s="1" t="s">
        <v>4793</v>
      </c>
      <c r="Q12" s="1" t="s">
        <v>4794</v>
      </c>
      <c r="R12" s="1" t="s">
        <v>4795</v>
      </c>
    </row>
    <row r="13" spans="1:18" ht="48" customHeight="1">
      <c r="A13" s="1" t="s">
        <v>4786</v>
      </c>
      <c r="B13" s="1" t="s">
        <v>4688</v>
      </c>
      <c r="C13" s="1" t="s">
        <v>4734</v>
      </c>
      <c r="D13" s="1" t="s">
        <v>4735</v>
      </c>
      <c r="E13" s="1">
        <v>2</v>
      </c>
      <c r="F13" s="1">
        <v>0</v>
      </c>
      <c r="G13" s="1">
        <v>2</v>
      </c>
      <c r="H13" s="1" t="s">
        <v>4691</v>
      </c>
      <c r="I13" s="1" t="s">
        <v>4796</v>
      </c>
      <c r="J13" s="1" t="s">
        <v>4747</v>
      </c>
      <c r="K13" s="1"/>
      <c r="L13" s="1" t="s">
        <v>4797</v>
      </c>
      <c r="M13" s="1" t="s">
        <v>4798</v>
      </c>
      <c r="N13" s="1" t="s">
        <v>4799</v>
      </c>
      <c r="O13" s="1" t="s">
        <v>4697</v>
      </c>
      <c r="P13" s="1" t="s">
        <v>4800</v>
      </c>
      <c r="Q13" s="1" t="s">
        <v>4801</v>
      </c>
      <c r="R13" s="1" t="s">
        <v>4802</v>
      </c>
    </row>
    <row r="14" spans="1:18" ht="48" customHeight="1">
      <c r="A14" s="1" t="s">
        <v>4786</v>
      </c>
      <c r="B14" s="1" t="s">
        <v>4688</v>
      </c>
      <c r="C14" s="1" t="s">
        <v>4744</v>
      </c>
      <c r="D14" s="1" t="s">
        <v>4745</v>
      </c>
      <c r="E14" s="1">
        <v>2</v>
      </c>
      <c r="F14" s="1">
        <v>1</v>
      </c>
      <c r="G14" s="1">
        <v>2</v>
      </c>
      <c r="H14" s="1" t="s">
        <v>4691</v>
      </c>
      <c r="I14" s="1" t="s">
        <v>4803</v>
      </c>
      <c r="J14" s="1" t="s">
        <v>4788</v>
      </c>
      <c r="K14" s="1"/>
      <c r="L14" s="1" t="s">
        <v>4804</v>
      </c>
      <c r="M14" s="1" t="s">
        <v>4805</v>
      </c>
      <c r="N14" s="1" t="s">
        <v>4806</v>
      </c>
      <c r="O14" s="1" t="s">
        <v>4697</v>
      </c>
      <c r="P14" s="1" t="s">
        <v>4807</v>
      </c>
      <c r="Q14" s="1" t="s">
        <v>4808</v>
      </c>
      <c r="R14" s="1" t="s">
        <v>4809</v>
      </c>
    </row>
    <row r="15" spans="1:18" ht="48" customHeight="1">
      <c r="A15" s="1" t="s">
        <v>4786</v>
      </c>
      <c r="B15" s="1" t="s">
        <v>4688</v>
      </c>
      <c r="C15" s="1" t="s">
        <v>4810</v>
      </c>
      <c r="D15" s="1" t="s">
        <v>4811</v>
      </c>
      <c r="E15" s="1">
        <v>2</v>
      </c>
      <c r="F15" s="1">
        <v>0</v>
      </c>
      <c r="G15" s="1">
        <v>2</v>
      </c>
      <c r="H15" s="1" t="s">
        <v>4691</v>
      </c>
      <c r="I15" s="1" t="s">
        <v>4812</v>
      </c>
      <c r="J15" s="1" t="s">
        <v>4747</v>
      </c>
      <c r="K15" s="1"/>
      <c r="L15" s="1" t="s">
        <v>4813</v>
      </c>
      <c r="M15" s="1" t="s">
        <v>4814</v>
      </c>
      <c r="N15" s="1" t="s">
        <v>4815</v>
      </c>
      <c r="O15" s="1" t="s">
        <v>4697</v>
      </c>
      <c r="P15" s="1" t="s">
        <v>4816</v>
      </c>
      <c r="Q15" s="1" t="s">
        <v>4817</v>
      </c>
      <c r="R15" s="1" t="s">
        <v>4818</v>
      </c>
    </row>
    <row r="16" spans="1:18" ht="48" customHeight="1">
      <c r="A16" s="1" t="s">
        <v>4786</v>
      </c>
      <c r="B16" s="1" t="s">
        <v>4688</v>
      </c>
      <c r="C16" s="1" t="s">
        <v>4714</v>
      </c>
      <c r="D16" s="1" t="s">
        <v>4715</v>
      </c>
      <c r="E16" s="1">
        <v>2</v>
      </c>
      <c r="F16" s="1">
        <v>1</v>
      </c>
      <c r="G16" s="1">
        <v>2</v>
      </c>
      <c r="H16" s="1" t="s">
        <v>4646</v>
      </c>
      <c r="I16" s="1" t="s">
        <v>4819</v>
      </c>
      <c r="J16" s="1" t="s">
        <v>4717</v>
      </c>
      <c r="K16" s="1"/>
      <c r="L16" s="1" t="s">
        <v>4820</v>
      </c>
      <c r="M16" s="1" t="s">
        <v>4821</v>
      </c>
      <c r="N16" s="1" t="s">
        <v>4758</v>
      </c>
      <c r="O16" s="1" t="s">
        <v>4721</v>
      </c>
      <c r="P16" s="1" t="s">
        <v>4822</v>
      </c>
      <c r="Q16" s="1" t="s">
        <v>4823</v>
      </c>
      <c r="R16" s="1" t="s">
        <v>4824</v>
      </c>
    </row>
    <row r="17" spans="1:18" ht="36" customHeight="1">
      <c r="A17" s="1" t="s">
        <v>4825</v>
      </c>
      <c r="B17" s="1" t="s">
        <v>4688</v>
      </c>
      <c r="C17" s="1" t="s">
        <v>4714</v>
      </c>
      <c r="D17" s="1" t="s">
        <v>4715</v>
      </c>
      <c r="E17" s="1">
        <v>2</v>
      </c>
      <c r="F17" s="1">
        <v>1</v>
      </c>
      <c r="G17" s="1">
        <v>1</v>
      </c>
      <c r="H17" s="1" t="s">
        <v>4646</v>
      </c>
      <c r="I17" s="1" t="s">
        <v>4826</v>
      </c>
      <c r="J17" s="1" t="s">
        <v>4827</v>
      </c>
      <c r="K17" s="1"/>
      <c r="L17" s="1" t="s">
        <v>4828</v>
      </c>
      <c r="M17" s="1" t="s">
        <v>4829</v>
      </c>
      <c r="N17" s="1" t="s">
        <v>4720</v>
      </c>
      <c r="O17" s="1" t="s">
        <v>4721</v>
      </c>
      <c r="P17" s="1" t="s">
        <v>4830</v>
      </c>
      <c r="Q17" s="1" t="s">
        <v>4831</v>
      </c>
      <c r="R17" s="1" t="s">
        <v>4832</v>
      </c>
    </row>
    <row r="18" spans="1:18" ht="84" customHeight="1">
      <c r="A18" s="1" t="s">
        <v>4833</v>
      </c>
      <c r="B18" s="1" t="s">
        <v>4702</v>
      </c>
      <c r="C18" s="1" t="s">
        <v>4834</v>
      </c>
      <c r="D18" s="1" t="s">
        <v>4835</v>
      </c>
      <c r="E18" s="1">
        <v>3</v>
      </c>
      <c r="F18" s="1">
        <v>2</v>
      </c>
      <c r="G18" s="1">
        <v>2</v>
      </c>
      <c r="H18" s="1" t="s">
        <v>4691</v>
      </c>
      <c r="I18" s="1" t="s">
        <v>4836</v>
      </c>
      <c r="J18" s="1" t="s">
        <v>4788</v>
      </c>
      <c r="K18" s="1" t="s">
        <v>4837</v>
      </c>
      <c r="L18" s="1" t="s">
        <v>4838</v>
      </c>
      <c r="M18" s="1" t="s">
        <v>4839</v>
      </c>
      <c r="N18" s="1" t="s">
        <v>4840</v>
      </c>
      <c r="O18" s="1" t="s">
        <v>4697</v>
      </c>
      <c r="P18" s="1" t="s">
        <v>4841</v>
      </c>
      <c r="Q18" s="1" t="s">
        <v>4842</v>
      </c>
      <c r="R18" s="1" t="s">
        <v>4843</v>
      </c>
    </row>
    <row r="19" spans="1:18" ht="120" customHeight="1">
      <c r="A19" s="1" t="s">
        <v>4833</v>
      </c>
      <c r="B19" s="1" t="s">
        <v>4702</v>
      </c>
      <c r="C19" s="1" t="s">
        <v>4703</v>
      </c>
      <c r="D19" s="1" t="s">
        <v>4704</v>
      </c>
      <c r="E19" s="1">
        <v>2</v>
      </c>
      <c r="F19" s="1">
        <v>3</v>
      </c>
      <c r="G19" s="1">
        <v>4</v>
      </c>
      <c r="H19" s="1" t="s">
        <v>4691</v>
      </c>
      <c r="I19" s="1" t="s">
        <v>4844</v>
      </c>
      <c r="J19" s="1" t="s">
        <v>4845</v>
      </c>
      <c r="K19" s="1" t="s">
        <v>4846</v>
      </c>
      <c r="L19" s="1" t="s">
        <v>4847</v>
      </c>
      <c r="M19" s="1" t="s">
        <v>4848</v>
      </c>
      <c r="N19" s="1" t="s">
        <v>4849</v>
      </c>
      <c r="O19" s="1" t="s">
        <v>4697</v>
      </c>
      <c r="P19" s="1" t="s">
        <v>4850</v>
      </c>
      <c r="Q19" s="1" t="s">
        <v>4851</v>
      </c>
      <c r="R19" s="1" t="s">
        <v>4852</v>
      </c>
    </row>
    <row r="20" spans="1:18" ht="72" customHeight="1">
      <c r="A20" s="1" t="s">
        <v>4833</v>
      </c>
      <c r="B20" s="1" t="s">
        <v>4688</v>
      </c>
      <c r="C20" s="1" t="s">
        <v>4744</v>
      </c>
      <c r="D20" s="1" t="s">
        <v>4745</v>
      </c>
      <c r="E20" s="1">
        <v>2</v>
      </c>
      <c r="F20" s="1">
        <v>1</v>
      </c>
      <c r="G20" s="1">
        <v>2</v>
      </c>
      <c r="H20" s="1" t="s">
        <v>4691</v>
      </c>
      <c r="I20" s="1" t="s">
        <v>4853</v>
      </c>
      <c r="J20" s="1" t="s">
        <v>4854</v>
      </c>
      <c r="K20" s="1"/>
      <c r="L20" s="1" t="s">
        <v>4855</v>
      </c>
      <c r="M20" s="1" t="s">
        <v>4856</v>
      </c>
      <c r="N20" s="1" t="s">
        <v>4857</v>
      </c>
      <c r="O20" s="1" t="s">
        <v>4697</v>
      </c>
      <c r="P20" s="1" t="s">
        <v>4858</v>
      </c>
      <c r="Q20" s="1" t="s">
        <v>4859</v>
      </c>
      <c r="R20" s="1" t="s">
        <v>4860</v>
      </c>
    </row>
    <row r="21" spans="1:18" ht="48" customHeight="1">
      <c r="A21" s="1" t="s">
        <v>4833</v>
      </c>
      <c r="B21" s="1" t="s">
        <v>4688</v>
      </c>
      <c r="C21" s="1" t="s">
        <v>4714</v>
      </c>
      <c r="D21" s="1" t="s">
        <v>4715</v>
      </c>
      <c r="E21" s="1">
        <v>2</v>
      </c>
      <c r="F21" s="1">
        <v>1</v>
      </c>
      <c r="G21" s="1">
        <v>1</v>
      </c>
      <c r="H21" s="1" t="s">
        <v>4646</v>
      </c>
      <c r="I21" s="1" t="s">
        <v>4861</v>
      </c>
      <c r="J21" s="1" t="s">
        <v>4862</v>
      </c>
      <c r="K21" s="1"/>
      <c r="L21" s="1" t="s">
        <v>4863</v>
      </c>
      <c r="M21" s="1" t="s">
        <v>4864</v>
      </c>
      <c r="N21" s="1" t="s">
        <v>4720</v>
      </c>
      <c r="O21" s="1" t="s">
        <v>4721</v>
      </c>
      <c r="P21" s="1" t="s">
        <v>4865</v>
      </c>
      <c r="Q21" s="1" t="s">
        <v>4866</v>
      </c>
      <c r="R21" s="1" t="s">
        <v>4867</v>
      </c>
    </row>
    <row r="22" spans="1:18" ht="84" customHeight="1">
      <c r="A22" s="1" t="s">
        <v>4868</v>
      </c>
      <c r="B22" s="1" t="s">
        <v>4702</v>
      </c>
      <c r="C22" s="1" t="s">
        <v>4834</v>
      </c>
      <c r="D22" s="1" t="s">
        <v>4835</v>
      </c>
      <c r="E22" s="1">
        <v>4</v>
      </c>
      <c r="F22" s="1">
        <v>2</v>
      </c>
      <c r="G22" s="1">
        <v>2</v>
      </c>
      <c r="H22" s="1" t="s">
        <v>4691</v>
      </c>
      <c r="I22" s="1" t="s">
        <v>4869</v>
      </c>
      <c r="J22" s="1" t="s">
        <v>4788</v>
      </c>
      <c r="K22" s="1" t="s">
        <v>4870</v>
      </c>
      <c r="L22" s="1" t="s">
        <v>4871</v>
      </c>
      <c r="M22" s="1" t="s">
        <v>4872</v>
      </c>
      <c r="N22" s="1" t="s">
        <v>4873</v>
      </c>
      <c r="O22" s="1" t="s">
        <v>4697</v>
      </c>
      <c r="P22" s="1" t="s">
        <v>4874</v>
      </c>
      <c r="Q22" s="1" t="s">
        <v>4875</v>
      </c>
      <c r="R22" s="1" t="s">
        <v>4876</v>
      </c>
    </row>
    <row r="23" spans="1:18" ht="84" customHeight="1">
      <c r="A23" s="1" t="s">
        <v>4868</v>
      </c>
      <c r="B23" s="1" t="s">
        <v>4702</v>
      </c>
      <c r="C23" s="1" t="s">
        <v>4703</v>
      </c>
      <c r="D23" s="1" t="s">
        <v>4704</v>
      </c>
      <c r="E23" s="1">
        <v>2</v>
      </c>
      <c r="F23" s="1">
        <v>4</v>
      </c>
      <c r="G23" s="1">
        <v>5</v>
      </c>
      <c r="H23" s="1" t="s">
        <v>4691</v>
      </c>
      <c r="I23" s="1" t="s">
        <v>4877</v>
      </c>
      <c r="J23" s="1" t="s">
        <v>4878</v>
      </c>
      <c r="K23" s="1" t="s">
        <v>4879</v>
      </c>
      <c r="L23" s="1" t="s">
        <v>4880</v>
      </c>
      <c r="M23" s="1" t="s">
        <v>4881</v>
      </c>
      <c r="N23" s="1" t="s">
        <v>4882</v>
      </c>
      <c r="O23" s="1" t="s">
        <v>4697</v>
      </c>
      <c r="P23" s="1" t="s">
        <v>4883</v>
      </c>
      <c r="Q23" s="1" t="s">
        <v>4884</v>
      </c>
      <c r="R23" s="1" t="s">
        <v>4885</v>
      </c>
    </row>
    <row r="24" spans="1:18" ht="60" customHeight="1">
      <c r="A24" s="1" t="s">
        <v>4868</v>
      </c>
      <c r="B24" s="1" t="s">
        <v>4688</v>
      </c>
      <c r="C24" s="1" t="s">
        <v>4734</v>
      </c>
      <c r="D24" s="1" t="s">
        <v>4735</v>
      </c>
      <c r="E24" s="1">
        <v>0</v>
      </c>
      <c r="F24" s="1">
        <v>2</v>
      </c>
      <c r="G24" s="1">
        <v>2</v>
      </c>
      <c r="H24" s="1" t="s">
        <v>4691</v>
      </c>
      <c r="I24" s="1" t="s">
        <v>4747</v>
      </c>
      <c r="J24" s="1" t="s">
        <v>4886</v>
      </c>
      <c r="K24" s="1"/>
      <c r="L24" s="1" t="s">
        <v>4887</v>
      </c>
      <c r="M24" s="1" t="s">
        <v>4888</v>
      </c>
      <c r="N24" s="1" t="s">
        <v>4889</v>
      </c>
      <c r="O24" s="1" t="s">
        <v>4697</v>
      </c>
      <c r="P24" s="1" t="s">
        <v>4890</v>
      </c>
      <c r="Q24" s="1" t="s">
        <v>4891</v>
      </c>
      <c r="R24" s="1" t="s">
        <v>4892</v>
      </c>
    </row>
    <row r="25" spans="1:18" ht="84" customHeight="1">
      <c r="A25" s="1" t="s">
        <v>4868</v>
      </c>
      <c r="B25" s="1" t="s">
        <v>4688</v>
      </c>
      <c r="C25" s="1" t="s">
        <v>4893</v>
      </c>
      <c r="D25" s="1" t="s">
        <v>4894</v>
      </c>
      <c r="E25" s="1">
        <v>2</v>
      </c>
      <c r="F25" s="1">
        <v>1</v>
      </c>
      <c r="G25" s="1">
        <v>0</v>
      </c>
      <c r="H25" s="1" t="s">
        <v>4691</v>
      </c>
      <c r="I25" s="1" t="s">
        <v>4895</v>
      </c>
      <c r="J25" s="1" t="s">
        <v>4896</v>
      </c>
      <c r="K25" s="1"/>
      <c r="L25" s="1" t="s">
        <v>4897</v>
      </c>
      <c r="M25" s="1" t="s">
        <v>4898</v>
      </c>
      <c r="N25" s="1" t="s">
        <v>4899</v>
      </c>
      <c r="O25" s="1" t="s">
        <v>4697</v>
      </c>
      <c r="P25" s="1" t="s">
        <v>4900</v>
      </c>
      <c r="Q25" s="1" t="s">
        <v>4901</v>
      </c>
      <c r="R25" s="1" t="s">
        <v>4902</v>
      </c>
    </row>
    <row r="26" spans="1:18" ht="36" customHeight="1">
      <c r="A26" s="1" t="s">
        <v>4868</v>
      </c>
      <c r="B26" s="1" t="s">
        <v>4688</v>
      </c>
      <c r="C26" s="1" t="s">
        <v>4714</v>
      </c>
      <c r="D26" s="1" t="s">
        <v>4715</v>
      </c>
      <c r="E26" s="1">
        <v>2</v>
      </c>
      <c r="F26" s="1">
        <v>1</v>
      </c>
      <c r="G26" s="1">
        <v>1</v>
      </c>
      <c r="H26" s="1" t="s">
        <v>4646</v>
      </c>
      <c r="I26" s="1" t="s">
        <v>4903</v>
      </c>
      <c r="J26" s="1" t="s">
        <v>4904</v>
      </c>
      <c r="K26" s="1"/>
      <c r="L26" s="1" t="s">
        <v>4905</v>
      </c>
      <c r="M26" s="1" t="s">
        <v>4906</v>
      </c>
      <c r="N26" s="1" t="s">
        <v>4720</v>
      </c>
      <c r="O26" s="1" t="s">
        <v>4721</v>
      </c>
      <c r="P26" s="1" t="s">
        <v>4907</v>
      </c>
      <c r="Q26" s="1" t="s">
        <v>4908</v>
      </c>
      <c r="R26" s="1" t="s">
        <v>4909</v>
      </c>
    </row>
    <row r="27" spans="1:18" ht="84" customHeight="1">
      <c r="A27" s="1" t="s">
        <v>4868</v>
      </c>
      <c r="B27" s="1" t="s">
        <v>4688</v>
      </c>
      <c r="C27" s="1" t="s">
        <v>4689</v>
      </c>
      <c r="D27" s="1" t="s">
        <v>4690</v>
      </c>
      <c r="E27" s="1">
        <v>2</v>
      </c>
      <c r="F27" s="1">
        <v>0</v>
      </c>
      <c r="G27" s="1">
        <v>0</v>
      </c>
      <c r="H27" s="1" t="s">
        <v>4691</v>
      </c>
      <c r="I27" s="1" t="s">
        <v>4910</v>
      </c>
      <c r="J27" s="1" t="s">
        <v>4911</v>
      </c>
      <c r="K27" s="1"/>
      <c r="L27" s="1" t="s">
        <v>4912</v>
      </c>
      <c r="M27" s="1" t="s">
        <v>4913</v>
      </c>
      <c r="N27" s="1" t="s">
        <v>4914</v>
      </c>
      <c r="O27" s="1" t="s">
        <v>4697</v>
      </c>
      <c r="P27" s="1" t="s">
        <v>4915</v>
      </c>
      <c r="Q27" s="1" t="s">
        <v>4916</v>
      </c>
      <c r="R27" s="1" t="s">
        <v>4917</v>
      </c>
    </row>
    <row r="28" spans="1:18" ht="60" customHeight="1">
      <c r="A28" s="1" t="s">
        <v>4918</v>
      </c>
      <c r="B28" s="1" t="s">
        <v>4688</v>
      </c>
      <c r="C28" s="1" t="s">
        <v>4714</v>
      </c>
      <c r="D28" s="1" t="s">
        <v>4715</v>
      </c>
      <c r="E28" s="1">
        <v>2</v>
      </c>
      <c r="F28" s="1">
        <v>1</v>
      </c>
      <c r="G28" s="1">
        <v>1</v>
      </c>
      <c r="H28" s="1" t="s">
        <v>4646</v>
      </c>
      <c r="I28" s="1" t="s">
        <v>4919</v>
      </c>
      <c r="J28" s="1" t="s">
        <v>4717</v>
      </c>
      <c r="K28" s="1"/>
      <c r="L28" s="1" t="s">
        <v>4920</v>
      </c>
      <c r="M28" s="1" t="s">
        <v>4921</v>
      </c>
      <c r="N28" s="1" t="s">
        <v>4720</v>
      </c>
      <c r="O28" s="1" t="s">
        <v>4721</v>
      </c>
      <c r="P28" s="1" t="s">
        <v>4922</v>
      </c>
      <c r="Q28" s="1" t="s">
        <v>4923</v>
      </c>
      <c r="R28" s="1" t="s">
        <v>4924</v>
      </c>
    </row>
    <row r="29" spans="1:18" ht="60" customHeight="1">
      <c r="A29" s="1" t="s">
        <v>4925</v>
      </c>
      <c r="B29" s="1" t="s">
        <v>4688</v>
      </c>
      <c r="C29" s="1" t="s">
        <v>4744</v>
      </c>
      <c r="D29" s="1" t="s">
        <v>4745</v>
      </c>
      <c r="E29" s="1">
        <v>1</v>
      </c>
      <c r="F29" s="1">
        <v>2</v>
      </c>
      <c r="G29" s="1">
        <v>2</v>
      </c>
      <c r="H29" s="1" t="s">
        <v>4691</v>
      </c>
      <c r="I29" s="1" t="s">
        <v>4926</v>
      </c>
      <c r="J29" s="1" t="s">
        <v>4927</v>
      </c>
      <c r="K29" s="1"/>
      <c r="L29" s="1" t="s">
        <v>4928</v>
      </c>
      <c r="M29" s="1" t="s">
        <v>4929</v>
      </c>
      <c r="N29" s="1" t="s">
        <v>4930</v>
      </c>
      <c r="O29" s="1" t="s">
        <v>4697</v>
      </c>
      <c r="P29" s="1" t="s">
        <v>4931</v>
      </c>
      <c r="Q29" s="1" t="s">
        <v>4932</v>
      </c>
      <c r="R29" s="1" t="s">
        <v>4933</v>
      </c>
    </row>
    <row r="30" spans="1:18" ht="36" customHeight="1">
      <c r="A30" s="1" t="s">
        <v>4925</v>
      </c>
      <c r="B30" s="1" t="s">
        <v>4688</v>
      </c>
      <c r="C30" s="1" t="s">
        <v>4714</v>
      </c>
      <c r="D30" s="1" t="s">
        <v>4715</v>
      </c>
      <c r="E30" s="1">
        <v>2</v>
      </c>
      <c r="F30" s="1">
        <v>1</v>
      </c>
      <c r="G30" s="1">
        <v>1</v>
      </c>
      <c r="H30" s="1" t="s">
        <v>4646</v>
      </c>
      <c r="I30" s="1" t="s">
        <v>4934</v>
      </c>
      <c r="J30" s="1" t="s">
        <v>4935</v>
      </c>
      <c r="K30" s="1"/>
      <c r="L30" s="1" t="s">
        <v>4936</v>
      </c>
      <c r="M30" s="1" t="s">
        <v>4937</v>
      </c>
      <c r="N30" s="1" t="s">
        <v>4720</v>
      </c>
      <c r="O30" s="1" t="s">
        <v>4721</v>
      </c>
      <c r="P30" s="1" t="s">
        <v>4938</v>
      </c>
      <c r="Q30" s="1" t="s">
        <v>4939</v>
      </c>
      <c r="R30" s="1" t="s">
        <v>4940</v>
      </c>
    </row>
    <row r="31" spans="1:18" ht="72" customHeight="1">
      <c r="A31" s="1" t="s">
        <v>4941</v>
      </c>
      <c r="B31" s="1" t="s">
        <v>4688</v>
      </c>
      <c r="C31" s="1" t="s">
        <v>4744</v>
      </c>
      <c r="D31" s="1" t="s">
        <v>4745</v>
      </c>
      <c r="E31" s="1">
        <v>2</v>
      </c>
      <c r="F31" s="1">
        <v>1</v>
      </c>
      <c r="G31" s="1">
        <v>2</v>
      </c>
      <c r="H31" s="1" t="s">
        <v>4691</v>
      </c>
      <c r="I31" s="1" t="s">
        <v>4942</v>
      </c>
      <c r="J31" s="1" t="s">
        <v>4943</v>
      </c>
      <c r="K31" s="1"/>
      <c r="L31" s="1" t="s">
        <v>4944</v>
      </c>
      <c r="M31" s="1" t="s">
        <v>4945</v>
      </c>
      <c r="N31" s="1" t="s">
        <v>4946</v>
      </c>
      <c r="O31" s="1" t="s">
        <v>4697</v>
      </c>
      <c r="P31" s="1" t="s">
        <v>4947</v>
      </c>
      <c r="Q31" s="1" t="s">
        <v>4948</v>
      </c>
      <c r="R31" s="1" t="s">
        <v>4949</v>
      </c>
    </row>
    <row r="32" spans="1:18" ht="60" customHeight="1">
      <c r="A32" s="1" t="s">
        <v>4950</v>
      </c>
      <c r="B32" s="1" t="s">
        <v>4688</v>
      </c>
      <c r="C32" s="1" t="s">
        <v>4744</v>
      </c>
      <c r="D32" s="1" t="s">
        <v>4745</v>
      </c>
      <c r="E32" s="1">
        <v>2</v>
      </c>
      <c r="F32" s="1">
        <v>1</v>
      </c>
      <c r="G32" s="1">
        <v>2</v>
      </c>
      <c r="H32" s="1" t="s">
        <v>4691</v>
      </c>
      <c r="I32" s="1" t="s">
        <v>4951</v>
      </c>
      <c r="J32" s="1" t="s">
        <v>4896</v>
      </c>
      <c r="K32" s="1"/>
      <c r="L32" s="1" t="s">
        <v>4952</v>
      </c>
      <c r="M32" s="1" t="s">
        <v>4953</v>
      </c>
      <c r="N32" s="1" t="s">
        <v>4954</v>
      </c>
      <c r="O32" s="1" t="s">
        <v>4697</v>
      </c>
      <c r="P32" s="1" t="s">
        <v>4955</v>
      </c>
      <c r="Q32" s="1" t="s">
        <v>4956</v>
      </c>
      <c r="R32" s="1" t="s">
        <v>4957</v>
      </c>
    </row>
    <row r="33" spans="1:18" ht="36" customHeight="1">
      <c r="A33" s="1" t="s">
        <v>4950</v>
      </c>
      <c r="B33" s="1" t="s">
        <v>4688</v>
      </c>
      <c r="C33" s="1" t="s">
        <v>4714</v>
      </c>
      <c r="D33" s="1" t="s">
        <v>4715</v>
      </c>
      <c r="E33" s="1">
        <v>2</v>
      </c>
      <c r="F33" s="1">
        <v>1</v>
      </c>
      <c r="G33" s="1">
        <v>1</v>
      </c>
      <c r="H33" s="1" t="s">
        <v>4646</v>
      </c>
      <c r="I33" s="1" t="s">
        <v>4958</v>
      </c>
      <c r="J33" s="1" t="s">
        <v>4959</v>
      </c>
      <c r="K33" s="1"/>
      <c r="L33" s="1" t="s">
        <v>4960</v>
      </c>
      <c r="M33" s="1" t="s">
        <v>4961</v>
      </c>
      <c r="N33" s="1" t="s">
        <v>4720</v>
      </c>
      <c r="O33" s="1" t="s">
        <v>4721</v>
      </c>
      <c r="P33" s="1" t="s">
        <v>4962</v>
      </c>
      <c r="Q33" s="1" t="s">
        <v>4963</v>
      </c>
      <c r="R33" s="1" t="s">
        <v>4964</v>
      </c>
    </row>
    <row r="34" spans="1:18" ht="84" customHeight="1">
      <c r="A34" s="1" t="s">
        <v>4950</v>
      </c>
      <c r="B34" s="1" t="s">
        <v>4688</v>
      </c>
      <c r="C34" s="1" t="s">
        <v>4689</v>
      </c>
      <c r="D34" s="1" t="s">
        <v>4690</v>
      </c>
      <c r="E34" s="1">
        <v>0</v>
      </c>
      <c r="F34" s="1">
        <v>1</v>
      </c>
      <c r="G34" s="1">
        <v>0</v>
      </c>
      <c r="H34" s="1" t="s">
        <v>4691</v>
      </c>
      <c r="I34" s="1" t="s">
        <v>4965</v>
      </c>
      <c r="J34" s="1" t="s">
        <v>4966</v>
      </c>
      <c r="K34" s="1"/>
      <c r="L34" s="1" t="s">
        <v>4967</v>
      </c>
      <c r="M34" s="1" t="s">
        <v>4968</v>
      </c>
      <c r="N34" s="1" t="s">
        <v>4969</v>
      </c>
      <c r="O34" s="1" t="s">
        <v>4697</v>
      </c>
      <c r="P34" s="1" t="s">
        <v>4970</v>
      </c>
      <c r="Q34" s="1" t="s">
        <v>4971</v>
      </c>
      <c r="R34" s="1" t="s">
        <v>4972</v>
      </c>
    </row>
    <row r="35" spans="1:18" ht="84" customHeight="1">
      <c r="A35" s="1" t="s">
        <v>4973</v>
      </c>
      <c r="B35" s="1" t="s">
        <v>4702</v>
      </c>
      <c r="C35" s="1" t="s">
        <v>4703</v>
      </c>
      <c r="D35" s="1" t="s">
        <v>4704</v>
      </c>
      <c r="E35" s="1">
        <v>2</v>
      </c>
      <c r="F35" s="1">
        <v>3</v>
      </c>
      <c r="G35" s="1">
        <v>4</v>
      </c>
      <c r="H35" s="1" t="s">
        <v>4691</v>
      </c>
      <c r="I35" s="1" t="s">
        <v>4974</v>
      </c>
      <c r="J35" s="1" t="s">
        <v>4975</v>
      </c>
      <c r="K35" s="1" t="s">
        <v>4976</v>
      </c>
      <c r="L35" s="1" t="s">
        <v>4977</v>
      </c>
      <c r="M35" s="1" t="s">
        <v>4978</v>
      </c>
      <c r="N35" s="1" t="s">
        <v>4979</v>
      </c>
      <c r="O35" s="1" t="s">
        <v>4697</v>
      </c>
      <c r="P35" s="1" t="s">
        <v>4980</v>
      </c>
      <c r="Q35" s="1" t="s">
        <v>4981</v>
      </c>
      <c r="R35" s="1" t="s">
        <v>4982</v>
      </c>
    </row>
    <row r="36" spans="1:18" ht="72" customHeight="1">
      <c r="A36" s="1" t="s">
        <v>4973</v>
      </c>
      <c r="B36" s="1" t="s">
        <v>4688</v>
      </c>
      <c r="C36" s="1" t="s">
        <v>4744</v>
      </c>
      <c r="D36" s="1" t="s">
        <v>4745</v>
      </c>
      <c r="E36" s="1">
        <v>2</v>
      </c>
      <c r="F36" s="1">
        <v>0</v>
      </c>
      <c r="G36" s="1">
        <v>1</v>
      </c>
      <c r="H36" s="1" t="s">
        <v>4691</v>
      </c>
      <c r="I36" s="1" t="s">
        <v>4983</v>
      </c>
      <c r="J36" s="1" t="s">
        <v>4747</v>
      </c>
      <c r="K36" s="1"/>
      <c r="L36" s="1" t="s">
        <v>4984</v>
      </c>
      <c r="M36" s="1" t="s">
        <v>4985</v>
      </c>
      <c r="N36" s="1" t="s">
        <v>4986</v>
      </c>
      <c r="O36" s="1" t="s">
        <v>4697</v>
      </c>
      <c r="P36" s="1" t="s">
        <v>4987</v>
      </c>
      <c r="Q36" s="1" t="s">
        <v>4988</v>
      </c>
      <c r="R36" s="1" t="s">
        <v>4989</v>
      </c>
    </row>
    <row r="37" spans="1:18" ht="60" customHeight="1">
      <c r="A37" s="1" t="s">
        <v>4973</v>
      </c>
      <c r="B37" s="1" t="s">
        <v>4688</v>
      </c>
      <c r="C37" s="1" t="s">
        <v>4810</v>
      </c>
      <c r="D37" s="1" t="s">
        <v>4811</v>
      </c>
      <c r="E37" s="1">
        <v>2</v>
      </c>
      <c r="F37" s="1">
        <v>0</v>
      </c>
      <c r="G37" s="1">
        <v>2</v>
      </c>
      <c r="H37" s="1" t="s">
        <v>4691</v>
      </c>
      <c r="I37" s="1" t="s">
        <v>4990</v>
      </c>
      <c r="J37" s="1" t="s">
        <v>4747</v>
      </c>
      <c r="K37" s="1"/>
      <c r="L37" s="1" t="s">
        <v>4991</v>
      </c>
      <c r="M37" s="1" t="s">
        <v>4992</v>
      </c>
      <c r="N37" s="1" t="s">
        <v>4993</v>
      </c>
      <c r="O37" s="1" t="s">
        <v>4697</v>
      </c>
      <c r="P37" s="1" t="s">
        <v>4994</v>
      </c>
      <c r="Q37" s="1" t="s">
        <v>4995</v>
      </c>
      <c r="R37" s="1" t="s">
        <v>4996</v>
      </c>
    </row>
    <row r="38" spans="1:18" ht="36" customHeight="1">
      <c r="A38" s="1" t="s">
        <v>4973</v>
      </c>
      <c r="B38" s="1" t="s">
        <v>4688</v>
      </c>
      <c r="C38" s="1" t="s">
        <v>4714</v>
      </c>
      <c r="D38" s="1" t="s">
        <v>4715</v>
      </c>
      <c r="E38" s="1">
        <v>2</v>
      </c>
      <c r="F38" s="1">
        <v>1</v>
      </c>
      <c r="G38" s="1">
        <v>1</v>
      </c>
      <c r="H38" s="1" t="s">
        <v>4646</v>
      </c>
      <c r="I38" s="1" t="s">
        <v>4997</v>
      </c>
      <c r="J38" s="1" t="s">
        <v>4998</v>
      </c>
      <c r="K38" s="1"/>
      <c r="L38" s="1" t="s">
        <v>4999</v>
      </c>
      <c r="M38" s="1" t="s">
        <v>5000</v>
      </c>
      <c r="N38" s="1" t="s">
        <v>4720</v>
      </c>
      <c r="O38" s="1" t="s">
        <v>4721</v>
      </c>
      <c r="P38" s="1" t="s">
        <v>5001</v>
      </c>
      <c r="Q38" s="1" t="s">
        <v>5002</v>
      </c>
      <c r="R38" s="1" t="s">
        <v>5003</v>
      </c>
    </row>
    <row r="39" spans="1:18" ht="60" customHeight="1">
      <c r="A39" s="1" t="s">
        <v>5004</v>
      </c>
      <c r="B39" s="1" t="s">
        <v>4688</v>
      </c>
      <c r="C39" s="1" t="s">
        <v>4734</v>
      </c>
      <c r="D39" s="1" t="s">
        <v>4735</v>
      </c>
      <c r="E39" s="1">
        <v>0</v>
      </c>
      <c r="F39" s="1">
        <v>1</v>
      </c>
      <c r="G39" s="1">
        <v>0</v>
      </c>
      <c r="H39" s="1" t="s">
        <v>4691</v>
      </c>
      <c r="I39" s="1" t="s">
        <v>4747</v>
      </c>
      <c r="J39" s="1" t="s">
        <v>5005</v>
      </c>
      <c r="K39" s="1"/>
      <c r="L39" s="1" t="s">
        <v>5006</v>
      </c>
      <c r="M39" s="1" t="s">
        <v>5007</v>
      </c>
      <c r="N39" s="1" t="s">
        <v>5008</v>
      </c>
      <c r="O39" s="1" t="s">
        <v>4697</v>
      </c>
      <c r="P39" s="1" t="s">
        <v>5009</v>
      </c>
      <c r="Q39" s="1" t="s">
        <v>5010</v>
      </c>
      <c r="R39" s="1" t="s">
        <v>5011</v>
      </c>
    </row>
    <row r="40" spans="1:18" ht="48" customHeight="1">
      <c r="A40" s="1" t="s">
        <v>5012</v>
      </c>
      <c r="B40" s="1" t="s">
        <v>4688</v>
      </c>
      <c r="C40" s="1" t="s">
        <v>4893</v>
      </c>
      <c r="D40" s="1" t="s">
        <v>4894</v>
      </c>
      <c r="E40" s="1">
        <v>2</v>
      </c>
      <c r="F40" s="1">
        <v>1</v>
      </c>
      <c r="G40" s="1">
        <v>2</v>
      </c>
      <c r="H40" s="1" t="s">
        <v>4691</v>
      </c>
      <c r="I40" s="1" t="s">
        <v>5013</v>
      </c>
      <c r="J40" s="1" t="s">
        <v>4935</v>
      </c>
      <c r="K40" s="1"/>
      <c r="L40" s="1" t="s">
        <v>5014</v>
      </c>
      <c r="M40" s="1" t="s">
        <v>5015</v>
      </c>
      <c r="N40" s="1" t="s">
        <v>5016</v>
      </c>
      <c r="O40" s="1" t="s">
        <v>4697</v>
      </c>
      <c r="P40" s="1" t="s">
        <v>5017</v>
      </c>
      <c r="Q40" s="1" t="s">
        <v>5018</v>
      </c>
      <c r="R40" s="1" t="s">
        <v>5019</v>
      </c>
    </row>
    <row r="41" spans="1:18" ht="84" customHeight="1">
      <c r="A41" s="1" t="s">
        <v>5012</v>
      </c>
      <c r="B41" s="1" t="s">
        <v>4688</v>
      </c>
      <c r="C41" s="1" t="s">
        <v>4744</v>
      </c>
      <c r="D41" s="1" t="s">
        <v>4745</v>
      </c>
      <c r="E41" s="1">
        <v>2</v>
      </c>
      <c r="F41" s="1">
        <v>0</v>
      </c>
      <c r="G41" s="1">
        <v>1</v>
      </c>
      <c r="H41" s="1" t="s">
        <v>4691</v>
      </c>
      <c r="I41" s="1" t="s">
        <v>5020</v>
      </c>
      <c r="J41" s="1" t="s">
        <v>4747</v>
      </c>
      <c r="K41" s="1"/>
      <c r="L41" s="1" t="s">
        <v>5021</v>
      </c>
      <c r="M41" s="1" t="s">
        <v>5022</v>
      </c>
      <c r="N41" s="1" t="s">
        <v>5023</v>
      </c>
      <c r="O41" s="1" t="s">
        <v>4697</v>
      </c>
      <c r="P41" s="1" t="s">
        <v>5024</v>
      </c>
      <c r="Q41" s="1" t="s">
        <v>5025</v>
      </c>
      <c r="R41" s="1" t="s">
        <v>5026</v>
      </c>
    </row>
    <row r="42" spans="1:18" ht="60" customHeight="1">
      <c r="A42" s="1" t="s">
        <v>5012</v>
      </c>
      <c r="B42" s="1" t="s">
        <v>4688</v>
      </c>
      <c r="C42" s="1" t="s">
        <v>4810</v>
      </c>
      <c r="D42" s="1" t="s">
        <v>4811</v>
      </c>
      <c r="E42" s="1">
        <v>2</v>
      </c>
      <c r="F42" s="1">
        <v>1</v>
      </c>
      <c r="G42" s="1">
        <v>2</v>
      </c>
      <c r="H42" s="1" t="s">
        <v>4691</v>
      </c>
      <c r="I42" s="1" t="s">
        <v>5027</v>
      </c>
      <c r="J42" s="1" t="s">
        <v>5028</v>
      </c>
      <c r="K42" s="1"/>
      <c r="L42" s="1" t="s">
        <v>5029</v>
      </c>
      <c r="M42" s="1" t="s">
        <v>5030</v>
      </c>
      <c r="N42" s="1" t="s">
        <v>5031</v>
      </c>
      <c r="O42" s="1" t="s">
        <v>4697</v>
      </c>
      <c r="P42" s="1" t="s">
        <v>5032</v>
      </c>
      <c r="Q42" s="1" t="s">
        <v>5033</v>
      </c>
      <c r="R42" s="1" t="s">
        <v>5034</v>
      </c>
    </row>
    <row r="43" spans="1:18" ht="36" customHeight="1">
      <c r="A43" s="1" t="s">
        <v>5012</v>
      </c>
      <c r="B43" s="1" t="s">
        <v>4688</v>
      </c>
      <c r="C43" s="1" t="s">
        <v>4714</v>
      </c>
      <c r="D43" s="1" t="s">
        <v>4715</v>
      </c>
      <c r="E43" s="1">
        <v>2</v>
      </c>
      <c r="F43" s="1">
        <v>1</v>
      </c>
      <c r="G43" s="1">
        <v>1</v>
      </c>
      <c r="H43" s="1" t="s">
        <v>4646</v>
      </c>
      <c r="I43" s="1" t="s">
        <v>5035</v>
      </c>
      <c r="J43" s="1" t="s">
        <v>4935</v>
      </c>
      <c r="K43" s="1"/>
      <c r="L43" s="1" t="s">
        <v>5036</v>
      </c>
      <c r="M43" s="1" t="s">
        <v>5037</v>
      </c>
      <c r="N43" s="1" t="s">
        <v>4720</v>
      </c>
      <c r="O43" s="1" t="s">
        <v>4721</v>
      </c>
      <c r="P43" s="1" t="s">
        <v>5038</v>
      </c>
      <c r="Q43" s="1" t="s">
        <v>5039</v>
      </c>
      <c r="R43" s="1" t="s">
        <v>5040</v>
      </c>
    </row>
    <row r="44" spans="1:18" ht="96" customHeight="1">
      <c r="A44" s="1" t="s">
        <v>5041</v>
      </c>
      <c r="B44" s="1" t="s">
        <v>4702</v>
      </c>
      <c r="C44" s="1" t="s">
        <v>4834</v>
      </c>
      <c r="D44" s="1" t="s">
        <v>4835</v>
      </c>
      <c r="E44" s="1">
        <v>5</v>
      </c>
      <c r="F44" s="1">
        <v>4</v>
      </c>
      <c r="G44" s="1">
        <v>4</v>
      </c>
      <c r="H44" s="1" t="s">
        <v>4691</v>
      </c>
      <c r="I44" s="1" t="s">
        <v>5042</v>
      </c>
      <c r="J44" s="1" t="s">
        <v>4788</v>
      </c>
      <c r="K44" s="1" t="s">
        <v>5043</v>
      </c>
      <c r="L44" s="1" t="s">
        <v>5044</v>
      </c>
      <c r="M44" s="1" t="s">
        <v>5045</v>
      </c>
      <c r="N44" s="1" t="s">
        <v>5046</v>
      </c>
      <c r="O44" s="1" t="s">
        <v>4697</v>
      </c>
      <c r="P44" s="1" t="s">
        <v>5047</v>
      </c>
      <c r="Q44" s="1" t="s">
        <v>5048</v>
      </c>
      <c r="R44" s="1" t="s">
        <v>5049</v>
      </c>
    </row>
    <row r="45" spans="1:18" ht="48" customHeight="1">
      <c r="A45" s="1" t="s">
        <v>5041</v>
      </c>
      <c r="B45" s="1" t="s">
        <v>4688</v>
      </c>
      <c r="C45" s="1" t="s">
        <v>4734</v>
      </c>
      <c r="D45" s="1" t="s">
        <v>4735</v>
      </c>
      <c r="E45" s="1">
        <v>0</v>
      </c>
      <c r="F45" s="1">
        <v>2</v>
      </c>
      <c r="G45" s="1">
        <v>2</v>
      </c>
      <c r="H45" s="1" t="s">
        <v>4691</v>
      </c>
      <c r="I45" s="1" t="s">
        <v>4747</v>
      </c>
      <c r="J45" s="1" t="s">
        <v>4737</v>
      </c>
      <c r="K45" s="1"/>
      <c r="L45" s="1" t="s">
        <v>5050</v>
      </c>
      <c r="M45" s="1" t="s">
        <v>5051</v>
      </c>
      <c r="N45" s="1" t="s">
        <v>5052</v>
      </c>
      <c r="O45" s="1" t="s">
        <v>4697</v>
      </c>
      <c r="P45" s="1" t="s">
        <v>5053</v>
      </c>
      <c r="Q45" s="1" t="s">
        <v>5054</v>
      </c>
      <c r="R45" s="1" t="s">
        <v>5055</v>
      </c>
    </row>
    <row r="46" spans="1:18" ht="60" customHeight="1">
      <c r="A46" s="1" t="s">
        <v>5041</v>
      </c>
      <c r="B46" s="1" t="s">
        <v>4688</v>
      </c>
      <c r="C46" s="1" t="s">
        <v>4893</v>
      </c>
      <c r="D46" s="1" t="s">
        <v>4894</v>
      </c>
      <c r="E46" s="1">
        <v>2</v>
      </c>
      <c r="F46" s="1">
        <v>1</v>
      </c>
      <c r="G46" s="1">
        <v>2</v>
      </c>
      <c r="H46" s="1" t="s">
        <v>4691</v>
      </c>
      <c r="I46" s="1" t="s">
        <v>5056</v>
      </c>
      <c r="J46" s="1" t="s">
        <v>4737</v>
      </c>
      <c r="K46" s="1"/>
      <c r="L46" s="1" t="s">
        <v>5057</v>
      </c>
      <c r="M46" s="1" t="s">
        <v>5058</v>
      </c>
      <c r="N46" s="1" t="s">
        <v>5059</v>
      </c>
      <c r="O46" s="1" t="s">
        <v>4697</v>
      </c>
      <c r="P46" s="1" t="s">
        <v>5060</v>
      </c>
      <c r="Q46" s="1" t="s">
        <v>5061</v>
      </c>
      <c r="R46" s="1" t="s">
        <v>5062</v>
      </c>
    </row>
    <row r="47" spans="1:18" ht="84" customHeight="1">
      <c r="A47" s="1" t="s">
        <v>5063</v>
      </c>
      <c r="B47" s="1" t="s">
        <v>4702</v>
      </c>
      <c r="C47" s="1" t="s">
        <v>4834</v>
      </c>
      <c r="D47" s="1" t="s">
        <v>4835</v>
      </c>
      <c r="E47" s="1">
        <v>5</v>
      </c>
      <c r="F47" s="1">
        <v>4</v>
      </c>
      <c r="G47" s="1">
        <v>4</v>
      </c>
      <c r="H47" s="1" t="s">
        <v>4691</v>
      </c>
      <c r="I47" s="1" t="s">
        <v>5064</v>
      </c>
      <c r="J47" s="1" t="s">
        <v>4788</v>
      </c>
      <c r="K47" s="1" t="s">
        <v>5065</v>
      </c>
      <c r="L47" s="1" t="s">
        <v>5066</v>
      </c>
      <c r="M47" s="1" t="s">
        <v>5067</v>
      </c>
      <c r="N47" s="1" t="s">
        <v>5068</v>
      </c>
      <c r="O47" s="1" t="s">
        <v>4697</v>
      </c>
      <c r="P47" s="1" t="s">
        <v>5069</v>
      </c>
      <c r="Q47" s="1" t="s">
        <v>5070</v>
      </c>
      <c r="R47" s="1" t="s">
        <v>5071</v>
      </c>
    </row>
    <row r="48" spans="1:18" ht="96" customHeight="1">
      <c r="A48" s="1" t="s">
        <v>5063</v>
      </c>
      <c r="B48" s="1" t="s">
        <v>4688</v>
      </c>
      <c r="C48" s="1" t="s">
        <v>4810</v>
      </c>
      <c r="D48" s="1" t="s">
        <v>4811</v>
      </c>
      <c r="E48" s="1">
        <v>2</v>
      </c>
      <c r="F48" s="1">
        <v>0</v>
      </c>
      <c r="G48" s="1">
        <v>2</v>
      </c>
      <c r="H48" s="1" t="s">
        <v>4691</v>
      </c>
      <c r="I48" s="1" t="s">
        <v>5072</v>
      </c>
      <c r="J48" s="1" t="s">
        <v>4747</v>
      </c>
      <c r="K48" s="1"/>
      <c r="L48" s="1" t="s">
        <v>5073</v>
      </c>
      <c r="M48" s="1" t="s">
        <v>5074</v>
      </c>
      <c r="N48" s="1" t="s">
        <v>5075</v>
      </c>
      <c r="O48" s="1" t="s">
        <v>4697</v>
      </c>
      <c r="P48" s="1" t="s">
        <v>5076</v>
      </c>
      <c r="Q48" s="1" t="s">
        <v>5077</v>
      </c>
      <c r="R48" s="1" t="s">
        <v>5078</v>
      </c>
    </row>
    <row r="49" spans="1:18" ht="84" customHeight="1">
      <c r="A49" s="1" t="s">
        <v>5079</v>
      </c>
      <c r="B49" s="1" t="s">
        <v>4688</v>
      </c>
      <c r="C49" s="1" t="s">
        <v>4893</v>
      </c>
      <c r="D49" s="1" t="s">
        <v>4894</v>
      </c>
      <c r="E49" s="1">
        <v>2</v>
      </c>
      <c r="F49" s="1">
        <v>1</v>
      </c>
      <c r="G49" s="1">
        <v>2</v>
      </c>
      <c r="H49" s="1" t="s">
        <v>4691</v>
      </c>
      <c r="I49" s="1" t="s">
        <v>5080</v>
      </c>
      <c r="J49" s="1" t="s">
        <v>4904</v>
      </c>
      <c r="K49" s="1"/>
      <c r="L49" s="1" t="s">
        <v>5081</v>
      </c>
      <c r="M49" s="1" t="s">
        <v>5082</v>
      </c>
      <c r="N49" s="1" t="s">
        <v>5083</v>
      </c>
      <c r="O49" s="1" t="s">
        <v>4697</v>
      </c>
      <c r="P49" s="1" t="s">
        <v>5084</v>
      </c>
      <c r="Q49" s="1" t="s">
        <v>5085</v>
      </c>
      <c r="R49" s="1" t="s">
        <v>5086</v>
      </c>
    </row>
    <row r="50" spans="1:18" ht="72" customHeight="1">
      <c r="A50" s="1" t="s">
        <v>5087</v>
      </c>
      <c r="B50" s="1" t="s">
        <v>4688</v>
      </c>
      <c r="C50" s="1" t="s">
        <v>4734</v>
      </c>
      <c r="D50" s="1" t="s">
        <v>4735</v>
      </c>
      <c r="E50" s="1">
        <v>0</v>
      </c>
      <c r="F50" s="1">
        <v>1</v>
      </c>
      <c r="G50" s="1">
        <v>0</v>
      </c>
      <c r="H50" s="1" t="s">
        <v>4691</v>
      </c>
      <c r="I50" s="1" t="s">
        <v>4747</v>
      </c>
      <c r="J50" s="1" t="s">
        <v>5005</v>
      </c>
      <c r="K50" s="1"/>
      <c r="L50" s="1" t="s">
        <v>5088</v>
      </c>
      <c r="M50" s="1" t="s">
        <v>5089</v>
      </c>
      <c r="N50" s="1" t="s">
        <v>5090</v>
      </c>
      <c r="O50" s="1" t="s">
        <v>4697</v>
      </c>
      <c r="P50" s="1" t="s">
        <v>5091</v>
      </c>
      <c r="Q50" s="1" t="s">
        <v>5092</v>
      </c>
      <c r="R50" s="1" t="s">
        <v>5093</v>
      </c>
    </row>
    <row r="51" spans="1:18" ht="60" customHeight="1">
      <c r="A51" s="1" t="s">
        <v>5094</v>
      </c>
      <c r="B51" s="1" t="s">
        <v>4688</v>
      </c>
      <c r="C51" s="1" t="s">
        <v>4893</v>
      </c>
      <c r="D51" s="1" t="s">
        <v>4894</v>
      </c>
      <c r="E51" s="1">
        <v>2</v>
      </c>
      <c r="F51" s="1">
        <v>1</v>
      </c>
      <c r="G51" s="1">
        <v>2</v>
      </c>
      <c r="H51" s="1" t="s">
        <v>4691</v>
      </c>
      <c r="I51" s="1" t="s">
        <v>5095</v>
      </c>
      <c r="J51" s="1" t="s">
        <v>5096</v>
      </c>
      <c r="K51" s="1"/>
      <c r="L51" s="1" t="s">
        <v>5097</v>
      </c>
      <c r="M51" s="1" t="s">
        <v>5098</v>
      </c>
      <c r="N51" s="1" t="s">
        <v>5099</v>
      </c>
      <c r="O51" s="1" t="s">
        <v>4697</v>
      </c>
      <c r="P51" s="1" t="s">
        <v>5100</v>
      </c>
      <c r="Q51" s="1" t="s">
        <v>5101</v>
      </c>
      <c r="R51" s="1" t="s">
        <v>5102</v>
      </c>
    </row>
    <row r="52" spans="1:18" ht="60" customHeight="1">
      <c r="A52" s="1" t="s">
        <v>5094</v>
      </c>
      <c r="B52" s="1" t="s">
        <v>4688</v>
      </c>
      <c r="C52" s="1" t="s">
        <v>4810</v>
      </c>
      <c r="D52" s="1" t="s">
        <v>4811</v>
      </c>
      <c r="E52" s="1">
        <v>2</v>
      </c>
      <c r="F52" s="1">
        <v>1</v>
      </c>
      <c r="G52" s="1">
        <v>2</v>
      </c>
      <c r="H52" s="1" t="s">
        <v>4691</v>
      </c>
      <c r="I52" s="1" t="s">
        <v>5103</v>
      </c>
      <c r="J52" s="1" t="s">
        <v>4764</v>
      </c>
      <c r="K52" s="1"/>
      <c r="L52" s="1" t="s">
        <v>5104</v>
      </c>
      <c r="M52" s="1" t="s">
        <v>5105</v>
      </c>
      <c r="N52" s="1" t="s">
        <v>5106</v>
      </c>
      <c r="O52" s="1" t="s">
        <v>4697</v>
      </c>
      <c r="P52" s="1" t="s">
        <v>5107</v>
      </c>
      <c r="Q52" s="1" t="s">
        <v>5108</v>
      </c>
      <c r="R52" s="1" t="s">
        <v>5109</v>
      </c>
    </row>
    <row r="53" spans="1:18" ht="48" customHeight="1">
      <c r="A53" s="1" t="s">
        <v>5094</v>
      </c>
      <c r="B53" s="1" t="s">
        <v>4688</v>
      </c>
      <c r="C53" s="1" t="s">
        <v>4714</v>
      </c>
      <c r="D53" s="1" t="s">
        <v>4715</v>
      </c>
      <c r="E53" s="1">
        <v>2</v>
      </c>
      <c r="F53" s="1">
        <v>1</v>
      </c>
      <c r="G53" s="1">
        <v>1</v>
      </c>
      <c r="H53" s="1" t="s">
        <v>4646</v>
      </c>
      <c r="I53" s="1" t="s">
        <v>5110</v>
      </c>
      <c r="J53" s="1" t="s">
        <v>4959</v>
      </c>
      <c r="K53" s="1"/>
      <c r="L53" s="1" t="s">
        <v>5111</v>
      </c>
      <c r="M53" s="1" t="s">
        <v>5112</v>
      </c>
      <c r="N53" s="1" t="s">
        <v>4720</v>
      </c>
      <c r="O53" s="1" t="s">
        <v>4721</v>
      </c>
      <c r="P53" s="1" t="s">
        <v>5113</v>
      </c>
      <c r="Q53" s="1" t="s">
        <v>5114</v>
      </c>
      <c r="R53" s="1" t="s">
        <v>5115</v>
      </c>
    </row>
    <row r="54" spans="1:18" ht="108" customHeight="1">
      <c r="A54" s="1" t="s">
        <v>5116</v>
      </c>
      <c r="B54" s="1" t="s">
        <v>4688</v>
      </c>
      <c r="C54" s="1" t="s">
        <v>5117</v>
      </c>
      <c r="D54" s="1" t="s">
        <v>5118</v>
      </c>
      <c r="E54" s="1">
        <v>2</v>
      </c>
      <c r="F54" s="1">
        <v>1</v>
      </c>
      <c r="G54" s="1">
        <v>2</v>
      </c>
      <c r="H54" s="1" t="s">
        <v>4691</v>
      </c>
      <c r="I54" s="1" t="s">
        <v>5119</v>
      </c>
      <c r="J54" s="1" t="s">
        <v>4788</v>
      </c>
      <c r="K54" s="1"/>
      <c r="L54" s="1" t="s">
        <v>5120</v>
      </c>
      <c r="M54" s="1" t="s">
        <v>5121</v>
      </c>
      <c r="N54" s="1" t="s">
        <v>5122</v>
      </c>
      <c r="O54" s="1" t="s">
        <v>4697</v>
      </c>
      <c r="P54" s="1" t="s">
        <v>5123</v>
      </c>
      <c r="Q54" s="1" t="s">
        <v>5124</v>
      </c>
      <c r="R54" s="1" t="s">
        <v>5125</v>
      </c>
    </row>
    <row r="55" spans="1:18" ht="60" customHeight="1">
      <c r="A55" s="1" t="s">
        <v>5116</v>
      </c>
      <c r="B55" s="1" t="s">
        <v>4688</v>
      </c>
      <c r="C55" s="1" t="s">
        <v>4810</v>
      </c>
      <c r="D55" s="1" t="s">
        <v>4811</v>
      </c>
      <c r="E55" s="1">
        <v>1</v>
      </c>
      <c r="F55" s="1">
        <v>0</v>
      </c>
      <c r="G55" s="1">
        <v>0</v>
      </c>
      <c r="H55" s="1" t="s">
        <v>4691</v>
      </c>
      <c r="I55" s="1" t="s">
        <v>5126</v>
      </c>
      <c r="J55" s="1" t="s">
        <v>4747</v>
      </c>
      <c r="K55" s="1"/>
      <c r="L55" s="1" t="s">
        <v>5127</v>
      </c>
      <c r="M55" s="1" t="s">
        <v>5128</v>
      </c>
      <c r="N55" s="1" t="s">
        <v>5129</v>
      </c>
      <c r="O55" s="1" t="s">
        <v>4697</v>
      </c>
      <c r="P55" s="1" t="s">
        <v>5130</v>
      </c>
      <c r="Q55" s="1" t="s">
        <v>5131</v>
      </c>
      <c r="R55" s="1" t="s">
        <v>5132</v>
      </c>
    </row>
    <row r="56" spans="1:18" ht="84" customHeight="1">
      <c r="A56" s="1" t="s">
        <v>5133</v>
      </c>
      <c r="B56" s="1" t="s">
        <v>4702</v>
      </c>
      <c r="C56" s="1" t="s">
        <v>4834</v>
      </c>
      <c r="D56" s="1" t="s">
        <v>4835</v>
      </c>
      <c r="E56" s="1">
        <v>3</v>
      </c>
      <c r="F56" s="1">
        <v>2</v>
      </c>
      <c r="G56" s="1">
        <v>2</v>
      </c>
      <c r="H56" s="1" t="s">
        <v>4691</v>
      </c>
      <c r="I56" s="1" t="s">
        <v>5134</v>
      </c>
      <c r="J56" s="1" t="s">
        <v>4788</v>
      </c>
      <c r="K56" s="1" t="s">
        <v>5135</v>
      </c>
      <c r="L56" s="1" t="s">
        <v>5136</v>
      </c>
      <c r="M56" s="1" t="s">
        <v>5137</v>
      </c>
      <c r="N56" s="1" t="s">
        <v>5138</v>
      </c>
      <c r="O56" s="1" t="s">
        <v>4697</v>
      </c>
      <c r="P56" s="1" t="s">
        <v>5139</v>
      </c>
      <c r="Q56" s="1" t="s">
        <v>5140</v>
      </c>
      <c r="R56" s="1" t="s">
        <v>5141</v>
      </c>
    </row>
    <row r="57" spans="1:18" ht="72" customHeight="1">
      <c r="A57" s="1" t="s">
        <v>5133</v>
      </c>
      <c r="B57" s="1" t="s">
        <v>4688</v>
      </c>
      <c r="C57" s="1" t="s">
        <v>4744</v>
      </c>
      <c r="D57" s="1" t="s">
        <v>4745</v>
      </c>
      <c r="E57" s="1">
        <v>2</v>
      </c>
      <c r="F57" s="1">
        <v>1</v>
      </c>
      <c r="G57" s="1">
        <v>1</v>
      </c>
      <c r="H57" s="1" t="s">
        <v>4691</v>
      </c>
      <c r="I57" s="1" t="s">
        <v>5142</v>
      </c>
      <c r="J57" s="1" t="s">
        <v>4788</v>
      </c>
      <c r="K57" s="1"/>
      <c r="L57" s="1" t="s">
        <v>5143</v>
      </c>
      <c r="M57" s="1" t="s">
        <v>5144</v>
      </c>
      <c r="N57" s="1" t="s">
        <v>5145</v>
      </c>
      <c r="O57" s="1" t="s">
        <v>4697</v>
      </c>
      <c r="P57" s="1" t="s">
        <v>5146</v>
      </c>
      <c r="Q57" s="1" t="s">
        <v>5147</v>
      </c>
      <c r="R57" s="1" t="s">
        <v>5148</v>
      </c>
    </row>
    <row r="58" spans="1:18" ht="36" customHeight="1">
      <c r="A58" s="1" t="s">
        <v>5133</v>
      </c>
      <c r="B58" s="1" t="s">
        <v>4688</v>
      </c>
      <c r="C58" s="1" t="s">
        <v>4714</v>
      </c>
      <c r="D58" s="1" t="s">
        <v>4715</v>
      </c>
      <c r="E58" s="1">
        <v>2</v>
      </c>
      <c r="F58" s="1">
        <v>1</v>
      </c>
      <c r="G58" s="1">
        <v>1</v>
      </c>
      <c r="H58" s="1" t="s">
        <v>4646</v>
      </c>
      <c r="I58" s="1" t="s">
        <v>5149</v>
      </c>
      <c r="J58" s="1" t="s">
        <v>4896</v>
      </c>
      <c r="K58" s="1"/>
      <c r="L58" s="1" t="s">
        <v>5150</v>
      </c>
      <c r="M58" s="1" t="s">
        <v>5151</v>
      </c>
      <c r="N58" s="1" t="s">
        <v>4720</v>
      </c>
      <c r="O58" s="1" t="s">
        <v>4721</v>
      </c>
      <c r="P58" s="1" t="s">
        <v>5152</v>
      </c>
      <c r="Q58" s="1" t="s">
        <v>5153</v>
      </c>
      <c r="R58" s="1" t="s">
        <v>5154</v>
      </c>
    </row>
    <row r="59" spans="1:18" ht="84" customHeight="1">
      <c r="A59" s="1" t="s">
        <v>5133</v>
      </c>
      <c r="B59" s="1" t="s">
        <v>4688</v>
      </c>
      <c r="C59" s="1" t="s">
        <v>4689</v>
      </c>
      <c r="D59" s="1" t="s">
        <v>4690</v>
      </c>
      <c r="E59" s="1">
        <v>0</v>
      </c>
      <c r="F59" s="1">
        <v>1</v>
      </c>
      <c r="G59" s="1">
        <v>0</v>
      </c>
      <c r="H59" s="1" t="s">
        <v>4691</v>
      </c>
      <c r="I59" s="1" t="s">
        <v>5155</v>
      </c>
      <c r="J59" s="1" t="s">
        <v>4862</v>
      </c>
      <c r="K59" s="1"/>
      <c r="L59" s="1" t="s">
        <v>5156</v>
      </c>
      <c r="M59" s="1" t="s">
        <v>5157</v>
      </c>
      <c r="N59" s="1" t="s">
        <v>5158</v>
      </c>
      <c r="O59" s="1" t="s">
        <v>4697</v>
      </c>
      <c r="P59" s="1" t="s">
        <v>5159</v>
      </c>
      <c r="Q59" s="1" t="s">
        <v>5160</v>
      </c>
      <c r="R59" s="1" t="s">
        <v>5161</v>
      </c>
    </row>
    <row r="60" spans="1:18" ht="60" customHeight="1">
      <c r="A60" s="1" t="s">
        <v>5162</v>
      </c>
      <c r="B60" s="1" t="s">
        <v>4688</v>
      </c>
      <c r="C60" s="1" t="s">
        <v>4893</v>
      </c>
      <c r="D60" s="1" t="s">
        <v>4894</v>
      </c>
      <c r="E60" s="1">
        <v>2</v>
      </c>
      <c r="F60" s="1">
        <v>0</v>
      </c>
      <c r="G60" s="1">
        <v>2</v>
      </c>
      <c r="H60" s="1" t="s">
        <v>4691</v>
      </c>
      <c r="I60" s="1" t="s">
        <v>5163</v>
      </c>
      <c r="J60" s="1" t="s">
        <v>4747</v>
      </c>
      <c r="K60" s="1"/>
      <c r="L60" s="1" t="s">
        <v>5164</v>
      </c>
      <c r="M60" s="1" t="s">
        <v>5165</v>
      </c>
      <c r="N60" s="1" t="s">
        <v>5166</v>
      </c>
      <c r="O60" s="1" t="s">
        <v>4697</v>
      </c>
      <c r="P60" s="1" t="s">
        <v>5167</v>
      </c>
      <c r="Q60" s="1" t="s">
        <v>5168</v>
      </c>
      <c r="R60" s="1" t="s">
        <v>5169</v>
      </c>
    </row>
    <row r="61" spans="1:18" ht="84" customHeight="1">
      <c r="A61" s="1" t="s">
        <v>5162</v>
      </c>
      <c r="B61" s="1" t="s">
        <v>4688</v>
      </c>
      <c r="C61" s="1" t="s">
        <v>4744</v>
      </c>
      <c r="D61" s="1" t="s">
        <v>4745</v>
      </c>
      <c r="E61" s="1">
        <v>2</v>
      </c>
      <c r="F61" s="1">
        <v>0</v>
      </c>
      <c r="G61" s="1">
        <v>1</v>
      </c>
      <c r="H61" s="1" t="s">
        <v>4691</v>
      </c>
      <c r="I61" s="1" t="s">
        <v>5170</v>
      </c>
      <c r="J61" s="1" t="s">
        <v>4747</v>
      </c>
      <c r="K61" s="1"/>
      <c r="L61" s="1" t="s">
        <v>5171</v>
      </c>
      <c r="M61" s="1" t="s">
        <v>5172</v>
      </c>
      <c r="N61" s="1" t="s">
        <v>5173</v>
      </c>
      <c r="O61" s="1" t="s">
        <v>4697</v>
      </c>
      <c r="P61" s="1" t="s">
        <v>5174</v>
      </c>
      <c r="Q61" s="1" t="s">
        <v>5175</v>
      </c>
      <c r="R61" s="1" t="s">
        <v>5176</v>
      </c>
    </row>
    <row r="62" spans="1:18" ht="36" customHeight="1">
      <c r="A62" s="1" t="s">
        <v>5162</v>
      </c>
      <c r="B62" s="1" t="s">
        <v>4688</v>
      </c>
      <c r="C62" s="1" t="s">
        <v>4714</v>
      </c>
      <c r="D62" s="1" t="s">
        <v>4715</v>
      </c>
      <c r="E62" s="1">
        <v>2</v>
      </c>
      <c r="F62" s="1">
        <v>1</v>
      </c>
      <c r="G62" s="1">
        <v>1</v>
      </c>
      <c r="H62" s="1" t="s">
        <v>4646</v>
      </c>
      <c r="I62" s="1" t="s">
        <v>5177</v>
      </c>
      <c r="J62" s="1" t="s">
        <v>5178</v>
      </c>
      <c r="K62" s="1"/>
      <c r="L62" s="1" t="s">
        <v>5179</v>
      </c>
      <c r="M62" s="1" t="s">
        <v>5180</v>
      </c>
      <c r="N62" s="1" t="s">
        <v>4720</v>
      </c>
      <c r="O62" s="1" t="s">
        <v>4721</v>
      </c>
      <c r="P62" s="1" t="s">
        <v>5181</v>
      </c>
      <c r="Q62" s="1" t="s">
        <v>5182</v>
      </c>
      <c r="R62" s="1" t="s">
        <v>5183</v>
      </c>
    </row>
    <row r="63" spans="1:18" ht="60" customHeight="1">
      <c r="A63" s="1" t="s">
        <v>5184</v>
      </c>
      <c r="B63" s="1" t="s">
        <v>4688</v>
      </c>
      <c r="C63" s="1" t="s">
        <v>4734</v>
      </c>
      <c r="D63" s="1" t="s">
        <v>4735</v>
      </c>
      <c r="E63" s="1">
        <v>1</v>
      </c>
      <c r="F63" s="1">
        <v>2</v>
      </c>
      <c r="G63" s="1">
        <v>2</v>
      </c>
      <c r="H63" s="1" t="s">
        <v>4691</v>
      </c>
      <c r="I63" s="1" t="s">
        <v>5185</v>
      </c>
      <c r="J63" s="1" t="s">
        <v>4862</v>
      </c>
      <c r="K63" s="1"/>
      <c r="L63" s="1" t="s">
        <v>5186</v>
      </c>
      <c r="M63" s="1" t="s">
        <v>5187</v>
      </c>
      <c r="N63" s="1" t="s">
        <v>5188</v>
      </c>
      <c r="O63" s="1" t="s">
        <v>4697</v>
      </c>
      <c r="P63" s="1" t="s">
        <v>5189</v>
      </c>
      <c r="Q63" s="1" t="s">
        <v>5190</v>
      </c>
      <c r="R63" s="1" t="s">
        <v>5191</v>
      </c>
    </row>
    <row r="64" spans="1:18" ht="96" customHeight="1">
      <c r="A64" s="1" t="s">
        <v>5184</v>
      </c>
      <c r="B64" s="1" t="s">
        <v>4688</v>
      </c>
      <c r="C64" s="1" t="s">
        <v>4893</v>
      </c>
      <c r="D64" s="1" t="s">
        <v>4894</v>
      </c>
      <c r="E64" s="1">
        <v>2</v>
      </c>
      <c r="F64" s="1">
        <v>1</v>
      </c>
      <c r="G64" s="1">
        <v>1</v>
      </c>
      <c r="H64" s="1" t="s">
        <v>4691</v>
      </c>
      <c r="I64" s="1" t="s">
        <v>5192</v>
      </c>
      <c r="J64" s="1" t="s">
        <v>4862</v>
      </c>
      <c r="K64" s="1"/>
      <c r="L64" s="1" t="s">
        <v>5193</v>
      </c>
      <c r="M64" s="1" t="s">
        <v>5194</v>
      </c>
      <c r="N64" s="1" t="s">
        <v>5195</v>
      </c>
      <c r="O64" s="1" t="s">
        <v>4697</v>
      </c>
      <c r="P64" s="1" t="s">
        <v>5196</v>
      </c>
      <c r="Q64" s="1" t="s">
        <v>5197</v>
      </c>
      <c r="R64" s="1" t="s">
        <v>5198</v>
      </c>
    </row>
    <row r="65" spans="1:18" ht="84" customHeight="1">
      <c r="A65" s="1" t="s">
        <v>5184</v>
      </c>
      <c r="B65" s="1" t="s">
        <v>4688</v>
      </c>
      <c r="C65" s="1" t="s">
        <v>4810</v>
      </c>
      <c r="D65" s="1" t="s">
        <v>4811</v>
      </c>
      <c r="E65" s="1">
        <v>1</v>
      </c>
      <c r="F65" s="1">
        <v>0</v>
      </c>
      <c r="G65" s="1">
        <v>2</v>
      </c>
      <c r="H65" s="1" t="s">
        <v>4691</v>
      </c>
      <c r="I65" s="1" t="s">
        <v>5199</v>
      </c>
      <c r="J65" s="1" t="s">
        <v>5200</v>
      </c>
      <c r="K65" s="1"/>
      <c r="L65" s="1" t="s">
        <v>5201</v>
      </c>
      <c r="M65" s="1" t="s">
        <v>5202</v>
      </c>
      <c r="N65" s="1" t="s">
        <v>5203</v>
      </c>
      <c r="O65" s="1" t="s">
        <v>4697</v>
      </c>
      <c r="P65" s="1" t="s">
        <v>5204</v>
      </c>
      <c r="Q65" s="1" t="s">
        <v>5205</v>
      </c>
      <c r="R65" s="1" t="s">
        <v>5206</v>
      </c>
    </row>
    <row r="66" spans="1:18" ht="48" customHeight="1">
      <c r="A66" s="1" t="s">
        <v>5184</v>
      </c>
      <c r="B66" s="1" t="s">
        <v>4688</v>
      </c>
      <c r="C66" s="1" t="s">
        <v>4714</v>
      </c>
      <c r="D66" s="1" t="s">
        <v>4715</v>
      </c>
      <c r="E66" s="1">
        <v>2</v>
      </c>
      <c r="F66" s="1">
        <v>1</v>
      </c>
      <c r="G66" s="1">
        <v>1</v>
      </c>
      <c r="H66" s="1" t="s">
        <v>4646</v>
      </c>
      <c r="I66" s="1" t="s">
        <v>5207</v>
      </c>
      <c r="J66" s="1" t="s">
        <v>5208</v>
      </c>
      <c r="K66" s="1"/>
      <c r="L66" s="1" t="s">
        <v>5209</v>
      </c>
      <c r="M66" s="1" t="s">
        <v>5210</v>
      </c>
      <c r="N66" s="1" t="s">
        <v>4720</v>
      </c>
      <c r="O66" s="1" t="s">
        <v>4721</v>
      </c>
      <c r="P66" s="1" t="s">
        <v>5211</v>
      </c>
      <c r="Q66" s="1" t="s">
        <v>5212</v>
      </c>
      <c r="R66" s="1" t="s">
        <v>5213</v>
      </c>
    </row>
    <row r="67" spans="1:18" ht="72" customHeight="1">
      <c r="A67" s="1" t="s">
        <v>5184</v>
      </c>
      <c r="B67" s="1" t="s">
        <v>4688</v>
      </c>
      <c r="C67" s="1" t="s">
        <v>4689</v>
      </c>
      <c r="D67" s="1" t="s">
        <v>4690</v>
      </c>
      <c r="E67" s="1">
        <v>0</v>
      </c>
      <c r="F67" s="1">
        <v>1</v>
      </c>
      <c r="G67" s="1">
        <v>0</v>
      </c>
      <c r="H67" s="1" t="s">
        <v>4691</v>
      </c>
      <c r="I67" s="1" t="s">
        <v>5214</v>
      </c>
      <c r="J67" s="1" t="s">
        <v>5215</v>
      </c>
      <c r="K67" s="1"/>
      <c r="L67" s="1" t="s">
        <v>5216</v>
      </c>
      <c r="M67" s="1" t="s">
        <v>5217</v>
      </c>
      <c r="N67" s="1" t="s">
        <v>5218</v>
      </c>
      <c r="O67" s="1" t="s">
        <v>4697</v>
      </c>
      <c r="P67" s="1" t="s">
        <v>5219</v>
      </c>
      <c r="Q67" s="1" t="s">
        <v>5220</v>
      </c>
      <c r="R67" s="1" t="s">
        <v>5221</v>
      </c>
    </row>
    <row r="68" spans="1:18" ht="72" customHeight="1">
      <c r="A68" s="1" t="s">
        <v>5222</v>
      </c>
      <c r="B68" s="1" t="s">
        <v>4702</v>
      </c>
      <c r="C68" s="1" t="s">
        <v>4834</v>
      </c>
      <c r="D68" s="1" t="s">
        <v>4835</v>
      </c>
      <c r="E68" s="1">
        <v>3</v>
      </c>
      <c r="F68" s="1">
        <v>2</v>
      </c>
      <c r="G68" s="1">
        <v>2</v>
      </c>
      <c r="H68" s="1" t="s">
        <v>4691</v>
      </c>
      <c r="I68" s="1" t="s">
        <v>5223</v>
      </c>
      <c r="J68" s="1" t="s">
        <v>4896</v>
      </c>
      <c r="K68" s="1" t="s">
        <v>5224</v>
      </c>
      <c r="L68" s="1" t="s">
        <v>5225</v>
      </c>
      <c r="M68" s="1" t="s">
        <v>5226</v>
      </c>
      <c r="N68" s="1" t="s">
        <v>5227</v>
      </c>
      <c r="O68" s="1" t="s">
        <v>4697</v>
      </c>
      <c r="P68" s="1" t="s">
        <v>5228</v>
      </c>
      <c r="Q68" s="1" t="s">
        <v>5229</v>
      </c>
      <c r="R68" s="1" t="s">
        <v>5230</v>
      </c>
    </row>
    <row r="69" spans="1:18" ht="60" customHeight="1">
      <c r="A69" s="1" t="s">
        <v>5222</v>
      </c>
      <c r="B69" s="1" t="s">
        <v>4688</v>
      </c>
      <c r="C69" s="1" t="s">
        <v>4744</v>
      </c>
      <c r="D69" s="1" t="s">
        <v>4745</v>
      </c>
      <c r="E69" s="1">
        <v>2</v>
      </c>
      <c r="F69" s="1">
        <v>0</v>
      </c>
      <c r="G69" s="1">
        <v>1</v>
      </c>
      <c r="H69" s="1" t="s">
        <v>4691</v>
      </c>
      <c r="I69" s="1" t="s">
        <v>5231</v>
      </c>
      <c r="J69" s="1" t="s">
        <v>4747</v>
      </c>
      <c r="K69" s="1"/>
      <c r="L69" s="1" t="s">
        <v>5232</v>
      </c>
      <c r="M69" s="1" t="s">
        <v>5233</v>
      </c>
      <c r="N69" s="1" t="s">
        <v>5234</v>
      </c>
      <c r="O69" s="1" t="s">
        <v>4697</v>
      </c>
      <c r="P69" s="1" t="s">
        <v>5235</v>
      </c>
      <c r="Q69" s="1" t="s">
        <v>5236</v>
      </c>
      <c r="R69" s="1" t="s">
        <v>5237</v>
      </c>
    </row>
    <row r="70" spans="1:18" ht="72" customHeight="1">
      <c r="A70" s="1" t="s">
        <v>5222</v>
      </c>
      <c r="B70" s="1" t="s">
        <v>4688</v>
      </c>
      <c r="C70" s="1" t="s">
        <v>4810</v>
      </c>
      <c r="D70" s="1" t="s">
        <v>4811</v>
      </c>
      <c r="E70" s="1">
        <v>2</v>
      </c>
      <c r="F70" s="1">
        <v>0</v>
      </c>
      <c r="G70" s="1">
        <v>2</v>
      </c>
      <c r="H70" s="1" t="s">
        <v>4691</v>
      </c>
      <c r="I70" s="1" t="s">
        <v>5238</v>
      </c>
      <c r="J70" s="1" t="s">
        <v>4747</v>
      </c>
      <c r="K70" s="1"/>
      <c r="L70" s="1" t="s">
        <v>5239</v>
      </c>
      <c r="M70" s="1" t="s">
        <v>5240</v>
      </c>
      <c r="N70" s="1" t="s">
        <v>5241</v>
      </c>
      <c r="O70" s="1" t="s">
        <v>4697</v>
      </c>
      <c r="P70" s="1" t="s">
        <v>5242</v>
      </c>
      <c r="Q70" s="1" t="s">
        <v>5243</v>
      </c>
      <c r="R70" s="1" t="s">
        <v>5244</v>
      </c>
    </row>
    <row r="71" spans="1:18" ht="36" customHeight="1">
      <c r="A71" s="1" t="s">
        <v>5222</v>
      </c>
      <c r="B71" s="1" t="s">
        <v>4688</v>
      </c>
      <c r="C71" s="1" t="s">
        <v>4714</v>
      </c>
      <c r="D71" s="1" t="s">
        <v>4715</v>
      </c>
      <c r="E71" s="1">
        <v>2</v>
      </c>
      <c r="F71" s="1">
        <v>1</v>
      </c>
      <c r="G71" s="1">
        <v>1</v>
      </c>
      <c r="H71" s="1" t="s">
        <v>4646</v>
      </c>
      <c r="I71" s="1" t="s">
        <v>5245</v>
      </c>
      <c r="J71" s="1" t="s">
        <v>4896</v>
      </c>
      <c r="K71" s="1"/>
      <c r="L71" s="1" t="s">
        <v>5246</v>
      </c>
      <c r="M71" s="1" t="s">
        <v>5247</v>
      </c>
      <c r="N71" s="1" t="s">
        <v>4720</v>
      </c>
      <c r="O71" s="1" t="s">
        <v>4721</v>
      </c>
      <c r="P71" s="1" t="s">
        <v>5248</v>
      </c>
      <c r="Q71" s="1" t="s">
        <v>5249</v>
      </c>
      <c r="R71" s="1" t="s">
        <v>5250</v>
      </c>
    </row>
    <row r="72" spans="1:18" ht="132" customHeight="1">
      <c r="A72" s="1" t="s">
        <v>5251</v>
      </c>
      <c r="B72" s="1" t="s">
        <v>4702</v>
      </c>
      <c r="C72" s="1" t="s">
        <v>4834</v>
      </c>
      <c r="D72" s="1" t="s">
        <v>4835</v>
      </c>
      <c r="E72" s="1">
        <v>5</v>
      </c>
      <c r="F72" s="1">
        <v>4</v>
      </c>
      <c r="G72" s="1">
        <v>4</v>
      </c>
      <c r="H72" s="1" t="s">
        <v>4691</v>
      </c>
      <c r="I72" s="1" t="s">
        <v>5252</v>
      </c>
      <c r="J72" s="1" t="s">
        <v>5253</v>
      </c>
      <c r="K72" s="1" t="s">
        <v>5254</v>
      </c>
      <c r="L72" s="1" t="s">
        <v>5255</v>
      </c>
      <c r="M72" s="1" t="s">
        <v>5256</v>
      </c>
      <c r="N72" s="1" t="s">
        <v>5257</v>
      </c>
      <c r="O72" s="1" t="s">
        <v>4697</v>
      </c>
      <c r="P72" s="1" t="s">
        <v>5258</v>
      </c>
      <c r="Q72" s="1" t="s">
        <v>5259</v>
      </c>
      <c r="R72" s="1" t="s">
        <v>5260</v>
      </c>
    </row>
    <row r="73" spans="1:18" ht="48" customHeight="1">
      <c r="A73" s="1" t="s">
        <v>5251</v>
      </c>
      <c r="B73" s="1" t="s">
        <v>4688</v>
      </c>
      <c r="C73" s="1" t="s">
        <v>4744</v>
      </c>
      <c r="D73" s="1" t="s">
        <v>4745</v>
      </c>
      <c r="E73" s="1">
        <v>2</v>
      </c>
      <c r="F73" s="1">
        <v>1</v>
      </c>
      <c r="G73" s="1">
        <v>2</v>
      </c>
      <c r="H73" s="1" t="s">
        <v>4691</v>
      </c>
      <c r="I73" s="1" t="s">
        <v>5261</v>
      </c>
      <c r="J73" s="1" t="s">
        <v>5215</v>
      </c>
      <c r="K73" s="1"/>
      <c r="L73" s="1" t="s">
        <v>5262</v>
      </c>
      <c r="M73" s="1" t="s">
        <v>5263</v>
      </c>
      <c r="N73" s="1" t="s">
        <v>5264</v>
      </c>
      <c r="O73" s="1" t="s">
        <v>4697</v>
      </c>
      <c r="P73" s="1" t="s">
        <v>5265</v>
      </c>
      <c r="Q73" s="1" t="s">
        <v>5266</v>
      </c>
      <c r="R73" s="1" t="s">
        <v>5267</v>
      </c>
    </row>
    <row r="74" spans="1:18" ht="108" customHeight="1">
      <c r="A74" s="1" t="s">
        <v>5268</v>
      </c>
      <c r="B74" s="1" t="s">
        <v>4702</v>
      </c>
      <c r="C74" s="1" t="s">
        <v>4834</v>
      </c>
      <c r="D74" s="1" t="s">
        <v>4835</v>
      </c>
      <c r="E74" s="1">
        <v>4</v>
      </c>
      <c r="F74" s="1">
        <v>3</v>
      </c>
      <c r="G74" s="1">
        <v>4</v>
      </c>
      <c r="H74" s="1" t="s">
        <v>4691</v>
      </c>
      <c r="I74" s="1" t="s">
        <v>5269</v>
      </c>
      <c r="J74" s="1" t="s">
        <v>4788</v>
      </c>
      <c r="K74" s="1" t="s">
        <v>5270</v>
      </c>
      <c r="L74" s="1" t="s">
        <v>5271</v>
      </c>
      <c r="M74" s="1" t="s">
        <v>5272</v>
      </c>
      <c r="N74" s="1" t="s">
        <v>5273</v>
      </c>
      <c r="O74" s="1" t="s">
        <v>4697</v>
      </c>
      <c r="P74" s="1" t="s">
        <v>5274</v>
      </c>
      <c r="Q74" s="1" t="s">
        <v>5275</v>
      </c>
      <c r="R74" s="1" t="s">
        <v>5276</v>
      </c>
    </row>
    <row r="75" spans="1:18" ht="96" customHeight="1">
      <c r="A75" s="1" t="s">
        <v>5268</v>
      </c>
      <c r="B75" s="1" t="s">
        <v>4688</v>
      </c>
      <c r="C75" s="1" t="s">
        <v>4734</v>
      </c>
      <c r="D75" s="1" t="s">
        <v>4735</v>
      </c>
      <c r="E75" s="1">
        <v>2</v>
      </c>
      <c r="F75" s="1">
        <v>1</v>
      </c>
      <c r="G75" s="1">
        <v>2</v>
      </c>
      <c r="H75" s="1" t="s">
        <v>4691</v>
      </c>
      <c r="I75" s="1" t="s">
        <v>5277</v>
      </c>
      <c r="J75" s="1" t="s">
        <v>5278</v>
      </c>
      <c r="K75" s="1"/>
      <c r="L75" s="1" t="s">
        <v>5279</v>
      </c>
      <c r="M75" s="1" t="s">
        <v>5280</v>
      </c>
      <c r="N75" s="1" t="s">
        <v>5281</v>
      </c>
      <c r="O75" s="1" t="s">
        <v>4697</v>
      </c>
      <c r="P75" s="1" t="s">
        <v>5282</v>
      </c>
      <c r="Q75" s="1" t="s">
        <v>5283</v>
      </c>
      <c r="R75" s="1" t="s">
        <v>5284</v>
      </c>
    </row>
    <row r="76" spans="1:18" ht="96" customHeight="1">
      <c r="A76" s="1" t="s">
        <v>5268</v>
      </c>
      <c r="B76" s="1" t="s">
        <v>4688</v>
      </c>
      <c r="C76" s="1" t="s">
        <v>4893</v>
      </c>
      <c r="D76" s="1" t="s">
        <v>4894</v>
      </c>
      <c r="E76" s="1">
        <v>0</v>
      </c>
      <c r="F76" s="1">
        <v>1</v>
      </c>
      <c r="G76" s="1">
        <v>0</v>
      </c>
      <c r="H76" s="1" t="s">
        <v>4691</v>
      </c>
      <c r="I76" s="1" t="s">
        <v>5285</v>
      </c>
      <c r="J76" s="1" t="s">
        <v>4862</v>
      </c>
      <c r="K76" s="1"/>
      <c r="L76" s="1" t="s">
        <v>5286</v>
      </c>
      <c r="M76" s="1" t="s">
        <v>5287</v>
      </c>
      <c r="N76" s="1" t="s">
        <v>5288</v>
      </c>
      <c r="O76" s="1" t="s">
        <v>5289</v>
      </c>
      <c r="P76" s="1" t="s">
        <v>5290</v>
      </c>
      <c r="Q76" s="1" t="s">
        <v>5291</v>
      </c>
      <c r="R76" s="1" t="s">
        <v>5292</v>
      </c>
    </row>
    <row r="77" spans="1:18" ht="84" customHeight="1">
      <c r="A77" s="1" t="s">
        <v>5268</v>
      </c>
      <c r="B77" s="1" t="s">
        <v>4688</v>
      </c>
      <c r="C77" s="1" t="s">
        <v>4744</v>
      </c>
      <c r="D77" s="1" t="s">
        <v>4745</v>
      </c>
      <c r="E77" s="1">
        <v>2</v>
      </c>
      <c r="F77" s="1">
        <v>0</v>
      </c>
      <c r="G77" s="1">
        <v>1</v>
      </c>
      <c r="H77" s="1" t="s">
        <v>4691</v>
      </c>
      <c r="I77" s="1" t="s">
        <v>5293</v>
      </c>
      <c r="J77" s="1" t="s">
        <v>4747</v>
      </c>
      <c r="K77" s="1"/>
      <c r="L77" s="1" t="s">
        <v>5294</v>
      </c>
      <c r="M77" s="1" t="s">
        <v>5295</v>
      </c>
      <c r="N77" s="1" t="s">
        <v>5296</v>
      </c>
      <c r="O77" s="1" t="s">
        <v>5289</v>
      </c>
      <c r="P77" s="1" t="s">
        <v>5297</v>
      </c>
      <c r="Q77" s="1" t="s">
        <v>5298</v>
      </c>
      <c r="R77" s="1" t="s">
        <v>5299</v>
      </c>
    </row>
    <row r="78" spans="1:18" ht="36" customHeight="1">
      <c r="A78" s="1" t="s">
        <v>5268</v>
      </c>
      <c r="B78" s="1" t="s">
        <v>4688</v>
      </c>
      <c r="C78" s="1" t="s">
        <v>4714</v>
      </c>
      <c r="D78" s="1" t="s">
        <v>4715</v>
      </c>
      <c r="E78" s="1">
        <v>2</v>
      </c>
      <c r="F78" s="1">
        <v>1</v>
      </c>
      <c r="G78" s="1">
        <v>2</v>
      </c>
      <c r="H78" s="1" t="s">
        <v>4646</v>
      </c>
      <c r="I78" s="1" t="s">
        <v>5300</v>
      </c>
      <c r="J78" s="1" t="s">
        <v>4862</v>
      </c>
      <c r="K78" s="1"/>
      <c r="L78" s="1" t="s">
        <v>5301</v>
      </c>
      <c r="M78" s="1" t="s">
        <v>5302</v>
      </c>
      <c r="N78" s="1" t="s">
        <v>4758</v>
      </c>
      <c r="O78" s="1" t="s">
        <v>4721</v>
      </c>
      <c r="P78" s="1" t="s">
        <v>5303</v>
      </c>
      <c r="Q78" s="1" t="s">
        <v>5304</v>
      </c>
      <c r="R78" s="1" t="s">
        <v>5305</v>
      </c>
    </row>
    <row r="79" spans="1:18" ht="72" customHeight="1">
      <c r="A79" s="1" t="s">
        <v>5306</v>
      </c>
      <c r="B79" s="1" t="s">
        <v>4702</v>
      </c>
      <c r="C79" s="1" t="s">
        <v>4834</v>
      </c>
      <c r="D79" s="1" t="s">
        <v>4835</v>
      </c>
      <c r="E79" s="1">
        <v>4</v>
      </c>
      <c r="F79" s="1">
        <v>2</v>
      </c>
      <c r="G79" s="1">
        <v>2</v>
      </c>
      <c r="H79" s="1" t="s">
        <v>4691</v>
      </c>
      <c r="I79" s="1" t="s">
        <v>5307</v>
      </c>
      <c r="J79" s="1" t="s">
        <v>5215</v>
      </c>
      <c r="K79" s="1" t="s">
        <v>5308</v>
      </c>
      <c r="L79" s="1" t="s">
        <v>5309</v>
      </c>
      <c r="M79" s="1" t="s">
        <v>5310</v>
      </c>
      <c r="N79" s="1" t="s">
        <v>5311</v>
      </c>
      <c r="O79" s="1" t="s">
        <v>4697</v>
      </c>
      <c r="P79" s="1" t="s">
        <v>5312</v>
      </c>
      <c r="Q79" s="1" t="s">
        <v>5313</v>
      </c>
      <c r="R79" s="1" t="s">
        <v>5314</v>
      </c>
    </row>
    <row r="80" spans="1:18" ht="60" customHeight="1">
      <c r="A80" s="1" t="s">
        <v>5306</v>
      </c>
      <c r="B80" s="1" t="s">
        <v>4688</v>
      </c>
      <c r="C80" s="1" t="s">
        <v>4810</v>
      </c>
      <c r="D80" s="1" t="s">
        <v>4811</v>
      </c>
      <c r="E80" s="1">
        <v>2</v>
      </c>
      <c r="F80" s="1">
        <v>1</v>
      </c>
      <c r="G80" s="1">
        <v>2</v>
      </c>
      <c r="H80" s="1" t="s">
        <v>4691</v>
      </c>
      <c r="I80" s="1" t="s">
        <v>5315</v>
      </c>
      <c r="J80" s="1" t="s">
        <v>5316</v>
      </c>
      <c r="K80" s="1"/>
      <c r="L80" s="1" t="s">
        <v>5317</v>
      </c>
      <c r="M80" s="1" t="s">
        <v>5318</v>
      </c>
      <c r="N80" s="1" t="s">
        <v>5319</v>
      </c>
      <c r="O80" s="1" t="s">
        <v>4697</v>
      </c>
      <c r="P80" s="1" t="s">
        <v>5320</v>
      </c>
      <c r="Q80" s="1" t="s">
        <v>5321</v>
      </c>
      <c r="R80" s="1" t="s">
        <v>5322</v>
      </c>
    </row>
    <row r="81" spans="1:18" ht="60" customHeight="1">
      <c r="A81" s="1" t="s">
        <v>5306</v>
      </c>
      <c r="B81" s="1" t="s">
        <v>4688</v>
      </c>
      <c r="C81" s="1" t="s">
        <v>4714</v>
      </c>
      <c r="D81" s="1" t="s">
        <v>4715</v>
      </c>
      <c r="E81" s="1">
        <v>2</v>
      </c>
      <c r="F81" s="1">
        <v>1</v>
      </c>
      <c r="G81" s="1">
        <v>1</v>
      </c>
      <c r="H81" s="1" t="s">
        <v>4646</v>
      </c>
      <c r="I81" s="1" t="s">
        <v>5323</v>
      </c>
      <c r="J81" s="1" t="s">
        <v>5316</v>
      </c>
      <c r="K81" s="1"/>
      <c r="L81" s="1" t="s">
        <v>5324</v>
      </c>
      <c r="M81" s="1" t="s">
        <v>5325</v>
      </c>
      <c r="N81" s="1" t="s">
        <v>5326</v>
      </c>
      <c r="O81" s="1" t="s">
        <v>4721</v>
      </c>
      <c r="P81" s="1" t="s">
        <v>5327</v>
      </c>
      <c r="Q81" s="1" t="s">
        <v>5328</v>
      </c>
      <c r="R81" s="1" t="s">
        <v>5329</v>
      </c>
    </row>
    <row r="82" spans="1:18" ht="60" customHeight="1">
      <c r="A82" s="1" t="s">
        <v>5330</v>
      </c>
      <c r="B82" s="1" t="s">
        <v>4688</v>
      </c>
      <c r="C82" s="1" t="s">
        <v>4734</v>
      </c>
      <c r="D82" s="1" t="s">
        <v>4735</v>
      </c>
      <c r="E82" s="1">
        <v>0</v>
      </c>
      <c r="F82" s="1">
        <v>1</v>
      </c>
      <c r="G82" s="1">
        <v>1</v>
      </c>
      <c r="H82" s="1" t="s">
        <v>4691</v>
      </c>
      <c r="I82" s="1" t="s">
        <v>4747</v>
      </c>
      <c r="J82" s="1" t="s">
        <v>5005</v>
      </c>
      <c r="K82" s="1"/>
      <c r="L82" s="1" t="s">
        <v>5331</v>
      </c>
      <c r="M82" s="1" t="s">
        <v>5332</v>
      </c>
      <c r="N82" s="1" t="s">
        <v>5333</v>
      </c>
      <c r="O82" s="1" t="s">
        <v>4697</v>
      </c>
      <c r="P82" s="1" t="s">
        <v>5334</v>
      </c>
      <c r="Q82" s="1" t="s">
        <v>5335</v>
      </c>
      <c r="R82" s="1" t="s">
        <v>5336</v>
      </c>
    </row>
    <row r="83" spans="1:18" ht="84" customHeight="1">
      <c r="A83" s="1" t="s">
        <v>5337</v>
      </c>
      <c r="B83" s="1" t="s">
        <v>4702</v>
      </c>
      <c r="C83" s="1" t="s">
        <v>4703</v>
      </c>
      <c r="D83" s="1" t="s">
        <v>4704</v>
      </c>
      <c r="E83" s="1">
        <v>2</v>
      </c>
      <c r="F83" s="1">
        <v>5</v>
      </c>
      <c r="G83" s="1">
        <v>5</v>
      </c>
      <c r="H83" s="1" t="s">
        <v>4691</v>
      </c>
      <c r="I83" s="1" t="s">
        <v>5338</v>
      </c>
      <c r="J83" s="1" t="s">
        <v>5215</v>
      </c>
      <c r="K83" s="1" t="s">
        <v>5339</v>
      </c>
      <c r="L83" s="1" t="s">
        <v>5340</v>
      </c>
      <c r="M83" s="1" t="s">
        <v>5341</v>
      </c>
      <c r="N83" s="1" t="s">
        <v>5342</v>
      </c>
      <c r="O83" s="1" t="s">
        <v>4697</v>
      </c>
      <c r="P83" s="1" t="s">
        <v>5343</v>
      </c>
      <c r="Q83" s="1" t="s">
        <v>5344</v>
      </c>
      <c r="R83" s="1" t="s">
        <v>5345</v>
      </c>
    </row>
    <row r="84" spans="1:18" ht="48" customHeight="1">
      <c r="A84" s="1" t="s">
        <v>5337</v>
      </c>
      <c r="B84" s="1" t="s">
        <v>4688</v>
      </c>
      <c r="C84" s="1" t="s">
        <v>4734</v>
      </c>
      <c r="D84" s="1" t="s">
        <v>4735</v>
      </c>
      <c r="E84" s="1">
        <v>0</v>
      </c>
      <c r="F84" s="1">
        <v>1</v>
      </c>
      <c r="G84" s="1">
        <v>2</v>
      </c>
      <c r="H84" s="1" t="s">
        <v>4691</v>
      </c>
      <c r="I84" s="1" t="s">
        <v>4747</v>
      </c>
      <c r="J84" s="1" t="s">
        <v>5005</v>
      </c>
      <c r="K84" s="1"/>
      <c r="L84" s="1" t="s">
        <v>5346</v>
      </c>
      <c r="M84" s="1" t="s">
        <v>5347</v>
      </c>
      <c r="N84" s="1" t="s">
        <v>5348</v>
      </c>
      <c r="O84" s="1" t="s">
        <v>4697</v>
      </c>
      <c r="P84" s="1" t="s">
        <v>5349</v>
      </c>
      <c r="Q84" s="1" t="s">
        <v>5350</v>
      </c>
      <c r="R84" s="1" t="s">
        <v>5351</v>
      </c>
    </row>
    <row r="85" spans="1:18" ht="108" customHeight="1">
      <c r="A85" s="1" t="s">
        <v>5352</v>
      </c>
      <c r="B85" s="1" t="s">
        <v>4702</v>
      </c>
      <c r="C85" s="1" t="s">
        <v>4834</v>
      </c>
      <c r="D85" s="1" t="s">
        <v>4835</v>
      </c>
      <c r="E85" s="1">
        <v>2</v>
      </c>
      <c r="F85" s="1">
        <v>4</v>
      </c>
      <c r="G85" s="1">
        <v>5</v>
      </c>
      <c r="H85" s="1" t="s">
        <v>4691</v>
      </c>
      <c r="I85" s="1" t="s">
        <v>5353</v>
      </c>
      <c r="J85" s="1" t="s">
        <v>4886</v>
      </c>
      <c r="K85" s="1" t="s">
        <v>5354</v>
      </c>
      <c r="L85" s="1" t="s">
        <v>5355</v>
      </c>
      <c r="M85" s="1" t="s">
        <v>5356</v>
      </c>
      <c r="N85" s="1" t="s">
        <v>5357</v>
      </c>
      <c r="O85" s="1" t="s">
        <v>4697</v>
      </c>
      <c r="P85" s="1" t="s">
        <v>5358</v>
      </c>
      <c r="Q85" s="1" t="s">
        <v>5359</v>
      </c>
      <c r="R85" s="1" t="s">
        <v>5360</v>
      </c>
    </row>
    <row r="86" spans="1:18" ht="84" customHeight="1">
      <c r="A86" s="1" t="s">
        <v>5352</v>
      </c>
      <c r="B86" s="1" t="s">
        <v>4688</v>
      </c>
      <c r="C86" s="1" t="s">
        <v>4689</v>
      </c>
      <c r="D86" s="1" t="s">
        <v>4690</v>
      </c>
      <c r="E86" s="1">
        <v>0</v>
      </c>
      <c r="F86" s="1">
        <v>1</v>
      </c>
      <c r="G86" s="1">
        <v>0</v>
      </c>
      <c r="H86" s="1" t="s">
        <v>4691</v>
      </c>
      <c r="I86" s="1" t="s">
        <v>5361</v>
      </c>
      <c r="J86" s="1" t="s">
        <v>5362</v>
      </c>
      <c r="K86" s="1"/>
      <c r="L86" s="1" t="s">
        <v>5363</v>
      </c>
      <c r="M86" s="1" t="s">
        <v>5364</v>
      </c>
      <c r="N86" s="1" t="s">
        <v>5365</v>
      </c>
      <c r="O86" s="1" t="s">
        <v>4697</v>
      </c>
      <c r="P86" s="1" t="s">
        <v>5366</v>
      </c>
      <c r="Q86" s="1" t="s">
        <v>5367</v>
      </c>
      <c r="R86" s="1" t="s">
        <v>5368</v>
      </c>
    </row>
    <row r="87" spans="1:18" ht="60" customHeight="1">
      <c r="A87" s="1" t="s">
        <v>5369</v>
      </c>
      <c r="B87" s="1" t="s">
        <v>4688</v>
      </c>
      <c r="C87" s="1" t="s">
        <v>4734</v>
      </c>
      <c r="D87" s="1" t="s">
        <v>4735</v>
      </c>
      <c r="E87" s="1">
        <v>0</v>
      </c>
      <c r="F87" s="1">
        <v>1</v>
      </c>
      <c r="G87" s="1">
        <v>1</v>
      </c>
      <c r="H87" s="1" t="s">
        <v>4691</v>
      </c>
      <c r="I87" s="1" t="s">
        <v>4747</v>
      </c>
      <c r="J87" s="1" t="s">
        <v>5005</v>
      </c>
      <c r="K87" s="1"/>
      <c r="L87" s="1" t="s">
        <v>5370</v>
      </c>
      <c r="M87" s="1" t="s">
        <v>5371</v>
      </c>
      <c r="N87" s="1" t="s">
        <v>5372</v>
      </c>
      <c r="O87" s="1" t="s">
        <v>4697</v>
      </c>
      <c r="P87" s="1" t="s">
        <v>5373</v>
      </c>
      <c r="Q87" s="1" t="s">
        <v>5374</v>
      </c>
      <c r="R87" s="1" t="s">
        <v>5375</v>
      </c>
    </row>
    <row r="88" spans="1:18" ht="60" customHeight="1">
      <c r="A88" s="1" t="s">
        <v>5369</v>
      </c>
      <c r="B88" s="1" t="s">
        <v>4688</v>
      </c>
      <c r="C88" s="1" t="s">
        <v>4893</v>
      </c>
      <c r="D88" s="1" t="s">
        <v>4894</v>
      </c>
      <c r="E88" s="1">
        <v>0</v>
      </c>
      <c r="F88" s="1">
        <v>1</v>
      </c>
      <c r="G88" s="1">
        <v>1</v>
      </c>
      <c r="H88" s="1" t="s">
        <v>4691</v>
      </c>
      <c r="I88" s="1" t="s">
        <v>4747</v>
      </c>
      <c r="J88" s="1" t="s">
        <v>4717</v>
      </c>
      <c r="K88" s="1"/>
      <c r="L88" s="1" t="s">
        <v>5376</v>
      </c>
      <c r="M88" s="1" t="s">
        <v>5377</v>
      </c>
      <c r="N88" s="1" t="s">
        <v>5378</v>
      </c>
      <c r="O88" s="1" t="s">
        <v>4697</v>
      </c>
      <c r="P88" s="1" t="s">
        <v>5379</v>
      </c>
      <c r="Q88" s="1" t="s">
        <v>5380</v>
      </c>
      <c r="R88" s="1" t="s">
        <v>5381</v>
      </c>
    </row>
    <row r="89" spans="1:18" ht="72" customHeight="1">
      <c r="A89" s="1" t="s">
        <v>5369</v>
      </c>
      <c r="B89" s="1" t="s">
        <v>4688</v>
      </c>
      <c r="C89" s="1" t="s">
        <v>4744</v>
      </c>
      <c r="D89" s="1" t="s">
        <v>4745</v>
      </c>
      <c r="E89" s="1">
        <v>2</v>
      </c>
      <c r="F89" s="1">
        <v>0</v>
      </c>
      <c r="G89" s="1">
        <v>2</v>
      </c>
      <c r="H89" s="1" t="s">
        <v>4691</v>
      </c>
      <c r="I89" s="1" t="s">
        <v>5382</v>
      </c>
      <c r="J89" s="1" t="s">
        <v>4747</v>
      </c>
      <c r="K89" s="1"/>
      <c r="L89" s="1" t="s">
        <v>5383</v>
      </c>
      <c r="M89" s="1" t="s">
        <v>5384</v>
      </c>
      <c r="N89" s="1" t="s">
        <v>5385</v>
      </c>
      <c r="O89" s="1" t="s">
        <v>4697</v>
      </c>
      <c r="P89" s="1" t="s">
        <v>5386</v>
      </c>
      <c r="Q89" s="1" t="s">
        <v>5387</v>
      </c>
      <c r="R89" s="1" t="s">
        <v>5388</v>
      </c>
    </row>
    <row r="90" spans="1:18" ht="60" customHeight="1">
      <c r="A90" s="1" t="s">
        <v>5389</v>
      </c>
      <c r="B90" s="1" t="s">
        <v>4688</v>
      </c>
      <c r="C90" s="1" t="s">
        <v>5390</v>
      </c>
      <c r="D90" s="1" t="s">
        <v>5391</v>
      </c>
      <c r="E90" s="1">
        <v>2</v>
      </c>
      <c r="F90" s="1">
        <v>1</v>
      </c>
      <c r="G90" s="1">
        <v>1</v>
      </c>
      <c r="H90" s="1" t="s">
        <v>4691</v>
      </c>
      <c r="I90" s="1" t="s">
        <v>5392</v>
      </c>
      <c r="J90" s="1" t="s">
        <v>4788</v>
      </c>
      <c r="K90" s="1"/>
      <c r="L90" s="1" t="s">
        <v>5393</v>
      </c>
      <c r="M90" s="1" t="s">
        <v>5394</v>
      </c>
      <c r="N90" s="1" t="s">
        <v>5395</v>
      </c>
      <c r="O90" s="1" t="s">
        <v>4697</v>
      </c>
      <c r="P90" s="1" t="s">
        <v>5396</v>
      </c>
      <c r="Q90" s="1" t="s">
        <v>5397</v>
      </c>
      <c r="R90" s="1" t="s">
        <v>5398</v>
      </c>
    </row>
    <row r="91" spans="1:18" ht="60" customHeight="1">
      <c r="A91" s="1" t="s">
        <v>5389</v>
      </c>
      <c r="B91" s="1" t="s">
        <v>4688</v>
      </c>
      <c r="C91" s="1" t="s">
        <v>4734</v>
      </c>
      <c r="D91" s="1" t="s">
        <v>4735</v>
      </c>
      <c r="E91" s="1">
        <v>2</v>
      </c>
      <c r="F91" s="1">
        <v>0</v>
      </c>
      <c r="G91" s="1">
        <v>0</v>
      </c>
      <c r="H91" s="1" t="s">
        <v>4691</v>
      </c>
      <c r="I91" s="1" t="s">
        <v>5399</v>
      </c>
      <c r="J91" s="1" t="s">
        <v>4747</v>
      </c>
      <c r="K91" s="1"/>
      <c r="L91" s="1" t="s">
        <v>5400</v>
      </c>
      <c r="M91" s="1" t="s">
        <v>5401</v>
      </c>
      <c r="N91" s="1" t="s">
        <v>5402</v>
      </c>
      <c r="O91" s="1" t="s">
        <v>4697</v>
      </c>
      <c r="P91" s="1" t="s">
        <v>5403</v>
      </c>
      <c r="Q91" s="1" t="s">
        <v>5404</v>
      </c>
      <c r="R91" s="1" t="s">
        <v>5405</v>
      </c>
    </row>
    <row r="92" spans="1:18" ht="72" customHeight="1">
      <c r="A92" s="1" t="s">
        <v>5389</v>
      </c>
      <c r="B92" s="1" t="s">
        <v>4688</v>
      </c>
      <c r="C92" s="1" t="s">
        <v>5117</v>
      </c>
      <c r="D92" s="1" t="s">
        <v>5118</v>
      </c>
      <c r="E92" s="1">
        <v>2</v>
      </c>
      <c r="F92" s="1">
        <v>0</v>
      </c>
      <c r="G92" s="1">
        <v>1</v>
      </c>
      <c r="H92" s="1" t="s">
        <v>4691</v>
      </c>
      <c r="I92" s="1" t="s">
        <v>5406</v>
      </c>
      <c r="J92" s="1" t="s">
        <v>4747</v>
      </c>
      <c r="K92" s="1"/>
      <c r="L92" s="1" t="s">
        <v>5407</v>
      </c>
      <c r="M92" s="1" t="s">
        <v>5408</v>
      </c>
      <c r="N92" s="1" t="s">
        <v>5409</v>
      </c>
      <c r="O92" s="1" t="s">
        <v>4697</v>
      </c>
      <c r="P92" s="1" t="s">
        <v>5410</v>
      </c>
      <c r="Q92" s="1" t="s">
        <v>5411</v>
      </c>
      <c r="R92" s="1" t="s">
        <v>5412</v>
      </c>
    </row>
    <row r="93" spans="1:18" ht="108" customHeight="1">
      <c r="A93" s="1" t="s">
        <v>5413</v>
      </c>
      <c r="B93" s="1" t="s">
        <v>4702</v>
      </c>
      <c r="C93" s="1" t="s">
        <v>4834</v>
      </c>
      <c r="D93" s="1" t="s">
        <v>4835</v>
      </c>
      <c r="E93" s="1">
        <v>5</v>
      </c>
      <c r="F93" s="1">
        <v>4</v>
      </c>
      <c r="G93" s="1">
        <v>4</v>
      </c>
      <c r="H93" s="1" t="s">
        <v>4691</v>
      </c>
      <c r="I93" s="1" t="s">
        <v>5414</v>
      </c>
      <c r="J93" s="1" t="s">
        <v>5215</v>
      </c>
      <c r="K93" s="1" t="s">
        <v>5415</v>
      </c>
      <c r="L93" s="1" t="s">
        <v>5416</v>
      </c>
      <c r="M93" s="1" t="s">
        <v>5417</v>
      </c>
      <c r="N93" s="1" t="s">
        <v>5418</v>
      </c>
      <c r="O93" s="1" t="s">
        <v>4697</v>
      </c>
      <c r="P93" s="1" t="s">
        <v>5419</v>
      </c>
      <c r="Q93" s="1" t="s">
        <v>5420</v>
      </c>
      <c r="R93" s="1" t="s">
        <v>5421</v>
      </c>
    </row>
    <row r="94" spans="1:18" ht="72" customHeight="1">
      <c r="A94" s="1" t="s">
        <v>5413</v>
      </c>
      <c r="B94" s="1" t="s">
        <v>4688</v>
      </c>
      <c r="C94" s="1" t="s">
        <v>4744</v>
      </c>
      <c r="D94" s="1" t="s">
        <v>4745</v>
      </c>
      <c r="E94" s="1">
        <v>2</v>
      </c>
      <c r="F94" s="1">
        <v>0</v>
      </c>
      <c r="G94" s="1">
        <v>1</v>
      </c>
      <c r="H94" s="1" t="s">
        <v>4691</v>
      </c>
      <c r="I94" s="1" t="s">
        <v>5422</v>
      </c>
      <c r="J94" s="1" t="s">
        <v>4747</v>
      </c>
      <c r="K94" s="1"/>
      <c r="L94" s="1" t="s">
        <v>5423</v>
      </c>
      <c r="M94" s="1" t="s">
        <v>5424</v>
      </c>
      <c r="N94" s="1" t="s">
        <v>5425</v>
      </c>
      <c r="O94" s="1" t="s">
        <v>4697</v>
      </c>
      <c r="P94" s="1" t="s">
        <v>5426</v>
      </c>
      <c r="Q94" s="1" t="s">
        <v>5427</v>
      </c>
      <c r="R94" s="1" t="s">
        <v>5428</v>
      </c>
    </row>
    <row r="95" spans="1:18" ht="36" customHeight="1">
      <c r="A95" s="1" t="s">
        <v>4640</v>
      </c>
      <c r="B95" s="1" t="s">
        <v>5429</v>
      </c>
      <c r="C95" s="1" t="s">
        <v>5429</v>
      </c>
      <c r="D95" s="1" t="s">
        <v>5430</v>
      </c>
      <c r="E95" s="1" t="s">
        <v>5431</v>
      </c>
      <c r="F95" s="1" t="s">
        <v>5432</v>
      </c>
      <c r="G95" s="1" t="s">
        <v>5431</v>
      </c>
      <c r="H95" s="1" t="s">
        <v>4646</v>
      </c>
      <c r="I95" s="1" t="s">
        <v>4645</v>
      </c>
      <c r="J95" s="1" t="s">
        <v>5433</v>
      </c>
      <c r="K95" s="1" t="s">
        <v>4643</v>
      </c>
      <c r="L95" s="1" t="s">
        <v>4644</v>
      </c>
      <c r="M95" s="1" t="s">
        <v>4645</v>
      </c>
      <c r="N95" s="1" t="s">
        <v>4643</v>
      </c>
      <c r="O95" s="1" t="s">
        <v>4721</v>
      </c>
      <c r="P95" s="1" t="s">
        <v>5434</v>
      </c>
      <c r="Q95" s="1" t="s">
        <v>5435</v>
      </c>
      <c r="R95" s="1" t="s">
        <v>5436</v>
      </c>
    </row>
    <row r="96" spans="1:18" ht="132" customHeight="1">
      <c r="A96" s="1" t="s">
        <v>4941</v>
      </c>
      <c r="B96" s="1" t="s">
        <v>4702</v>
      </c>
      <c r="C96" s="1" t="s">
        <v>4834</v>
      </c>
      <c r="D96" s="1" t="s">
        <v>4835</v>
      </c>
      <c r="E96" s="1">
        <v>4</v>
      </c>
      <c r="F96" s="1">
        <v>4</v>
      </c>
      <c r="G96" s="1">
        <v>5</v>
      </c>
      <c r="H96" s="1" t="s">
        <v>4691</v>
      </c>
      <c r="I96" s="1" t="s">
        <v>5437</v>
      </c>
      <c r="J96" s="1" t="s">
        <v>4788</v>
      </c>
      <c r="K96" s="1" t="s">
        <v>5438</v>
      </c>
      <c r="L96" s="1" t="s">
        <v>5439</v>
      </c>
      <c r="M96" s="1" t="s">
        <v>5440</v>
      </c>
      <c r="N96" s="1" t="s">
        <v>5441</v>
      </c>
      <c r="O96" s="1" t="s">
        <v>4697</v>
      </c>
      <c r="P96" s="1" t="s">
        <v>5442</v>
      </c>
      <c r="Q96" s="1" t="s">
        <v>5443</v>
      </c>
      <c r="R96" s="1" t="s">
        <v>5444</v>
      </c>
    </row>
    <row r="97" spans="1:18" ht="120" customHeight="1">
      <c r="A97" s="1" t="s">
        <v>5116</v>
      </c>
      <c r="B97" s="1" t="s">
        <v>4702</v>
      </c>
      <c r="C97" s="1" t="s">
        <v>4834</v>
      </c>
      <c r="D97" s="1" t="s">
        <v>4835</v>
      </c>
      <c r="E97" s="1">
        <v>3</v>
      </c>
      <c r="F97" s="1">
        <v>3</v>
      </c>
      <c r="G97" s="1">
        <v>4</v>
      </c>
      <c r="H97" s="1" t="s">
        <v>4691</v>
      </c>
      <c r="I97" s="1" t="s">
        <v>5445</v>
      </c>
      <c r="J97" s="1" t="s">
        <v>4862</v>
      </c>
      <c r="K97" s="1" t="s">
        <v>5446</v>
      </c>
      <c r="L97" s="1" t="s">
        <v>5447</v>
      </c>
      <c r="M97" s="1" t="s">
        <v>5448</v>
      </c>
      <c r="N97" s="1" t="s">
        <v>5449</v>
      </c>
      <c r="O97" s="1" t="s">
        <v>4697</v>
      </c>
      <c r="P97" s="1" t="s">
        <v>5450</v>
      </c>
      <c r="Q97" s="1" t="s">
        <v>5451</v>
      </c>
      <c r="R97" s="1" t="s">
        <v>5452</v>
      </c>
    </row>
    <row r="98" spans="1:18" ht="60" customHeight="1">
      <c r="A98" s="1" t="s">
        <v>5063</v>
      </c>
      <c r="B98" s="1" t="s">
        <v>5453</v>
      </c>
      <c r="C98" s="1" t="s">
        <v>5454</v>
      </c>
      <c r="D98" s="1" t="s">
        <v>5455</v>
      </c>
      <c r="E98" s="1"/>
      <c r="F98" s="1">
        <v>1</v>
      </c>
      <c r="G98" s="1">
        <v>0</v>
      </c>
      <c r="H98" s="1" t="s">
        <v>4691</v>
      </c>
      <c r="I98" s="1" t="s">
        <v>4747</v>
      </c>
      <c r="J98" s="1" t="s">
        <v>5456</v>
      </c>
      <c r="K98" s="1" t="s">
        <v>5457</v>
      </c>
      <c r="L98" s="1" t="s">
        <v>5458</v>
      </c>
      <c r="M98" s="1" t="s">
        <v>5459</v>
      </c>
      <c r="N98" s="1" t="s">
        <v>5460</v>
      </c>
      <c r="O98" s="1" t="s">
        <v>5461</v>
      </c>
      <c r="P98" s="1"/>
      <c r="Q98" s="1" t="s">
        <v>5462</v>
      </c>
      <c r="R98" s="1" t="s">
        <v>5463</v>
      </c>
    </row>
    <row r="99" spans="1:18" ht="60" customHeight="1">
      <c r="A99" s="1" t="s">
        <v>5087</v>
      </c>
      <c r="B99" s="1" t="s">
        <v>5453</v>
      </c>
      <c r="C99" s="1" t="s">
        <v>5454</v>
      </c>
      <c r="D99" s="1" t="s">
        <v>5455</v>
      </c>
      <c r="E99" s="1"/>
      <c r="F99" s="1">
        <v>1</v>
      </c>
      <c r="G99" s="1">
        <v>0</v>
      </c>
      <c r="H99" s="1" t="s">
        <v>4691</v>
      </c>
      <c r="I99" s="1" t="s">
        <v>4747</v>
      </c>
      <c r="J99" s="1" t="s">
        <v>5456</v>
      </c>
      <c r="K99" s="1" t="s">
        <v>5457</v>
      </c>
      <c r="L99" s="1" t="s">
        <v>5464</v>
      </c>
      <c r="M99" s="1" t="s">
        <v>5459</v>
      </c>
      <c r="N99" s="1" t="s">
        <v>5460</v>
      </c>
      <c r="O99" s="1" t="s">
        <v>5461</v>
      </c>
      <c r="P99" s="1"/>
      <c r="Q99" s="1" t="s">
        <v>5462</v>
      </c>
      <c r="R99" s="1" t="s">
        <v>5463</v>
      </c>
    </row>
    <row r="100" spans="1:18" ht="36" customHeight="1">
      <c r="A100" s="1" t="s">
        <v>5465</v>
      </c>
      <c r="B100" s="1" t="s">
        <v>4702</v>
      </c>
      <c r="C100" s="1" t="s">
        <v>4834</v>
      </c>
      <c r="D100" s="1" t="s">
        <v>4835</v>
      </c>
      <c r="E100" s="1"/>
      <c r="F100" s="1"/>
      <c r="G100" s="1">
        <v>2</v>
      </c>
      <c r="H100" s="1" t="s">
        <v>4691</v>
      </c>
      <c r="I100" s="1"/>
      <c r="J100" s="1" t="s">
        <v>5466</v>
      </c>
      <c r="K100" s="1" t="s">
        <v>5467</v>
      </c>
      <c r="L100" s="1" t="s">
        <v>5468</v>
      </c>
      <c r="M100" s="1" t="s">
        <v>5467</v>
      </c>
      <c r="N100" s="1" t="s">
        <v>5469</v>
      </c>
      <c r="O100" s="1" t="s">
        <v>5461</v>
      </c>
      <c r="P100" s="1"/>
      <c r="Q100" s="1" t="s">
        <v>5470</v>
      </c>
      <c r="R100" s="1" t="s">
        <v>5471</v>
      </c>
    </row>
    <row r="101" spans="1:18" ht="36" customHeight="1">
      <c r="A101" s="1" t="s">
        <v>5465</v>
      </c>
      <c r="B101" s="1" t="s">
        <v>4702</v>
      </c>
      <c r="C101" s="1" t="s">
        <v>4703</v>
      </c>
      <c r="D101" s="1" t="s">
        <v>4704</v>
      </c>
      <c r="E101" s="1"/>
      <c r="F101" s="1"/>
      <c r="G101" s="1">
        <v>4</v>
      </c>
      <c r="H101" s="1" t="s">
        <v>4691</v>
      </c>
      <c r="I101" s="1"/>
      <c r="J101" s="1" t="s">
        <v>5472</v>
      </c>
      <c r="K101" s="1" t="s">
        <v>5473</v>
      </c>
      <c r="L101" s="1" t="s">
        <v>5468</v>
      </c>
      <c r="M101" s="1" t="s">
        <v>5473</v>
      </c>
      <c r="N101" s="1" t="s">
        <v>5469</v>
      </c>
      <c r="O101" s="1" t="s">
        <v>5461</v>
      </c>
      <c r="P101" s="1"/>
      <c r="Q101" s="1" t="s">
        <v>5474</v>
      </c>
      <c r="R101" s="1" t="s">
        <v>5471</v>
      </c>
    </row>
    <row r="102" spans="1:18" ht="36" customHeight="1">
      <c r="A102" s="1" t="s">
        <v>5465</v>
      </c>
      <c r="B102" s="1" t="s">
        <v>4688</v>
      </c>
      <c r="C102" s="1" t="s">
        <v>5475</v>
      </c>
      <c r="D102" s="1" t="s">
        <v>5476</v>
      </c>
      <c r="E102" s="1"/>
      <c r="F102" s="1"/>
      <c r="G102" s="1">
        <v>2</v>
      </c>
      <c r="H102" s="1" t="s">
        <v>4691</v>
      </c>
      <c r="I102" s="1"/>
      <c r="J102" s="1" t="s">
        <v>5477</v>
      </c>
      <c r="K102" s="1" t="s">
        <v>5478</v>
      </c>
      <c r="L102" s="1" t="s">
        <v>5468</v>
      </c>
      <c r="M102" s="1" t="s">
        <v>5478</v>
      </c>
      <c r="N102" s="1" t="s">
        <v>5469</v>
      </c>
      <c r="O102" s="1" t="s">
        <v>5461</v>
      </c>
      <c r="P102" s="1"/>
      <c r="Q102" s="1" t="s">
        <v>5479</v>
      </c>
      <c r="R102" s="1" t="s">
        <v>5471</v>
      </c>
    </row>
    <row r="103" spans="1:18" ht="24" customHeight="1">
      <c r="A103" s="1" t="s">
        <v>5465</v>
      </c>
      <c r="B103" s="1" t="s">
        <v>4688</v>
      </c>
      <c r="C103" s="1" t="s">
        <v>5390</v>
      </c>
      <c r="D103" s="1" t="s">
        <v>5391</v>
      </c>
      <c r="E103" s="1"/>
      <c r="F103" s="1"/>
      <c r="G103" s="1">
        <v>2</v>
      </c>
      <c r="H103" s="1" t="s">
        <v>4691</v>
      </c>
      <c r="I103" s="1"/>
      <c r="J103" s="1" t="s">
        <v>5480</v>
      </c>
      <c r="K103" s="1" t="s">
        <v>5481</v>
      </c>
      <c r="L103" s="1" t="s">
        <v>5468</v>
      </c>
      <c r="M103" s="1" t="s">
        <v>5481</v>
      </c>
      <c r="N103" s="1" t="s">
        <v>5469</v>
      </c>
      <c r="O103" s="1" t="s">
        <v>5461</v>
      </c>
      <c r="P103" s="1"/>
      <c r="Q103" s="1" t="s">
        <v>5482</v>
      </c>
      <c r="R103" s="1" t="s">
        <v>5471</v>
      </c>
    </row>
    <row r="104" spans="1:18" ht="36" customHeight="1">
      <c r="A104" s="1" t="s">
        <v>5465</v>
      </c>
      <c r="B104" s="1" t="s">
        <v>4688</v>
      </c>
      <c r="C104" s="1" t="s">
        <v>4734</v>
      </c>
      <c r="D104" s="1" t="s">
        <v>4735</v>
      </c>
      <c r="E104" s="1"/>
      <c r="F104" s="1"/>
      <c r="G104" s="1">
        <v>2</v>
      </c>
      <c r="H104" s="1" t="s">
        <v>4691</v>
      </c>
      <c r="I104" s="1"/>
      <c r="J104" s="1" t="s">
        <v>5483</v>
      </c>
      <c r="K104" s="1" t="s">
        <v>5484</v>
      </c>
      <c r="L104" s="1" t="s">
        <v>5468</v>
      </c>
      <c r="M104" s="1" t="s">
        <v>5484</v>
      </c>
      <c r="N104" s="1" t="s">
        <v>5469</v>
      </c>
      <c r="O104" s="1" t="s">
        <v>5461</v>
      </c>
      <c r="P104" s="1"/>
      <c r="Q104" s="1" t="s">
        <v>5485</v>
      </c>
      <c r="R104" s="1" t="s">
        <v>5471</v>
      </c>
    </row>
    <row r="105" spans="1:18" ht="36" customHeight="1">
      <c r="A105" s="1" t="s">
        <v>5465</v>
      </c>
      <c r="B105" s="1" t="s">
        <v>4688</v>
      </c>
      <c r="C105" s="1" t="s">
        <v>4893</v>
      </c>
      <c r="D105" s="1" t="s">
        <v>4894</v>
      </c>
      <c r="E105" s="1"/>
      <c r="F105" s="1"/>
      <c r="G105" s="1">
        <v>2</v>
      </c>
      <c r="H105" s="1" t="s">
        <v>4691</v>
      </c>
      <c r="I105" s="1"/>
      <c r="J105" s="1" t="s">
        <v>5486</v>
      </c>
      <c r="K105" s="1" t="s">
        <v>5487</v>
      </c>
      <c r="L105" s="1" t="s">
        <v>5468</v>
      </c>
      <c r="M105" s="1" t="s">
        <v>5487</v>
      </c>
      <c r="N105" s="1" t="s">
        <v>5469</v>
      </c>
      <c r="O105" s="1" t="s">
        <v>5461</v>
      </c>
      <c r="P105" s="1"/>
      <c r="Q105" s="1" t="s">
        <v>5488</v>
      </c>
      <c r="R105" s="1" t="s">
        <v>5471</v>
      </c>
    </row>
    <row r="106" spans="1:18" ht="36" customHeight="1">
      <c r="A106" s="1" t="s">
        <v>5465</v>
      </c>
      <c r="B106" s="1" t="s">
        <v>4688</v>
      </c>
      <c r="C106" s="1" t="s">
        <v>4744</v>
      </c>
      <c r="D106" s="1" t="s">
        <v>4745</v>
      </c>
      <c r="E106" s="1"/>
      <c r="F106" s="1"/>
      <c r="G106" s="1">
        <v>2</v>
      </c>
      <c r="H106" s="1" t="s">
        <v>4691</v>
      </c>
      <c r="I106" s="1"/>
      <c r="J106" s="1" t="s">
        <v>5489</v>
      </c>
      <c r="K106" s="1" t="s">
        <v>5490</v>
      </c>
      <c r="L106" s="1" t="s">
        <v>5468</v>
      </c>
      <c r="M106" s="1" t="s">
        <v>5490</v>
      </c>
      <c r="N106" s="1" t="s">
        <v>5469</v>
      </c>
      <c r="O106" s="1" t="s">
        <v>5461</v>
      </c>
      <c r="P106" s="1"/>
      <c r="Q106" s="1" t="s">
        <v>5491</v>
      </c>
      <c r="R106" s="1" t="s">
        <v>5471</v>
      </c>
    </row>
    <row r="107" spans="1:18" ht="24" customHeight="1">
      <c r="A107" s="1" t="s">
        <v>5465</v>
      </c>
      <c r="B107" s="1" t="s">
        <v>4688</v>
      </c>
      <c r="C107" s="1" t="s">
        <v>5117</v>
      </c>
      <c r="D107" s="1" t="s">
        <v>5118</v>
      </c>
      <c r="E107" s="1"/>
      <c r="F107" s="1"/>
      <c r="G107" s="1">
        <v>2</v>
      </c>
      <c r="H107" s="1" t="s">
        <v>4691</v>
      </c>
      <c r="I107" s="1"/>
      <c r="J107" s="1" t="s">
        <v>5492</v>
      </c>
      <c r="K107" s="1" t="s">
        <v>5493</v>
      </c>
      <c r="L107" s="1" t="s">
        <v>5468</v>
      </c>
      <c r="M107" s="1" t="s">
        <v>5493</v>
      </c>
      <c r="N107" s="1" t="s">
        <v>5469</v>
      </c>
      <c r="O107" s="1" t="s">
        <v>5461</v>
      </c>
      <c r="P107" s="1"/>
      <c r="Q107" s="1" t="s">
        <v>5494</v>
      </c>
      <c r="R107" s="1" t="s">
        <v>5471</v>
      </c>
    </row>
    <row r="108" spans="1:18" ht="36" customHeight="1">
      <c r="A108" s="1" t="s">
        <v>5465</v>
      </c>
      <c r="B108" s="1" t="s">
        <v>4688</v>
      </c>
      <c r="C108" s="1" t="s">
        <v>4810</v>
      </c>
      <c r="D108" s="1" t="s">
        <v>4811</v>
      </c>
      <c r="E108" s="1"/>
      <c r="F108" s="1"/>
      <c r="G108" s="1">
        <v>2</v>
      </c>
      <c r="H108" s="1" t="s">
        <v>4691</v>
      </c>
      <c r="I108" s="1"/>
      <c r="J108" s="1" t="s">
        <v>5495</v>
      </c>
      <c r="K108" s="1" t="s">
        <v>5496</v>
      </c>
      <c r="L108" s="1" t="s">
        <v>5468</v>
      </c>
      <c r="M108" s="1" t="s">
        <v>5496</v>
      </c>
      <c r="N108" s="1" t="s">
        <v>5469</v>
      </c>
      <c r="O108" s="1" t="s">
        <v>5461</v>
      </c>
      <c r="P108" s="1"/>
      <c r="Q108" s="1" t="s">
        <v>5497</v>
      </c>
      <c r="R108" s="1" t="s">
        <v>5471</v>
      </c>
    </row>
    <row r="109" spans="1:18" ht="24" customHeight="1">
      <c r="A109" s="1" t="s">
        <v>5465</v>
      </c>
      <c r="B109" s="1" t="s">
        <v>4688</v>
      </c>
      <c r="C109" s="1" t="s">
        <v>4714</v>
      </c>
      <c r="D109" s="1" t="s">
        <v>4715</v>
      </c>
      <c r="E109" s="1"/>
      <c r="F109" s="1"/>
      <c r="G109" s="1">
        <v>1</v>
      </c>
      <c r="H109" s="1" t="s">
        <v>4691</v>
      </c>
      <c r="I109" s="1"/>
      <c r="J109" s="1" t="s">
        <v>5498</v>
      </c>
      <c r="K109" s="1" t="s">
        <v>5499</v>
      </c>
      <c r="L109" s="1" t="s">
        <v>5468</v>
      </c>
      <c r="M109" s="1" t="s">
        <v>5499</v>
      </c>
      <c r="N109" s="1" t="s">
        <v>5469</v>
      </c>
      <c r="O109" s="1" t="s">
        <v>5461</v>
      </c>
      <c r="P109" s="1"/>
      <c r="Q109" s="1" t="s">
        <v>5500</v>
      </c>
      <c r="R109" s="1" t="s">
        <v>5471</v>
      </c>
    </row>
    <row r="110" spans="1:18" ht="36" customHeight="1">
      <c r="A110" s="1" t="s">
        <v>5465</v>
      </c>
      <c r="B110" s="1" t="s">
        <v>4688</v>
      </c>
      <c r="C110" s="1" t="s">
        <v>4689</v>
      </c>
      <c r="D110" s="1" t="s">
        <v>4690</v>
      </c>
      <c r="E110" s="1"/>
      <c r="F110" s="1"/>
      <c r="G110" s="1">
        <v>0</v>
      </c>
      <c r="H110" s="1" t="s">
        <v>4691</v>
      </c>
      <c r="I110" s="1"/>
      <c r="J110" s="1" t="s">
        <v>5501</v>
      </c>
      <c r="K110" s="1" t="s">
        <v>5502</v>
      </c>
      <c r="L110" s="1" t="s">
        <v>5468</v>
      </c>
      <c r="M110" s="1" t="s">
        <v>5502</v>
      </c>
      <c r="N110" s="1" t="s">
        <v>5469</v>
      </c>
      <c r="O110" s="1" t="s">
        <v>5461</v>
      </c>
      <c r="P110" s="1"/>
      <c r="Q110" s="1" t="s">
        <v>5503</v>
      </c>
      <c r="R110" s="1" t="s">
        <v>5471</v>
      </c>
    </row>
    <row r="111" spans="1:18" ht="36" customHeight="1">
      <c r="A111" s="1" t="s">
        <v>5504</v>
      </c>
      <c r="B111" s="1" t="s">
        <v>4702</v>
      </c>
      <c r="C111" s="1" t="s">
        <v>4834</v>
      </c>
      <c r="D111" s="1" t="s">
        <v>4835</v>
      </c>
      <c r="E111" s="1"/>
      <c r="F111" s="1"/>
      <c r="G111" s="1">
        <v>2</v>
      </c>
      <c r="H111" s="1" t="s">
        <v>4691</v>
      </c>
      <c r="I111" s="1"/>
      <c r="J111" s="1" t="s">
        <v>5505</v>
      </c>
      <c r="K111" s="1" t="s">
        <v>5506</v>
      </c>
      <c r="L111" s="1" t="s">
        <v>5468</v>
      </c>
      <c r="M111" s="1" t="s">
        <v>5506</v>
      </c>
      <c r="N111" s="1" t="s">
        <v>5469</v>
      </c>
      <c r="O111" s="1" t="s">
        <v>5461</v>
      </c>
      <c r="P111" s="1"/>
      <c r="Q111" s="1" t="s">
        <v>5507</v>
      </c>
      <c r="R111" s="1" t="s">
        <v>5471</v>
      </c>
    </row>
    <row r="112" spans="1:18" ht="36" customHeight="1">
      <c r="A112" s="1" t="s">
        <v>5504</v>
      </c>
      <c r="B112" s="1" t="s">
        <v>4702</v>
      </c>
      <c r="C112" s="1" t="s">
        <v>4703</v>
      </c>
      <c r="D112" s="1" t="s">
        <v>4704</v>
      </c>
      <c r="E112" s="1"/>
      <c r="F112" s="1"/>
      <c r="G112" s="1">
        <v>3</v>
      </c>
      <c r="H112" s="1" t="s">
        <v>4691</v>
      </c>
      <c r="I112" s="1"/>
      <c r="J112" s="1" t="s">
        <v>5508</v>
      </c>
      <c r="K112" s="1" t="s">
        <v>5509</v>
      </c>
      <c r="L112" s="1" t="s">
        <v>5468</v>
      </c>
      <c r="M112" s="1" t="s">
        <v>5509</v>
      </c>
      <c r="N112" s="1" t="s">
        <v>5469</v>
      </c>
      <c r="O112" s="1" t="s">
        <v>5461</v>
      </c>
      <c r="P112" s="1"/>
      <c r="Q112" s="1" t="s">
        <v>5510</v>
      </c>
      <c r="R112" s="1" t="s">
        <v>5471</v>
      </c>
    </row>
    <row r="113" spans="1:18" ht="24" customHeight="1">
      <c r="A113" s="1" t="s">
        <v>5504</v>
      </c>
      <c r="B113" s="1" t="s">
        <v>4688</v>
      </c>
      <c r="C113" s="1" t="s">
        <v>5475</v>
      </c>
      <c r="D113" s="1" t="s">
        <v>5476</v>
      </c>
      <c r="E113" s="1"/>
      <c r="F113" s="1"/>
      <c r="G113" s="1">
        <v>2</v>
      </c>
      <c r="H113" s="1" t="s">
        <v>4691</v>
      </c>
      <c r="I113" s="1"/>
      <c r="J113" s="1" t="s">
        <v>5511</v>
      </c>
      <c r="K113" s="1" t="s">
        <v>5512</v>
      </c>
      <c r="L113" s="1" t="s">
        <v>5468</v>
      </c>
      <c r="M113" s="1" t="s">
        <v>5512</v>
      </c>
      <c r="N113" s="1" t="s">
        <v>5469</v>
      </c>
      <c r="O113" s="1" t="s">
        <v>5461</v>
      </c>
      <c r="P113" s="1"/>
      <c r="Q113" s="1" t="s">
        <v>5513</v>
      </c>
      <c r="R113" s="1" t="s">
        <v>5471</v>
      </c>
    </row>
    <row r="114" spans="1:18" ht="24" customHeight="1">
      <c r="A114" s="1" t="s">
        <v>5504</v>
      </c>
      <c r="B114" s="1" t="s">
        <v>4688</v>
      </c>
      <c r="C114" s="1" t="s">
        <v>5390</v>
      </c>
      <c r="D114" s="1" t="s">
        <v>5391</v>
      </c>
      <c r="E114" s="1"/>
      <c r="F114" s="1"/>
      <c r="G114" s="1">
        <v>2</v>
      </c>
      <c r="H114" s="1" t="s">
        <v>4691</v>
      </c>
      <c r="I114" s="1"/>
      <c r="J114" s="1" t="s">
        <v>5514</v>
      </c>
      <c r="K114" s="1" t="s">
        <v>5515</v>
      </c>
      <c r="L114" s="1" t="s">
        <v>5468</v>
      </c>
      <c r="M114" s="1" t="s">
        <v>5515</v>
      </c>
      <c r="N114" s="1" t="s">
        <v>5469</v>
      </c>
      <c r="O114" s="1" t="s">
        <v>5461</v>
      </c>
      <c r="P114" s="1"/>
      <c r="Q114" s="1" t="s">
        <v>5516</v>
      </c>
      <c r="R114" s="1" t="s">
        <v>5471</v>
      </c>
    </row>
    <row r="115" spans="1:18" ht="24" customHeight="1">
      <c r="A115" s="1" t="s">
        <v>5504</v>
      </c>
      <c r="B115" s="1" t="s">
        <v>4688</v>
      </c>
      <c r="C115" s="1" t="s">
        <v>4734</v>
      </c>
      <c r="D115" s="1" t="s">
        <v>4735</v>
      </c>
      <c r="E115" s="1"/>
      <c r="F115" s="1"/>
      <c r="G115" s="1">
        <v>2</v>
      </c>
      <c r="H115" s="1" t="s">
        <v>4691</v>
      </c>
      <c r="I115" s="1"/>
      <c r="J115" s="1" t="s">
        <v>5517</v>
      </c>
      <c r="K115" s="1" t="s">
        <v>5518</v>
      </c>
      <c r="L115" s="1" t="s">
        <v>5468</v>
      </c>
      <c r="M115" s="1" t="s">
        <v>5518</v>
      </c>
      <c r="N115" s="1" t="s">
        <v>5469</v>
      </c>
      <c r="O115" s="1" t="s">
        <v>5461</v>
      </c>
      <c r="P115" s="1"/>
      <c r="Q115" s="1" t="s">
        <v>5519</v>
      </c>
      <c r="R115" s="1" t="s">
        <v>5471</v>
      </c>
    </row>
    <row r="116" spans="1:18" ht="24" customHeight="1">
      <c r="A116" s="1" t="s">
        <v>5504</v>
      </c>
      <c r="B116" s="1" t="s">
        <v>4688</v>
      </c>
      <c r="C116" s="1" t="s">
        <v>4893</v>
      </c>
      <c r="D116" s="1" t="s">
        <v>4894</v>
      </c>
      <c r="E116" s="1"/>
      <c r="F116" s="1"/>
      <c r="G116" s="1">
        <v>2</v>
      </c>
      <c r="H116" s="1" t="s">
        <v>4691</v>
      </c>
      <c r="I116" s="1"/>
      <c r="J116" s="1" t="s">
        <v>5520</v>
      </c>
      <c r="K116" s="1" t="s">
        <v>5521</v>
      </c>
      <c r="L116" s="1" t="s">
        <v>5468</v>
      </c>
      <c r="M116" s="1" t="s">
        <v>5521</v>
      </c>
      <c r="N116" s="1" t="s">
        <v>5469</v>
      </c>
      <c r="O116" s="1" t="s">
        <v>5461</v>
      </c>
      <c r="P116" s="1"/>
      <c r="Q116" s="1" t="s">
        <v>5522</v>
      </c>
      <c r="R116" s="1" t="s">
        <v>5471</v>
      </c>
    </row>
    <row r="117" spans="1:18" ht="36" customHeight="1">
      <c r="A117" s="1" t="s">
        <v>5504</v>
      </c>
      <c r="B117" s="1" t="s">
        <v>4688</v>
      </c>
      <c r="C117" s="1" t="s">
        <v>4744</v>
      </c>
      <c r="D117" s="1" t="s">
        <v>4745</v>
      </c>
      <c r="E117" s="1"/>
      <c r="F117" s="1"/>
      <c r="G117" s="1">
        <v>1</v>
      </c>
      <c r="H117" s="1" t="s">
        <v>4691</v>
      </c>
      <c r="I117" s="1"/>
      <c r="J117" s="1" t="s">
        <v>5517</v>
      </c>
      <c r="K117" s="1" t="s">
        <v>5523</v>
      </c>
      <c r="L117" s="1" t="s">
        <v>5468</v>
      </c>
      <c r="M117" s="1" t="s">
        <v>5523</v>
      </c>
      <c r="N117" s="1" t="s">
        <v>5469</v>
      </c>
      <c r="O117" s="1" t="s">
        <v>5461</v>
      </c>
      <c r="P117" s="1"/>
      <c r="Q117" s="1" t="s">
        <v>5524</v>
      </c>
      <c r="R117" s="1" t="s">
        <v>5471</v>
      </c>
    </row>
    <row r="118" spans="1:18" ht="24" customHeight="1">
      <c r="A118" s="1" t="s">
        <v>5504</v>
      </c>
      <c r="B118" s="1" t="s">
        <v>4688</v>
      </c>
      <c r="C118" s="1" t="s">
        <v>5117</v>
      </c>
      <c r="D118" s="1" t="s">
        <v>5118</v>
      </c>
      <c r="E118" s="1"/>
      <c r="F118" s="1"/>
      <c r="G118" s="1">
        <v>2</v>
      </c>
      <c r="H118" s="1" t="s">
        <v>4691</v>
      </c>
      <c r="I118" s="1"/>
      <c r="J118" s="1" t="s">
        <v>5525</v>
      </c>
      <c r="K118" s="1" t="s">
        <v>5526</v>
      </c>
      <c r="L118" s="1" t="s">
        <v>5468</v>
      </c>
      <c r="M118" s="1" t="s">
        <v>5526</v>
      </c>
      <c r="N118" s="1" t="s">
        <v>5469</v>
      </c>
      <c r="O118" s="1" t="s">
        <v>5461</v>
      </c>
      <c r="P118" s="1"/>
      <c r="Q118" s="1" t="s">
        <v>5527</v>
      </c>
      <c r="R118" s="1" t="s">
        <v>5471</v>
      </c>
    </row>
    <row r="119" spans="1:18" ht="36" customHeight="1">
      <c r="A119" s="1" t="s">
        <v>5504</v>
      </c>
      <c r="B119" s="1" t="s">
        <v>4688</v>
      </c>
      <c r="C119" s="1" t="s">
        <v>4810</v>
      </c>
      <c r="D119" s="1" t="s">
        <v>4811</v>
      </c>
      <c r="E119" s="1"/>
      <c r="F119" s="1"/>
      <c r="G119" s="1">
        <v>1</v>
      </c>
      <c r="H119" s="1" t="s">
        <v>4691</v>
      </c>
      <c r="I119" s="1"/>
      <c r="J119" s="1" t="s">
        <v>5528</v>
      </c>
      <c r="K119" s="1" t="s">
        <v>5529</v>
      </c>
      <c r="L119" s="1" t="s">
        <v>5468</v>
      </c>
      <c r="M119" s="1" t="s">
        <v>5529</v>
      </c>
      <c r="N119" s="1" t="s">
        <v>5469</v>
      </c>
      <c r="O119" s="1" t="s">
        <v>5461</v>
      </c>
      <c r="P119" s="1"/>
      <c r="Q119" s="1" t="s">
        <v>5530</v>
      </c>
      <c r="R119" s="1" t="s">
        <v>5471</v>
      </c>
    </row>
    <row r="120" spans="1:18" ht="24" customHeight="1">
      <c r="A120" s="1" t="s">
        <v>5504</v>
      </c>
      <c r="B120" s="1" t="s">
        <v>4688</v>
      </c>
      <c r="C120" s="1" t="s">
        <v>4714</v>
      </c>
      <c r="D120" s="1" t="s">
        <v>4715</v>
      </c>
      <c r="E120" s="1"/>
      <c r="F120" s="1"/>
      <c r="G120" s="1">
        <v>1</v>
      </c>
      <c r="H120" s="1" t="s">
        <v>4691</v>
      </c>
      <c r="I120" s="1"/>
      <c r="J120" s="1" t="s">
        <v>5531</v>
      </c>
      <c r="K120" s="1" t="s">
        <v>5532</v>
      </c>
      <c r="L120" s="1" t="s">
        <v>5468</v>
      </c>
      <c r="M120" s="1" t="s">
        <v>5532</v>
      </c>
      <c r="N120" s="1" t="s">
        <v>5469</v>
      </c>
      <c r="O120" s="1" t="s">
        <v>5461</v>
      </c>
      <c r="P120" s="1"/>
      <c r="Q120" s="1" t="s">
        <v>5533</v>
      </c>
      <c r="R120" s="1" t="s">
        <v>5471</v>
      </c>
    </row>
    <row r="121" spans="1:18" ht="36" customHeight="1">
      <c r="A121" s="1" t="s">
        <v>5504</v>
      </c>
      <c r="B121" s="1" t="s">
        <v>4688</v>
      </c>
      <c r="C121" s="1" t="s">
        <v>4689</v>
      </c>
      <c r="D121" s="1" t="s">
        <v>4690</v>
      </c>
      <c r="E121" s="1"/>
      <c r="F121" s="1"/>
      <c r="G121" s="1">
        <v>0</v>
      </c>
      <c r="H121" s="1" t="s">
        <v>4691</v>
      </c>
      <c r="I121" s="1"/>
      <c r="J121" s="1" t="s">
        <v>5534</v>
      </c>
      <c r="K121" s="1" t="s">
        <v>5535</v>
      </c>
      <c r="L121" s="1" t="s">
        <v>5468</v>
      </c>
      <c r="M121" s="1" t="s">
        <v>5535</v>
      </c>
      <c r="N121" s="1" t="s">
        <v>5469</v>
      </c>
      <c r="O121" s="1" t="s">
        <v>5461</v>
      </c>
      <c r="P121" s="1"/>
      <c r="Q121" s="1" t="s">
        <v>5536</v>
      </c>
      <c r="R121" s="1" t="s">
        <v>5471</v>
      </c>
    </row>
    <row r="122" spans="1:18" ht="36" customHeight="1">
      <c r="A122" s="1" t="s">
        <v>5465</v>
      </c>
      <c r="B122" s="1" t="s">
        <v>5453</v>
      </c>
      <c r="C122" s="1" t="s">
        <v>5537</v>
      </c>
      <c r="D122" s="1" t="s">
        <v>5538</v>
      </c>
      <c r="E122" s="1"/>
      <c r="F122" s="1"/>
      <c r="G122" s="1">
        <v>2</v>
      </c>
      <c r="H122" s="1" t="s">
        <v>4691</v>
      </c>
      <c r="I122" s="1"/>
      <c r="J122" s="1" t="s">
        <v>5539</v>
      </c>
      <c r="K122" s="1" t="s">
        <v>5540</v>
      </c>
      <c r="L122" s="1" t="s">
        <v>5468</v>
      </c>
      <c r="M122" s="1" t="s">
        <v>5540</v>
      </c>
      <c r="N122" s="1" t="s">
        <v>5469</v>
      </c>
      <c r="O122" s="1" t="s">
        <v>5461</v>
      </c>
      <c r="P122" s="1"/>
      <c r="Q122" s="1" t="s">
        <v>5541</v>
      </c>
      <c r="R122" s="1" t="s">
        <v>5471</v>
      </c>
    </row>
    <row r="123" spans="1:18" ht="24" customHeight="1">
      <c r="A123" s="1" t="s">
        <v>5465</v>
      </c>
      <c r="B123" s="1" t="s">
        <v>5453</v>
      </c>
      <c r="C123" s="1" t="s">
        <v>5542</v>
      </c>
      <c r="D123" s="1" t="s">
        <v>5543</v>
      </c>
      <c r="E123" s="1"/>
      <c r="F123" s="1"/>
      <c r="G123" s="1">
        <v>0</v>
      </c>
      <c r="H123" s="1" t="s">
        <v>4691</v>
      </c>
      <c r="I123" s="1"/>
      <c r="J123" s="1" t="s">
        <v>5544</v>
      </c>
      <c r="K123" s="1" t="s">
        <v>5545</v>
      </c>
      <c r="L123" s="1" t="s">
        <v>5468</v>
      </c>
      <c r="M123" s="1" t="s">
        <v>5545</v>
      </c>
      <c r="N123" s="1" t="s">
        <v>5469</v>
      </c>
      <c r="O123" s="1" t="s">
        <v>5461</v>
      </c>
      <c r="P123" s="1"/>
      <c r="Q123" s="1" t="s">
        <v>5546</v>
      </c>
      <c r="R123" s="1" t="s">
        <v>5471</v>
      </c>
    </row>
    <row r="124" spans="1:18" ht="24" customHeight="1">
      <c r="A124" s="1" t="s">
        <v>5465</v>
      </c>
      <c r="B124" s="1" t="s">
        <v>5453</v>
      </c>
      <c r="C124" s="1" t="s">
        <v>5547</v>
      </c>
      <c r="D124" s="1" t="s">
        <v>5548</v>
      </c>
      <c r="E124" s="1"/>
      <c r="F124" s="1"/>
      <c r="G124" s="1">
        <v>1</v>
      </c>
      <c r="H124" s="1" t="s">
        <v>4691</v>
      </c>
      <c r="I124" s="1"/>
      <c r="J124" s="1" t="s">
        <v>5549</v>
      </c>
      <c r="K124" s="1" t="s">
        <v>5550</v>
      </c>
      <c r="L124" s="1" t="s">
        <v>5468</v>
      </c>
      <c r="M124" s="1" t="s">
        <v>5550</v>
      </c>
      <c r="N124" s="1" t="s">
        <v>5469</v>
      </c>
      <c r="O124" s="1" t="s">
        <v>5461</v>
      </c>
      <c r="P124" s="1"/>
      <c r="Q124" s="1" t="s">
        <v>5551</v>
      </c>
      <c r="R124" s="1" t="s">
        <v>5471</v>
      </c>
    </row>
    <row r="125" spans="1:18" ht="24" customHeight="1">
      <c r="A125" s="1" t="s">
        <v>5465</v>
      </c>
      <c r="B125" s="1" t="s">
        <v>5453</v>
      </c>
      <c r="C125" s="1" t="s">
        <v>5552</v>
      </c>
      <c r="D125" s="1" t="s">
        <v>5553</v>
      </c>
      <c r="E125" s="1"/>
      <c r="F125" s="1"/>
      <c r="G125" s="1">
        <v>0</v>
      </c>
      <c r="H125" s="1" t="s">
        <v>4691</v>
      </c>
      <c r="I125" s="1"/>
      <c r="J125" s="1" t="s">
        <v>5554</v>
      </c>
      <c r="K125" s="1" t="s">
        <v>5555</v>
      </c>
      <c r="L125" s="1" t="s">
        <v>5468</v>
      </c>
      <c r="M125" s="1" t="s">
        <v>5555</v>
      </c>
      <c r="N125" s="1" t="s">
        <v>5469</v>
      </c>
      <c r="O125" s="1" t="s">
        <v>5461</v>
      </c>
      <c r="P125" s="1"/>
      <c r="Q125" s="1" t="s">
        <v>5556</v>
      </c>
      <c r="R125" s="1" t="s">
        <v>5471</v>
      </c>
    </row>
    <row r="126" spans="1:18" ht="24" customHeight="1">
      <c r="A126" s="1" t="s">
        <v>5465</v>
      </c>
      <c r="B126" s="1" t="s">
        <v>5453</v>
      </c>
      <c r="C126" s="1" t="s">
        <v>5557</v>
      </c>
      <c r="D126" s="1" t="s">
        <v>5558</v>
      </c>
      <c r="E126" s="1"/>
      <c r="F126" s="1"/>
      <c r="G126" s="1">
        <v>0</v>
      </c>
      <c r="H126" s="1" t="s">
        <v>4691</v>
      </c>
      <c r="I126" s="1"/>
      <c r="J126" s="1" t="s">
        <v>5559</v>
      </c>
      <c r="K126" s="1" t="s">
        <v>5560</v>
      </c>
      <c r="L126" s="1" t="s">
        <v>5468</v>
      </c>
      <c r="M126" s="1" t="s">
        <v>5560</v>
      </c>
      <c r="N126" s="1" t="s">
        <v>5469</v>
      </c>
      <c r="O126" s="1" t="s">
        <v>5461</v>
      </c>
      <c r="P126" s="1"/>
      <c r="Q126" s="1" t="s">
        <v>5561</v>
      </c>
      <c r="R126" s="1" t="s">
        <v>5471</v>
      </c>
    </row>
    <row r="127" spans="1:18" ht="48" customHeight="1">
      <c r="A127" s="1" t="s">
        <v>5465</v>
      </c>
      <c r="B127" s="1" t="s">
        <v>5453</v>
      </c>
      <c r="C127" s="1" t="s">
        <v>5562</v>
      </c>
      <c r="D127" s="1" t="s">
        <v>5563</v>
      </c>
      <c r="E127" s="1"/>
      <c r="F127" s="1"/>
      <c r="G127" s="1">
        <v>1</v>
      </c>
      <c r="H127" s="1" t="s">
        <v>4691</v>
      </c>
      <c r="I127" s="1"/>
      <c r="J127" s="1" t="s">
        <v>5564</v>
      </c>
      <c r="K127" s="1" t="s">
        <v>5565</v>
      </c>
      <c r="L127" s="1" t="s">
        <v>5468</v>
      </c>
      <c r="M127" s="1" t="s">
        <v>5565</v>
      </c>
      <c r="N127" s="1" t="s">
        <v>5469</v>
      </c>
      <c r="O127" s="1" t="s">
        <v>5461</v>
      </c>
      <c r="P127" s="1"/>
      <c r="Q127" s="1" t="s">
        <v>5566</v>
      </c>
      <c r="R127" s="1" t="s">
        <v>5471</v>
      </c>
    </row>
    <row r="128" spans="1:18" ht="36" customHeight="1">
      <c r="A128" s="1" t="s">
        <v>5465</v>
      </c>
      <c r="B128" s="1" t="s">
        <v>5453</v>
      </c>
      <c r="C128" s="1" t="s">
        <v>5567</v>
      </c>
      <c r="D128" s="1" t="s">
        <v>5568</v>
      </c>
      <c r="E128" s="1"/>
      <c r="F128" s="1"/>
      <c r="G128" s="1">
        <v>0</v>
      </c>
      <c r="H128" s="1" t="s">
        <v>4691</v>
      </c>
      <c r="I128" s="1"/>
      <c r="J128" s="1" t="s">
        <v>5569</v>
      </c>
      <c r="K128" s="1" t="s">
        <v>5570</v>
      </c>
      <c r="L128" s="1" t="s">
        <v>5468</v>
      </c>
      <c r="M128" s="1" t="s">
        <v>5570</v>
      </c>
      <c r="N128" s="1" t="s">
        <v>5469</v>
      </c>
      <c r="O128" s="1" t="s">
        <v>5461</v>
      </c>
      <c r="P128" s="1"/>
      <c r="Q128" s="1" t="s">
        <v>5571</v>
      </c>
      <c r="R128" s="1" t="s">
        <v>5471</v>
      </c>
    </row>
    <row r="129" spans="1:18" ht="24" customHeight="1">
      <c r="A129" s="1" t="s">
        <v>5465</v>
      </c>
      <c r="B129" s="1" t="s">
        <v>5453</v>
      </c>
      <c r="C129" s="1" t="s">
        <v>5572</v>
      </c>
      <c r="D129" s="1" t="s">
        <v>5573</v>
      </c>
      <c r="E129" s="1"/>
      <c r="F129" s="1"/>
      <c r="G129" s="1">
        <v>1</v>
      </c>
      <c r="H129" s="1" t="s">
        <v>4691</v>
      </c>
      <c r="I129" s="1"/>
      <c r="J129" s="1" t="s">
        <v>5574</v>
      </c>
      <c r="K129" s="1" t="s">
        <v>5575</v>
      </c>
      <c r="L129" s="1" t="s">
        <v>5468</v>
      </c>
      <c r="M129" s="1" t="s">
        <v>5575</v>
      </c>
      <c r="N129" s="1" t="s">
        <v>5469</v>
      </c>
      <c r="O129" s="1" t="s">
        <v>5461</v>
      </c>
      <c r="P129" s="1"/>
      <c r="Q129" s="1" t="s">
        <v>5576</v>
      </c>
      <c r="R129" s="1" t="s">
        <v>5471</v>
      </c>
    </row>
    <row r="130" spans="1:18" ht="24" customHeight="1">
      <c r="A130" s="1" t="s">
        <v>5465</v>
      </c>
      <c r="B130" s="1" t="s">
        <v>5453</v>
      </c>
      <c r="C130" s="1" t="s">
        <v>5577</v>
      </c>
      <c r="D130" s="1" t="s">
        <v>5578</v>
      </c>
      <c r="E130" s="1"/>
      <c r="F130" s="1"/>
      <c r="G130" s="1">
        <v>2</v>
      </c>
      <c r="H130" s="1" t="s">
        <v>4691</v>
      </c>
      <c r="I130" s="1"/>
      <c r="J130" s="1" t="s">
        <v>5579</v>
      </c>
      <c r="K130" s="1" t="s">
        <v>5580</v>
      </c>
      <c r="L130" s="1" t="s">
        <v>5468</v>
      </c>
      <c r="M130" s="1" t="s">
        <v>5580</v>
      </c>
      <c r="N130" s="1" t="s">
        <v>5469</v>
      </c>
      <c r="O130" s="1" t="s">
        <v>5461</v>
      </c>
      <c r="P130" s="1"/>
      <c r="Q130" s="1" t="s">
        <v>5581</v>
      </c>
      <c r="R130" s="1" t="s">
        <v>5471</v>
      </c>
    </row>
    <row r="131" spans="1:18" ht="48" customHeight="1">
      <c r="A131" s="1" t="s">
        <v>5465</v>
      </c>
      <c r="B131" s="1" t="s">
        <v>5453</v>
      </c>
      <c r="C131" s="1" t="s">
        <v>5582</v>
      </c>
      <c r="D131" s="1" t="s">
        <v>5583</v>
      </c>
      <c r="E131" s="1"/>
      <c r="F131" s="1"/>
      <c r="G131" s="1">
        <v>1</v>
      </c>
      <c r="H131" s="1" t="s">
        <v>4691</v>
      </c>
      <c r="I131" s="1"/>
      <c r="J131" s="1" t="s">
        <v>5574</v>
      </c>
      <c r="K131" s="1" t="s">
        <v>5584</v>
      </c>
      <c r="L131" s="1" t="s">
        <v>5468</v>
      </c>
      <c r="M131" s="1" t="s">
        <v>5584</v>
      </c>
      <c r="N131" s="1" t="s">
        <v>5469</v>
      </c>
      <c r="O131" s="1" t="s">
        <v>5461</v>
      </c>
      <c r="P131" s="1"/>
      <c r="Q131" s="1" t="s">
        <v>5585</v>
      </c>
      <c r="R131" s="1" t="s">
        <v>5471</v>
      </c>
    </row>
    <row r="132" spans="1:18" ht="36" customHeight="1">
      <c r="A132" s="1" t="s">
        <v>5465</v>
      </c>
      <c r="B132" s="1" t="s">
        <v>5453</v>
      </c>
      <c r="C132" s="1" t="s">
        <v>5586</v>
      </c>
      <c r="D132" s="1" t="s">
        <v>5587</v>
      </c>
      <c r="E132" s="1"/>
      <c r="F132" s="1"/>
      <c r="G132" s="1">
        <v>2</v>
      </c>
      <c r="H132" s="1" t="s">
        <v>4691</v>
      </c>
      <c r="I132" s="1"/>
      <c r="J132" s="1" t="s">
        <v>5588</v>
      </c>
      <c r="K132" s="1" t="s">
        <v>5589</v>
      </c>
      <c r="L132" s="1" t="s">
        <v>5468</v>
      </c>
      <c r="M132" s="1" t="s">
        <v>5589</v>
      </c>
      <c r="N132" s="1" t="s">
        <v>5469</v>
      </c>
      <c r="O132" s="1" t="s">
        <v>5461</v>
      </c>
      <c r="P132" s="1"/>
      <c r="Q132" s="1" t="s">
        <v>5590</v>
      </c>
      <c r="R132" s="1" t="s">
        <v>5471</v>
      </c>
    </row>
    <row r="133" spans="1:18" ht="36" customHeight="1">
      <c r="A133" s="1" t="s">
        <v>5465</v>
      </c>
      <c r="B133" s="1" t="s">
        <v>5453</v>
      </c>
      <c r="C133" s="1" t="s">
        <v>5591</v>
      </c>
      <c r="D133" s="1" t="s">
        <v>5592</v>
      </c>
      <c r="E133" s="1"/>
      <c r="F133" s="1"/>
      <c r="G133" s="1">
        <v>0</v>
      </c>
      <c r="H133" s="1" t="s">
        <v>4691</v>
      </c>
      <c r="I133" s="1"/>
      <c r="J133" s="1" t="s">
        <v>5593</v>
      </c>
      <c r="K133" s="1" t="s">
        <v>5594</v>
      </c>
      <c r="L133" s="1" t="s">
        <v>5468</v>
      </c>
      <c r="M133" s="1" t="s">
        <v>5594</v>
      </c>
      <c r="N133" s="1" t="s">
        <v>5469</v>
      </c>
      <c r="O133" s="1" t="s">
        <v>5461</v>
      </c>
      <c r="P133" s="1"/>
      <c r="Q133" s="1" t="s">
        <v>5595</v>
      </c>
      <c r="R133" s="1" t="s">
        <v>5471</v>
      </c>
    </row>
    <row r="134" spans="1:18" ht="24" customHeight="1">
      <c r="A134" s="1" t="s">
        <v>5465</v>
      </c>
      <c r="B134" s="1" t="s">
        <v>5453</v>
      </c>
      <c r="C134" s="1" t="s">
        <v>5596</v>
      </c>
      <c r="D134" s="1" t="s">
        <v>5597</v>
      </c>
      <c r="E134" s="1"/>
      <c r="F134" s="1"/>
      <c r="G134" s="1">
        <v>0</v>
      </c>
      <c r="H134" s="1" t="s">
        <v>4691</v>
      </c>
      <c r="I134" s="1"/>
      <c r="J134" s="1" t="s">
        <v>5598</v>
      </c>
      <c r="K134" s="1" t="s">
        <v>5599</v>
      </c>
      <c r="L134" s="1" t="s">
        <v>5468</v>
      </c>
      <c r="M134" s="1" t="s">
        <v>5599</v>
      </c>
      <c r="N134" s="1" t="s">
        <v>5469</v>
      </c>
      <c r="O134" s="1" t="s">
        <v>5461</v>
      </c>
      <c r="P134" s="1"/>
      <c r="Q134" s="1" t="s">
        <v>5600</v>
      </c>
      <c r="R134" s="1" t="s">
        <v>5471</v>
      </c>
    </row>
    <row r="135" spans="1:18" ht="36" customHeight="1">
      <c r="A135" s="1" t="s">
        <v>5465</v>
      </c>
      <c r="B135" s="1" t="s">
        <v>5453</v>
      </c>
      <c r="C135" s="1" t="s">
        <v>5601</v>
      </c>
      <c r="D135" s="1" t="s">
        <v>5602</v>
      </c>
      <c r="E135" s="1"/>
      <c r="F135" s="1"/>
      <c r="G135" s="1">
        <v>2</v>
      </c>
      <c r="H135" s="1" t="s">
        <v>4691</v>
      </c>
      <c r="I135" s="1"/>
      <c r="J135" s="1" t="s">
        <v>5603</v>
      </c>
      <c r="K135" s="1" t="s">
        <v>5604</v>
      </c>
      <c r="L135" s="1" t="s">
        <v>5468</v>
      </c>
      <c r="M135" s="1" t="s">
        <v>5604</v>
      </c>
      <c r="N135" s="1" t="s">
        <v>5469</v>
      </c>
      <c r="O135" s="1" t="s">
        <v>5461</v>
      </c>
      <c r="P135" s="1"/>
      <c r="Q135" s="1" t="s">
        <v>5605</v>
      </c>
      <c r="R135" s="1" t="s">
        <v>5471</v>
      </c>
    </row>
    <row r="136" spans="1:18" ht="36" customHeight="1">
      <c r="A136" s="1" t="s">
        <v>5465</v>
      </c>
      <c r="B136" s="1" t="s">
        <v>5453</v>
      </c>
      <c r="C136" s="1" t="s">
        <v>5606</v>
      </c>
      <c r="D136" s="1" t="s">
        <v>5607</v>
      </c>
      <c r="E136" s="1"/>
      <c r="F136" s="1"/>
      <c r="G136" s="1">
        <v>1</v>
      </c>
      <c r="H136" s="1" t="s">
        <v>4691</v>
      </c>
      <c r="I136" s="1"/>
      <c r="J136" s="1" t="s">
        <v>5608</v>
      </c>
      <c r="K136" s="1" t="s">
        <v>5609</v>
      </c>
      <c r="L136" s="1" t="s">
        <v>5468</v>
      </c>
      <c r="M136" s="1" t="s">
        <v>5609</v>
      </c>
      <c r="N136" s="1" t="s">
        <v>5469</v>
      </c>
      <c r="O136" s="1" t="s">
        <v>5461</v>
      </c>
      <c r="P136" s="1"/>
      <c r="Q136" s="1" t="s">
        <v>5610</v>
      </c>
      <c r="R136" s="1" t="s">
        <v>5471</v>
      </c>
    </row>
    <row r="137" spans="1:18" ht="36" customHeight="1">
      <c r="A137" s="1" t="s">
        <v>5465</v>
      </c>
      <c r="B137" s="1" t="s">
        <v>5453</v>
      </c>
      <c r="C137" s="1" t="s">
        <v>5454</v>
      </c>
      <c r="D137" s="1" t="s">
        <v>5455</v>
      </c>
      <c r="E137" s="1"/>
      <c r="F137" s="1"/>
      <c r="G137" s="1">
        <v>0</v>
      </c>
      <c r="H137" s="1" t="s">
        <v>4691</v>
      </c>
      <c r="I137" s="1"/>
      <c r="J137" s="1" t="s">
        <v>5611</v>
      </c>
      <c r="K137" s="1" t="s">
        <v>5612</v>
      </c>
      <c r="L137" s="1" t="s">
        <v>5468</v>
      </c>
      <c r="M137" s="1" t="s">
        <v>5612</v>
      </c>
      <c r="N137" s="1" t="s">
        <v>5469</v>
      </c>
      <c r="O137" s="1" t="s">
        <v>5461</v>
      </c>
      <c r="P137" s="1"/>
      <c r="Q137" s="1" t="s">
        <v>5613</v>
      </c>
      <c r="R137" s="1" t="s">
        <v>5471</v>
      </c>
    </row>
    <row r="138" spans="1:18" ht="24" customHeight="1">
      <c r="A138" s="1" t="s">
        <v>5504</v>
      </c>
      <c r="B138" s="1" t="s">
        <v>5453</v>
      </c>
      <c r="C138" s="1" t="s">
        <v>5537</v>
      </c>
      <c r="D138" s="1" t="s">
        <v>5538</v>
      </c>
      <c r="E138" s="1"/>
      <c r="F138" s="1"/>
      <c r="G138" s="1">
        <v>0</v>
      </c>
      <c r="H138" s="1" t="s">
        <v>4691</v>
      </c>
      <c r="I138" s="1"/>
      <c r="J138" s="1" t="s">
        <v>5614</v>
      </c>
      <c r="K138" s="1" t="s">
        <v>5615</v>
      </c>
      <c r="L138" s="1" t="s">
        <v>5468</v>
      </c>
      <c r="M138" s="1" t="s">
        <v>5615</v>
      </c>
      <c r="N138" s="1" t="s">
        <v>5469</v>
      </c>
      <c r="O138" s="1" t="s">
        <v>5461</v>
      </c>
      <c r="P138" s="1"/>
      <c r="Q138" s="1" t="s">
        <v>5616</v>
      </c>
      <c r="R138" s="1" t="s">
        <v>5471</v>
      </c>
    </row>
    <row r="139" spans="1:18" ht="24" customHeight="1">
      <c r="A139" s="1" t="s">
        <v>5504</v>
      </c>
      <c r="B139" s="1" t="s">
        <v>5453</v>
      </c>
      <c r="C139" s="1" t="s">
        <v>5542</v>
      </c>
      <c r="D139" s="1" t="s">
        <v>5543</v>
      </c>
      <c r="E139" s="1"/>
      <c r="F139" s="1"/>
      <c r="G139" s="1">
        <v>0</v>
      </c>
      <c r="H139" s="1" t="s">
        <v>4691</v>
      </c>
      <c r="I139" s="1"/>
      <c r="J139" s="1" t="s">
        <v>5617</v>
      </c>
      <c r="K139" s="1" t="s">
        <v>5618</v>
      </c>
      <c r="L139" s="1" t="s">
        <v>5468</v>
      </c>
      <c r="M139" s="1" t="s">
        <v>5618</v>
      </c>
      <c r="N139" s="1" t="s">
        <v>5469</v>
      </c>
      <c r="O139" s="1" t="s">
        <v>5461</v>
      </c>
      <c r="P139" s="1"/>
      <c r="Q139" s="1" t="s">
        <v>5619</v>
      </c>
      <c r="R139" s="1" t="s">
        <v>5471</v>
      </c>
    </row>
    <row r="140" spans="1:18" ht="24" customHeight="1">
      <c r="A140" s="1" t="s">
        <v>5504</v>
      </c>
      <c r="B140" s="1" t="s">
        <v>5453</v>
      </c>
      <c r="C140" s="1" t="s">
        <v>5547</v>
      </c>
      <c r="D140" s="1" t="s">
        <v>5548</v>
      </c>
      <c r="E140" s="1"/>
      <c r="F140" s="1"/>
      <c r="G140" s="1">
        <v>1</v>
      </c>
      <c r="H140" s="1" t="s">
        <v>4691</v>
      </c>
      <c r="I140" s="1"/>
      <c r="J140" s="1" t="s">
        <v>5620</v>
      </c>
      <c r="K140" s="1" t="s">
        <v>5621</v>
      </c>
      <c r="L140" s="1" t="s">
        <v>5468</v>
      </c>
      <c r="M140" s="1" t="s">
        <v>5621</v>
      </c>
      <c r="N140" s="1" t="s">
        <v>5469</v>
      </c>
      <c r="O140" s="1" t="s">
        <v>5461</v>
      </c>
      <c r="P140" s="1"/>
      <c r="Q140" s="1" t="s">
        <v>5622</v>
      </c>
      <c r="R140" s="1" t="s">
        <v>5471</v>
      </c>
    </row>
    <row r="141" spans="1:18" ht="24" customHeight="1">
      <c r="A141" s="1" t="s">
        <v>5504</v>
      </c>
      <c r="B141" s="1" t="s">
        <v>5453</v>
      </c>
      <c r="C141" s="1" t="s">
        <v>5552</v>
      </c>
      <c r="D141" s="1" t="s">
        <v>5553</v>
      </c>
      <c r="E141" s="1"/>
      <c r="F141" s="1"/>
      <c r="G141" s="1">
        <v>0</v>
      </c>
      <c r="H141" s="1" t="s">
        <v>4691</v>
      </c>
      <c r="I141" s="1"/>
      <c r="J141" s="1" t="s">
        <v>5623</v>
      </c>
      <c r="K141" s="1" t="s">
        <v>5624</v>
      </c>
      <c r="L141" s="1" t="s">
        <v>5468</v>
      </c>
      <c r="M141" s="1" t="s">
        <v>5624</v>
      </c>
      <c r="N141" s="1" t="s">
        <v>5469</v>
      </c>
      <c r="O141" s="1" t="s">
        <v>5461</v>
      </c>
      <c r="P141" s="1"/>
      <c r="Q141" s="1" t="s">
        <v>5625</v>
      </c>
      <c r="R141" s="1" t="s">
        <v>5471</v>
      </c>
    </row>
    <row r="142" spans="1:18" ht="24" customHeight="1">
      <c r="A142" s="1" t="s">
        <v>5504</v>
      </c>
      <c r="B142" s="1" t="s">
        <v>5453</v>
      </c>
      <c r="C142" s="1" t="s">
        <v>5557</v>
      </c>
      <c r="D142" s="1" t="s">
        <v>5558</v>
      </c>
      <c r="E142" s="1"/>
      <c r="F142" s="1"/>
      <c r="G142" s="1">
        <v>0</v>
      </c>
      <c r="H142" s="1" t="s">
        <v>4691</v>
      </c>
      <c r="I142" s="1"/>
      <c r="J142" s="1" t="s">
        <v>5620</v>
      </c>
      <c r="K142" s="1" t="s">
        <v>5626</v>
      </c>
      <c r="L142" s="1" t="s">
        <v>5468</v>
      </c>
      <c r="M142" s="1" t="s">
        <v>5626</v>
      </c>
      <c r="N142" s="1" t="s">
        <v>5469</v>
      </c>
      <c r="O142" s="1" t="s">
        <v>5461</v>
      </c>
      <c r="P142" s="1"/>
      <c r="Q142" s="1" t="s">
        <v>5627</v>
      </c>
      <c r="R142" s="1" t="s">
        <v>5471</v>
      </c>
    </row>
    <row r="143" spans="1:18" ht="36" customHeight="1">
      <c r="A143" s="1" t="s">
        <v>5504</v>
      </c>
      <c r="B143" s="1" t="s">
        <v>5453</v>
      </c>
      <c r="C143" s="1" t="s">
        <v>5562</v>
      </c>
      <c r="D143" s="1" t="s">
        <v>5563</v>
      </c>
      <c r="E143" s="1"/>
      <c r="F143" s="1"/>
      <c r="G143" s="1">
        <v>1</v>
      </c>
      <c r="H143" s="1" t="s">
        <v>4691</v>
      </c>
      <c r="I143" s="1"/>
      <c r="J143" s="1" t="s">
        <v>5628</v>
      </c>
      <c r="K143" s="1" t="s">
        <v>5629</v>
      </c>
      <c r="L143" s="1" t="s">
        <v>5468</v>
      </c>
      <c r="M143" s="1" t="s">
        <v>5629</v>
      </c>
      <c r="N143" s="1" t="s">
        <v>5469</v>
      </c>
      <c r="O143" s="1" t="s">
        <v>5461</v>
      </c>
      <c r="P143" s="1"/>
      <c r="Q143" s="1" t="s">
        <v>5630</v>
      </c>
      <c r="R143" s="1" t="s">
        <v>5471</v>
      </c>
    </row>
    <row r="144" spans="1:18" ht="36" customHeight="1">
      <c r="A144" s="1" t="s">
        <v>5504</v>
      </c>
      <c r="B144" s="1" t="s">
        <v>5453</v>
      </c>
      <c r="C144" s="1" t="s">
        <v>5567</v>
      </c>
      <c r="D144" s="1" t="s">
        <v>5568</v>
      </c>
      <c r="E144" s="1"/>
      <c r="F144" s="1"/>
      <c r="G144" s="1">
        <v>0</v>
      </c>
      <c r="H144" s="1" t="s">
        <v>4691</v>
      </c>
      <c r="I144" s="1"/>
      <c r="J144" s="1" t="s">
        <v>5534</v>
      </c>
      <c r="K144" s="1" t="s">
        <v>5631</v>
      </c>
      <c r="L144" s="1" t="s">
        <v>5468</v>
      </c>
      <c r="M144" s="1" t="s">
        <v>5631</v>
      </c>
      <c r="N144" s="1" t="s">
        <v>5469</v>
      </c>
      <c r="O144" s="1" t="s">
        <v>5461</v>
      </c>
      <c r="P144" s="1"/>
      <c r="Q144" s="1" t="s">
        <v>5632</v>
      </c>
      <c r="R144" s="1" t="s">
        <v>5471</v>
      </c>
    </row>
    <row r="145" spans="1:18" ht="24" customHeight="1">
      <c r="A145" s="1" t="s">
        <v>5504</v>
      </c>
      <c r="B145" s="1" t="s">
        <v>5453</v>
      </c>
      <c r="C145" s="1" t="s">
        <v>5572</v>
      </c>
      <c r="D145" s="1" t="s">
        <v>5573</v>
      </c>
      <c r="E145" s="1"/>
      <c r="F145" s="1"/>
      <c r="G145" s="1">
        <v>0</v>
      </c>
      <c r="H145" s="1" t="s">
        <v>4691</v>
      </c>
      <c r="I145" s="1"/>
      <c r="J145" s="1" t="s">
        <v>5633</v>
      </c>
      <c r="K145" s="1" t="s">
        <v>5634</v>
      </c>
      <c r="L145" s="1" t="s">
        <v>5468</v>
      </c>
      <c r="M145" s="1" t="s">
        <v>5634</v>
      </c>
      <c r="N145" s="1" t="s">
        <v>5469</v>
      </c>
      <c r="O145" s="1" t="s">
        <v>5461</v>
      </c>
      <c r="P145" s="1"/>
      <c r="Q145" s="1" t="s">
        <v>5635</v>
      </c>
      <c r="R145" s="1" t="s">
        <v>5471</v>
      </c>
    </row>
    <row r="146" spans="1:18" ht="24" customHeight="1">
      <c r="A146" s="1" t="s">
        <v>5504</v>
      </c>
      <c r="B146" s="1" t="s">
        <v>5453</v>
      </c>
      <c r="C146" s="1" t="s">
        <v>5577</v>
      </c>
      <c r="D146" s="1" t="s">
        <v>5578</v>
      </c>
      <c r="E146" s="1"/>
      <c r="F146" s="1"/>
      <c r="G146" s="1">
        <v>2</v>
      </c>
      <c r="H146" s="1" t="s">
        <v>4691</v>
      </c>
      <c r="I146" s="1"/>
      <c r="J146" s="1" t="s">
        <v>5636</v>
      </c>
      <c r="K146" s="1" t="s">
        <v>5637</v>
      </c>
      <c r="L146" s="1" t="s">
        <v>5468</v>
      </c>
      <c r="M146" s="1" t="s">
        <v>5637</v>
      </c>
      <c r="N146" s="1" t="s">
        <v>5469</v>
      </c>
      <c r="O146" s="1" t="s">
        <v>5461</v>
      </c>
      <c r="P146" s="1"/>
      <c r="Q146" s="1" t="s">
        <v>5638</v>
      </c>
      <c r="R146" s="1" t="s">
        <v>5471</v>
      </c>
    </row>
    <row r="147" spans="1:18" ht="24" customHeight="1">
      <c r="A147" s="1" t="s">
        <v>5504</v>
      </c>
      <c r="B147" s="1" t="s">
        <v>5453</v>
      </c>
      <c r="C147" s="1" t="s">
        <v>5582</v>
      </c>
      <c r="D147" s="1" t="s">
        <v>5583</v>
      </c>
      <c r="E147" s="1"/>
      <c r="F147" s="1"/>
      <c r="G147" s="1">
        <v>0</v>
      </c>
      <c r="H147" s="1" t="s">
        <v>4691</v>
      </c>
      <c r="I147" s="1"/>
      <c r="J147" s="1" t="s">
        <v>5639</v>
      </c>
      <c r="K147" s="1" t="s">
        <v>5640</v>
      </c>
      <c r="L147" s="1" t="s">
        <v>5468</v>
      </c>
      <c r="M147" s="1" t="s">
        <v>5640</v>
      </c>
      <c r="N147" s="1" t="s">
        <v>5469</v>
      </c>
      <c r="O147" s="1" t="s">
        <v>5461</v>
      </c>
      <c r="P147" s="1"/>
      <c r="Q147" s="1" t="s">
        <v>5641</v>
      </c>
      <c r="R147" s="1" t="s">
        <v>5471</v>
      </c>
    </row>
    <row r="148" spans="1:18" ht="24" customHeight="1">
      <c r="A148" s="1" t="s">
        <v>5504</v>
      </c>
      <c r="B148" s="1" t="s">
        <v>5453</v>
      </c>
      <c r="C148" s="1" t="s">
        <v>5586</v>
      </c>
      <c r="D148" s="1" t="s">
        <v>5587</v>
      </c>
      <c r="E148" s="1"/>
      <c r="F148" s="1"/>
      <c r="G148" s="1">
        <v>0</v>
      </c>
      <c r="H148" s="1" t="s">
        <v>4691</v>
      </c>
      <c r="I148" s="1"/>
      <c r="J148" s="1" t="s">
        <v>5642</v>
      </c>
      <c r="K148" s="1" t="s">
        <v>5643</v>
      </c>
      <c r="L148" s="1" t="s">
        <v>5468</v>
      </c>
      <c r="M148" s="1" t="s">
        <v>5643</v>
      </c>
      <c r="N148" s="1" t="s">
        <v>5469</v>
      </c>
      <c r="O148" s="1" t="s">
        <v>5461</v>
      </c>
      <c r="P148" s="1"/>
      <c r="Q148" s="1" t="s">
        <v>5644</v>
      </c>
      <c r="R148" s="1" t="s">
        <v>5471</v>
      </c>
    </row>
    <row r="149" spans="1:18" ht="24" customHeight="1">
      <c r="A149" s="1" t="s">
        <v>5504</v>
      </c>
      <c r="B149" s="1" t="s">
        <v>5453</v>
      </c>
      <c r="C149" s="1" t="s">
        <v>5591</v>
      </c>
      <c r="D149" s="1" t="s">
        <v>5592</v>
      </c>
      <c r="E149" s="1"/>
      <c r="F149" s="1"/>
      <c r="G149" s="1">
        <v>0</v>
      </c>
      <c r="H149" s="1" t="s">
        <v>4691</v>
      </c>
      <c r="I149" s="1"/>
      <c r="J149" s="1" t="s">
        <v>5645</v>
      </c>
      <c r="K149" s="1" t="s">
        <v>5646</v>
      </c>
      <c r="L149" s="1" t="s">
        <v>5468</v>
      </c>
      <c r="M149" s="1" t="s">
        <v>5646</v>
      </c>
      <c r="N149" s="1" t="s">
        <v>5469</v>
      </c>
      <c r="O149" s="1" t="s">
        <v>5461</v>
      </c>
      <c r="P149" s="1"/>
      <c r="Q149" s="1" t="s">
        <v>5647</v>
      </c>
      <c r="R149" s="1" t="s">
        <v>5471</v>
      </c>
    </row>
    <row r="150" spans="1:18" ht="24" customHeight="1">
      <c r="A150" s="1" t="s">
        <v>5504</v>
      </c>
      <c r="B150" s="1" t="s">
        <v>5453</v>
      </c>
      <c r="C150" s="1" t="s">
        <v>5596</v>
      </c>
      <c r="D150" s="1" t="s">
        <v>5597</v>
      </c>
      <c r="E150" s="1"/>
      <c r="F150" s="1"/>
      <c r="G150" s="1">
        <v>0</v>
      </c>
      <c r="H150" s="1" t="s">
        <v>4691</v>
      </c>
      <c r="I150" s="1"/>
      <c r="J150" s="1" t="s">
        <v>5534</v>
      </c>
      <c r="K150" s="1" t="s">
        <v>5648</v>
      </c>
      <c r="L150" s="1" t="s">
        <v>5468</v>
      </c>
      <c r="M150" s="1" t="s">
        <v>5648</v>
      </c>
      <c r="N150" s="1" t="s">
        <v>5469</v>
      </c>
      <c r="O150" s="1" t="s">
        <v>5461</v>
      </c>
      <c r="P150" s="1"/>
      <c r="Q150" s="1" t="s">
        <v>5649</v>
      </c>
      <c r="R150" s="1" t="s">
        <v>5471</v>
      </c>
    </row>
    <row r="151" spans="1:18" ht="24" customHeight="1">
      <c r="A151" s="1" t="s">
        <v>5504</v>
      </c>
      <c r="B151" s="1" t="s">
        <v>5453</v>
      </c>
      <c r="C151" s="1" t="s">
        <v>5601</v>
      </c>
      <c r="D151" s="1" t="s">
        <v>5602</v>
      </c>
      <c r="E151" s="1"/>
      <c r="F151" s="1"/>
      <c r="G151" s="1">
        <v>1</v>
      </c>
      <c r="H151" s="1" t="s">
        <v>4691</v>
      </c>
      <c r="I151" s="1"/>
      <c r="J151" s="1" t="s">
        <v>5650</v>
      </c>
      <c r="K151" s="1" t="s">
        <v>5651</v>
      </c>
      <c r="L151" s="1" t="s">
        <v>5468</v>
      </c>
      <c r="M151" s="1" t="s">
        <v>5651</v>
      </c>
      <c r="N151" s="1" t="s">
        <v>5469</v>
      </c>
      <c r="O151" s="1" t="s">
        <v>5461</v>
      </c>
      <c r="P151" s="1"/>
      <c r="Q151" s="1" t="s">
        <v>5652</v>
      </c>
      <c r="R151" s="1" t="s">
        <v>5471</v>
      </c>
    </row>
    <row r="152" spans="1:18" ht="24" customHeight="1">
      <c r="A152" s="1" t="s">
        <v>5504</v>
      </c>
      <c r="B152" s="1" t="s">
        <v>5453</v>
      </c>
      <c r="C152" s="1" t="s">
        <v>5606</v>
      </c>
      <c r="D152" s="1" t="s">
        <v>5607</v>
      </c>
      <c r="E152" s="1"/>
      <c r="F152" s="1"/>
      <c r="G152" s="1">
        <v>1</v>
      </c>
      <c r="H152" s="1" t="s">
        <v>4691</v>
      </c>
      <c r="I152" s="1"/>
      <c r="J152" s="1" t="s">
        <v>5653</v>
      </c>
      <c r="K152" s="1" t="s">
        <v>5654</v>
      </c>
      <c r="L152" s="1" t="s">
        <v>5468</v>
      </c>
      <c r="M152" s="1" t="s">
        <v>5654</v>
      </c>
      <c r="N152" s="1" t="s">
        <v>5469</v>
      </c>
      <c r="O152" s="1" t="s">
        <v>5461</v>
      </c>
      <c r="P152" s="1"/>
      <c r="Q152" s="1" t="s">
        <v>5655</v>
      </c>
      <c r="R152" s="1" t="s">
        <v>5471</v>
      </c>
    </row>
    <row r="153" spans="1:18" ht="36" customHeight="1">
      <c r="A153" s="1" t="s">
        <v>5504</v>
      </c>
      <c r="B153" s="1" t="s">
        <v>5453</v>
      </c>
      <c r="C153" s="1" t="s">
        <v>5454</v>
      </c>
      <c r="D153" s="1" t="s">
        <v>5455</v>
      </c>
      <c r="E153" s="1"/>
      <c r="F153" s="1"/>
      <c r="G153" s="1">
        <v>1</v>
      </c>
      <c r="H153" s="1" t="s">
        <v>4691</v>
      </c>
      <c r="I153" s="1"/>
      <c r="J153" s="1" t="s">
        <v>5656</v>
      </c>
      <c r="K153" s="1" t="s">
        <v>5657</v>
      </c>
      <c r="L153" s="1" t="s">
        <v>5468</v>
      </c>
      <c r="M153" s="1" t="s">
        <v>5657</v>
      </c>
      <c r="N153" s="1" t="s">
        <v>5469</v>
      </c>
      <c r="O153" s="1" t="s">
        <v>5461</v>
      </c>
      <c r="P153" s="1"/>
      <c r="Q153" s="1" t="s">
        <v>5658</v>
      </c>
      <c r="R153" s="1" t="s">
        <v>5471</v>
      </c>
    </row>
    <row r="154" spans="1:18" ht="60" customHeight="1">
      <c r="A154" s="1" t="s">
        <v>4833</v>
      </c>
      <c r="B154" s="1" t="s">
        <v>5453</v>
      </c>
      <c r="C154" s="1" t="s">
        <v>5582</v>
      </c>
      <c r="D154" s="1" t="s">
        <v>5583</v>
      </c>
      <c r="E154" s="1"/>
      <c r="F154" s="1">
        <v>0</v>
      </c>
      <c r="G154" s="1">
        <v>1</v>
      </c>
      <c r="H154" s="1" t="s">
        <v>4691</v>
      </c>
      <c r="I154" s="1" t="s">
        <v>4747</v>
      </c>
      <c r="J154" s="1" t="s">
        <v>5659</v>
      </c>
      <c r="K154" s="1" t="s">
        <v>5660</v>
      </c>
      <c r="L154" s="1" t="s">
        <v>5468</v>
      </c>
      <c r="M154" s="1" t="s">
        <v>5660</v>
      </c>
      <c r="N154" s="1" t="s">
        <v>5469</v>
      </c>
      <c r="O154" s="1" t="s">
        <v>5461</v>
      </c>
      <c r="P154" s="1"/>
      <c r="Q154" s="1" t="s">
        <v>5661</v>
      </c>
      <c r="R154" s="1" t="s">
        <v>5471</v>
      </c>
    </row>
    <row r="155" spans="1:18" ht="48" customHeight="1">
      <c r="A155" s="1" t="s">
        <v>4950</v>
      </c>
      <c r="B155" s="1" t="s">
        <v>5453</v>
      </c>
      <c r="C155" s="1" t="s">
        <v>5582</v>
      </c>
      <c r="D155" s="1" t="s">
        <v>5583</v>
      </c>
      <c r="E155" s="1"/>
      <c r="F155" s="1">
        <v>0</v>
      </c>
      <c r="G155" s="1">
        <v>0</v>
      </c>
      <c r="H155" s="1" t="s">
        <v>4691</v>
      </c>
      <c r="I155" s="1" t="s">
        <v>4747</v>
      </c>
      <c r="J155" s="1" t="s">
        <v>5662</v>
      </c>
      <c r="K155" s="1" t="s">
        <v>5663</v>
      </c>
      <c r="L155" s="1" t="s">
        <v>5468</v>
      </c>
      <c r="M155" s="1" t="s">
        <v>5663</v>
      </c>
      <c r="N155" s="1" t="s">
        <v>5469</v>
      </c>
      <c r="O155" s="1" t="s">
        <v>5461</v>
      </c>
      <c r="P155" s="1"/>
      <c r="Q155" s="1" t="s">
        <v>5664</v>
      </c>
      <c r="R155" s="1" t="s">
        <v>5471</v>
      </c>
    </row>
    <row r="156" spans="1:18" ht="48" customHeight="1">
      <c r="A156" s="1" t="s">
        <v>4687</v>
      </c>
      <c r="B156" s="1" t="s">
        <v>5453</v>
      </c>
      <c r="C156" s="1" t="s">
        <v>5454</v>
      </c>
      <c r="D156" s="1" t="s">
        <v>5455</v>
      </c>
      <c r="E156" s="1"/>
      <c r="F156" s="1">
        <v>1</v>
      </c>
      <c r="G156" s="1">
        <v>0</v>
      </c>
      <c r="H156" s="1" t="s">
        <v>4691</v>
      </c>
      <c r="I156" s="1" t="s">
        <v>4747</v>
      </c>
      <c r="J156" s="1" t="s">
        <v>5665</v>
      </c>
      <c r="K156" s="1" t="s">
        <v>5666</v>
      </c>
      <c r="L156" s="1" t="s">
        <v>5468</v>
      </c>
      <c r="M156" s="1" t="s">
        <v>5666</v>
      </c>
      <c r="N156" s="1" t="s">
        <v>5469</v>
      </c>
      <c r="O156" s="1" t="s">
        <v>5461</v>
      </c>
      <c r="P156" s="1"/>
      <c r="Q156" s="1" t="s">
        <v>5667</v>
      </c>
      <c r="R156" s="1" t="s">
        <v>5471</v>
      </c>
    </row>
    <row r="157" spans="1:18" ht="48" customHeight="1">
      <c r="A157" s="1" t="s">
        <v>4771</v>
      </c>
      <c r="B157" s="1" t="s">
        <v>5453</v>
      </c>
      <c r="C157" s="1" t="s">
        <v>5454</v>
      </c>
      <c r="D157" s="1" t="s">
        <v>5455</v>
      </c>
      <c r="E157" s="1"/>
      <c r="F157" s="1">
        <v>2</v>
      </c>
      <c r="G157" s="1">
        <v>1</v>
      </c>
      <c r="H157" s="1" t="s">
        <v>4691</v>
      </c>
      <c r="I157" s="1" t="s">
        <v>4747</v>
      </c>
      <c r="J157" s="1" t="s">
        <v>5668</v>
      </c>
      <c r="K157" s="1" t="s">
        <v>5669</v>
      </c>
      <c r="L157" s="1" t="s">
        <v>5468</v>
      </c>
      <c r="M157" s="1" t="s">
        <v>5669</v>
      </c>
      <c r="N157" s="1" t="s">
        <v>5469</v>
      </c>
      <c r="O157" s="1" t="s">
        <v>5461</v>
      </c>
      <c r="P157" s="1"/>
      <c r="Q157" s="1" t="s">
        <v>5670</v>
      </c>
      <c r="R157" s="1" t="s">
        <v>5471</v>
      </c>
    </row>
    <row r="158" spans="1:18" ht="48" customHeight="1">
      <c r="A158" s="1" t="s">
        <v>4950</v>
      </c>
      <c r="B158" s="1" t="s">
        <v>5453</v>
      </c>
      <c r="C158" s="1" t="s">
        <v>5454</v>
      </c>
      <c r="D158" s="1" t="s">
        <v>5455</v>
      </c>
      <c r="E158" s="1"/>
      <c r="F158" s="1">
        <v>1</v>
      </c>
      <c r="G158" s="1">
        <v>1</v>
      </c>
      <c r="H158" s="1" t="s">
        <v>4691</v>
      </c>
      <c r="I158" s="1" t="s">
        <v>4747</v>
      </c>
      <c r="J158" s="1" t="s">
        <v>5671</v>
      </c>
      <c r="K158" s="1" t="s">
        <v>5672</v>
      </c>
      <c r="L158" s="1" t="s">
        <v>5468</v>
      </c>
      <c r="M158" s="1" t="s">
        <v>5672</v>
      </c>
      <c r="N158" s="1" t="s">
        <v>5469</v>
      </c>
      <c r="O158" s="1" t="s">
        <v>5461</v>
      </c>
      <c r="P158" s="1"/>
      <c r="Q158" s="1" t="s">
        <v>5673</v>
      </c>
      <c r="R158" s="1" t="s">
        <v>5471</v>
      </c>
    </row>
    <row r="159" spans="1:18" ht="48" customHeight="1">
      <c r="A159" s="1" t="s">
        <v>5094</v>
      </c>
      <c r="B159" s="1" t="s">
        <v>5453</v>
      </c>
      <c r="C159" s="1" t="s">
        <v>5454</v>
      </c>
      <c r="D159" s="1" t="s">
        <v>5455</v>
      </c>
      <c r="E159" s="1"/>
      <c r="F159" s="1">
        <v>2</v>
      </c>
      <c r="G159" s="1">
        <v>1</v>
      </c>
      <c r="H159" s="1" t="s">
        <v>4691</v>
      </c>
      <c r="I159" s="1" t="s">
        <v>4747</v>
      </c>
      <c r="J159" s="1" t="s">
        <v>5674</v>
      </c>
      <c r="K159" s="1" t="s">
        <v>5675</v>
      </c>
      <c r="L159" s="1" t="s">
        <v>5468</v>
      </c>
      <c r="M159" s="1" t="s">
        <v>5675</v>
      </c>
      <c r="N159" s="1" t="s">
        <v>5469</v>
      </c>
      <c r="O159" s="1" t="s">
        <v>5461</v>
      </c>
      <c r="P159" s="1"/>
      <c r="Q159" s="1" t="s">
        <v>5676</v>
      </c>
      <c r="R159" s="1" t="s">
        <v>5471</v>
      </c>
    </row>
    <row r="160" spans="1:18" ht="36" customHeight="1">
      <c r="A160" s="1" t="s">
        <v>4701</v>
      </c>
      <c r="B160" s="1" t="s">
        <v>5453</v>
      </c>
      <c r="C160" s="1" t="s">
        <v>5562</v>
      </c>
      <c r="D160" s="1" t="s">
        <v>5563</v>
      </c>
      <c r="E160" s="1"/>
      <c r="F160" s="1">
        <v>0</v>
      </c>
      <c r="G160" s="1">
        <v>1</v>
      </c>
      <c r="H160" s="1" t="s">
        <v>4691</v>
      </c>
      <c r="I160" s="1" t="s">
        <v>5677</v>
      </c>
      <c r="J160" s="1" t="s">
        <v>5678</v>
      </c>
      <c r="K160" s="1" t="s">
        <v>5679</v>
      </c>
      <c r="L160" s="1" t="s">
        <v>5468</v>
      </c>
      <c r="M160" s="1" t="s">
        <v>5679</v>
      </c>
      <c r="N160" s="1" t="s">
        <v>5469</v>
      </c>
      <c r="O160" s="1" t="s">
        <v>5461</v>
      </c>
      <c r="P160" s="1"/>
      <c r="Q160" s="1" t="s">
        <v>5680</v>
      </c>
      <c r="R160" s="1" t="s">
        <v>5471</v>
      </c>
    </row>
    <row r="161" spans="1:18" ht="36" customHeight="1">
      <c r="A161" s="1" t="s">
        <v>4725</v>
      </c>
      <c r="B161" s="1" t="s">
        <v>5453</v>
      </c>
      <c r="C161" s="1" t="s">
        <v>5562</v>
      </c>
      <c r="D161" s="1" t="s">
        <v>5563</v>
      </c>
      <c r="E161" s="1"/>
      <c r="F161" s="1">
        <v>0</v>
      </c>
      <c r="G161" s="1">
        <v>1</v>
      </c>
      <c r="H161" s="1" t="s">
        <v>4691</v>
      </c>
      <c r="I161" s="1" t="s">
        <v>4747</v>
      </c>
      <c r="J161" s="1" t="s">
        <v>5681</v>
      </c>
      <c r="K161" s="1" t="s">
        <v>5682</v>
      </c>
      <c r="L161" s="1" t="s">
        <v>5468</v>
      </c>
      <c r="M161" s="1" t="s">
        <v>5682</v>
      </c>
      <c r="N161" s="1" t="s">
        <v>5469</v>
      </c>
      <c r="O161" s="1" t="s">
        <v>5461</v>
      </c>
      <c r="P161" s="1"/>
      <c r="Q161" s="1" t="s">
        <v>5683</v>
      </c>
      <c r="R161" s="1" t="s">
        <v>5471</v>
      </c>
    </row>
    <row r="162" spans="1:18" ht="36" customHeight="1">
      <c r="A162" s="1" t="s">
        <v>4771</v>
      </c>
      <c r="B162" s="1" t="s">
        <v>5453</v>
      </c>
      <c r="C162" s="1" t="s">
        <v>5562</v>
      </c>
      <c r="D162" s="1" t="s">
        <v>5563</v>
      </c>
      <c r="E162" s="1"/>
      <c r="F162" s="1">
        <v>0</v>
      </c>
      <c r="G162" s="1">
        <v>1</v>
      </c>
      <c r="H162" s="1" t="s">
        <v>4691</v>
      </c>
      <c r="I162" s="1" t="s">
        <v>5684</v>
      </c>
      <c r="J162" s="1" t="s">
        <v>5685</v>
      </c>
      <c r="K162" s="1" t="s">
        <v>5686</v>
      </c>
      <c r="L162" s="1" t="s">
        <v>5468</v>
      </c>
      <c r="M162" s="1" t="s">
        <v>5686</v>
      </c>
      <c r="N162" s="1" t="s">
        <v>5469</v>
      </c>
      <c r="O162" s="1" t="s">
        <v>5461</v>
      </c>
      <c r="P162" s="1"/>
      <c r="Q162" s="1" t="s">
        <v>5687</v>
      </c>
      <c r="R162" s="1" t="s">
        <v>5471</v>
      </c>
    </row>
    <row r="163" spans="1:18" ht="36" customHeight="1">
      <c r="A163" s="1" t="s">
        <v>4786</v>
      </c>
      <c r="B163" s="1" t="s">
        <v>5453</v>
      </c>
      <c r="C163" s="1" t="s">
        <v>5562</v>
      </c>
      <c r="D163" s="1" t="s">
        <v>5563</v>
      </c>
      <c r="E163" s="1"/>
      <c r="F163" s="1">
        <v>0</v>
      </c>
      <c r="G163" s="1">
        <v>1</v>
      </c>
      <c r="H163" s="1" t="s">
        <v>4691</v>
      </c>
      <c r="I163" s="1" t="s">
        <v>5688</v>
      </c>
      <c r="J163" s="1" t="s">
        <v>5689</v>
      </c>
      <c r="K163" s="1" t="s">
        <v>5690</v>
      </c>
      <c r="L163" s="1" t="s">
        <v>5468</v>
      </c>
      <c r="M163" s="1" t="s">
        <v>5690</v>
      </c>
      <c r="N163" s="1" t="s">
        <v>5469</v>
      </c>
      <c r="O163" s="1" t="s">
        <v>5461</v>
      </c>
      <c r="P163" s="1"/>
      <c r="Q163" s="1" t="s">
        <v>5691</v>
      </c>
      <c r="R163" s="1" t="s">
        <v>5471</v>
      </c>
    </row>
    <row r="164" spans="1:18" ht="48" customHeight="1">
      <c r="A164" s="1" t="s">
        <v>4786</v>
      </c>
      <c r="B164" s="1" t="s">
        <v>5453</v>
      </c>
      <c r="C164" s="1" t="s">
        <v>5454</v>
      </c>
      <c r="D164" s="1" t="s">
        <v>5455</v>
      </c>
      <c r="E164" s="1"/>
      <c r="F164" s="1">
        <v>1</v>
      </c>
      <c r="G164" s="1">
        <v>0</v>
      </c>
      <c r="H164" s="1" t="s">
        <v>4691</v>
      </c>
      <c r="I164" s="1" t="s">
        <v>4747</v>
      </c>
      <c r="J164" s="1" t="s">
        <v>5692</v>
      </c>
      <c r="K164" s="1" t="s">
        <v>5693</v>
      </c>
      <c r="L164" s="1" t="s">
        <v>5468</v>
      </c>
      <c r="M164" s="1" t="s">
        <v>5693</v>
      </c>
      <c r="N164" s="1" t="s">
        <v>5469</v>
      </c>
      <c r="O164" s="1" t="s">
        <v>5461</v>
      </c>
      <c r="P164" s="1"/>
      <c r="Q164" s="1" t="s">
        <v>5694</v>
      </c>
      <c r="R164" s="1" t="s">
        <v>5471</v>
      </c>
    </row>
    <row r="165" spans="1:18" ht="36" customHeight="1">
      <c r="A165" s="1" t="s">
        <v>4825</v>
      </c>
      <c r="B165" s="1" t="s">
        <v>5453</v>
      </c>
      <c r="C165" s="1" t="s">
        <v>5562</v>
      </c>
      <c r="D165" s="1" t="s">
        <v>5563</v>
      </c>
      <c r="E165" s="1"/>
      <c r="F165" s="1">
        <v>0</v>
      </c>
      <c r="G165" s="1">
        <v>1</v>
      </c>
      <c r="H165" s="1" t="s">
        <v>4691</v>
      </c>
      <c r="I165" s="1" t="s">
        <v>5695</v>
      </c>
      <c r="J165" s="1" t="s">
        <v>5696</v>
      </c>
      <c r="K165" s="1" t="s">
        <v>5697</v>
      </c>
      <c r="L165" s="1" t="s">
        <v>5468</v>
      </c>
      <c r="M165" s="1" t="s">
        <v>5697</v>
      </c>
      <c r="N165" s="1" t="s">
        <v>5469</v>
      </c>
      <c r="O165" s="1" t="s">
        <v>5461</v>
      </c>
      <c r="P165" s="1"/>
      <c r="Q165" s="1" t="s">
        <v>5698</v>
      </c>
      <c r="R165" s="1" t="s">
        <v>5471</v>
      </c>
    </row>
    <row r="166" spans="1:18" ht="36" customHeight="1">
      <c r="A166" s="1" t="s">
        <v>4833</v>
      </c>
      <c r="B166" s="1" t="s">
        <v>5453</v>
      </c>
      <c r="C166" s="1" t="s">
        <v>5562</v>
      </c>
      <c r="D166" s="1" t="s">
        <v>5563</v>
      </c>
      <c r="E166" s="1"/>
      <c r="F166" s="1">
        <v>0</v>
      </c>
      <c r="G166" s="1">
        <v>1</v>
      </c>
      <c r="H166" s="1" t="s">
        <v>4691</v>
      </c>
      <c r="I166" s="1" t="s">
        <v>5699</v>
      </c>
      <c r="J166" s="1" t="s">
        <v>5700</v>
      </c>
      <c r="K166" s="1" t="s">
        <v>5701</v>
      </c>
      <c r="L166" s="1" t="s">
        <v>5468</v>
      </c>
      <c r="M166" s="1" t="s">
        <v>5701</v>
      </c>
      <c r="N166" s="1" t="s">
        <v>5469</v>
      </c>
      <c r="O166" s="1" t="s">
        <v>5461</v>
      </c>
      <c r="P166" s="1"/>
      <c r="Q166" s="1" t="s">
        <v>5702</v>
      </c>
      <c r="R166" s="1" t="s">
        <v>5471</v>
      </c>
    </row>
    <row r="167" spans="1:18" ht="36" customHeight="1">
      <c r="A167" s="1" t="s">
        <v>4833</v>
      </c>
      <c r="B167" s="1" t="s">
        <v>5453</v>
      </c>
      <c r="C167" s="1" t="s">
        <v>5454</v>
      </c>
      <c r="D167" s="1" t="s">
        <v>5455</v>
      </c>
      <c r="E167" s="1"/>
      <c r="F167" s="1">
        <v>1</v>
      </c>
      <c r="G167" s="1">
        <v>0</v>
      </c>
      <c r="H167" s="1" t="s">
        <v>4691</v>
      </c>
      <c r="I167" s="1" t="s">
        <v>4747</v>
      </c>
      <c r="J167" s="1" t="s">
        <v>5703</v>
      </c>
      <c r="K167" s="1" t="s">
        <v>5704</v>
      </c>
      <c r="L167" s="1" t="s">
        <v>5468</v>
      </c>
      <c r="M167" s="1" t="s">
        <v>5704</v>
      </c>
      <c r="N167" s="1" t="s">
        <v>5469</v>
      </c>
      <c r="O167" s="1" t="s">
        <v>5461</v>
      </c>
      <c r="P167" s="1"/>
      <c r="Q167" s="1" t="s">
        <v>5705</v>
      </c>
      <c r="R167" s="1" t="s">
        <v>5471</v>
      </c>
    </row>
    <row r="168" spans="1:18" ht="36" customHeight="1">
      <c r="A168" s="1" t="s">
        <v>4868</v>
      </c>
      <c r="B168" s="1" t="s">
        <v>5453</v>
      </c>
      <c r="C168" s="1" t="s">
        <v>5562</v>
      </c>
      <c r="D168" s="1" t="s">
        <v>5563</v>
      </c>
      <c r="E168" s="1"/>
      <c r="F168" s="1">
        <v>0</v>
      </c>
      <c r="G168" s="1">
        <v>1</v>
      </c>
      <c r="H168" s="1" t="s">
        <v>4691</v>
      </c>
      <c r="I168" s="1" t="s">
        <v>5706</v>
      </c>
      <c r="J168" s="1" t="s">
        <v>5707</v>
      </c>
      <c r="K168" s="1" t="s">
        <v>5708</v>
      </c>
      <c r="L168" s="1" t="s">
        <v>5468</v>
      </c>
      <c r="M168" s="1" t="s">
        <v>5708</v>
      </c>
      <c r="N168" s="1" t="s">
        <v>5469</v>
      </c>
      <c r="O168" s="1" t="s">
        <v>5461</v>
      </c>
      <c r="P168" s="1"/>
      <c r="Q168" s="1" t="s">
        <v>5709</v>
      </c>
      <c r="R168" s="1" t="s">
        <v>5471</v>
      </c>
    </row>
    <row r="169" spans="1:18" ht="36" customHeight="1">
      <c r="A169" s="1" t="s">
        <v>4918</v>
      </c>
      <c r="B169" s="1" t="s">
        <v>5453</v>
      </c>
      <c r="C169" s="1" t="s">
        <v>5562</v>
      </c>
      <c r="D169" s="1" t="s">
        <v>5563</v>
      </c>
      <c r="E169" s="1"/>
      <c r="F169" s="1">
        <v>0</v>
      </c>
      <c r="G169" s="1">
        <v>1</v>
      </c>
      <c r="H169" s="1" t="s">
        <v>4691</v>
      </c>
      <c r="I169" s="1" t="s">
        <v>4747</v>
      </c>
      <c r="J169" s="1" t="s">
        <v>5710</v>
      </c>
      <c r="K169" s="1" t="s">
        <v>5711</v>
      </c>
      <c r="L169" s="1" t="s">
        <v>5468</v>
      </c>
      <c r="M169" s="1" t="s">
        <v>5711</v>
      </c>
      <c r="N169" s="1" t="s">
        <v>5469</v>
      </c>
      <c r="O169" s="1" t="s">
        <v>5461</v>
      </c>
      <c r="P169" s="1"/>
      <c r="Q169" s="1" t="s">
        <v>5712</v>
      </c>
      <c r="R169" s="1" t="s">
        <v>5471</v>
      </c>
    </row>
    <row r="170" spans="1:18" ht="36" customHeight="1">
      <c r="A170" s="1" t="s">
        <v>4925</v>
      </c>
      <c r="B170" s="1" t="s">
        <v>5453</v>
      </c>
      <c r="C170" s="1" t="s">
        <v>5562</v>
      </c>
      <c r="D170" s="1" t="s">
        <v>5563</v>
      </c>
      <c r="E170" s="1"/>
      <c r="F170" s="1">
        <v>0</v>
      </c>
      <c r="G170" s="1">
        <v>1</v>
      </c>
      <c r="H170" s="1" t="s">
        <v>4691</v>
      </c>
      <c r="I170" s="1" t="s">
        <v>5713</v>
      </c>
      <c r="J170" s="1" t="s">
        <v>5714</v>
      </c>
      <c r="K170" s="1" t="s">
        <v>5715</v>
      </c>
      <c r="L170" s="1" t="s">
        <v>5468</v>
      </c>
      <c r="M170" s="1" t="s">
        <v>5715</v>
      </c>
      <c r="N170" s="1" t="s">
        <v>5469</v>
      </c>
      <c r="O170" s="1" t="s">
        <v>5461</v>
      </c>
      <c r="P170" s="1"/>
      <c r="Q170" s="1" t="s">
        <v>5716</v>
      </c>
      <c r="R170" s="1" t="s">
        <v>5471</v>
      </c>
    </row>
    <row r="171" spans="1:18" ht="36" customHeight="1">
      <c r="A171" s="1" t="s">
        <v>4925</v>
      </c>
      <c r="B171" s="1" t="s">
        <v>5453</v>
      </c>
      <c r="C171" s="1" t="s">
        <v>5454</v>
      </c>
      <c r="D171" s="1" t="s">
        <v>5455</v>
      </c>
      <c r="E171" s="1"/>
      <c r="F171" s="1">
        <v>1</v>
      </c>
      <c r="G171" s="1">
        <v>0</v>
      </c>
      <c r="H171" s="1" t="s">
        <v>4691</v>
      </c>
      <c r="I171" s="1" t="s">
        <v>4747</v>
      </c>
      <c r="J171" s="1" t="s">
        <v>5717</v>
      </c>
      <c r="K171" s="1" t="s">
        <v>5718</v>
      </c>
      <c r="L171" s="1" t="s">
        <v>5468</v>
      </c>
      <c r="M171" s="1" t="s">
        <v>5718</v>
      </c>
      <c r="N171" s="1" t="s">
        <v>5469</v>
      </c>
      <c r="O171" s="1" t="s">
        <v>5461</v>
      </c>
      <c r="P171" s="1"/>
      <c r="Q171" s="1" t="s">
        <v>5719</v>
      </c>
      <c r="R171" s="1" t="s">
        <v>5471</v>
      </c>
    </row>
    <row r="172" spans="1:18" ht="36" customHeight="1">
      <c r="A172" s="1" t="s">
        <v>4941</v>
      </c>
      <c r="B172" s="1" t="s">
        <v>5453</v>
      </c>
      <c r="C172" s="1" t="s">
        <v>5454</v>
      </c>
      <c r="D172" s="1" t="s">
        <v>5455</v>
      </c>
      <c r="E172" s="1"/>
      <c r="F172" s="1">
        <v>0</v>
      </c>
      <c r="G172" s="1">
        <v>2</v>
      </c>
      <c r="H172" s="1" t="s">
        <v>4691</v>
      </c>
      <c r="I172" s="1" t="s">
        <v>4747</v>
      </c>
      <c r="J172" s="1" t="s">
        <v>5720</v>
      </c>
      <c r="K172" s="1" t="s">
        <v>5721</v>
      </c>
      <c r="L172" s="1" t="s">
        <v>5468</v>
      </c>
      <c r="M172" s="1" t="s">
        <v>5721</v>
      </c>
      <c r="N172" s="1" t="s">
        <v>5469</v>
      </c>
      <c r="O172" s="1" t="s">
        <v>5461</v>
      </c>
      <c r="P172" s="1"/>
      <c r="Q172" s="1" t="s">
        <v>5722</v>
      </c>
      <c r="R172" s="1" t="s">
        <v>5471</v>
      </c>
    </row>
    <row r="173" spans="1:18" ht="48" customHeight="1">
      <c r="A173" s="1" t="s">
        <v>4950</v>
      </c>
      <c r="B173" s="1" t="s">
        <v>5453</v>
      </c>
      <c r="C173" s="1" t="s">
        <v>5562</v>
      </c>
      <c r="D173" s="1" t="s">
        <v>5563</v>
      </c>
      <c r="E173" s="1"/>
      <c r="F173" s="1">
        <v>0</v>
      </c>
      <c r="G173" s="1">
        <v>2</v>
      </c>
      <c r="H173" s="1" t="s">
        <v>4691</v>
      </c>
      <c r="I173" s="1" t="s">
        <v>5723</v>
      </c>
      <c r="J173" s="1" t="s">
        <v>5724</v>
      </c>
      <c r="K173" s="1" t="s">
        <v>5725</v>
      </c>
      <c r="L173" s="1" t="s">
        <v>5468</v>
      </c>
      <c r="M173" s="1" t="s">
        <v>5725</v>
      </c>
      <c r="N173" s="1" t="s">
        <v>5469</v>
      </c>
      <c r="O173" s="1" t="s">
        <v>5461</v>
      </c>
      <c r="P173" s="1"/>
      <c r="Q173" s="1" t="s">
        <v>5726</v>
      </c>
      <c r="R173" s="1" t="s">
        <v>5471</v>
      </c>
    </row>
    <row r="174" spans="1:18" ht="36" customHeight="1">
      <c r="A174" s="1" t="s">
        <v>4973</v>
      </c>
      <c r="B174" s="1" t="s">
        <v>5453</v>
      </c>
      <c r="C174" s="1" t="s">
        <v>5562</v>
      </c>
      <c r="D174" s="1" t="s">
        <v>5563</v>
      </c>
      <c r="E174" s="1"/>
      <c r="F174" s="1">
        <v>0</v>
      </c>
      <c r="G174" s="1">
        <v>1</v>
      </c>
      <c r="H174" s="1" t="s">
        <v>4691</v>
      </c>
      <c r="I174" s="1" t="s">
        <v>5727</v>
      </c>
      <c r="J174" s="1" t="s">
        <v>5728</v>
      </c>
      <c r="K174" s="1" t="s">
        <v>5729</v>
      </c>
      <c r="L174" s="1" t="s">
        <v>5468</v>
      </c>
      <c r="M174" s="1" t="s">
        <v>5729</v>
      </c>
      <c r="N174" s="1" t="s">
        <v>5469</v>
      </c>
      <c r="O174" s="1" t="s">
        <v>5461</v>
      </c>
      <c r="P174" s="1"/>
      <c r="Q174" s="1" t="s">
        <v>5730</v>
      </c>
      <c r="R174" s="1" t="s">
        <v>5471</v>
      </c>
    </row>
    <row r="175" spans="1:18" ht="24" customHeight="1">
      <c r="A175" s="1" t="s">
        <v>4973</v>
      </c>
      <c r="B175" s="1" t="s">
        <v>5453</v>
      </c>
      <c r="C175" s="1" t="s">
        <v>5454</v>
      </c>
      <c r="D175" s="1" t="s">
        <v>5455</v>
      </c>
      <c r="E175" s="1"/>
      <c r="F175" s="1">
        <v>1</v>
      </c>
      <c r="G175" s="1">
        <v>0</v>
      </c>
      <c r="H175" s="1" t="s">
        <v>4691</v>
      </c>
      <c r="I175" s="1" t="s">
        <v>4747</v>
      </c>
      <c r="J175" s="1" t="s">
        <v>5731</v>
      </c>
      <c r="K175" s="1" t="s">
        <v>5732</v>
      </c>
      <c r="L175" s="1" t="s">
        <v>5468</v>
      </c>
      <c r="M175" s="1" t="s">
        <v>5732</v>
      </c>
      <c r="N175" s="1" t="s">
        <v>5469</v>
      </c>
      <c r="O175" s="1" t="s">
        <v>5461</v>
      </c>
      <c r="P175" s="1"/>
      <c r="Q175" s="1" t="s">
        <v>5733</v>
      </c>
      <c r="R175" s="1" t="s">
        <v>5471</v>
      </c>
    </row>
    <row r="176" spans="1:18" ht="36" customHeight="1">
      <c r="A176" s="1" t="s">
        <v>5012</v>
      </c>
      <c r="B176" s="1" t="s">
        <v>5453</v>
      </c>
      <c r="C176" s="1" t="s">
        <v>5562</v>
      </c>
      <c r="D176" s="1" t="s">
        <v>5563</v>
      </c>
      <c r="E176" s="1"/>
      <c r="F176" s="1">
        <v>0</v>
      </c>
      <c r="G176" s="1">
        <v>1</v>
      </c>
      <c r="H176" s="1" t="s">
        <v>4691</v>
      </c>
      <c r="I176" s="1" t="s">
        <v>5734</v>
      </c>
      <c r="J176" s="1" t="s">
        <v>5735</v>
      </c>
      <c r="K176" s="1" t="s">
        <v>5736</v>
      </c>
      <c r="L176" s="1" t="s">
        <v>5468</v>
      </c>
      <c r="M176" s="1" t="s">
        <v>5736</v>
      </c>
      <c r="N176" s="1" t="s">
        <v>5469</v>
      </c>
      <c r="O176" s="1" t="s">
        <v>5461</v>
      </c>
      <c r="P176" s="1"/>
      <c r="Q176" s="1" t="s">
        <v>5737</v>
      </c>
      <c r="R176" s="1" t="s">
        <v>5471</v>
      </c>
    </row>
    <row r="177" spans="1:18" ht="24" customHeight="1">
      <c r="A177" s="1" t="s">
        <v>5012</v>
      </c>
      <c r="B177" s="1" t="s">
        <v>5453</v>
      </c>
      <c r="C177" s="1" t="s">
        <v>5454</v>
      </c>
      <c r="D177" s="1" t="s">
        <v>5455</v>
      </c>
      <c r="E177" s="1"/>
      <c r="F177" s="1">
        <v>1</v>
      </c>
      <c r="G177" s="1">
        <v>0</v>
      </c>
      <c r="H177" s="1" t="s">
        <v>4691</v>
      </c>
      <c r="I177" s="1" t="s">
        <v>4747</v>
      </c>
      <c r="J177" s="1" t="s">
        <v>5738</v>
      </c>
      <c r="K177" s="1" t="s">
        <v>5739</v>
      </c>
      <c r="L177" s="1" t="s">
        <v>5468</v>
      </c>
      <c r="M177" s="1" t="s">
        <v>5739</v>
      </c>
      <c r="N177" s="1" t="s">
        <v>5469</v>
      </c>
      <c r="O177" s="1" t="s">
        <v>5461</v>
      </c>
      <c r="P177" s="1"/>
      <c r="Q177" s="1" t="s">
        <v>5740</v>
      </c>
      <c r="R177" s="1" t="s">
        <v>5471</v>
      </c>
    </row>
    <row r="178" spans="1:18" ht="48" customHeight="1">
      <c r="A178" s="1" t="s">
        <v>5041</v>
      </c>
      <c r="B178" s="1" t="s">
        <v>5453</v>
      </c>
      <c r="C178" s="1" t="s">
        <v>5454</v>
      </c>
      <c r="D178" s="1" t="s">
        <v>5455</v>
      </c>
      <c r="E178" s="1"/>
      <c r="F178" s="1">
        <v>0</v>
      </c>
      <c r="G178" s="1">
        <v>1</v>
      </c>
      <c r="H178" s="1" t="s">
        <v>4691</v>
      </c>
      <c r="I178" s="1" t="s">
        <v>5741</v>
      </c>
      <c r="J178" s="1" t="s">
        <v>5742</v>
      </c>
      <c r="K178" s="1" t="s">
        <v>5743</v>
      </c>
      <c r="L178" s="1" t="s">
        <v>5468</v>
      </c>
      <c r="M178" s="1" t="s">
        <v>5743</v>
      </c>
      <c r="N178" s="1" t="s">
        <v>5469</v>
      </c>
      <c r="O178" s="1" t="s">
        <v>5461</v>
      </c>
      <c r="P178" s="1"/>
      <c r="Q178" s="1" t="s">
        <v>5744</v>
      </c>
      <c r="R178" s="1" t="s">
        <v>5471</v>
      </c>
    </row>
    <row r="179" spans="1:18" ht="36" customHeight="1">
      <c r="A179" s="1" t="s">
        <v>5745</v>
      </c>
      <c r="B179" s="1" t="s">
        <v>5453</v>
      </c>
      <c r="C179" s="1" t="s">
        <v>5454</v>
      </c>
      <c r="D179" s="1" t="s">
        <v>5455</v>
      </c>
      <c r="E179" s="1"/>
      <c r="F179" s="1">
        <v>1</v>
      </c>
      <c r="G179" s="1">
        <v>0</v>
      </c>
      <c r="H179" s="1" t="s">
        <v>4691</v>
      </c>
      <c r="I179" s="1" t="s">
        <v>4747</v>
      </c>
      <c r="J179" s="1" t="s">
        <v>5746</v>
      </c>
      <c r="K179" s="1" t="s">
        <v>5747</v>
      </c>
      <c r="L179" s="1" t="s">
        <v>5468</v>
      </c>
      <c r="M179" s="1" t="s">
        <v>5747</v>
      </c>
      <c r="N179" s="1" t="s">
        <v>5469</v>
      </c>
      <c r="O179" s="1" t="s">
        <v>5461</v>
      </c>
      <c r="P179" s="1"/>
      <c r="Q179" s="1" t="s">
        <v>5748</v>
      </c>
      <c r="R179" s="1" t="s">
        <v>5471</v>
      </c>
    </row>
    <row r="180" spans="1:18" ht="36" customHeight="1">
      <c r="A180" s="1" t="s">
        <v>5749</v>
      </c>
      <c r="B180" s="1" t="s">
        <v>5453</v>
      </c>
      <c r="C180" s="1" t="s">
        <v>5562</v>
      </c>
      <c r="D180" s="1" t="s">
        <v>5563</v>
      </c>
      <c r="E180" s="1"/>
      <c r="F180" s="1">
        <v>0</v>
      </c>
      <c r="G180" s="1">
        <v>1</v>
      </c>
      <c r="H180" s="1" t="s">
        <v>4691</v>
      </c>
      <c r="I180" s="1" t="s">
        <v>4747</v>
      </c>
      <c r="J180" s="1" t="s">
        <v>5750</v>
      </c>
      <c r="K180" s="1" t="s">
        <v>5751</v>
      </c>
      <c r="L180" s="1" t="s">
        <v>5468</v>
      </c>
      <c r="M180" s="1" t="s">
        <v>5751</v>
      </c>
      <c r="N180" s="1" t="s">
        <v>5469</v>
      </c>
      <c r="O180" s="1" t="s">
        <v>5461</v>
      </c>
      <c r="P180" s="1"/>
      <c r="Q180" s="1" t="s">
        <v>5752</v>
      </c>
      <c r="R180" s="1" t="s">
        <v>5471</v>
      </c>
    </row>
    <row r="181" spans="1:18" ht="36" customHeight="1">
      <c r="A181" s="1" t="s">
        <v>5749</v>
      </c>
      <c r="B181" s="1" t="s">
        <v>5453</v>
      </c>
      <c r="C181" s="1" t="s">
        <v>5454</v>
      </c>
      <c r="D181" s="1" t="s">
        <v>5455</v>
      </c>
      <c r="E181" s="1"/>
      <c r="F181" s="1">
        <v>1</v>
      </c>
      <c r="G181" s="1">
        <v>0</v>
      </c>
      <c r="H181" s="1" t="s">
        <v>4691</v>
      </c>
      <c r="I181" s="1" t="s">
        <v>4747</v>
      </c>
      <c r="J181" s="1" t="s">
        <v>5753</v>
      </c>
      <c r="K181" s="1" t="s">
        <v>5754</v>
      </c>
      <c r="L181" s="1" t="s">
        <v>5468</v>
      </c>
      <c r="M181" s="1" t="s">
        <v>5754</v>
      </c>
      <c r="N181" s="1" t="s">
        <v>5469</v>
      </c>
      <c r="O181" s="1" t="s">
        <v>5461</v>
      </c>
      <c r="P181" s="1"/>
      <c r="Q181" s="1" t="s">
        <v>5755</v>
      </c>
      <c r="R181" s="1" t="s">
        <v>5471</v>
      </c>
    </row>
    <row r="182" spans="1:18" ht="48" customHeight="1">
      <c r="A182" s="1" t="s">
        <v>5094</v>
      </c>
      <c r="B182" s="1" t="s">
        <v>5453</v>
      </c>
      <c r="C182" s="1" t="s">
        <v>5562</v>
      </c>
      <c r="D182" s="1" t="s">
        <v>5563</v>
      </c>
      <c r="E182" s="1"/>
      <c r="F182" s="1">
        <v>0</v>
      </c>
      <c r="G182" s="1">
        <v>2</v>
      </c>
      <c r="H182" s="1" t="s">
        <v>4691</v>
      </c>
      <c r="I182" s="1" t="s">
        <v>5756</v>
      </c>
      <c r="J182" s="1" t="s">
        <v>5757</v>
      </c>
      <c r="K182" s="1" t="s">
        <v>5758</v>
      </c>
      <c r="L182" s="1" t="s">
        <v>5468</v>
      </c>
      <c r="M182" s="1" t="s">
        <v>5758</v>
      </c>
      <c r="N182" s="1" t="s">
        <v>5469</v>
      </c>
      <c r="O182" s="1" t="s">
        <v>5461</v>
      </c>
      <c r="P182" s="1"/>
      <c r="Q182" s="1" t="s">
        <v>5759</v>
      </c>
      <c r="R182" s="1" t="s">
        <v>5471</v>
      </c>
    </row>
    <row r="183" spans="1:18" ht="36" customHeight="1">
      <c r="A183" s="1" t="s">
        <v>5133</v>
      </c>
      <c r="B183" s="1" t="s">
        <v>5453</v>
      </c>
      <c r="C183" s="1" t="s">
        <v>5562</v>
      </c>
      <c r="D183" s="1" t="s">
        <v>5563</v>
      </c>
      <c r="E183" s="1"/>
      <c r="F183" s="1">
        <v>0</v>
      </c>
      <c r="G183" s="1">
        <v>1</v>
      </c>
      <c r="H183" s="1" t="s">
        <v>4691</v>
      </c>
      <c r="I183" s="1" t="s">
        <v>5760</v>
      </c>
      <c r="J183" s="1" t="s">
        <v>5761</v>
      </c>
      <c r="K183" s="1" t="s">
        <v>5762</v>
      </c>
      <c r="L183" s="1" t="s">
        <v>5468</v>
      </c>
      <c r="M183" s="1" t="s">
        <v>5762</v>
      </c>
      <c r="N183" s="1" t="s">
        <v>5469</v>
      </c>
      <c r="O183" s="1" t="s">
        <v>5461</v>
      </c>
      <c r="P183" s="1"/>
      <c r="Q183" s="1" t="s">
        <v>5763</v>
      </c>
      <c r="R183" s="1" t="s">
        <v>5471</v>
      </c>
    </row>
    <row r="184" spans="1:18" ht="36" customHeight="1">
      <c r="A184" s="1" t="s">
        <v>5162</v>
      </c>
      <c r="B184" s="1" t="s">
        <v>5453</v>
      </c>
      <c r="C184" s="1" t="s">
        <v>5562</v>
      </c>
      <c r="D184" s="1" t="s">
        <v>5563</v>
      </c>
      <c r="E184" s="1"/>
      <c r="F184" s="1">
        <v>0</v>
      </c>
      <c r="G184" s="1">
        <v>1</v>
      </c>
      <c r="H184" s="1" t="s">
        <v>4691</v>
      </c>
      <c r="I184" s="1" t="s">
        <v>5764</v>
      </c>
      <c r="J184" s="1" t="s">
        <v>5765</v>
      </c>
      <c r="K184" s="1" t="s">
        <v>5766</v>
      </c>
      <c r="L184" s="1" t="s">
        <v>5468</v>
      </c>
      <c r="M184" s="1" t="s">
        <v>5766</v>
      </c>
      <c r="N184" s="1" t="s">
        <v>5469</v>
      </c>
      <c r="O184" s="1" t="s">
        <v>5461</v>
      </c>
      <c r="P184" s="1"/>
      <c r="Q184" s="1" t="s">
        <v>5767</v>
      </c>
      <c r="R184" s="1" t="s">
        <v>5471</v>
      </c>
    </row>
    <row r="185" spans="1:18" ht="48" customHeight="1">
      <c r="A185" s="1" t="s">
        <v>5184</v>
      </c>
      <c r="B185" s="1" t="s">
        <v>5453</v>
      </c>
      <c r="C185" s="1" t="s">
        <v>5562</v>
      </c>
      <c r="D185" s="1" t="s">
        <v>5563</v>
      </c>
      <c r="E185" s="1"/>
      <c r="F185" s="1">
        <v>0</v>
      </c>
      <c r="G185" s="1">
        <v>2</v>
      </c>
      <c r="H185" s="1" t="s">
        <v>4691</v>
      </c>
      <c r="I185" s="1" t="s">
        <v>5768</v>
      </c>
      <c r="J185" s="1" t="s">
        <v>5769</v>
      </c>
      <c r="K185" s="1" t="s">
        <v>5770</v>
      </c>
      <c r="L185" s="1" t="s">
        <v>5468</v>
      </c>
      <c r="M185" s="1" t="s">
        <v>5770</v>
      </c>
      <c r="N185" s="1" t="s">
        <v>5469</v>
      </c>
      <c r="O185" s="1" t="s">
        <v>5461</v>
      </c>
      <c r="P185" s="1"/>
      <c r="Q185" s="1" t="s">
        <v>5771</v>
      </c>
      <c r="R185" s="1" t="s">
        <v>5471</v>
      </c>
    </row>
    <row r="186" spans="1:18" ht="36" customHeight="1">
      <c r="A186" s="1" t="s">
        <v>5222</v>
      </c>
      <c r="B186" s="1" t="s">
        <v>5453</v>
      </c>
      <c r="C186" s="1" t="s">
        <v>5562</v>
      </c>
      <c r="D186" s="1" t="s">
        <v>5563</v>
      </c>
      <c r="E186" s="1"/>
      <c r="F186" s="1">
        <v>0</v>
      </c>
      <c r="G186" s="1">
        <v>1</v>
      </c>
      <c r="H186" s="1" t="s">
        <v>4691</v>
      </c>
      <c r="I186" s="1" t="s">
        <v>5772</v>
      </c>
      <c r="J186" s="1" t="s">
        <v>5773</v>
      </c>
      <c r="K186" s="1" t="s">
        <v>5774</v>
      </c>
      <c r="L186" s="1" t="s">
        <v>5468</v>
      </c>
      <c r="M186" s="1" t="s">
        <v>5774</v>
      </c>
      <c r="N186" s="1" t="s">
        <v>5469</v>
      </c>
      <c r="O186" s="1" t="s">
        <v>5461</v>
      </c>
      <c r="P186" s="1"/>
      <c r="Q186" s="1" t="s">
        <v>5775</v>
      </c>
      <c r="R186" s="1" t="s">
        <v>5471</v>
      </c>
    </row>
    <row r="187" spans="1:18" ht="36" customHeight="1">
      <c r="A187" s="1" t="s">
        <v>5776</v>
      </c>
      <c r="B187" s="1" t="s">
        <v>5453</v>
      </c>
      <c r="C187" s="1" t="s">
        <v>5454</v>
      </c>
      <c r="D187" s="1" t="s">
        <v>5455</v>
      </c>
      <c r="E187" s="1"/>
      <c r="F187" s="1">
        <v>1</v>
      </c>
      <c r="G187" s="1">
        <v>0</v>
      </c>
      <c r="H187" s="1" t="s">
        <v>4691</v>
      </c>
      <c r="I187" s="1" t="s">
        <v>5777</v>
      </c>
      <c r="J187" s="1" t="s">
        <v>5778</v>
      </c>
      <c r="K187" s="1" t="s">
        <v>5779</v>
      </c>
      <c r="L187" s="1" t="s">
        <v>5468</v>
      </c>
      <c r="M187" s="1" t="s">
        <v>5779</v>
      </c>
      <c r="N187" s="1" t="s">
        <v>5469</v>
      </c>
      <c r="O187" s="1" t="s">
        <v>5461</v>
      </c>
      <c r="P187" s="1"/>
      <c r="Q187" s="1" t="s">
        <v>5780</v>
      </c>
      <c r="R187" s="1" t="s">
        <v>5471</v>
      </c>
    </row>
    <row r="188" spans="1:18" ht="48" customHeight="1">
      <c r="A188" s="1" t="s">
        <v>5268</v>
      </c>
      <c r="B188" s="1" t="s">
        <v>5453</v>
      </c>
      <c r="C188" s="1" t="s">
        <v>5454</v>
      </c>
      <c r="D188" s="1" t="s">
        <v>5455</v>
      </c>
      <c r="E188" s="1"/>
      <c r="F188" s="1">
        <v>0</v>
      </c>
      <c r="G188" s="1">
        <v>1</v>
      </c>
      <c r="H188" s="1" t="s">
        <v>4691</v>
      </c>
      <c r="I188" s="1" t="s">
        <v>5777</v>
      </c>
      <c r="J188" s="1" t="s">
        <v>5781</v>
      </c>
      <c r="K188" s="1" t="s">
        <v>5782</v>
      </c>
      <c r="L188" s="1" t="s">
        <v>5468</v>
      </c>
      <c r="M188" s="1" t="s">
        <v>5782</v>
      </c>
      <c r="N188" s="1" t="s">
        <v>5469</v>
      </c>
      <c r="O188" s="1" t="s">
        <v>5461</v>
      </c>
      <c r="P188" s="1"/>
      <c r="Q188" s="1" t="s">
        <v>5783</v>
      </c>
      <c r="R188" s="1" t="s">
        <v>5471</v>
      </c>
    </row>
    <row r="189" spans="1:18" ht="36" customHeight="1">
      <c r="A189" s="1" t="s">
        <v>5306</v>
      </c>
      <c r="B189" s="1" t="s">
        <v>5453</v>
      </c>
      <c r="C189" s="1" t="s">
        <v>5562</v>
      </c>
      <c r="D189" s="1" t="s">
        <v>5563</v>
      </c>
      <c r="E189" s="1"/>
      <c r="F189" s="1">
        <v>0</v>
      </c>
      <c r="G189" s="1">
        <v>1</v>
      </c>
      <c r="H189" s="1" t="s">
        <v>4691</v>
      </c>
      <c r="I189" s="1" t="s">
        <v>5784</v>
      </c>
      <c r="J189" s="1" t="s">
        <v>5785</v>
      </c>
      <c r="K189" s="1" t="s">
        <v>5786</v>
      </c>
      <c r="L189" s="1" t="s">
        <v>5468</v>
      </c>
      <c r="M189" s="1" t="s">
        <v>5786</v>
      </c>
      <c r="N189" s="1" t="s">
        <v>5469</v>
      </c>
      <c r="O189" s="1" t="s">
        <v>5461</v>
      </c>
      <c r="P189" s="1"/>
      <c r="Q189" s="1" t="s">
        <v>5787</v>
      </c>
      <c r="R189" s="1" t="s">
        <v>5471</v>
      </c>
    </row>
    <row r="190" spans="1:18" ht="36" customHeight="1">
      <c r="A190" s="1" t="s">
        <v>5352</v>
      </c>
      <c r="B190" s="1" t="s">
        <v>5453</v>
      </c>
      <c r="C190" s="1" t="s">
        <v>5582</v>
      </c>
      <c r="D190" s="1" t="s">
        <v>5583</v>
      </c>
      <c r="E190" s="1"/>
      <c r="F190" s="1">
        <v>1</v>
      </c>
      <c r="G190" s="1">
        <v>0</v>
      </c>
      <c r="H190" s="1" t="s">
        <v>4691</v>
      </c>
      <c r="I190" s="1" t="s">
        <v>5788</v>
      </c>
      <c r="J190" s="1" t="s">
        <v>5789</v>
      </c>
      <c r="K190" s="1" t="s">
        <v>5790</v>
      </c>
      <c r="L190" s="1" t="s">
        <v>5468</v>
      </c>
      <c r="M190" s="1" t="s">
        <v>5790</v>
      </c>
      <c r="N190" s="1" t="s">
        <v>5469</v>
      </c>
      <c r="O190" s="1" t="s">
        <v>5461</v>
      </c>
      <c r="P190" s="1"/>
      <c r="Q190" s="1" t="s">
        <v>5791</v>
      </c>
      <c r="R190" s="1" t="s">
        <v>5471</v>
      </c>
    </row>
    <row r="191" spans="1:18" ht="36" customHeight="1">
      <c r="A191" s="1" t="s">
        <v>5369</v>
      </c>
      <c r="B191" s="1" t="s">
        <v>5453</v>
      </c>
      <c r="C191" s="1" t="s">
        <v>5454</v>
      </c>
      <c r="D191" s="1" t="s">
        <v>5455</v>
      </c>
      <c r="E191" s="1"/>
      <c r="F191" s="1">
        <v>1</v>
      </c>
      <c r="G191" s="1">
        <v>0</v>
      </c>
      <c r="H191" s="1" t="s">
        <v>4691</v>
      </c>
      <c r="I191" s="1" t="s">
        <v>4747</v>
      </c>
      <c r="J191" s="1" t="s">
        <v>5792</v>
      </c>
      <c r="K191" s="1" t="s">
        <v>5793</v>
      </c>
      <c r="L191" s="1" t="s">
        <v>5468</v>
      </c>
      <c r="M191" s="1" t="s">
        <v>5793</v>
      </c>
      <c r="N191" s="1" t="s">
        <v>5469</v>
      </c>
      <c r="O191" s="1" t="s">
        <v>5461</v>
      </c>
      <c r="P191" s="1"/>
      <c r="Q191" s="1" t="s">
        <v>5794</v>
      </c>
      <c r="R191" s="1" t="s">
        <v>5471</v>
      </c>
    </row>
    <row r="192" spans="1:18" ht="36" customHeight="1">
      <c r="A192" s="1" t="s">
        <v>5413</v>
      </c>
      <c r="B192" s="1" t="s">
        <v>5453</v>
      </c>
      <c r="C192" s="1" t="s">
        <v>5454</v>
      </c>
      <c r="D192" s="1" t="s">
        <v>5455</v>
      </c>
      <c r="E192" s="1"/>
      <c r="F192" s="1">
        <v>1</v>
      </c>
      <c r="G192" s="1">
        <v>0</v>
      </c>
      <c r="H192" s="1" t="s">
        <v>4691</v>
      </c>
      <c r="I192" s="1" t="s">
        <v>5795</v>
      </c>
      <c r="J192" s="1" t="s">
        <v>5796</v>
      </c>
      <c r="K192" s="1" t="s">
        <v>5797</v>
      </c>
      <c r="L192" s="1" t="s">
        <v>5468</v>
      </c>
      <c r="M192" s="1" t="s">
        <v>5797</v>
      </c>
      <c r="N192" s="1" t="s">
        <v>5469</v>
      </c>
      <c r="O192" s="1" t="s">
        <v>5461</v>
      </c>
      <c r="P192" s="1"/>
      <c r="Q192" s="1" t="s">
        <v>5798</v>
      </c>
      <c r="R192" s="1" t="s">
        <v>5471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
  <sheetViews>
    <sheetView showGridLines="0" workbookViewId="0"/>
  </sheetViews>
  <sheetFormatPr baseColWidth="10" defaultColWidth="8.83203125" defaultRowHeight="15"/>
  <cols>
    <col min="1" max="5" width="34" customWidth="1"/>
    <col min="6" max="6" width="58" customWidth="1"/>
    <col min="7" max="7" width="34" customWidth="1"/>
  </cols>
  <sheetData>
    <row r="1" spans="1:7" ht="38" customHeight="1">
      <c r="A1" s="2" t="s">
        <v>37</v>
      </c>
      <c r="B1" s="2" t="s">
        <v>5799</v>
      </c>
      <c r="C1" s="2" t="s">
        <v>5800</v>
      </c>
      <c r="D1" s="2" t="s">
        <v>5801</v>
      </c>
      <c r="E1" s="2" t="s">
        <v>5802</v>
      </c>
      <c r="F1" s="2" t="s">
        <v>5803</v>
      </c>
      <c r="G1" s="2" t="s">
        <v>5804</v>
      </c>
    </row>
    <row r="2" spans="1:7" ht="36" customHeight="1">
      <c r="A2" s="1" t="s">
        <v>5465</v>
      </c>
      <c r="B2" s="1" t="s">
        <v>5805</v>
      </c>
      <c r="C2" s="1" t="s">
        <v>5806</v>
      </c>
      <c r="D2" s="1" t="s">
        <v>5432</v>
      </c>
      <c r="E2" s="1" t="s">
        <v>5807</v>
      </c>
      <c r="F2" s="1" t="s">
        <v>5808</v>
      </c>
      <c r="G2" s="1" t="s">
        <v>5809</v>
      </c>
    </row>
    <row r="3" spans="1:7" ht="36" customHeight="1">
      <c r="A3" s="1" t="s">
        <v>5504</v>
      </c>
      <c r="B3" s="1" t="s">
        <v>5810</v>
      </c>
      <c r="C3" s="1" t="s">
        <v>5806</v>
      </c>
      <c r="D3" s="1" t="s">
        <v>5432</v>
      </c>
      <c r="E3" s="1" t="s">
        <v>5807</v>
      </c>
      <c r="F3" s="1" t="s">
        <v>5808</v>
      </c>
      <c r="G3" s="1" t="s">
        <v>5809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42"/>
  <sheetViews>
    <sheetView showGridLines="0" workbookViewId="0">
      <pane xSplit="1" ySplit="1" topLeftCell="B2" activePane="bottomRight" state="frozen"/>
      <selection pane="topRight"/>
      <selection pane="bottomLeft"/>
      <selection pane="bottomRight" activeCell="B2" sqref="B2"/>
    </sheetView>
  </sheetViews>
  <sheetFormatPr baseColWidth="10" defaultColWidth="8.83203125" defaultRowHeight="15"/>
  <cols>
    <col min="1" max="2" width="34" customWidth="1"/>
    <col min="3" max="3" width="58" customWidth="1"/>
    <col min="4" max="4" width="34" customWidth="1"/>
    <col min="5" max="5" width="16" customWidth="1"/>
    <col min="6" max="11" width="34" customWidth="1"/>
  </cols>
  <sheetData>
    <row r="1" spans="1:11" ht="38" customHeight="1">
      <c r="A1" s="2" t="s">
        <v>5811</v>
      </c>
      <c r="B1" s="2" t="s">
        <v>37</v>
      </c>
      <c r="C1" s="2" t="s">
        <v>5812</v>
      </c>
      <c r="D1" s="2" t="s">
        <v>5813</v>
      </c>
      <c r="E1" s="2" t="s">
        <v>39</v>
      </c>
      <c r="F1" s="2" t="s">
        <v>5814</v>
      </c>
      <c r="G1" s="2" t="s">
        <v>5815</v>
      </c>
      <c r="H1" s="2" t="s">
        <v>5816</v>
      </c>
      <c r="I1" s="2" t="s">
        <v>5817</v>
      </c>
      <c r="J1" s="2" t="s">
        <v>5818</v>
      </c>
      <c r="K1" s="2" t="s">
        <v>5819</v>
      </c>
    </row>
    <row r="2" spans="1:11" ht="15" customHeight="1">
      <c r="A2" s="1">
        <v>1</v>
      </c>
      <c r="B2" s="1" t="s">
        <v>4687</v>
      </c>
      <c r="C2" s="1" t="s">
        <v>5820</v>
      </c>
      <c r="D2" s="1" t="s">
        <v>5821</v>
      </c>
      <c r="E2" s="1">
        <v>2021</v>
      </c>
      <c r="F2" s="1" t="s">
        <v>5822</v>
      </c>
      <c r="G2" s="1" t="s">
        <v>5823</v>
      </c>
      <c r="H2" s="1" t="s">
        <v>5824</v>
      </c>
      <c r="I2" s="1" t="s">
        <v>5825</v>
      </c>
      <c r="J2" s="1" t="s">
        <v>5432</v>
      </c>
      <c r="K2" s="1" t="s">
        <v>5826</v>
      </c>
    </row>
    <row r="3" spans="1:11" ht="24" customHeight="1">
      <c r="A3" s="1">
        <v>2</v>
      </c>
      <c r="B3" s="1" t="s">
        <v>4701</v>
      </c>
      <c r="C3" s="1" t="s">
        <v>5827</v>
      </c>
      <c r="D3" s="1" t="s">
        <v>5828</v>
      </c>
      <c r="E3" s="1">
        <v>2020</v>
      </c>
      <c r="F3" s="1" t="s">
        <v>5829</v>
      </c>
      <c r="G3" s="1" t="s">
        <v>5830</v>
      </c>
      <c r="H3" s="1" t="s">
        <v>5831</v>
      </c>
      <c r="I3" s="1" t="s">
        <v>5832</v>
      </c>
      <c r="J3" s="1" t="s">
        <v>5432</v>
      </c>
      <c r="K3" s="1" t="s">
        <v>5826</v>
      </c>
    </row>
    <row r="4" spans="1:11" ht="24" customHeight="1">
      <c r="A4" s="1">
        <v>3</v>
      </c>
      <c r="B4" s="1" t="s">
        <v>4725</v>
      </c>
      <c r="C4" s="1" t="s">
        <v>5833</v>
      </c>
      <c r="D4" s="1" t="s">
        <v>5834</v>
      </c>
      <c r="E4" s="1">
        <v>2016</v>
      </c>
      <c r="F4" s="1" t="s">
        <v>5835</v>
      </c>
      <c r="G4" s="1" t="s">
        <v>5830</v>
      </c>
      <c r="H4" s="1" t="s">
        <v>5836</v>
      </c>
      <c r="I4" s="1" t="s">
        <v>5837</v>
      </c>
      <c r="J4" s="1" t="s">
        <v>5432</v>
      </c>
      <c r="K4" s="1" t="s">
        <v>5838</v>
      </c>
    </row>
    <row r="5" spans="1:11" ht="24" customHeight="1">
      <c r="A5" s="1">
        <v>4</v>
      </c>
      <c r="B5" s="1" t="s">
        <v>4762</v>
      </c>
      <c r="C5" s="1" t="s">
        <v>5839</v>
      </c>
      <c r="D5" s="1" t="s">
        <v>5840</v>
      </c>
      <c r="E5" s="1">
        <v>2016</v>
      </c>
      <c r="F5" s="1" t="s">
        <v>5841</v>
      </c>
      <c r="G5" s="1" t="s">
        <v>5842</v>
      </c>
      <c r="H5" s="1" t="s">
        <v>5843</v>
      </c>
      <c r="I5" s="1" t="s">
        <v>5844</v>
      </c>
      <c r="J5" s="1" t="s">
        <v>5432</v>
      </c>
      <c r="K5" s="1" t="s">
        <v>5826</v>
      </c>
    </row>
    <row r="6" spans="1:11" ht="24" customHeight="1">
      <c r="A6" s="1">
        <v>5</v>
      </c>
      <c r="B6" s="1" t="s">
        <v>5845</v>
      </c>
      <c r="C6" s="1" t="s">
        <v>5846</v>
      </c>
      <c r="D6" s="1" t="s">
        <v>5847</v>
      </c>
      <c r="E6" s="1">
        <v>2026</v>
      </c>
      <c r="F6" s="1" t="s">
        <v>5848</v>
      </c>
      <c r="G6" s="1" t="s">
        <v>5849</v>
      </c>
      <c r="H6" s="1" t="s">
        <v>5850</v>
      </c>
      <c r="I6" s="1" t="s">
        <v>5851</v>
      </c>
      <c r="J6" s="1" t="s">
        <v>5432</v>
      </c>
      <c r="K6" s="1" t="s">
        <v>5826</v>
      </c>
    </row>
    <row r="7" spans="1:11" ht="24" customHeight="1">
      <c r="A7" s="1">
        <v>6</v>
      </c>
      <c r="B7" s="1" t="s">
        <v>4771</v>
      </c>
      <c r="C7" s="1" t="s">
        <v>5852</v>
      </c>
      <c r="D7" s="1" t="s">
        <v>5853</v>
      </c>
      <c r="E7" s="1">
        <v>2022</v>
      </c>
      <c r="F7" s="1" t="s">
        <v>5854</v>
      </c>
      <c r="G7" s="1" t="s">
        <v>5855</v>
      </c>
      <c r="H7" s="1" t="s">
        <v>5856</v>
      </c>
      <c r="I7" s="1" t="s">
        <v>5857</v>
      </c>
      <c r="J7" s="1" t="s">
        <v>5432</v>
      </c>
      <c r="K7" s="1" t="s">
        <v>5858</v>
      </c>
    </row>
    <row r="8" spans="1:11" ht="24" customHeight="1">
      <c r="A8" s="1">
        <v>7</v>
      </c>
      <c r="B8" s="1" t="s">
        <v>4786</v>
      </c>
      <c r="C8" s="1" t="s">
        <v>5859</v>
      </c>
      <c r="D8" s="1" t="s">
        <v>5860</v>
      </c>
      <c r="E8" s="1">
        <v>2024</v>
      </c>
      <c r="F8" s="1" t="s">
        <v>5861</v>
      </c>
      <c r="G8" s="1" t="s">
        <v>5862</v>
      </c>
      <c r="H8" s="1" t="s">
        <v>5863</v>
      </c>
      <c r="I8" s="1" t="s">
        <v>5864</v>
      </c>
      <c r="J8" s="1" t="s">
        <v>5432</v>
      </c>
      <c r="K8" s="1" t="s">
        <v>5858</v>
      </c>
    </row>
    <row r="9" spans="1:11" ht="24" customHeight="1">
      <c r="A9" s="1">
        <v>8</v>
      </c>
      <c r="B9" s="1" t="s">
        <v>4825</v>
      </c>
      <c r="C9" s="1" t="s">
        <v>5865</v>
      </c>
      <c r="D9" s="1" t="s">
        <v>5866</v>
      </c>
      <c r="E9" s="1">
        <v>2023</v>
      </c>
      <c r="F9" s="1" t="s">
        <v>5867</v>
      </c>
      <c r="G9" s="1" t="s">
        <v>5868</v>
      </c>
      <c r="H9" s="1" t="s">
        <v>5869</v>
      </c>
      <c r="I9" s="1" t="s">
        <v>5870</v>
      </c>
      <c r="J9" s="1" t="s">
        <v>5432</v>
      </c>
      <c r="K9" s="1" t="s">
        <v>5858</v>
      </c>
    </row>
    <row r="10" spans="1:11" ht="24" customHeight="1">
      <c r="A10" s="1">
        <v>9</v>
      </c>
      <c r="B10" s="1" t="s">
        <v>4833</v>
      </c>
      <c r="C10" s="1" t="s">
        <v>5871</v>
      </c>
      <c r="D10" s="1" t="s">
        <v>5872</v>
      </c>
      <c r="E10" s="1">
        <v>2019</v>
      </c>
      <c r="F10" s="1" t="s">
        <v>5873</v>
      </c>
      <c r="G10" s="1" t="s">
        <v>5868</v>
      </c>
      <c r="H10" s="1" t="s">
        <v>5874</v>
      </c>
      <c r="I10" s="1" t="s">
        <v>5875</v>
      </c>
      <c r="J10" s="1" t="s">
        <v>5432</v>
      </c>
      <c r="K10" s="1" t="s">
        <v>5858</v>
      </c>
    </row>
    <row r="11" spans="1:11" ht="24" customHeight="1">
      <c r="A11" s="1">
        <v>10</v>
      </c>
      <c r="B11" s="1" t="s">
        <v>4868</v>
      </c>
      <c r="C11" s="1" t="s">
        <v>5876</v>
      </c>
      <c r="D11" s="1" t="s">
        <v>5877</v>
      </c>
      <c r="E11" s="1">
        <v>2025</v>
      </c>
      <c r="F11" s="1" t="s">
        <v>5878</v>
      </c>
      <c r="G11" s="1" t="s">
        <v>5879</v>
      </c>
      <c r="H11" s="1" t="s">
        <v>5880</v>
      </c>
      <c r="I11" s="1" t="s">
        <v>5881</v>
      </c>
      <c r="J11" s="1" t="s">
        <v>5432</v>
      </c>
      <c r="K11" s="1" t="s">
        <v>5858</v>
      </c>
    </row>
    <row r="12" spans="1:11" ht="24" customHeight="1">
      <c r="A12" s="1">
        <v>11</v>
      </c>
      <c r="B12" s="1" t="s">
        <v>4918</v>
      </c>
      <c r="C12" s="1" t="s">
        <v>5882</v>
      </c>
      <c r="D12" s="1" t="s">
        <v>5883</v>
      </c>
      <c r="E12" s="1">
        <v>2026</v>
      </c>
      <c r="F12" s="1" t="s">
        <v>5884</v>
      </c>
      <c r="G12" s="1" t="s">
        <v>5885</v>
      </c>
      <c r="H12" s="1" t="s">
        <v>5886</v>
      </c>
      <c r="I12" s="1" t="s">
        <v>5887</v>
      </c>
      <c r="J12" s="1" t="s">
        <v>5432</v>
      </c>
      <c r="K12" s="1" t="s">
        <v>5858</v>
      </c>
    </row>
    <row r="13" spans="1:11" ht="24" customHeight="1">
      <c r="A13" s="1">
        <v>12</v>
      </c>
      <c r="B13" s="1" t="s">
        <v>4925</v>
      </c>
      <c r="C13" s="1" t="s">
        <v>5888</v>
      </c>
      <c r="D13" s="1" t="s">
        <v>5889</v>
      </c>
      <c r="E13" s="1">
        <v>2022</v>
      </c>
      <c r="F13" s="1" t="s">
        <v>5890</v>
      </c>
      <c r="G13" s="1" t="s">
        <v>5891</v>
      </c>
      <c r="H13" s="1" t="s">
        <v>5892</v>
      </c>
      <c r="I13" s="1" t="s">
        <v>5893</v>
      </c>
      <c r="J13" s="1" t="s">
        <v>5432</v>
      </c>
      <c r="K13" s="1" t="s">
        <v>5858</v>
      </c>
    </row>
    <row r="14" spans="1:11" ht="24" customHeight="1">
      <c r="A14" s="1">
        <v>13</v>
      </c>
      <c r="B14" s="1" t="s">
        <v>4941</v>
      </c>
      <c r="C14" s="1" t="s">
        <v>5894</v>
      </c>
      <c r="D14" s="1" t="s">
        <v>5895</v>
      </c>
      <c r="E14" s="1">
        <v>2024</v>
      </c>
      <c r="F14" s="1" t="s">
        <v>5896</v>
      </c>
      <c r="G14" s="1" t="s">
        <v>5897</v>
      </c>
      <c r="H14" s="1" t="s">
        <v>5898</v>
      </c>
      <c r="I14" s="1" t="s">
        <v>5899</v>
      </c>
      <c r="J14" s="1" t="s">
        <v>5432</v>
      </c>
      <c r="K14" s="1" t="s">
        <v>5858</v>
      </c>
    </row>
    <row r="15" spans="1:11" ht="24" customHeight="1">
      <c r="A15" s="1">
        <v>14</v>
      </c>
      <c r="B15" s="1" t="s">
        <v>4950</v>
      </c>
      <c r="C15" s="1" t="s">
        <v>5900</v>
      </c>
      <c r="D15" s="1" t="s">
        <v>5895</v>
      </c>
      <c r="E15" s="1">
        <v>2022</v>
      </c>
      <c r="F15" s="1" t="s">
        <v>5901</v>
      </c>
      <c r="G15" s="1" t="s">
        <v>5902</v>
      </c>
      <c r="H15" s="1" t="s">
        <v>5903</v>
      </c>
      <c r="I15" s="1" t="s">
        <v>5904</v>
      </c>
      <c r="J15" s="1" t="s">
        <v>5432</v>
      </c>
      <c r="K15" s="1" t="s">
        <v>5858</v>
      </c>
    </row>
    <row r="16" spans="1:11" ht="24" customHeight="1">
      <c r="A16" s="1">
        <v>15</v>
      </c>
      <c r="B16" s="1" t="s">
        <v>4973</v>
      </c>
      <c r="C16" s="1" t="s">
        <v>5905</v>
      </c>
      <c r="D16" s="1" t="s">
        <v>5906</v>
      </c>
      <c r="E16" s="1">
        <v>2020</v>
      </c>
      <c r="F16" s="1" t="s">
        <v>5907</v>
      </c>
      <c r="G16" s="1" t="s">
        <v>5908</v>
      </c>
      <c r="H16" s="1" t="s">
        <v>5909</v>
      </c>
      <c r="I16" s="1" t="s">
        <v>5910</v>
      </c>
      <c r="J16" s="1" t="s">
        <v>5432</v>
      </c>
      <c r="K16" s="1" t="s">
        <v>5858</v>
      </c>
    </row>
    <row r="17" spans="1:11" ht="24" customHeight="1">
      <c r="A17" s="1">
        <v>16</v>
      </c>
      <c r="B17" s="1" t="s">
        <v>5004</v>
      </c>
      <c r="C17" s="1" t="s">
        <v>5911</v>
      </c>
      <c r="D17" s="1" t="s">
        <v>5912</v>
      </c>
      <c r="E17" s="1">
        <v>2026</v>
      </c>
      <c r="F17" s="1" t="s">
        <v>5913</v>
      </c>
      <c r="G17" s="1" t="s">
        <v>5914</v>
      </c>
      <c r="H17" s="1" t="s">
        <v>5915</v>
      </c>
      <c r="I17" s="1" t="s">
        <v>5916</v>
      </c>
      <c r="J17" s="1" t="s">
        <v>5432</v>
      </c>
      <c r="K17" s="1" t="s">
        <v>10</v>
      </c>
    </row>
    <row r="18" spans="1:11" ht="24" customHeight="1">
      <c r="A18" s="1">
        <v>17</v>
      </c>
      <c r="B18" s="1" t="s">
        <v>5012</v>
      </c>
      <c r="C18" s="1" t="s">
        <v>5917</v>
      </c>
      <c r="D18" s="1" t="s">
        <v>5918</v>
      </c>
      <c r="E18" s="1">
        <v>2023</v>
      </c>
      <c r="F18" s="1" t="s">
        <v>5919</v>
      </c>
      <c r="G18" s="1" t="s">
        <v>5920</v>
      </c>
      <c r="H18" s="1" t="s">
        <v>5921</v>
      </c>
      <c r="I18" s="1" t="s">
        <v>5922</v>
      </c>
      <c r="J18" s="1" t="s">
        <v>5432</v>
      </c>
      <c r="K18" s="1" t="s">
        <v>10</v>
      </c>
    </row>
    <row r="19" spans="1:11" ht="24" customHeight="1">
      <c r="A19" s="1">
        <v>18</v>
      </c>
      <c r="B19" s="1" t="s">
        <v>5041</v>
      </c>
      <c r="C19" s="1" t="s">
        <v>5923</v>
      </c>
      <c r="D19" s="1" t="s">
        <v>5924</v>
      </c>
      <c r="E19" s="1">
        <v>2024</v>
      </c>
      <c r="F19" s="1" t="s">
        <v>5925</v>
      </c>
      <c r="G19" s="1" t="s">
        <v>5926</v>
      </c>
      <c r="H19" s="1" t="s">
        <v>5927</v>
      </c>
      <c r="I19" s="1" t="s">
        <v>5928</v>
      </c>
      <c r="J19" s="1" t="s">
        <v>5432</v>
      </c>
      <c r="K19" s="1" t="s">
        <v>10</v>
      </c>
    </row>
    <row r="20" spans="1:11" ht="24" customHeight="1">
      <c r="A20" s="1">
        <v>19</v>
      </c>
      <c r="B20" s="1" t="s">
        <v>5063</v>
      </c>
      <c r="C20" s="1" t="s">
        <v>5929</v>
      </c>
      <c r="D20" s="1" t="s">
        <v>5930</v>
      </c>
      <c r="E20" s="1">
        <v>2020</v>
      </c>
      <c r="F20" s="1" t="s">
        <v>5931</v>
      </c>
      <c r="G20" s="1" t="s">
        <v>5897</v>
      </c>
      <c r="H20" s="1" t="s">
        <v>5932</v>
      </c>
      <c r="I20" s="1" t="s">
        <v>5933</v>
      </c>
      <c r="J20" s="1" t="s">
        <v>5432</v>
      </c>
      <c r="K20" s="1" t="s">
        <v>27</v>
      </c>
    </row>
    <row r="21" spans="1:11" ht="24" customHeight="1">
      <c r="A21" s="1">
        <v>20</v>
      </c>
      <c r="B21" s="1" t="s">
        <v>5745</v>
      </c>
      <c r="C21" s="1" t="s">
        <v>5934</v>
      </c>
      <c r="D21" s="1" t="s">
        <v>5935</v>
      </c>
      <c r="E21" s="1">
        <v>2022</v>
      </c>
      <c r="F21" s="1" t="s">
        <v>5936</v>
      </c>
      <c r="G21" s="1" t="s">
        <v>5926</v>
      </c>
      <c r="H21" s="1" t="s">
        <v>5937</v>
      </c>
      <c r="I21" s="1" t="s">
        <v>5938</v>
      </c>
      <c r="J21" s="1" t="s">
        <v>5432</v>
      </c>
      <c r="K21" s="1" t="s">
        <v>10</v>
      </c>
    </row>
    <row r="22" spans="1:11" ht="15" customHeight="1">
      <c r="A22" s="1">
        <v>21</v>
      </c>
      <c r="B22" s="1" t="s">
        <v>5079</v>
      </c>
      <c r="C22" s="1" t="s">
        <v>5939</v>
      </c>
      <c r="D22" s="1" t="s">
        <v>5940</v>
      </c>
      <c r="E22" s="1">
        <v>2016</v>
      </c>
      <c r="F22" s="1" t="s">
        <v>5941</v>
      </c>
      <c r="G22" s="1" t="s">
        <v>5942</v>
      </c>
      <c r="H22" s="1" t="s">
        <v>5943</v>
      </c>
      <c r="I22" s="1" t="s">
        <v>5944</v>
      </c>
      <c r="J22" s="1" t="s">
        <v>5432</v>
      </c>
      <c r="K22" s="1" t="s">
        <v>5858</v>
      </c>
    </row>
    <row r="23" spans="1:11" ht="24" customHeight="1">
      <c r="A23" s="1">
        <v>22</v>
      </c>
      <c r="B23" s="1" t="s">
        <v>5087</v>
      </c>
      <c r="C23" s="1" t="s">
        <v>5945</v>
      </c>
      <c r="D23" s="1" t="s">
        <v>5946</v>
      </c>
      <c r="E23" s="1">
        <v>2021</v>
      </c>
      <c r="F23" s="1" t="s">
        <v>5947</v>
      </c>
      <c r="G23" s="1" t="s">
        <v>5948</v>
      </c>
      <c r="H23" s="1" t="s">
        <v>5949</v>
      </c>
      <c r="I23" s="1" t="s">
        <v>5950</v>
      </c>
      <c r="J23" s="1" t="s">
        <v>5432</v>
      </c>
      <c r="K23" s="1" t="s">
        <v>10</v>
      </c>
    </row>
    <row r="24" spans="1:11" ht="24" customHeight="1">
      <c r="A24" s="1">
        <v>23</v>
      </c>
      <c r="B24" s="1" t="s">
        <v>5749</v>
      </c>
      <c r="C24" s="1" t="s">
        <v>5951</v>
      </c>
      <c r="D24" s="1" t="s">
        <v>5952</v>
      </c>
      <c r="E24" s="1">
        <v>2020</v>
      </c>
      <c r="F24" s="1" t="s">
        <v>5953</v>
      </c>
      <c r="G24" s="1" t="s">
        <v>5954</v>
      </c>
      <c r="H24" s="1" t="s">
        <v>5955</v>
      </c>
      <c r="I24" s="1" t="s">
        <v>5956</v>
      </c>
      <c r="J24" s="1" t="s">
        <v>5432</v>
      </c>
      <c r="K24" s="1" t="s">
        <v>5858</v>
      </c>
    </row>
    <row r="25" spans="1:11" ht="15" customHeight="1">
      <c r="A25" s="1">
        <v>24</v>
      </c>
      <c r="B25" s="1" t="s">
        <v>5094</v>
      </c>
      <c r="C25" s="1" t="s">
        <v>5957</v>
      </c>
      <c r="D25" s="1" t="s">
        <v>5958</v>
      </c>
      <c r="E25" s="1">
        <v>2023</v>
      </c>
      <c r="F25" s="1" t="s">
        <v>5959</v>
      </c>
      <c r="G25" s="1" t="s">
        <v>5960</v>
      </c>
      <c r="H25" s="1" t="s">
        <v>5961</v>
      </c>
      <c r="I25" s="1" t="s">
        <v>5962</v>
      </c>
      <c r="J25" s="1" t="s">
        <v>5432</v>
      </c>
      <c r="K25" s="1" t="s">
        <v>5858</v>
      </c>
    </row>
    <row r="26" spans="1:11" ht="15" customHeight="1">
      <c r="A26" s="1">
        <v>25</v>
      </c>
      <c r="B26" s="1" t="s">
        <v>5116</v>
      </c>
      <c r="C26" s="1" t="s">
        <v>5963</v>
      </c>
      <c r="D26" s="1" t="s">
        <v>5964</v>
      </c>
      <c r="E26" s="1">
        <v>2026</v>
      </c>
      <c r="F26" s="1" t="s">
        <v>5965</v>
      </c>
      <c r="G26" s="1" t="s">
        <v>5966</v>
      </c>
      <c r="H26" s="1" t="s">
        <v>5967</v>
      </c>
      <c r="I26" s="1" t="s">
        <v>5968</v>
      </c>
      <c r="J26" s="1" t="s">
        <v>5432</v>
      </c>
      <c r="K26" s="1" t="s">
        <v>5969</v>
      </c>
    </row>
    <row r="27" spans="1:11" ht="24" customHeight="1">
      <c r="A27" s="1">
        <v>26</v>
      </c>
      <c r="B27" s="1" t="s">
        <v>5133</v>
      </c>
      <c r="C27" s="1" t="s">
        <v>5970</v>
      </c>
      <c r="D27" s="1" t="s">
        <v>5971</v>
      </c>
      <c r="E27" s="1">
        <v>2026</v>
      </c>
      <c r="F27" s="1" t="s">
        <v>5972</v>
      </c>
      <c r="G27" s="1" t="s">
        <v>5908</v>
      </c>
      <c r="H27" s="1" t="s">
        <v>5973</v>
      </c>
      <c r="I27" s="1" t="s">
        <v>5974</v>
      </c>
      <c r="J27" s="1" t="s">
        <v>5432</v>
      </c>
      <c r="K27" s="1" t="s">
        <v>5858</v>
      </c>
    </row>
    <row r="28" spans="1:11" ht="24" customHeight="1">
      <c r="A28" s="1">
        <v>27</v>
      </c>
      <c r="B28" s="1" t="s">
        <v>5162</v>
      </c>
      <c r="C28" s="1" t="s">
        <v>5975</v>
      </c>
      <c r="D28" s="1" t="s">
        <v>5976</v>
      </c>
      <c r="E28" s="1">
        <v>2025</v>
      </c>
      <c r="F28" s="1" t="s">
        <v>5977</v>
      </c>
      <c r="G28" s="1" t="s">
        <v>5978</v>
      </c>
      <c r="H28" s="1" t="s">
        <v>5979</v>
      </c>
      <c r="I28" s="1" t="s">
        <v>5980</v>
      </c>
      <c r="J28" s="1" t="s">
        <v>5432</v>
      </c>
      <c r="K28" s="1" t="s">
        <v>5858</v>
      </c>
    </row>
    <row r="29" spans="1:11" ht="24" customHeight="1">
      <c r="A29" s="1">
        <v>28</v>
      </c>
      <c r="B29" s="1" t="s">
        <v>5184</v>
      </c>
      <c r="C29" s="1" t="s">
        <v>5981</v>
      </c>
      <c r="D29" s="1" t="s">
        <v>5982</v>
      </c>
      <c r="E29" s="1">
        <v>2024</v>
      </c>
      <c r="F29" s="1" t="s">
        <v>5983</v>
      </c>
      <c r="G29" s="1" t="s">
        <v>5984</v>
      </c>
      <c r="H29" s="1" t="s">
        <v>5985</v>
      </c>
      <c r="I29" s="1" t="s">
        <v>5986</v>
      </c>
      <c r="J29" s="1" t="s">
        <v>5432</v>
      </c>
      <c r="K29" s="1" t="s">
        <v>5858</v>
      </c>
    </row>
    <row r="30" spans="1:11" ht="24" customHeight="1">
      <c r="A30" s="1">
        <v>29</v>
      </c>
      <c r="B30" s="1" t="s">
        <v>5222</v>
      </c>
      <c r="C30" s="1" t="s">
        <v>5987</v>
      </c>
      <c r="D30" s="1" t="s">
        <v>5988</v>
      </c>
      <c r="E30" s="1">
        <v>2024</v>
      </c>
      <c r="F30" s="1" t="s">
        <v>5989</v>
      </c>
      <c r="G30" s="1" t="s">
        <v>5823</v>
      </c>
      <c r="H30" s="1" t="s">
        <v>5990</v>
      </c>
      <c r="I30" s="1" t="s">
        <v>5991</v>
      </c>
      <c r="J30" s="1" t="s">
        <v>5432</v>
      </c>
      <c r="K30" s="1" t="s">
        <v>27</v>
      </c>
    </row>
    <row r="31" spans="1:11" ht="36" customHeight="1">
      <c r="A31" s="1">
        <v>30</v>
      </c>
      <c r="B31" s="1" t="s">
        <v>5776</v>
      </c>
      <c r="C31" s="1" t="s">
        <v>5992</v>
      </c>
      <c r="D31" s="1" t="s">
        <v>5993</v>
      </c>
      <c r="E31" s="1">
        <v>2019</v>
      </c>
      <c r="F31" s="1" t="s">
        <v>5994</v>
      </c>
      <c r="G31" s="1" t="s">
        <v>5823</v>
      </c>
      <c r="H31" s="1" t="s">
        <v>5995</v>
      </c>
      <c r="I31" s="1" t="s">
        <v>5996</v>
      </c>
      <c r="J31" s="1" t="s">
        <v>5432</v>
      </c>
      <c r="K31" s="1" t="s">
        <v>5858</v>
      </c>
    </row>
    <row r="32" spans="1:11" ht="24" customHeight="1">
      <c r="A32" s="1">
        <v>31</v>
      </c>
      <c r="B32" s="1" t="s">
        <v>5251</v>
      </c>
      <c r="C32" s="1" t="s">
        <v>5997</v>
      </c>
      <c r="D32" s="1" t="s">
        <v>5998</v>
      </c>
      <c r="E32" s="1">
        <v>2026</v>
      </c>
      <c r="F32" s="1" t="s">
        <v>5999</v>
      </c>
      <c r="G32" s="1" t="s">
        <v>6000</v>
      </c>
      <c r="H32" s="1" t="s">
        <v>6001</v>
      </c>
      <c r="I32" s="1" t="s">
        <v>6002</v>
      </c>
      <c r="J32" s="1" t="s">
        <v>5432</v>
      </c>
      <c r="K32" s="1" t="s">
        <v>10</v>
      </c>
    </row>
    <row r="33" spans="1:11" ht="24" customHeight="1">
      <c r="A33" s="1">
        <v>32</v>
      </c>
      <c r="B33" s="1" t="s">
        <v>5268</v>
      </c>
      <c r="C33" s="1" t="s">
        <v>6003</v>
      </c>
      <c r="D33" s="1" t="s">
        <v>6004</v>
      </c>
      <c r="E33" s="1">
        <v>2025</v>
      </c>
      <c r="F33" s="1" t="s">
        <v>6005</v>
      </c>
      <c r="G33" s="1" t="s">
        <v>6006</v>
      </c>
      <c r="H33" s="1" t="s">
        <v>6007</v>
      </c>
      <c r="I33" s="1" t="s">
        <v>6008</v>
      </c>
      <c r="J33" s="1" t="s">
        <v>5432</v>
      </c>
      <c r="K33" s="1" t="s">
        <v>10</v>
      </c>
    </row>
    <row r="34" spans="1:11" ht="24" customHeight="1">
      <c r="A34" s="1">
        <v>33</v>
      </c>
      <c r="B34" s="1" t="s">
        <v>5306</v>
      </c>
      <c r="C34" s="1" t="s">
        <v>6009</v>
      </c>
      <c r="D34" s="1" t="s">
        <v>6010</v>
      </c>
      <c r="E34" s="1">
        <v>2026</v>
      </c>
      <c r="F34" s="1" t="s">
        <v>6011</v>
      </c>
      <c r="G34" s="1" t="s">
        <v>6012</v>
      </c>
      <c r="H34" s="1" t="s">
        <v>6013</v>
      </c>
      <c r="I34" s="1" t="s">
        <v>6014</v>
      </c>
      <c r="J34" s="1" t="s">
        <v>5432</v>
      </c>
      <c r="K34" s="1" t="s">
        <v>10</v>
      </c>
    </row>
    <row r="35" spans="1:11" ht="24" customHeight="1">
      <c r="A35" s="1">
        <v>34</v>
      </c>
      <c r="B35" s="1" t="s">
        <v>5330</v>
      </c>
      <c r="C35" s="1" t="s">
        <v>6015</v>
      </c>
      <c r="D35" s="1" t="s">
        <v>6016</v>
      </c>
      <c r="E35" s="1">
        <v>2024</v>
      </c>
      <c r="F35" s="1" t="s">
        <v>6017</v>
      </c>
      <c r="G35" s="1" t="s">
        <v>6018</v>
      </c>
      <c r="H35" s="1" t="s">
        <v>6019</v>
      </c>
      <c r="I35" s="1" t="s">
        <v>6020</v>
      </c>
      <c r="J35" s="1" t="s">
        <v>5432</v>
      </c>
      <c r="K35" s="1" t="s">
        <v>6021</v>
      </c>
    </row>
    <row r="36" spans="1:11" ht="15" customHeight="1">
      <c r="A36" s="1">
        <v>35</v>
      </c>
      <c r="B36" s="1" t="s">
        <v>5337</v>
      </c>
      <c r="C36" s="1" t="s">
        <v>6022</v>
      </c>
      <c r="D36" s="1" t="s">
        <v>6023</v>
      </c>
      <c r="E36" s="1">
        <v>2019</v>
      </c>
      <c r="F36" s="1" t="s">
        <v>6024</v>
      </c>
      <c r="G36" s="1" t="s">
        <v>5948</v>
      </c>
      <c r="H36" s="1" t="s">
        <v>6025</v>
      </c>
      <c r="I36" s="1" t="s">
        <v>6026</v>
      </c>
      <c r="J36" s="1" t="s">
        <v>5432</v>
      </c>
      <c r="K36" s="1" t="s">
        <v>10</v>
      </c>
    </row>
    <row r="37" spans="1:11" ht="24" customHeight="1">
      <c r="A37" s="1">
        <v>36</v>
      </c>
      <c r="B37" s="1" t="s">
        <v>5352</v>
      </c>
      <c r="C37" s="1" t="s">
        <v>6027</v>
      </c>
      <c r="D37" s="1" t="s">
        <v>6028</v>
      </c>
      <c r="E37" s="1">
        <v>2022</v>
      </c>
      <c r="F37" s="1" t="s">
        <v>6029</v>
      </c>
      <c r="G37" s="1" t="s">
        <v>6030</v>
      </c>
      <c r="H37" s="1" t="s">
        <v>6031</v>
      </c>
      <c r="I37" s="1" t="s">
        <v>6032</v>
      </c>
      <c r="J37" s="1" t="s">
        <v>5432</v>
      </c>
      <c r="K37" s="1" t="s">
        <v>10</v>
      </c>
    </row>
    <row r="38" spans="1:11" ht="15" customHeight="1">
      <c r="A38" s="1">
        <v>37</v>
      </c>
      <c r="B38" s="1" t="s">
        <v>5369</v>
      </c>
      <c r="C38" s="1" t="s">
        <v>6033</v>
      </c>
      <c r="D38" s="1" t="s">
        <v>6034</v>
      </c>
      <c r="E38" s="1">
        <v>2019</v>
      </c>
      <c r="F38" s="1" t="s">
        <v>6035</v>
      </c>
      <c r="G38" s="1" t="s">
        <v>6036</v>
      </c>
      <c r="H38" s="1" t="s">
        <v>6037</v>
      </c>
      <c r="I38" s="1" t="s">
        <v>6038</v>
      </c>
      <c r="J38" s="1" t="s">
        <v>5432</v>
      </c>
      <c r="K38" s="1" t="s">
        <v>10</v>
      </c>
    </row>
    <row r="39" spans="1:11" ht="24" customHeight="1">
      <c r="A39" s="1">
        <v>38</v>
      </c>
      <c r="B39" s="1" t="s">
        <v>5389</v>
      </c>
      <c r="C39" s="1" t="s">
        <v>6039</v>
      </c>
      <c r="D39" s="1" t="s">
        <v>6040</v>
      </c>
      <c r="E39" s="1">
        <v>2020</v>
      </c>
      <c r="F39" s="1" t="s">
        <v>6041</v>
      </c>
      <c r="G39" s="1" t="s">
        <v>6042</v>
      </c>
      <c r="H39" s="1" t="s">
        <v>6043</v>
      </c>
      <c r="I39" s="1" t="s">
        <v>6044</v>
      </c>
      <c r="J39" s="1" t="s">
        <v>5432</v>
      </c>
      <c r="K39" s="1" t="s">
        <v>10</v>
      </c>
    </row>
    <row r="40" spans="1:11" ht="24" customHeight="1">
      <c r="A40" s="1">
        <v>39</v>
      </c>
      <c r="B40" s="1" t="s">
        <v>5413</v>
      </c>
      <c r="C40" s="1" t="s">
        <v>6045</v>
      </c>
      <c r="D40" s="1" t="s">
        <v>6046</v>
      </c>
      <c r="E40" s="1">
        <v>2018</v>
      </c>
      <c r="F40" s="1" t="s">
        <v>6047</v>
      </c>
      <c r="G40" s="1" t="s">
        <v>6048</v>
      </c>
      <c r="H40" s="1" t="s">
        <v>6049</v>
      </c>
      <c r="I40" s="1" t="s">
        <v>6050</v>
      </c>
      <c r="J40" s="1" t="s">
        <v>5432</v>
      </c>
      <c r="K40" s="1" t="s">
        <v>10</v>
      </c>
    </row>
    <row r="41" spans="1:11" ht="24" customHeight="1">
      <c r="A41" s="1">
        <v>40</v>
      </c>
      <c r="B41" s="1" t="s">
        <v>5465</v>
      </c>
      <c r="C41" s="1" t="s">
        <v>6051</v>
      </c>
      <c r="D41" s="1" t="s">
        <v>6052</v>
      </c>
      <c r="E41" s="1">
        <v>2019</v>
      </c>
      <c r="F41" s="1" t="s">
        <v>6053</v>
      </c>
      <c r="G41" s="1" t="s">
        <v>6054</v>
      </c>
      <c r="H41" s="1" t="s">
        <v>5805</v>
      </c>
      <c r="I41" s="1" t="s">
        <v>6055</v>
      </c>
      <c r="J41" s="1" t="s">
        <v>6056</v>
      </c>
      <c r="K41" s="1" t="s">
        <v>6057</v>
      </c>
    </row>
    <row r="42" spans="1:11" ht="24" customHeight="1">
      <c r="A42" s="1">
        <v>41</v>
      </c>
      <c r="B42" s="1" t="s">
        <v>5504</v>
      </c>
      <c r="C42" s="1" t="s">
        <v>6058</v>
      </c>
      <c r="D42" s="1" t="s">
        <v>6059</v>
      </c>
      <c r="E42" s="1">
        <v>2022</v>
      </c>
      <c r="F42" s="1" t="s">
        <v>6060</v>
      </c>
      <c r="G42" s="1" t="s">
        <v>6061</v>
      </c>
      <c r="H42" s="1" t="s">
        <v>5810</v>
      </c>
      <c r="I42" s="1" t="s">
        <v>6062</v>
      </c>
      <c r="J42" s="1" t="s">
        <v>6056</v>
      </c>
      <c r="K42" s="1" t="s">
        <v>6057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149"/>
  <sheetViews>
    <sheetView showGridLines="0" workbookViewId="0">
      <pane xSplit="1" ySplit="1" topLeftCell="B2" activePane="bottomRight" state="frozen"/>
      <selection pane="topRight"/>
      <selection pane="bottomLeft"/>
      <selection pane="bottomRight" activeCell="B2" sqref="B2"/>
    </sheetView>
  </sheetViews>
  <sheetFormatPr baseColWidth="10" defaultColWidth="8.83203125" defaultRowHeight="15"/>
  <cols>
    <col min="1" max="8" width="34" customWidth="1"/>
    <col min="9" max="10" width="58" customWidth="1"/>
    <col min="11" max="13" width="34" customWidth="1"/>
    <col min="14" max="14" width="58" customWidth="1"/>
    <col min="15" max="15" width="34" customWidth="1"/>
    <col min="16" max="16" width="58" customWidth="1"/>
    <col min="17" max="17" width="34" customWidth="1"/>
    <col min="18" max="18" width="58" customWidth="1"/>
    <col min="19" max="23" width="34" customWidth="1"/>
  </cols>
  <sheetData>
    <row r="1" spans="1:23" ht="38" customHeight="1">
      <c r="A1" s="2" t="s">
        <v>37</v>
      </c>
      <c r="B1" s="2" t="s">
        <v>6063</v>
      </c>
      <c r="C1" s="2" t="s">
        <v>6064</v>
      </c>
      <c r="D1" s="2" t="s">
        <v>6065</v>
      </c>
      <c r="E1" s="2" t="s">
        <v>6066</v>
      </c>
      <c r="F1" s="2" t="s">
        <v>6067</v>
      </c>
      <c r="G1" s="2" t="s">
        <v>6068</v>
      </c>
      <c r="H1" s="2" t="s">
        <v>6069</v>
      </c>
      <c r="I1" s="2" t="s">
        <v>6070</v>
      </c>
      <c r="J1" s="2" t="s">
        <v>6071</v>
      </c>
      <c r="K1" s="2" t="s">
        <v>6072</v>
      </c>
      <c r="L1" s="2" t="s">
        <v>4684</v>
      </c>
      <c r="M1" s="2" t="s">
        <v>4685</v>
      </c>
      <c r="N1" s="2" t="s">
        <v>6073</v>
      </c>
      <c r="O1" s="2" t="s">
        <v>6074</v>
      </c>
      <c r="P1" s="2" t="s">
        <v>6075</v>
      </c>
      <c r="Q1" s="2" t="s">
        <v>6076</v>
      </c>
      <c r="R1" s="2" t="s">
        <v>6077</v>
      </c>
      <c r="S1" s="2" t="s">
        <v>6078</v>
      </c>
      <c r="T1" s="2" t="s">
        <v>6079</v>
      </c>
      <c r="U1" s="2" t="s">
        <v>6080</v>
      </c>
      <c r="V1" s="2" t="s">
        <v>6081</v>
      </c>
      <c r="W1" s="2" t="s">
        <v>6082</v>
      </c>
    </row>
    <row r="2" spans="1:23" ht="48" customHeight="1">
      <c r="A2" s="1" t="s">
        <v>4687</v>
      </c>
      <c r="B2" s="1" t="s">
        <v>6083</v>
      </c>
      <c r="C2" s="1" t="s">
        <v>6084</v>
      </c>
      <c r="D2" s="1" t="s">
        <v>6085</v>
      </c>
      <c r="E2" s="1" t="s">
        <v>6086</v>
      </c>
      <c r="F2" s="1" t="s">
        <v>6087</v>
      </c>
      <c r="G2" s="1" t="s">
        <v>6088</v>
      </c>
      <c r="H2" s="1" t="s">
        <v>6089</v>
      </c>
      <c r="I2" s="1"/>
      <c r="J2" s="1"/>
      <c r="K2" s="1" t="s">
        <v>6090</v>
      </c>
      <c r="L2" s="1" t="s">
        <v>6091</v>
      </c>
      <c r="M2" s="1" t="s">
        <v>6092</v>
      </c>
      <c r="N2" s="1"/>
      <c r="O2" s="1"/>
      <c r="P2" s="1"/>
      <c r="Q2" s="1"/>
      <c r="R2" s="1" t="s">
        <v>6093</v>
      </c>
      <c r="S2" s="1" t="s">
        <v>6094</v>
      </c>
      <c r="T2" s="1" t="s">
        <v>6095</v>
      </c>
      <c r="U2" s="1" t="s">
        <v>6096</v>
      </c>
      <c r="V2" s="1" t="s">
        <v>6097</v>
      </c>
      <c r="W2" s="1" t="s">
        <v>6098</v>
      </c>
    </row>
    <row r="3" spans="1:23" ht="48" customHeight="1">
      <c r="A3" s="1" t="s">
        <v>4687</v>
      </c>
      <c r="B3" s="1" t="s">
        <v>6099</v>
      </c>
      <c r="C3" s="1" t="s">
        <v>6100</v>
      </c>
      <c r="D3" s="1" t="s">
        <v>6101</v>
      </c>
      <c r="E3" s="1" t="s">
        <v>6102</v>
      </c>
      <c r="F3" s="1" t="s">
        <v>6087</v>
      </c>
      <c r="G3" s="1" t="s">
        <v>6088</v>
      </c>
      <c r="H3" s="1" t="s">
        <v>6089</v>
      </c>
      <c r="I3" s="1"/>
      <c r="J3" s="1"/>
      <c r="K3" s="1" t="s">
        <v>6090</v>
      </c>
      <c r="L3" s="1" t="s">
        <v>6103</v>
      </c>
      <c r="M3" s="1" t="s">
        <v>6104</v>
      </c>
      <c r="N3" s="1"/>
      <c r="O3" s="1"/>
      <c r="P3" s="1"/>
      <c r="Q3" s="1"/>
      <c r="R3" s="1" t="s">
        <v>6105</v>
      </c>
      <c r="S3" s="1" t="s">
        <v>6106</v>
      </c>
      <c r="T3" s="1" t="s">
        <v>6095</v>
      </c>
      <c r="U3" s="1" t="s">
        <v>6096</v>
      </c>
      <c r="V3" s="1" t="s">
        <v>6097</v>
      </c>
      <c r="W3" s="1" t="s">
        <v>6098</v>
      </c>
    </row>
    <row r="4" spans="1:23" ht="48" customHeight="1">
      <c r="A4" s="1" t="s">
        <v>4687</v>
      </c>
      <c r="B4" s="1" t="s">
        <v>6107</v>
      </c>
      <c r="C4" s="1" t="s">
        <v>6108</v>
      </c>
      <c r="D4" s="1" t="s">
        <v>6109</v>
      </c>
      <c r="E4" s="1"/>
      <c r="F4" s="1" t="s">
        <v>6110</v>
      </c>
      <c r="G4" s="1" t="s">
        <v>6088</v>
      </c>
      <c r="H4" s="1" t="s">
        <v>6089</v>
      </c>
      <c r="I4" s="1"/>
      <c r="J4" s="1"/>
      <c r="K4" s="1" t="s">
        <v>6090</v>
      </c>
      <c r="L4" s="1" t="s">
        <v>6111</v>
      </c>
      <c r="M4" s="1" t="s">
        <v>6112</v>
      </c>
      <c r="N4" s="1"/>
      <c r="O4" s="1"/>
      <c r="P4" s="1"/>
      <c r="Q4" s="1"/>
      <c r="R4" s="1"/>
      <c r="S4" s="1"/>
      <c r="T4" s="1"/>
      <c r="U4" s="1"/>
      <c r="V4" s="1"/>
      <c r="W4" s="1"/>
    </row>
    <row r="5" spans="1:23" ht="48" customHeight="1">
      <c r="A5" s="1" t="s">
        <v>4687</v>
      </c>
      <c r="B5" s="1" t="s">
        <v>6113</v>
      </c>
      <c r="C5" s="1" t="s">
        <v>6114</v>
      </c>
      <c r="D5" s="1" t="s">
        <v>6115</v>
      </c>
      <c r="E5" s="1"/>
      <c r="F5" s="1" t="s">
        <v>6110</v>
      </c>
      <c r="G5" s="1" t="s">
        <v>6088</v>
      </c>
      <c r="H5" s="1" t="s">
        <v>6089</v>
      </c>
      <c r="I5" s="1"/>
      <c r="J5" s="1"/>
      <c r="K5" s="1" t="s">
        <v>6090</v>
      </c>
      <c r="L5" s="1" t="s">
        <v>6116</v>
      </c>
      <c r="M5" s="1" t="s">
        <v>6117</v>
      </c>
      <c r="N5" s="1"/>
      <c r="O5" s="1"/>
      <c r="P5" s="1"/>
      <c r="Q5" s="1"/>
      <c r="R5" s="1"/>
      <c r="S5" s="1"/>
      <c r="T5" s="1"/>
      <c r="U5" s="1"/>
      <c r="V5" s="1"/>
      <c r="W5" s="1"/>
    </row>
    <row r="6" spans="1:23" ht="48" customHeight="1">
      <c r="A6" s="1" t="s">
        <v>4687</v>
      </c>
      <c r="B6" s="1" t="s">
        <v>6118</v>
      </c>
      <c r="C6" s="1" t="s">
        <v>6119</v>
      </c>
      <c r="D6" s="1" t="s">
        <v>6120</v>
      </c>
      <c r="E6" s="1" t="s">
        <v>6121</v>
      </c>
      <c r="F6" s="1" t="s">
        <v>6087</v>
      </c>
      <c r="G6" s="1" t="s">
        <v>6088</v>
      </c>
      <c r="H6" s="1" t="s">
        <v>6089</v>
      </c>
      <c r="I6" s="1"/>
      <c r="J6" s="1"/>
      <c r="K6" s="1" t="s">
        <v>6090</v>
      </c>
      <c r="L6" s="1" t="s">
        <v>6122</v>
      </c>
      <c r="M6" s="1" t="s">
        <v>6123</v>
      </c>
      <c r="N6" s="1"/>
      <c r="O6" s="1"/>
      <c r="P6" s="1"/>
      <c r="Q6" s="1"/>
      <c r="R6" s="1" t="s">
        <v>6124</v>
      </c>
      <c r="S6" s="1" t="s">
        <v>6125</v>
      </c>
      <c r="T6" s="1" t="s">
        <v>6095</v>
      </c>
      <c r="U6" s="1" t="s">
        <v>6096</v>
      </c>
      <c r="V6" s="1" t="s">
        <v>6097</v>
      </c>
      <c r="W6" s="1" t="s">
        <v>6098</v>
      </c>
    </row>
    <row r="7" spans="1:23" ht="48" customHeight="1">
      <c r="A7" s="1" t="s">
        <v>4687</v>
      </c>
      <c r="B7" s="1" t="s">
        <v>6126</v>
      </c>
      <c r="C7" s="1" t="s">
        <v>6127</v>
      </c>
      <c r="D7" s="1" t="s">
        <v>6128</v>
      </c>
      <c r="E7" s="1" t="s">
        <v>6129</v>
      </c>
      <c r="F7" s="1" t="s">
        <v>6087</v>
      </c>
      <c r="G7" s="1" t="s">
        <v>6088</v>
      </c>
      <c r="H7" s="1" t="s">
        <v>6089</v>
      </c>
      <c r="I7" s="1"/>
      <c r="J7" s="1"/>
      <c r="K7" s="1" t="s">
        <v>6090</v>
      </c>
      <c r="L7" s="1" t="s">
        <v>6130</v>
      </c>
      <c r="M7" s="1" t="s">
        <v>6131</v>
      </c>
      <c r="N7" s="1"/>
      <c r="O7" s="1"/>
      <c r="P7" s="1"/>
      <c r="Q7" s="1"/>
      <c r="R7" s="1" t="s">
        <v>6132</v>
      </c>
      <c r="S7" s="1" t="s">
        <v>6133</v>
      </c>
      <c r="T7" s="1" t="s">
        <v>6095</v>
      </c>
      <c r="U7" s="1" t="s">
        <v>6096</v>
      </c>
      <c r="V7" s="1" t="s">
        <v>6097</v>
      </c>
      <c r="W7" s="1" t="s">
        <v>6098</v>
      </c>
    </row>
    <row r="8" spans="1:23" ht="48" customHeight="1">
      <c r="A8" s="1" t="s">
        <v>4687</v>
      </c>
      <c r="B8" s="1" t="s">
        <v>6134</v>
      </c>
      <c r="C8" s="1" t="s">
        <v>6135</v>
      </c>
      <c r="D8" s="1" t="s">
        <v>6136</v>
      </c>
      <c r="E8" s="1" t="s">
        <v>6137</v>
      </c>
      <c r="F8" s="1" t="s">
        <v>6138</v>
      </c>
      <c r="G8" s="1" t="s">
        <v>6088</v>
      </c>
      <c r="H8" s="1" t="s">
        <v>6089</v>
      </c>
      <c r="I8" s="1"/>
      <c r="J8" s="1"/>
      <c r="K8" s="1" t="s">
        <v>6090</v>
      </c>
      <c r="L8" s="1" t="s">
        <v>6139</v>
      </c>
      <c r="M8" s="1" t="s">
        <v>6140</v>
      </c>
      <c r="N8" s="1"/>
      <c r="O8" s="1"/>
      <c r="P8" s="1"/>
      <c r="Q8" s="1"/>
      <c r="R8" s="1" t="s">
        <v>6141</v>
      </c>
      <c r="S8" s="1" t="s">
        <v>6142</v>
      </c>
      <c r="T8" s="1" t="s">
        <v>6095</v>
      </c>
      <c r="U8" s="1" t="s">
        <v>6096</v>
      </c>
      <c r="V8" s="1" t="s">
        <v>6143</v>
      </c>
      <c r="W8" s="1" t="s">
        <v>6098</v>
      </c>
    </row>
    <row r="9" spans="1:23" ht="48" customHeight="1">
      <c r="A9" s="1" t="s">
        <v>4687</v>
      </c>
      <c r="B9" s="1" t="s">
        <v>6144</v>
      </c>
      <c r="C9" s="1" t="s">
        <v>6145</v>
      </c>
      <c r="D9" s="1" t="s">
        <v>4747</v>
      </c>
      <c r="E9" s="1" t="s">
        <v>6146</v>
      </c>
      <c r="F9" s="1" t="s">
        <v>6138</v>
      </c>
      <c r="G9" s="1" t="s">
        <v>6088</v>
      </c>
      <c r="H9" s="1" t="s">
        <v>6089</v>
      </c>
      <c r="I9" s="1"/>
      <c r="J9" s="1"/>
      <c r="K9" s="1" t="s">
        <v>6090</v>
      </c>
      <c r="L9" s="1" t="s">
        <v>6147</v>
      </c>
      <c r="M9" s="1" t="s">
        <v>6148</v>
      </c>
      <c r="N9" s="1"/>
      <c r="O9" s="1"/>
      <c r="P9" s="1"/>
      <c r="Q9" s="1"/>
      <c r="R9" s="1" t="s">
        <v>6141</v>
      </c>
      <c r="S9" s="1" t="s">
        <v>6142</v>
      </c>
      <c r="T9" s="1" t="s">
        <v>6095</v>
      </c>
      <c r="U9" s="1" t="s">
        <v>6096</v>
      </c>
      <c r="V9" s="1" t="s">
        <v>6143</v>
      </c>
      <c r="W9" s="1" t="s">
        <v>6098</v>
      </c>
    </row>
    <row r="10" spans="1:23" ht="48" customHeight="1">
      <c r="A10" s="1" t="s">
        <v>4687</v>
      </c>
      <c r="B10" s="1" t="s">
        <v>6149</v>
      </c>
      <c r="C10" s="1" t="s">
        <v>6150</v>
      </c>
      <c r="D10" s="1" t="s">
        <v>4747</v>
      </c>
      <c r="E10" s="1" t="s">
        <v>6151</v>
      </c>
      <c r="F10" s="1" t="s">
        <v>6138</v>
      </c>
      <c r="G10" s="1" t="s">
        <v>6088</v>
      </c>
      <c r="H10" s="1" t="s">
        <v>6089</v>
      </c>
      <c r="I10" s="1"/>
      <c r="J10" s="1"/>
      <c r="K10" s="1" t="s">
        <v>6090</v>
      </c>
      <c r="L10" s="1" t="s">
        <v>6152</v>
      </c>
      <c r="M10" s="1" t="s">
        <v>6153</v>
      </c>
      <c r="N10" s="1"/>
      <c r="O10" s="1"/>
      <c r="P10" s="1"/>
      <c r="Q10" s="1"/>
      <c r="R10" s="1" t="s">
        <v>6141</v>
      </c>
      <c r="S10" s="1" t="s">
        <v>6142</v>
      </c>
      <c r="T10" s="1" t="s">
        <v>6095</v>
      </c>
      <c r="U10" s="1" t="s">
        <v>6096</v>
      </c>
      <c r="V10" s="1" t="s">
        <v>6143</v>
      </c>
      <c r="W10" s="1" t="s">
        <v>6098</v>
      </c>
    </row>
    <row r="11" spans="1:23" ht="48" customHeight="1">
      <c r="A11" s="1" t="s">
        <v>4687</v>
      </c>
      <c r="B11" s="1" t="s">
        <v>6154</v>
      </c>
      <c r="C11" s="1" t="s">
        <v>4692</v>
      </c>
      <c r="D11" s="1" t="s">
        <v>6155</v>
      </c>
      <c r="E11" s="1" t="s">
        <v>6156</v>
      </c>
      <c r="F11" s="1" t="s">
        <v>6138</v>
      </c>
      <c r="G11" s="1" t="s">
        <v>6088</v>
      </c>
      <c r="H11" s="1" t="s">
        <v>6089</v>
      </c>
      <c r="I11" s="1"/>
      <c r="J11" s="1"/>
      <c r="K11" s="1" t="s">
        <v>6090</v>
      </c>
      <c r="L11" s="1" t="s">
        <v>6157</v>
      </c>
      <c r="M11" s="1" t="s">
        <v>6158</v>
      </c>
      <c r="N11" s="1"/>
      <c r="O11" s="1"/>
      <c r="P11" s="1"/>
      <c r="Q11" s="1"/>
      <c r="R11" s="1" t="s">
        <v>6141</v>
      </c>
      <c r="S11" s="1" t="s">
        <v>6142</v>
      </c>
      <c r="T11" s="1" t="s">
        <v>6095</v>
      </c>
      <c r="U11" s="1" t="s">
        <v>6096</v>
      </c>
      <c r="V11" s="1" t="s">
        <v>6143</v>
      </c>
      <c r="W11" s="1" t="s">
        <v>6098</v>
      </c>
    </row>
    <row r="12" spans="1:23" ht="48" customHeight="1">
      <c r="A12" s="1" t="s">
        <v>4687</v>
      </c>
      <c r="B12" s="1" t="s">
        <v>6159</v>
      </c>
      <c r="C12" s="1" t="s">
        <v>6160</v>
      </c>
      <c r="D12" s="1" t="s">
        <v>6161</v>
      </c>
      <c r="E12" s="1" t="s">
        <v>6162</v>
      </c>
      <c r="F12" s="1" t="s">
        <v>6163</v>
      </c>
      <c r="G12" s="1" t="s">
        <v>6088</v>
      </c>
      <c r="H12" s="1" t="s">
        <v>6089</v>
      </c>
      <c r="I12" s="1"/>
      <c r="J12" s="1"/>
      <c r="K12" s="1" t="s">
        <v>6090</v>
      </c>
      <c r="L12" s="1" t="s">
        <v>6164</v>
      </c>
      <c r="M12" s="1" t="s">
        <v>6165</v>
      </c>
      <c r="N12" s="1"/>
      <c r="O12" s="1"/>
      <c r="P12" s="1"/>
      <c r="Q12" s="1"/>
      <c r="R12" s="1" t="s">
        <v>6166</v>
      </c>
      <c r="S12" s="1" t="s">
        <v>6167</v>
      </c>
      <c r="T12" s="1" t="s">
        <v>6095</v>
      </c>
      <c r="U12" s="1" t="s">
        <v>6096</v>
      </c>
      <c r="V12" s="1" t="s">
        <v>6168</v>
      </c>
      <c r="W12" s="1" t="s">
        <v>6098</v>
      </c>
    </row>
    <row r="13" spans="1:23" ht="48" customHeight="1">
      <c r="A13" s="1" t="s">
        <v>4687</v>
      </c>
      <c r="B13" s="1" t="s">
        <v>6169</v>
      </c>
      <c r="C13" s="1" t="s">
        <v>6170</v>
      </c>
      <c r="D13" s="1" t="s">
        <v>6171</v>
      </c>
      <c r="E13" s="1" t="s">
        <v>6172</v>
      </c>
      <c r="F13" s="1" t="s">
        <v>6163</v>
      </c>
      <c r="G13" s="1" t="s">
        <v>6088</v>
      </c>
      <c r="H13" s="1" t="s">
        <v>6089</v>
      </c>
      <c r="I13" s="1"/>
      <c r="J13" s="1"/>
      <c r="K13" s="1" t="s">
        <v>6090</v>
      </c>
      <c r="L13" s="1" t="s">
        <v>6173</v>
      </c>
      <c r="M13" s="1" t="s">
        <v>6174</v>
      </c>
      <c r="N13" s="1"/>
      <c r="O13" s="1"/>
      <c r="P13" s="1"/>
      <c r="Q13" s="1"/>
      <c r="R13" s="1" t="s">
        <v>6175</v>
      </c>
      <c r="S13" s="1" t="s">
        <v>6167</v>
      </c>
      <c r="T13" s="1" t="s">
        <v>6095</v>
      </c>
      <c r="U13" s="1" t="s">
        <v>6096</v>
      </c>
      <c r="V13" s="1" t="s">
        <v>6168</v>
      </c>
      <c r="W13" s="1" t="s">
        <v>6098</v>
      </c>
    </row>
    <row r="14" spans="1:23" ht="96" customHeight="1">
      <c r="A14" s="1" t="s">
        <v>4687</v>
      </c>
      <c r="B14" s="1" t="s">
        <v>6176</v>
      </c>
      <c r="C14" s="1" t="s">
        <v>6177</v>
      </c>
      <c r="D14" s="1" t="s">
        <v>6178</v>
      </c>
      <c r="E14" s="1" t="s">
        <v>6179</v>
      </c>
      <c r="F14" s="1" t="s">
        <v>6138</v>
      </c>
      <c r="G14" s="1" t="s">
        <v>6088</v>
      </c>
      <c r="H14" s="1" t="s">
        <v>6089</v>
      </c>
      <c r="I14" s="1"/>
      <c r="J14" s="1"/>
      <c r="K14" s="1" t="s">
        <v>6090</v>
      </c>
      <c r="L14" s="1" t="s">
        <v>6180</v>
      </c>
      <c r="M14" s="1" t="s">
        <v>6181</v>
      </c>
      <c r="N14" s="1"/>
      <c r="O14" s="1"/>
      <c r="P14" s="1"/>
      <c r="Q14" s="1"/>
      <c r="R14" s="1" t="s">
        <v>6182</v>
      </c>
      <c r="S14" s="1" t="s">
        <v>6183</v>
      </c>
      <c r="T14" s="1" t="s">
        <v>6095</v>
      </c>
      <c r="U14" s="1" t="s">
        <v>6096</v>
      </c>
      <c r="V14" s="1" t="s">
        <v>6184</v>
      </c>
      <c r="W14" s="1" t="s">
        <v>6098</v>
      </c>
    </row>
    <row r="15" spans="1:23" ht="48" customHeight="1">
      <c r="A15" s="1" t="s">
        <v>4687</v>
      </c>
      <c r="B15" s="1" t="s">
        <v>6185</v>
      </c>
      <c r="C15" s="1" t="s">
        <v>4747</v>
      </c>
      <c r="D15" s="1" t="s">
        <v>4747</v>
      </c>
      <c r="E15" s="1" t="s">
        <v>4747</v>
      </c>
      <c r="F15" s="1" t="s">
        <v>6186</v>
      </c>
      <c r="G15" s="1" t="s">
        <v>6088</v>
      </c>
      <c r="H15" s="1" t="s">
        <v>6089</v>
      </c>
      <c r="I15" s="1"/>
      <c r="J15" s="1"/>
      <c r="K15" s="1" t="s">
        <v>6090</v>
      </c>
      <c r="L15" s="1" t="s">
        <v>6187</v>
      </c>
      <c r="M15" s="1" t="s">
        <v>6188</v>
      </c>
      <c r="N15" s="1"/>
      <c r="O15" s="1"/>
      <c r="P15" s="1"/>
      <c r="Q15" s="1"/>
      <c r="R15" s="1"/>
      <c r="S15" s="1"/>
      <c r="T15" s="1"/>
      <c r="U15" s="1"/>
      <c r="V15" s="1"/>
      <c r="W15" s="1"/>
    </row>
    <row r="16" spans="1:23" ht="96" customHeight="1">
      <c r="A16" s="1" t="s">
        <v>4687</v>
      </c>
      <c r="B16" s="1" t="s">
        <v>6189</v>
      </c>
      <c r="C16" s="1" t="s">
        <v>6190</v>
      </c>
      <c r="D16" s="1" t="s">
        <v>4747</v>
      </c>
      <c r="E16" s="1" t="s">
        <v>6191</v>
      </c>
      <c r="F16" s="1" t="s">
        <v>6138</v>
      </c>
      <c r="G16" s="1" t="s">
        <v>6088</v>
      </c>
      <c r="H16" s="1" t="s">
        <v>6089</v>
      </c>
      <c r="I16" s="1"/>
      <c r="J16" s="1"/>
      <c r="K16" s="1" t="s">
        <v>6090</v>
      </c>
      <c r="L16" s="1" t="s">
        <v>6192</v>
      </c>
      <c r="M16" s="1" t="s">
        <v>6193</v>
      </c>
      <c r="N16" s="1"/>
      <c r="O16" s="1"/>
      <c r="P16" s="1"/>
      <c r="Q16" s="1"/>
      <c r="R16" s="1" t="s">
        <v>6194</v>
      </c>
      <c r="S16" s="1" t="s">
        <v>6195</v>
      </c>
      <c r="T16" s="1" t="s">
        <v>6095</v>
      </c>
      <c r="U16" s="1" t="s">
        <v>6096</v>
      </c>
      <c r="V16" s="1" t="s">
        <v>6184</v>
      </c>
      <c r="W16" s="1" t="s">
        <v>6098</v>
      </c>
    </row>
    <row r="17" spans="1:23" ht="48" customHeight="1">
      <c r="A17" s="1" t="s">
        <v>4687</v>
      </c>
      <c r="B17" s="1" t="s">
        <v>6196</v>
      </c>
      <c r="C17" s="1" t="s">
        <v>6197</v>
      </c>
      <c r="D17" s="1" t="s">
        <v>4747</v>
      </c>
      <c r="E17" s="1"/>
      <c r="F17" s="1" t="s">
        <v>6110</v>
      </c>
      <c r="G17" s="1" t="s">
        <v>6088</v>
      </c>
      <c r="H17" s="1" t="s">
        <v>6089</v>
      </c>
      <c r="I17" s="1"/>
      <c r="J17" s="1"/>
      <c r="K17" s="1" t="s">
        <v>6090</v>
      </c>
      <c r="L17" s="1" t="s">
        <v>6198</v>
      </c>
      <c r="M17" s="1" t="s">
        <v>6199</v>
      </c>
      <c r="N17" s="1"/>
      <c r="O17" s="1"/>
      <c r="P17" s="1"/>
      <c r="Q17" s="1"/>
      <c r="R17" s="1"/>
      <c r="S17" s="1"/>
      <c r="T17" s="1"/>
      <c r="U17" s="1"/>
      <c r="V17" s="1"/>
      <c r="W17" s="1"/>
    </row>
    <row r="18" spans="1:23" ht="48" customHeight="1">
      <c r="A18" s="1" t="s">
        <v>4687</v>
      </c>
      <c r="B18" s="1" t="s">
        <v>6200</v>
      </c>
      <c r="C18" s="1" t="s">
        <v>6201</v>
      </c>
      <c r="D18" s="1" t="s">
        <v>6202</v>
      </c>
      <c r="E18" s="1" t="s">
        <v>6203</v>
      </c>
      <c r="F18" s="1" t="s">
        <v>6163</v>
      </c>
      <c r="G18" s="1" t="s">
        <v>6088</v>
      </c>
      <c r="H18" s="1" t="s">
        <v>6089</v>
      </c>
      <c r="I18" s="1"/>
      <c r="J18" s="1"/>
      <c r="K18" s="1" t="s">
        <v>6090</v>
      </c>
      <c r="L18" s="1" t="s">
        <v>6204</v>
      </c>
      <c r="M18" s="1" t="s">
        <v>6205</v>
      </c>
      <c r="N18" s="1"/>
      <c r="O18" s="1"/>
      <c r="P18" s="1"/>
      <c r="Q18" s="1"/>
      <c r="R18" s="1" t="s">
        <v>6206</v>
      </c>
      <c r="S18" s="1" t="s">
        <v>6167</v>
      </c>
      <c r="T18" s="1" t="s">
        <v>6095</v>
      </c>
      <c r="U18" s="1" t="s">
        <v>6096</v>
      </c>
      <c r="V18" s="1" t="s">
        <v>6168</v>
      </c>
      <c r="W18" s="1" t="s">
        <v>6098</v>
      </c>
    </row>
    <row r="19" spans="1:23" ht="48" customHeight="1">
      <c r="A19" s="1" t="s">
        <v>4687</v>
      </c>
      <c r="B19" s="1" t="s">
        <v>5583</v>
      </c>
      <c r="C19" s="1" t="s">
        <v>4747</v>
      </c>
      <c r="D19" s="1" t="s">
        <v>4747</v>
      </c>
      <c r="E19" s="1" t="s">
        <v>4747</v>
      </c>
      <c r="F19" s="1" t="s">
        <v>6186</v>
      </c>
      <c r="G19" s="1" t="s">
        <v>6088</v>
      </c>
      <c r="H19" s="1" t="s">
        <v>6089</v>
      </c>
      <c r="I19" s="1"/>
      <c r="J19" s="1"/>
      <c r="K19" s="1" t="s">
        <v>6090</v>
      </c>
      <c r="L19" s="1" t="s">
        <v>6207</v>
      </c>
      <c r="M19" s="1" t="s">
        <v>6208</v>
      </c>
      <c r="N19" s="1"/>
      <c r="O19" s="1"/>
      <c r="P19" s="1"/>
      <c r="Q19" s="1"/>
      <c r="R19" s="1"/>
      <c r="S19" s="1"/>
      <c r="T19" s="1"/>
      <c r="U19" s="1"/>
      <c r="V19" s="1"/>
      <c r="W19" s="1"/>
    </row>
    <row r="20" spans="1:23" ht="48" customHeight="1">
      <c r="A20" s="1" t="s">
        <v>4687</v>
      </c>
      <c r="B20" s="1" t="s">
        <v>6209</v>
      </c>
      <c r="C20" s="1" t="s">
        <v>4747</v>
      </c>
      <c r="D20" s="1" t="s">
        <v>4747</v>
      </c>
      <c r="E20" s="1" t="s">
        <v>4747</v>
      </c>
      <c r="F20" s="1" t="s">
        <v>6186</v>
      </c>
      <c r="G20" s="1" t="s">
        <v>6088</v>
      </c>
      <c r="H20" s="1" t="s">
        <v>6089</v>
      </c>
      <c r="I20" s="1"/>
      <c r="J20" s="1"/>
      <c r="K20" s="1" t="s">
        <v>6090</v>
      </c>
      <c r="L20" s="1" t="s">
        <v>6210</v>
      </c>
      <c r="M20" s="1" t="s">
        <v>6211</v>
      </c>
      <c r="N20" s="1"/>
      <c r="O20" s="1"/>
      <c r="P20" s="1"/>
      <c r="Q20" s="1"/>
      <c r="R20" s="1"/>
      <c r="S20" s="1"/>
      <c r="T20" s="1"/>
      <c r="U20" s="1"/>
      <c r="V20" s="1"/>
      <c r="W20" s="1"/>
    </row>
    <row r="21" spans="1:23" ht="48" customHeight="1">
      <c r="A21" s="1" t="s">
        <v>4687</v>
      </c>
      <c r="B21" s="1" t="s">
        <v>6212</v>
      </c>
      <c r="C21" s="1" t="s">
        <v>4747</v>
      </c>
      <c r="D21" s="1" t="s">
        <v>4747</v>
      </c>
      <c r="E21" s="1" t="s">
        <v>4747</v>
      </c>
      <c r="F21" s="1" t="s">
        <v>6186</v>
      </c>
      <c r="G21" s="1" t="s">
        <v>6088</v>
      </c>
      <c r="H21" s="1" t="s">
        <v>6089</v>
      </c>
      <c r="I21" s="1"/>
      <c r="J21" s="1"/>
      <c r="K21" s="1" t="s">
        <v>6090</v>
      </c>
      <c r="L21" s="1" t="s">
        <v>6213</v>
      </c>
      <c r="M21" s="1" t="s">
        <v>6214</v>
      </c>
      <c r="N21" s="1"/>
      <c r="O21" s="1"/>
      <c r="P21" s="1"/>
      <c r="Q21" s="1"/>
      <c r="R21" s="1"/>
      <c r="S21" s="1"/>
      <c r="T21" s="1"/>
      <c r="U21" s="1"/>
      <c r="V21" s="1"/>
      <c r="W21" s="1"/>
    </row>
    <row r="22" spans="1:23" ht="48" customHeight="1">
      <c r="A22" s="1" t="s">
        <v>4687</v>
      </c>
      <c r="B22" s="1" t="s">
        <v>6215</v>
      </c>
      <c r="C22" s="1"/>
      <c r="D22" s="1" t="s">
        <v>4747</v>
      </c>
      <c r="E22" s="1"/>
      <c r="F22" s="1" t="s">
        <v>6216</v>
      </c>
      <c r="G22" s="1"/>
      <c r="H22" s="1" t="s">
        <v>6089</v>
      </c>
      <c r="I22" s="1"/>
      <c r="J22" s="1"/>
      <c r="K22" s="1" t="s">
        <v>6090</v>
      </c>
      <c r="L22" s="1"/>
      <c r="M22" s="1" t="s">
        <v>6217</v>
      </c>
      <c r="N22" s="1"/>
      <c r="O22" s="1"/>
      <c r="P22" s="1"/>
      <c r="Q22" s="1"/>
      <c r="R22" s="1"/>
      <c r="S22" s="1"/>
      <c r="T22" s="1"/>
      <c r="U22" s="1"/>
      <c r="V22" s="1"/>
      <c r="W22" s="1"/>
    </row>
    <row r="23" spans="1:23" ht="48" customHeight="1">
      <c r="A23" s="1" t="s">
        <v>4687</v>
      </c>
      <c r="B23" s="1" t="s">
        <v>6218</v>
      </c>
      <c r="C23" s="1" t="s">
        <v>6219</v>
      </c>
      <c r="D23" s="1" t="s">
        <v>4747</v>
      </c>
      <c r="E23" s="1"/>
      <c r="F23" s="1" t="s">
        <v>6110</v>
      </c>
      <c r="G23" s="1" t="s">
        <v>6088</v>
      </c>
      <c r="H23" s="1" t="s">
        <v>6089</v>
      </c>
      <c r="I23" s="1"/>
      <c r="J23" s="1"/>
      <c r="K23" s="1" t="s">
        <v>6090</v>
      </c>
      <c r="L23" s="1" t="s">
        <v>6220</v>
      </c>
      <c r="M23" s="1" t="s">
        <v>6221</v>
      </c>
      <c r="N23" s="1"/>
      <c r="O23" s="1"/>
      <c r="P23" s="1"/>
      <c r="Q23" s="1"/>
      <c r="R23" s="1"/>
      <c r="S23" s="1"/>
      <c r="T23" s="1"/>
      <c r="U23" s="1"/>
      <c r="V23" s="1"/>
      <c r="W23" s="1"/>
    </row>
    <row r="24" spans="1:23" ht="48" customHeight="1">
      <c r="A24" s="1" t="s">
        <v>4687</v>
      </c>
      <c r="B24" s="1" t="s">
        <v>6222</v>
      </c>
      <c r="C24" s="1" t="s">
        <v>6223</v>
      </c>
      <c r="D24" s="1" t="s">
        <v>6224</v>
      </c>
      <c r="E24" s="1"/>
      <c r="F24" s="1" t="s">
        <v>6110</v>
      </c>
      <c r="G24" s="1" t="s">
        <v>6088</v>
      </c>
      <c r="H24" s="1" t="s">
        <v>6089</v>
      </c>
      <c r="I24" s="1"/>
      <c r="J24" s="1"/>
      <c r="K24" s="1" t="s">
        <v>6090</v>
      </c>
      <c r="L24" s="1" t="s">
        <v>6225</v>
      </c>
      <c r="M24" s="1" t="s">
        <v>6226</v>
      </c>
      <c r="N24" s="1"/>
      <c r="O24" s="1"/>
      <c r="P24" s="1"/>
      <c r="Q24" s="1"/>
      <c r="R24" s="1"/>
      <c r="S24" s="1"/>
      <c r="T24" s="1"/>
      <c r="U24" s="1"/>
      <c r="V24" s="1"/>
      <c r="W24" s="1"/>
    </row>
    <row r="25" spans="1:23" ht="48" customHeight="1">
      <c r="A25" s="1" t="s">
        <v>4687</v>
      </c>
      <c r="B25" s="1" t="s">
        <v>6227</v>
      </c>
      <c r="C25" s="1" t="s">
        <v>6228</v>
      </c>
      <c r="D25" s="1" t="s">
        <v>6229</v>
      </c>
      <c r="E25" s="1"/>
      <c r="F25" s="1" t="s">
        <v>6110</v>
      </c>
      <c r="G25" s="1" t="s">
        <v>6088</v>
      </c>
      <c r="H25" s="1" t="s">
        <v>6089</v>
      </c>
      <c r="I25" s="1"/>
      <c r="J25" s="1"/>
      <c r="K25" s="1" t="s">
        <v>6090</v>
      </c>
      <c r="L25" s="1" t="s">
        <v>6230</v>
      </c>
      <c r="M25" s="1" t="s">
        <v>6231</v>
      </c>
      <c r="N25" s="1"/>
      <c r="O25" s="1"/>
      <c r="P25" s="1"/>
      <c r="Q25" s="1"/>
      <c r="R25" s="1"/>
      <c r="S25" s="1"/>
      <c r="T25" s="1"/>
      <c r="U25" s="1"/>
      <c r="V25" s="1"/>
      <c r="W25" s="1"/>
    </row>
    <row r="26" spans="1:23" ht="48" customHeight="1">
      <c r="A26" s="1" t="s">
        <v>4687</v>
      </c>
      <c r="B26" s="1" t="s">
        <v>6232</v>
      </c>
      <c r="C26" s="1" t="s">
        <v>4747</v>
      </c>
      <c r="D26" s="1" t="s">
        <v>6233</v>
      </c>
      <c r="E26" s="1"/>
      <c r="F26" s="1" t="s">
        <v>6110</v>
      </c>
      <c r="G26" s="1" t="s">
        <v>6088</v>
      </c>
      <c r="H26" s="1" t="s">
        <v>6089</v>
      </c>
      <c r="I26" s="1"/>
      <c r="J26" s="1"/>
      <c r="K26" s="1" t="s">
        <v>6090</v>
      </c>
      <c r="L26" s="1" t="s">
        <v>6234</v>
      </c>
      <c r="M26" s="1" t="s">
        <v>6235</v>
      </c>
      <c r="N26" s="1"/>
      <c r="O26" s="1"/>
      <c r="P26" s="1"/>
      <c r="Q26" s="1"/>
      <c r="R26" s="1"/>
      <c r="S26" s="1"/>
      <c r="T26" s="1"/>
      <c r="U26" s="1"/>
      <c r="V26" s="1"/>
      <c r="W26" s="1"/>
    </row>
    <row r="27" spans="1:23" ht="48" customHeight="1">
      <c r="A27" s="1" t="s">
        <v>4687</v>
      </c>
      <c r="B27" s="1" t="s">
        <v>6236</v>
      </c>
      <c r="C27" s="1" t="s">
        <v>6237</v>
      </c>
      <c r="D27" s="1" t="s">
        <v>6238</v>
      </c>
      <c r="E27" s="1" t="s">
        <v>6239</v>
      </c>
      <c r="F27" s="1" t="s">
        <v>6163</v>
      </c>
      <c r="G27" s="1" t="s">
        <v>6088</v>
      </c>
      <c r="H27" s="1" t="s">
        <v>6089</v>
      </c>
      <c r="I27" s="1"/>
      <c r="J27" s="1"/>
      <c r="K27" s="1" t="s">
        <v>6090</v>
      </c>
      <c r="L27" s="1" t="s">
        <v>6240</v>
      </c>
      <c r="M27" s="1" t="s">
        <v>6241</v>
      </c>
      <c r="N27" s="1"/>
      <c r="O27" s="1"/>
      <c r="P27" s="1"/>
      <c r="Q27" s="1"/>
      <c r="R27" s="1" t="s">
        <v>6242</v>
      </c>
      <c r="S27" s="1" t="s">
        <v>6243</v>
      </c>
      <c r="T27" s="1" t="s">
        <v>6095</v>
      </c>
      <c r="U27" s="1" t="s">
        <v>6096</v>
      </c>
      <c r="V27" s="1" t="s">
        <v>6244</v>
      </c>
      <c r="W27" s="1" t="s">
        <v>6098</v>
      </c>
    </row>
    <row r="28" spans="1:23" ht="48" customHeight="1">
      <c r="A28" s="1" t="s">
        <v>4687</v>
      </c>
      <c r="B28" s="1" t="s">
        <v>6245</v>
      </c>
      <c r="C28" s="1" t="s">
        <v>6246</v>
      </c>
      <c r="D28" s="1"/>
      <c r="E28" s="1"/>
      <c r="F28" s="1" t="s">
        <v>6216</v>
      </c>
      <c r="G28" s="1" t="s">
        <v>6088</v>
      </c>
      <c r="H28" s="1"/>
      <c r="I28" s="1"/>
      <c r="J28" s="1"/>
      <c r="K28" s="1" t="s">
        <v>6090</v>
      </c>
      <c r="L28" s="1" t="s">
        <v>6247</v>
      </c>
      <c r="M28" s="1"/>
      <c r="N28" s="1"/>
      <c r="O28" s="1"/>
      <c r="P28" s="1"/>
      <c r="Q28" s="1"/>
      <c r="R28" s="1"/>
      <c r="S28" s="1"/>
      <c r="T28" s="1"/>
      <c r="U28" s="1"/>
      <c r="V28" s="1"/>
      <c r="W28" s="1"/>
    </row>
    <row r="29" spans="1:23" ht="48" customHeight="1">
      <c r="A29" s="1" t="s">
        <v>4687</v>
      </c>
      <c r="B29" s="1" t="s">
        <v>6248</v>
      </c>
      <c r="C29" s="1" t="s">
        <v>6249</v>
      </c>
      <c r="D29" s="1"/>
      <c r="E29" s="1"/>
      <c r="F29" s="1" t="s">
        <v>6216</v>
      </c>
      <c r="G29" s="1" t="s">
        <v>6088</v>
      </c>
      <c r="H29" s="1"/>
      <c r="I29" s="1"/>
      <c r="J29" s="1"/>
      <c r="K29" s="1" t="s">
        <v>6090</v>
      </c>
      <c r="L29" s="1" t="s">
        <v>6250</v>
      </c>
      <c r="M29" s="1"/>
      <c r="N29" s="1"/>
      <c r="O29" s="1"/>
      <c r="P29" s="1"/>
      <c r="Q29" s="1"/>
      <c r="R29" s="1"/>
      <c r="S29" s="1"/>
      <c r="T29" s="1"/>
      <c r="U29" s="1"/>
      <c r="V29" s="1"/>
      <c r="W29" s="1"/>
    </row>
    <row r="30" spans="1:23" ht="48" customHeight="1">
      <c r="A30" s="1" t="s">
        <v>4701</v>
      </c>
      <c r="B30" s="1" t="s">
        <v>6083</v>
      </c>
      <c r="C30" s="1" t="s">
        <v>6251</v>
      </c>
      <c r="D30" s="1" t="s">
        <v>6252</v>
      </c>
      <c r="E30" s="1" t="s">
        <v>6086</v>
      </c>
      <c r="F30" s="1" t="s">
        <v>6087</v>
      </c>
      <c r="G30" s="1" t="s">
        <v>6253</v>
      </c>
      <c r="H30" s="1" t="s">
        <v>6089</v>
      </c>
      <c r="I30" s="1"/>
      <c r="J30" s="1"/>
      <c r="K30" s="1" t="s">
        <v>6090</v>
      </c>
      <c r="L30" s="1" t="s">
        <v>6254</v>
      </c>
      <c r="M30" s="1" t="s">
        <v>6255</v>
      </c>
      <c r="N30" s="1"/>
      <c r="O30" s="1"/>
      <c r="P30" s="1"/>
      <c r="Q30" s="1"/>
      <c r="R30" s="1" t="s">
        <v>6256</v>
      </c>
      <c r="S30" s="1" t="s">
        <v>6257</v>
      </c>
      <c r="T30" s="1" t="s">
        <v>6258</v>
      </c>
      <c r="U30" s="1" t="s">
        <v>6096</v>
      </c>
      <c r="V30" s="1" t="s">
        <v>6097</v>
      </c>
      <c r="W30" s="1" t="s">
        <v>6259</v>
      </c>
    </row>
    <row r="31" spans="1:23" ht="48" customHeight="1">
      <c r="A31" s="1" t="s">
        <v>4701</v>
      </c>
      <c r="B31" s="1" t="s">
        <v>6099</v>
      </c>
      <c r="C31" s="1" t="s">
        <v>6260</v>
      </c>
      <c r="D31" s="1" t="s">
        <v>6102</v>
      </c>
      <c r="E31" s="1" t="s">
        <v>6102</v>
      </c>
      <c r="F31" s="1" t="s">
        <v>6087</v>
      </c>
      <c r="G31" s="1" t="s">
        <v>6253</v>
      </c>
      <c r="H31" s="1" t="s">
        <v>6089</v>
      </c>
      <c r="I31" s="1"/>
      <c r="J31" s="1"/>
      <c r="K31" s="1" t="s">
        <v>6090</v>
      </c>
      <c r="L31" s="1" t="s">
        <v>6261</v>
      </c>
      <c r="M31" s="1" t="s">
        <v>6262</v>
      </c>
      <c r="N31" s="1"/>
      <c r="O31" s="1"/>
      <c r="P31" s="1"/>
      <c r="Q31" s="1"/>
      <c r="R31" s="1" t="s">
        <v>6263</v>
      </c>
      <c r="S31" s="1" t="s">
        <v>6264</v>
      </c>
      <c r="T31" s="1" t="s">
        <v>6258</v>
      </c>
      <c r="U31" s="1" t="s">
        <v>6096</v>
      </c>
      <c r="V31" s="1" t="s">
        <v>6097</v>
      </c>
      <c r="W31" s="1" t="s">
        <v>6259</v>
      </c>
    </row>
    <row r="32" spans="1:23" ht="48" customHeight="1">
      <c r="A32" s="1" t="s">
        <v>4701</v>
      </c>
      <c r="B32" s="1" t="s">
        <v>6107</v>
      </c>
      <c r="C32" s="1" t="s">
        <v>6265</v>
      </c>
      <c r="D32" s="1" t="s">
        <v>6266</v>
      </c>
      <c r="E32" s="1"/>
      <c r="F32" s="1" t="s">
        <v>6110</v>
      </c>
      <c r="G32" s="1" t="s">
        <v>6253</v>
      </c>
      <c r="H32" s="1" t="s">
        <v>6089</v>
      </c>
      <c r="I32" s="1"/>
      <c r="J32" s="1"/>
      <c r="K32" s="1" t="s">
        <v>6090</v>
      </c>
      <c r="L32" s="1" t="s">
        <v>6267</v>
      </c>
      <c r="M32" s="1" t="s">
        <v>6268</v>
      </c>
      <c r="N32" s="1"/>
      <c r="O32" s="1"/>
      <c r="P32" s="1"/>
      <c r="Q32" s="1"/>
      <c r="R32" s="1"/>
      <c r="S32" s="1"/>
      <c r="T32" s="1"/>
      <c r="U32" s="1"/>
      <c r="V32" s="1"/>
      <c r="W32" s="1"/>
    </row>
    <row r="33" spans="1:23" ht="48" customHeight="1">
      <c r="A33" s="1" t="s">
        <v>4701</v>
      </c>
      <c r="B33" s="1" t="s">
        <v>6113</v>
      </c>
      <c r="C33" s="1" t="s">
        <v>6269</v>
      </c>
      <c r="D33" s="1" t="s">
        <v>6269</v>
      </c>
      <c r="E33" s="1" t="s">
        <v>6269</v>
      </c>
      <c r="F33" s="1" t="s">
        <v>6186</v>
      </c>
      <c r="G33" s="1" t="s">
        <v>6253</v>
      </c>
      <c r="H33" s="1" t="s">
        <v>6089</v>
      </c>
      <c r="I33" s="1"/>
      <c r="J33" s="1"/>
      <c r="K33" s="1" t="s">
        <v>6090</v>
      </c>
      <c r="L33" s="1" t="s">
        <v>6270</v>
      </c>
      <c r="M33" s="1" t="s">
        <v>6271</v>
      </c>
      <c r="N33" s="1"/>
      <c r="O33" s="1"/>
      <c r="P33" s="1"/>
      <c r="Q33" s="1"/>
      <c r="R33" s="1"/>
      <c r="S33" s="1"/>
      <c r="T33" s="1"/>
      <c r="U33" s="1"/>
      <c r="V33" s="1"/>
      <c r="W33" s="1"/>
    </row>
    <row r="34" spans="1:23" ht="48" customHeight="1">
      <c r="A34" s="1" t="s">
        <v>4701</v>
      </c>
      <c r="B34" s="1" t="s">
        <v>6118</v>
      </c>
      <c r="C34" s="1" t="s">
        <v>6272</v>
      </c>
      <c r="D34" s="1" t="s">
        <v>6273</v>
      </c>
      <c r="E34" s="1" t="s">
        <v>6274</v>
      </c>
      <c r="F34" s="1" t="s">
        <v>6087</v>
      </c>
      <c r="G34" s="1" t="s">
        <v>6253</v>
      </c>
      <c r="H34" s="1" t="s">
        <v>6089</v>
      </c>
      <c r="I34" s="1"/>
      <c r="J34" s="1"/>
      <c r="K34" s="1" t="s">
        <v>6090</v>
      </c>
      <c r="L34" s="1" t="s">
        <v>6275</v>
      </c>
      <c r="M34" s="1" t="s">
        <v>6276</v>
      </c>
      <c r="N34" s="1"/>
      <c r="O34" s="1"/>
      <c r="P34" s="1"/>
      <c r="Q34" s="1"/>
      <c r="R34" s="1" t="s">
        <v>6277</v>
      </c>
      <c r="S34" s="1" t="s">
        <v>6278</v>
      </c>
      <c r="T34" s="1" t="s">
        <v>6258</v>
      </c>
      <c r="U34" s="1" t="s">
        <v>6096</v>
      </c>
      <c r="V34" s="1" t="s">
        <v>6097</v>
      </c>
      <c r="W34" s="1" t="s">
        <v>6259</v>
      </c>
    </row>
    <row r="35" spans="1:23" ht="48" customHeight="1">
      <c r="A35" s="1" t="s">
        <v>4701</v>
      </c>
      <c r="B35" s="1" t="s">
        <v>6126</v>
      </c>
      <c r="C35" s="1" t="s">
        <v>6279</v>
      </c>
      <c r="D35" s="1" t="s">
        <v>6280</v>
      </c>
      <c r="E35" s="1" t="s">
        <v>6281</v>
      </c>
      <c r="F35" s="1" t="s">
        <v>6087</v>
      </c>
      <c r="G35" s="1" t="s">
        <v>6253</v>
      </c>
      <c r="H35" s="1" t="s">
        <v>6089</v>
      </c>
      <c r="I35" s="1"/>
      <c r="J35" s="1"/>
      <c r="K35" s="1" t="s">
        <v>6090</v>
      </c>
      <c r="L35" s="1" t="s">
        <v>6282</v>
      </c>
      <c r="M35" s="1" t="s">
        <v>6283</v>
      </c>
      <c r="N35" s="1"/>
      <c r="O35" s="1"/>
      <c r="P35" s="1"/>
      <c r="Q35" s="1"/>
      <c r="R35" s="1" t="s">
        <v>6284</v>
      </c>
      <c r="S35" s="1" t="s">
        <v>6285</v>
      </c>
      <c r="T35" s="1" t="s">
        <v>6258</v>
      </c>
      <c r="U35" s="1" t="s">
        <v>6096</v>
      </c>
      <c r="V35" s="1" t="s">
        <v>6097</v>
      </c>
      <c r="W35" s="1" t="s">
        <v>6259</v>
      </c>
    </row>
    <row r="36" spans="1:23" ht="60" customHeight="1">
      <c r="A36" s="1" t="s">
        <v>4701</v>
      </c>
      <c r="B36" s="1" t="s">
        <v>6134</v>
      </c>
      <c r="C36" s="1" t="s">
        <v>6286</v>
      </c>
      <c r="D36" s="1" t="s">
        <v>6287</v>
      </c>
      <c r="E36" s="1" t="s">
        <v>6288</v>
      </c>
      <c r="F36" s="1" t="s">
        <v>6138</v>
      </c>
      <c r="G36" s="1" t="s">
        <v>6253</v>
      </c>
      <c r="H36" s="1" t="s">
        <v>6089</v>
      </c>
      <c r="I36" s="1" t="s">
        <v>4719</v>
      </c>
      <c r="J36" s="1" t="s">
        <v>4718</v>
      </c>
      <c r="K36" s="1" t="s">
        <v>6289</v>
      </c>
      <c r="L36" s="1" t="s">
        <v>6290</v>
      </c>
      <c r="M36" s="1" t="s">
        <v>6291</v>
      </c>
      <c r="N36" s="1" t="s">
        <v>6292</v>
      </c>
      <c r="O36" s="1"/>
      <c r="P36" s="1"/>
      <c r="Q36" s="1"/>
      <c r="R36" s="1" t="s">
        <v>6293</v>
      </c>
      <c r="S36" s="1" t="s">
        <v>6294</v>
      </c>
      <c r="T36" s="1" t="s">
        <v>6258</v>
      </c>
      <c r="U36" s="1" t="s">
        <v>6096</v>
      </c>
      <c r="V36" s="1" t="s">
        <v>6295</v>
      </c>
      <c r="W36" s="1" t="s">
        <v>6259</v>
      </c>
    </row>
    <row r="37" spans="1:23" ht="60" customHeight="1">
      <c r="A37" s="1" t="s">
        <v>4701</v>
      </c>
      <c r="B37" s="1" t="s">
        <v>6144</v>
      </c>
      <c r="C37" s="1" t="s">
        <v>6296</v>
      </c>
      <c r="D37" s="1" t="s">
        <v>4747</v>
      </c>
      <c r="E37" s="1" t="s">
        <v>6297</v>
      </c>
      <c r="F37" s="1" t="s">
        <v>6138</v>
      </c>
      <c r="G37" s="1" t="s">
        <v>6253</v>
      </c>
      <c r="H37" s="1" t="s">
        <v>6089</v>
      </c>
      <c r="I37" s="1"/>
      <c r="J37" s="1"/>
      <c r="K37" s="1" t="s">
        <v>6090</v>
      </c>
      <c r="L37" s="1" t="s">
        <v>6298</v>
      </c>
      <c r="M37" s="1" t="s">
        <v>6299</v>
      </c>
      <c r="N37" s="1"/>
      <c r="O37" s="1"/>
      <c r="P37" s="1"/>
      <c r="Q37" s="1"/>
      <c r="R37" s="1" t="s">
        <v>6300</v>
      </c>
      <c r="S37" s="1" t="s">
        <v>6301</v>
      </c>
      <c r="T37" s="1" t="s">
        <v>6258</v>
      </c>
      <c r="U37" s="1" t="s">
        <v>6096</v>
      </c>
      <c r="V37" s="1" t="s">
        <v>6295</v>
      </c>
      <c r="W37" s="1" t="s">
        <v>6259</v>
      </c>
    </row>
    <row r="38" spans="1:23" ht="60" customHeight="1">
      <c r="A38" s="1" t="s">
        <v>4701</v>
      </c>
      <c r="B38" s="1" t="s">
        <v>6149</v>
      </c>
      <c r="C38" s="1" t="s">
        <v>5677</v>
      </c>
      <c r="D38" s="1" t="s">
        <v>4747</v>
      </c>
      <c r="E38" s="1" t="s">
        <v>6302</v>
      </c>
      <c r="F38" s="1" t="s">
        <v>6138</v>
      </c>
      <c r="G38" s="1" t="s">
        <v>6253</v>
      </c>
      <c r="H38" s="1" t="s">
        <v>6089</v>
      </c>
      <c r="I38" s="1"/>
      <c r="J38" s="1"/>
      <c r="K38" s="1" t="s">
        <v>6090</v>
      </c>
      <c r="L38" s="1" t="s">
        <v>6303</v>
      </c>
      <c r="M38" s="1" t="s">
        <v>6304</v>
      </c>
      <c r="N38" s="1"/>
      <c r="O38" s="1"/>
      <c r="P38" s="1"/>
      <c r="Q38" s="1"/>
      <c r="R38" s="1" t="s">
        <v>6305</v>
      </c>
      <c r="S38" s="1" t="s">
        <v>6306</v>
      </c>
      <c r="T38" s="1" t="s">
        <v>6258</v>
      </c>
      <c r="U38" s="1" t="s">
        <v>6096</v>
      </c>
      <c r="V38" s="1" t="s">
        <v>6295</v>
      </c>
      <c r="W38" s="1" t="s">
        <v>6259</v>
      </c>
    </row>
    <row r="39" spans="1:23" ht="60" customHeight="1">
      <c r="A39" s="1" t="s">
        <v>4701</v>
      </c>
      <c r="B39" s="1" t="s">
        <v>6154</v>
      </c>
      <c r="C39" s="1" t="s">
        <v>6307</v>
      </c>
      <c r="D39" s="1" t="s">
        <v>6308</v>
      </c>
      <c r="E39" s="1" t="s">
        <v>6309</v>
      </c>
      <c r="F39" s="1" t="s">
        <v>6138</v>
      </c>
      <c r="G39" s="1" t="s">
        <v>6253</v>
      </c>
      <c r="H39" s="1" t="s">
        <v>6089</v>
      </c>
      <c r="I39" s="1"/>
      <c r="J39" s="1"/>
      <c r="K39" s="1" t="s">
        <v>6090</v>
      </c>
      <c r="L39" s="1" t="s">
        <v>6310</v>
      </c>
      <c r="M39" s="1" t="s">
        <v>6311</v>
      </c>
      <c r="N39" s="1"/>
      <c r="O39" s="1"/>
      <c r="P39" s="1"/>
      <c r="Q39" s="1"/>
      <c r="R39" s="1" t="s">
        <v>6312</v>
      </c>
      <c r="S39" s="1" t="s">
        <v>6294</v>
      </c>
      <c r="T39" s="1" t="s">
        <v>6258</v>
      </c>
      <c r="U39" s="1" t="s">
        <v>6096</v>
      </c>
      <c r="V39" s="1" t="s">
        <v>6295</v>
      </c>
      <c r="W39" s="1" t="s">
        <v>6259</v>
      </c>
    </row>
    <row r="40" spans="1:23" ht="48" customHeight="1">
      <c r="A40" s="1" t="s">
        <v>4701</v>
      </c>
      <c r="B40" s="1" t="s">
        <v>6159</v>
      </c>
      <c r="C40" s="1" t="s">
        <v>6313</v>
      </c>
      <c r="D40" s="1" t="s">
        <v>6314</v>
      </c>
      <c r="E40" s="1" t="s">
        <v>6315</v>
      </c>
      <c r="F40" s="1" t="s">
        <v>6163</v>
      </c>
      <c r="G40" s="1" t="s">
        <v>6253</v>
      </c>
      <c r="H40" s="1" t="s">
        <v>6089</v>
      </c>
      <c r="I40" s="1"/>
      <c r="J40" s="1"/>
      <c r="K40" s="1" t="s">
        <v>6090</v>
      </c>
      <c r="L40" s="1" t="s">
        <v>6316</v>
      </c>
      <c r="M40" s="1" t="s">
        <v>6317</v>
      </c>
      <c r="N40" s="1"/>
      <c r="O40" s="1"/>
      <c r="P40" s="1"/>
      <c r="Q40" s="1"/>
      <c r="R40" s="1" t="s">
        <v>6318</v>
      </c>
      <c r="S40" s="1" t="s">
        <v>6319</v>
      </c>
      <c r="T40" s="1" t="s">
        <v>6258</v>
      </c>
      <c r="U40" s="1" t="s">
        <v>6096</v>
      </c>
      <c r="V40" s="1" t="s">
        <v>6168</v>
      </c>
      <c r="W40" s="1" t="s">
        <v>6259</v>
      </c>
    </row>
    <row r="41" spans="1:23" ht="48" customHeight="1">
      <c r="A41" s="1" t="s">
        <v>4701</v>
      </c>
      <c r="B41" s="1" t="s">
        <v>6169</v>
      </c>
      <c r="C41" s="1" t="s">
        <v>6320</v>
      </c>
      <c r="D41" s="1" t="s">
        <v>6321</v>
      </c>
      <c r="E41" s="1" t="s">
        <v>6322</v>
      </c>
      <c r="F41" s="1" t="s">
        <v>6323</v>
      </c>
      <c r="G41" s="1" t="s">
        <v>6253</v>
      </c>
      <c r="H41" s="1" t="s">
        <v>6089</v>
      </c>
      <c r="I41" s="1"/>
      <c r="J41" s="1"/>
      <c r="K41" s="1" t="s">
        <v>6090</v>
      </c>
      <c r="L41" s="1" t="s">
        <v>6324</v>
      </c>
      <c r="M41" s="1" t="s">
        <v>6325</v>
      </c>
      <c r="N41" s="1"/>
      <c r="O41" s="1"/>
      <c r="P41" s="1"/>
      <c r="Q41" s="1"/>
      <c r="R41" s="1" t="s">
        <v>6326</v>
      </c>
      <c r="S41" s="1" t="s">
        <v>6327</v>
      </c>
      <c r="T41" s="1" t="s">
        <v>6258</v>
      </c>
      <c r="U41" s="1" t="s">
        <v>6096</v>
      </c>
      <c r="V41" s="1" t="s">
        <v>6168</v>
      </c>
      <c r="W41" s="1" t="s">
        <v>6259</v>
      </c>
    </row>
    <row r="42" spans="1:23" ht="96" customHeight="1">
      <c r="A42" s="1" t="s">
        <v>4701</v>
      </c>
      <c r="B42" s="1" t="s">
        <v>6176</v>
      </c>
      <c r="C42" s="1" t="s">
        <v>6328</v>
      </c>
      <c r="D42" s="1" t="s">
        <v>6329</v>
      </c>
      <c r="E42" s="1" t="s">
        <v>6330</v>
      </c>
      <c r="F42" s="1" t="s">
        <v>6138</v>
      </c>
      <c r="G42" s="1" t="s">
        <v>6253</v>
      </c>
      <c r="H42" s="1" t="s">
        <v>6089</v>
      </c>
      <c r="I42" s="1"/>
      <c r="J42" s="1"/>
      <c r="K42" s="1" t="s">
        <v>6090</v>
      </c>
      <c r="L42" s="1" t="s">
        <v>6331</v>
      </c>
      <c r="M42" s="1" t="s">
        <v>6332</v>
      </c>
      <c r="N42" s="1"/>
      <c r="O42" s="1"/>
      <c r="P42" s="1"/>
      <c r="Q42" s="1"/>
      <c r="R42" s="1" t="s">
        <v>6333</v>
      </c>
      <c r="S42" s="1" t="s">
        <v>6334</v>
      </c>
      <c r="T42" s="1" t="s">
        <v>6258</v>
      </c>
      <c r="U42" s="1" t="s">
        <v>6096</v>
      </c>
      <c r="V42" s="1" t="s">
        <v>6184</v>
      </c>
      <c r="W42" s="1" t="s">
        <v>6259</v>
      </c>
    </row>
    <row r="43" spans="1:23" ht="96" customHeight="1">
      <c r="A43" s="1" t="s">
        <v>4701</v>
      </c>
      <c r="B43" s="1" t="s">
        <v>6185</v>
      </c>
      <c r="C43" s="1" t="s">
        <v>4747</v>
      </c>
      <c r="D43" s="1" t="s">
        <v>4747</v>
      </c>
      <c r="E43" s="1" t="s">
        <v>6335</v>
      </c>
      <c r="F43" s="1" t="s">
        <v>6138</v>
      </c>
      <c r="G43" s="1" t="s">
        <v>6253</v>
      </c>
      <c r="H43" s="1" t="s">
        <v>6089</v>
      </c>
      <c r="I43" s="1"/>
      <c r="J43" s="1"/>
      <c r="K43" s="1" t="s">
        <v>6090</v>
      </c>
      <c r="L43" s="1" t="s">
        <v>6336</v>
      </c>
      <c r="M43" s="1" t="s">
        <v>6337</v>
      </c>
      <c r="N43" s="1"/>
      <c r="O43" s="1"/>
      <c r="P43" s="1"/>
      <c r="Q43" s="1"/>
      <c r="R43" s="1" t="s">
        <v>6338</v>
      </c>
      <c r="S43" s="1" t="s">
        <v>6339</v>
      </c>
      <c r="T43" s="1" t="s">
        <v>6258</v>
      </c>
      <c r="U43" s="1" t="s">
        <v>6096</v>
      </c>
      <c r="V43" s="1" t="s">
        <v>6184</v>
      </c>
      <c r="W43" s="1" t="s">
        <v>6259</v>
      </c>
    </row>
    <row r="44" spans="1:23" ht="96" customHeight="1">
      <c r="A44" s="1" t="s">
        <v>4701</v>
      </c>
      <c r="B44" s="1" t="s">
        <v>6189</v>
      </c>
      <c r="C44" s="1" t="s">
        <v>6340</v>
      </c>
      <c r="D44" s="1" t="s">
        <v>4747</v>
      </c>
      <c r="E44" s="1" t="s">
        <v>6341</v>
      </c>
      <c r="F44" s="1" t="s">
        <v>6138</v>
      </c>
      <c r="G44" s="1" t="s">
        <v>6253</v>
      </c>
      <c r="H44" s="1" t="s">
        <v>6089</v>
      </c>
      <c r="I44" s="1"/>
      <c r="J44" s="1"/>
      <c r="K44" s="1" t="s">
        <v>6090</v>
      </c>
      <c r="L44" s="1" t="s">
        <v>6342</v>
      </c>
      <c r="M44" s="1" t="s">
        <v>6343</v>
      </c>
      <c r="N44" s="1"/>
      <c r="O44" s="1"/>
      <c r="P44" s="1"/>
      <c r="Q44" s="1"/>
      <c r="R44" s="1" t="s">
        <v>6344</v>
      </c>
      <c r="S44" s="1" t="s">
        <v>6345</v>
      </c>
      <c r="T44" s="1" t="s">
        <v>6258</v>
      </c>
      <c r="U44" s="1" t="s">
        <v>6096</v>
      </c>
      <c r="V44" s="1" t="s">
        <v>6184</v>
      </c>
      <c r="W44" s="1" t="s">
        <v>6259</v>
      </c>
    </row>
    <row r="45" spans="1:23" ht="60" customHeight="1">
      <c r="A45" s="1" t="s">
        <v>4701</v>
      </c>
      <c r="B45" s="1" t="s">
        <v>6196</v>
      </c>
      <c r="C45" s="1" t="s">
        <v>6346</v>
      </c>
      <c r="D45" s="1" t="s">
        <v>6347</v>
      </c>
      <c r="E45" s="1" t="s">
        <v>6348</v>
      </c>
      <c r="F45" s="1" t="s">
        <v>6349</v>
      </c>
      <c r="G45" s="1" t="s">
        <v>6253</v>
      </c>
      <c r="H45" s="1" t="s">
        <v>6089</v>
      </c>
      <c r="I45" s="1"/>
      <c r="J45" s="1"/>
      <c r="K45" s="1" t="s">
        <v>6090</v>
      </c>
      <c r="L45" s="1" t="s">
        <v>6350</v>
      </c>
      <c r="M45" s="1" t="s">
        <v>6351</v>
      </c>
      <c r="N45" s="1"/>
      <c r="O45" s="1"/>
      <c r="P45" s="1"/>
      <c r="Q45" s="1"/>
      <c r="R45" s="1" t="s">
        <v>6352</v>
      </c>
      <c r="S45" s="1" t="s">
        <v>6353</v>
      </c>
      <c r="T45" s="1" t="s">
        <v>6258</v>
      </c>
      <c r="U45" s="1" t="s">
        <v>6096</v>
      </c>
      <c r="V45" s="1" t="s">
        <v>6354</v>
      </c>
      <c r="W45" s="1" t="s">
        <v>6259</v>
      </c>
    </row>
    <row r="46" spans="1:23" ht="60" customHeight="1">
      <c r="A46" s="1" t="s">
        <v>4701</v>
      </c>
      <c r="B46" s="1" t="s">
        <v>6200</v>
      </c>
      <c r="C46" s="1" t="s">
        <v>6355</v>
      </c>
      <c r="D46" s="1" t="s">
        <v>6356</v>
      </c>
      <c r="E46" s="1" t="s">
        <v>6357</v>
      </c>
      <c r="F46" s="1" t="s">
        <v>6349</v>
      </c>
      <c r="G46" s="1" t="s">
        <v>6253</v>
      </c>
      <c r="H46" s="1" t="s">
        <v>6089</v>
      </c>
      <c r="I46" s="1"/>
      <c r="J46" s="1"/>
      <c r="K46" s="1" t="s">
        <v>6090</v>
      </c>
      <c r="L46" s="1" t="s">
        <v>6358</v>
      </c>
      <c r="M46" s="1" t="s">
        <v>6359</v>
      </c>
      <c r="N46" s="1"/>
      <c r="O46" s="1"/>
      <c r="P46" s="1"/>
      <c r="Q46" s="1"/>
      <c r="R46" s="1" t="s">
        <v>6360</v>
      </c>
      <c r="S46" s="1" t="s">
        <v>6361</v>
      </c>
      <c r="T46" s="1" t="s">
        <v>6258</v>
      </c>
      <c r="U46" s="1" t="s">
        <v>6096</v>
      </c>
      <c r="V46" s="1" t="s">
        <v>6362</v>
      </c>
      <c r="W46" s="1" t="s">
        <v>6259</v>
      </c>
    </row>
    <row r="47" spans="1:23" ht="96" customHeight="1">
      <c r="A47" s="1" t="s">
        <v>4701</v>
      </c>
      <c r="B47" s="1" t="s">
        <v>5583</v>
      </c>
      <c r="C47" s="1" t="s">
        <v>4747</v>
      </c>
      <c r="D47" s="1" t="s">
        <v>4747</v>
      </c>
      <c r="E47" s="1" t="s">
        <v>6363</v>
      </c>
      <c r="F47" s="1" t="s">
        <v>6138</v>
      </c>
      <c r="G47" s="1" t="s">
        <v>6253</v>
      </c>
      <c r="H47" s="1" t="s">
        <v>6089</v>
      </c>
      <c r="I47" s="1"/>
      <c r="J47" s="1"/>
      <c r="K47" s="1" t="s">
        <v>6090</v>
      </c>
      <c r="L47" s="1" t="s">
        <v>6364</v>
      </c>
      <c r="M47" s="1" t="s">
        <v>6365</v>
      </c>
      <c r="N47" s="1"/>
      <c r="O47" s="1"/>
      <c r="P47" s="1"/>
      <c r="Q47" s="1"/>
      <c r="R47" s="1" t="s">
        <v>6366</v>
      </c>
      <c r="S47" s="1" t="s">
        <v>6367</v>
      </c>
      <c r="T47" s="1" t="s">
        <v>6258</v>
      </c>
      <c r="U47" s="1" t="s">
        <v>6096</v>
      </c>
      <c r="V47" s="1" t="s">
        <v>6184</v>
      </c>
      <c r="W47" s="1" t="s">
        <v>6259</v>
      </c>
    </row>
    <row r="48" spans="1:23" ht="48" customHeight="1">
      <c r="A48" s="1" t="s">
        <v>4701</v>
      </c>
      <c r="B48" s="1" t="s">
        <v>6209</v>
      </c>
      <c r="C48" s="1" t="s">
        <v>6368</v>
      </c>
      <c r="D48" s="1" t="s">
        <v>4747</v>
      </c>
      <c r="E48" s="1" t="s">
        <v>6369</v>
      </c>
      <c r="F48" s="1" t="s">
        <v>6163</v>
      </c>
      <c r="G48" s="1" t="s">
        <v>6253</v>
      </c>
      <c r="H48" s="1" t="s">
        <v>6089</v>
      </c>
      <c r="I48" s="1"/>
      <c r="J48" s="1"/>
      <c r="K48" s="1" t="s">
        <v>6090</v>
      </c>
      <c r="L48" s="1" t="s">
        <v>6370</v>
      </c>
      <c r="M48" s="1" t="s">
        <v>6371</v>
      </c>
      <c r="N48" s="1"/>
      <c r="O48" s="1"/>
      <c r="P48" s="1"/>
      <c r="Q48" s="1"/>
      <c r="R48" s="1" t="s">
        <v>6372</v>
      </c>
      <c r="S48" s="1" t="s">
        <v>6361</v>
      </c>
      <c r="T48" s="1" t="s">
        <v>6258</v>
      </c>
      <c r="U48" s="1" t="s">
        <v>6096</v>
      </c>
      <c r="V48" s="1" t="s">
        <v>6168</v>
      </c>
      <c r="W48" s="1" t="s">
        <v>6259</v>
      </c>
    </row>
    <row r="49" spans="1:23" ht="48" customHeight="1">
      <c r="A49" s="1" t="s">
        <v>4701</v>
      </c>
      <c r="B49" s="1" t="s">
        <v>6212</v>
      </c>
      <c r="C49" s="1" t="s">
        <v>4747</v>
      </c>
      <c r="D49" s="1" t="s">
        <v>4747</v>
      </c>
      <c r="E49" s="1" t="s">
        <v>4747</v>
      </c>
      <c r="F49" s="1" t="s">
        <v>6186</v>
      </c>
      <c r="G49" s="1" t="s">
        <v>6253</v>
      </c>
      <c r="H49" s="1" t="s">
        <v>6089</v>
      </c>
      <c r="I49" s="1"/>
      <c r="J49" s="1"/>
      <c r="K49" s="1" t="s">
        <v>6090</v>
      </c>
      <c r="L49" s="1" t="s">
        <v>6373</v>
      </c>
      <c r="M49" s="1" t="s">
        <v>6374</v>
      </c>
      <c r="N49" s="1"/>
      <c r="O49" s="1"/>
      <c r="P49" s="1"/>
      <c r="Q49" s="1"/>
      <c r="R49" s="1"/>
      <c r="S49" s="1"/>
      <c r="T49" s="1"/>
      <c r="U49" s="1"/>
      <c r="V49" s="1"/>
      <c r="W49" s="1"/>
    </row>
    <row r="50" spans="1:23" ht="48" customHeight="1">
      <c r="A50" s="1" t="s">
        <v>4701</v>
      </c>
      <c r="B50" s="1" t="s">
        <v>6215</v>
      </c>
      <c r="C50" s="1"/>
      <c r="D50" s="1" t="s">
        <v>6375</v>
      </c>
      <c r="E50" s="1"/>
      <c r="F50" s="1" t="s">
        <v>6216</v>
      </c>
      <c r="G50" s="1"/>
      <c r="H50" s="1" t="s">
        <v>6089</v>
      </c>
      <c r="I50" s="1"/>
      <c r="J50" s="1"/>
      <c r="K50" s="1" t="s">
        <v>6090</v>
      </c>
      <c r="L50" s="1"/>
      <c r="M50" s="1" t="s">
        <v>6376</v>
      </c>
      <c r="N50" s="1"/>
      <c r="O50" s="1"/>
      <c r="P50" s="1"/>
      <c r="Q50" s="1"/>
      <c r="R50" s="1"/>
      <c r="S50" s="1"/>
      <c r="T50" s="1"/>
      <c r="U50" s="1"/>
      <c r="V50" s="1"/>
      <c r="W50" s="1"/>
    </row>
    <row r="51" spans="1:23" ht="48" customHeight="1">
      <c r="A51" s="1" t="s">
        <v>4701</v>
      </c>
      <c r="B51" s="1" t="s">
        <v>6218</v>
      </c>
      <c r="C51" s="1" t="s">
        <v>6377</v>
      </c>
      <c r="D51" s="1" t="s">
        <v>6378</v>
      </c>
      <c r="E51" s="1"/>
      <c r="F51" s="1" t="s">
        <v>6110</v>
      </c>
      <c r="G51" s="1" t="s">
        <v>6253</v>
      </c>
      <c r="H51" s="1" t="s">
        <v>6089</v>
      </c>
      <c r="I51" s="1"/>
      <c r="J51" s="1"/>
      <c r="K51" s="1" t="s">
        <v>6090</v>
      </c>
      <c r="L51" s="1" t="s">
        <v>6379</v>
      </c>
      <c r="M51" s="1" t="s">
        <v>6380</v>
      </c>
      <c r="N51" s="1"/>
      <c r="O51" s="1"/>
      <c r="P51" s="1"/>
      <c r="Q51" s="1"/>
      <c r="R51" s="1"/>
      <c r="S51" s="1"/>
      <c r="T51" s="1"/>
      <c r="U51" s="1"/>
      <c r="V51" s="1"/>
      <c r="W51" s="1"/>
    </row>
    <row r="52" spans="1:23" ht="48" customHeight="1">
      <c r="A52" s="1" t="s">
        <v>4701</v>
      </c>
      <c r="B52" s="1" t="s">
        <v>6222</v>
      </c>
      <c r="C52" s="1" t="s">
        <v>4747</v>
      </c>
      <c r="D52" s="1" t="s">
        <v>6381</v>
      </c>
      <c r="E52" s="1"/>
      <c r="F52" s="1" t="s">
        <v>6110</v>
      </c>
      <c r="G52" s="1" t="s">
        <v>6253</v>
      </c>
      <c r="H52" s="1" t="s">
        <v>6089</v>
      </c>
      <c r="I52" s="1"/>
      <c r="J52" s="1"/>
      <c r="K52" s="1" t="s">
        <v>6090</v>
      </c>
      <c r="L52" s="1" t="s">
        <v>6382</v>
      </c>
      <c r="M52" s="1" t="s">
        <v>6383</v>
      </c>
      <c r="N52" s="1"/>
      <c r="O52" s="1"/>
      <c r="P52" s="1"/>
      <c r="Q52" s="1"/>
      <c r="R52" s="1"/>
      <c r="S52" s="1"/>
      <c r="T52" s="1"/>
      <c r="U52" s="1"/>
      <c r="V52" s="1"/>
      <c r="W52" s="1"/>
    </row>
    <row r="53" spans="1:23" ht="48" customHeight="1">
      <c r="A53" s="1" t="s">
        <v>4701</v>
      </c>
      <c r="B53" s="1" t="s">
        <v>6227</v>
      </c>
      <c r="C53" s="1" t="s">
        <v>4747</v>
      </c>
      <c r="D53" s="1" t="s">
        <v>4747</v>
      </c>
      <c r="E53" s="1" t="s">
        <v>4747</v>
      </c>
      <c r="F53" s="1" t="s">
        <v>6186</v>
      </c>
      <c r="G53" s="1" t="s">
        <v>6253</v>
      </c>
      <c r="H53" s="1" t="s">
        <v>6089</v>
      </c>
      <c r="I53" s="1"/>
      <c r="J53" s="1"/>
      <c r="K53" s="1" t="s">
        <v>6090</v>
      </c>
      <c r="L53" s="1" t="s">
        <v>6384</v>
      </c>
      <c r="M53" s="1" t="s">
        <v>6385</v>
      </c>
      <c r="N53" s="1"/>
      <c r="O53" s="1"/>
      <c r="P53" s="1"/>
      <c r="Q53" s="1"/>
      <c r="R53" s="1"/>
      <c r="S53" s="1"/>
      <c r="T53" s="1"/>
      <c r="U53" s="1"/>
      <c r="V53" s="1"/>
      <c r="W53" s="1"/>
    </row>
    <row r="54" spans="1:23" ht="48" customHeight="1">
      <c r="A54" s="1" t="s">
        <v>4701</v>
      </c>
      <c r="B54" s="1" t="s">
        <v>6232</v>
      </c>
      <c r="C54" s="1" t="s">
        <v>4747</v>
      </c>
      <c r="D54" s="1" t="s">
        <v>4747</v>
      </c>
      <c r="E54" s="1" t="s">
        <v>4747</v>
      </c>
      <c r="F54" s="1" t="s">
        <v>6186</v>
      </c>
      <c r="G54" s="1" t="s">
        <v>6253</v>
      </c>
      <c r="H54" s="1" t="s">
        <v>6089</v>
      </c>
      <c r="I54" s="1"/>
      <c r="J54" s="1"/>
      <c r="K54" s="1" t="s">
        <v>6090</v>
      </c>
      <c r="L54" s="1" t="s">
        <v>6386</v>
      </c>
      <c r="M54" s="1" t="s">
        <v>6387</v>
      </c>
      <c r="N54" s="1"/>
      <c r="O54" s="1"/>
      <c r="P54" s="1"/>
      <c r="Q54" s="1"/>
      <c r="R54" s="1"/>
      <c r="S54" s="1"/>
      <c r="T54" s="1"/>
      <c r="U54" s="1"/>
      <c r="V54" s="1"/>
      <c r="W54" s="1"/>
    </row>
    <row r="55" spans="1:23" ht="84" customHeight="1">
      <c r="A55" s="1" t="s">
        <v>4701</v>
      </c>
      <c r="B55" s="1" t="s">
        <v>6236</v>
      </c>
      <c r="C55" s="1" t="s">
        <v>6388</v>
      </c>
      <c r="D55" s="1" t="s">
        <v>6389</v>
      </c>
      <c r="E55" s="1" t="s">
        <v>6390</v>
      </c>
      <c r="F55" s="1" t="s">
        <v>6323</v>
      </c>
      <c r="G55" s="1" t="s">
        <v>6253</v>
      </c>
      <c r="H55" s="1" t="s">
        <v>6089</v>
      </c>
      <c r="I55" s="1"/>
      <c r="J55" s="1"/>
      <c r="K55" s="1" t="s">
        <v>6090</v>
      </c>
      <c r="L55" s="1" t="s">
        <v>6391</v>
      </c>
      <c r="M55" s="1" t="s">
        <v>6392</v>
      </c>
      <c r="N55" s="1"/>
      <c r="O55" s="1"/>
      <c r="P55" s="1"/>
      <c r="Q55" s="1"/>
      <c r="R55" s="1" t="s">
        <v>6393</v>
      </c>
      <c r="S55" s="1" t="s">
        <v>6394</v>
      </c>
      <c r="T55" s="1" t="s">
        <v>6258</v>
      </c>
      <c r="U55" s="1" t="s">
        <v>6096</v>
      </c>
      <c r="V55" s="1" t="s">
        <v>6395</v>
      </c>
      <c r="W55" s="1" t="s">
        <v>6259</v>
      </c>
    </row>
    <row r="56" spans="1:23" ht="48" customHeight="1">
      <c r="A56" s="1" t="s">
        <v>4701</v>
      </c>
      <c r="B56" s="1" t="s">
        <v>6245</v>
      </c>
      <c r="C56" s="1" t="s">
        <v>6396</v>
      </c>
      <c r="D56" s="1"/>
      <c r="E56" s="1"/>
      <c r="F56" s="1" t="s">
        <v>6216</v>
      </c>
      <c r="G56" s="1" t="s">
        <v>6253</v>
      </c>
      <c r="H56" s="1"/>
      <c r="I56" s="1"/>
      <c r="J56" s="1"/>
      <c r="K56" s="1" t="s">
        <v>6090</v>
      </c>
      <c r="L56" s="1" t="s">
        <v>6397</v>
      </c>
      <c r="M56" s="1"/>
      <c r="N56" s="1"/>
      <c r="O56" s="1"/>
      <c r="P56" s="1"/>
      <c r="Q56" s="1"/>
      <c r="R56" s="1"/>
      <c r="S56" s="1"/>
      <c r="T56" s="1"/>
      <c r="U56" s="1"/>
      <c r="V56" s="1"/>
      <c r="W56" s="1"/>
    </row>
    <row r="57" spans="1:23" ht="48" customHeight="1">
      <c r="A57" s="1" t="s">
        <v>4701</v>
      </c>
      <c r="B57" s="1" t="s">
        <v>6248</v>
      </c>
      <c r="C57" s="1" t="s">
        <v>6398</v>
      </c>
      <c r="D57" s="1"/>
      <c r="E57" s="1"/>
      <c r="F57" s="1" t="s">
        <v>6216</v>
      </c>
      <c r="G57" s="1" t="s">
        <v>6253</v>
      </c>
      <c r="H57" s="1"/>
      <c r="I57" s="1"/>
      <c r="J57" s="1"/>
      <c r="K57" s="1" t="s">
        <v>6090</v>
      </c>
      <c r="L57" s="1" t="s">
        <v>6399</v>
      </c>
      <c r="M57" s="1"/>
      <c r="N57" s="1"/>
      <c r="O57" s="1"/>
      <c r="P57" s="1"/>
      <c r="Q57" s="1"/>
      <c r="R57" s="1"/>
      <c r="S57" s="1"/>
      <c r="T57" s="1"/>
      <c r="U57" s="1"/>
      <c r="V57" s="1"/>
      <c r="W57" s="1"/>
    </row>
    <row r="58" spans="1:23" ht="48" customHeight="1">
      <c r="A58" s="1" t="s">
        <v>4725</v>
      </c>
      <c r="B58" s="1" t="s">
        <v>6083</v>
      </c>
      <c r="C58" s="1" t="s">
        <v>6400</v>
      </c>
      <c r="D58" s="1" t="s">
        <v>6401</v>
      </c>
      <c r="E58" s="1" t="s">
        <v>6402</v>
      </c>
      <c r="F58" s="1" t="s">
        <v>6087</v>
      </c>
      <c r="G58" s="1" t="s">
        <v>422</v>
      </c>
      <c r="H58" s="1" t="s">
        <v>6089</v>
      </c>
      <c r="I58" s="1"/>
      <c r="J58" s="1"/>
      <c r="K58" s="1" t="s">
        <v>6090</v>
      </c>
      <c r="L58" s="1" t="s">
        <v>6403</v>
      </c>
      <c r="M58" s="1" t="s">
        <v>6404</v>
      </c>
      <c r="N58" s="1"/>
      <c r="O58" s="1"/>
      <c r="P58" s="1"/>
      <c r="Q58" s="1"/>
      <c r="R58" s="1" t="s">
        <v>6405</v>
      </c>
      <c r="S58" s="1" t="s">
        <v>6406</v>
      </c>
      <c r="T58" s="1" t="s">
        <v>6407</v>
      </c>
      <c r="U58" s="1" t="s">
        <v>6096</v>
      </c>
      <c r="V58" s="1" t="s">
        <v>6097</v>
      </c>
      <c r="W58" s="1" t="s">
        <v>6408</v>
      </c>
    </row>
    <row r="59" spans="1:23" ht="48" customHeight="1">
      <c r="A59" s="1" t="s">
        <v>4725</v>
      </c>
      <c r="B59" s="1" t="s">
        <v>6099</v>
      </c>
      <c r="C59" s="1" t="s">
        <v>6409</v>
      </c>
      <c r="D59" s="1" t="s">
        <v>6102</v>
      </c>
      <c r="E59" s="1" t="s">
        <v>6102</v>
      </c>
      <c r="F59" s="1" t="s">
        <v>6087</v>
      </c>
      <c r="G59" s="1" t="s">
        <v>422</v>
      </c>
      <c r="H59" s="1" t="s">
        <v>6089</v>
      </c>
      <c r="I59" s="1"/>
      <c r="J59" s="1"/>
      <c r="K59" s="1" t="s">
        <v>6090</v>
      </c>
      <c r="L59" s="1" t="s">
        <v>6410</v>
      </c>
      <c r="M59" s="1" t="s">
        <v>6411</v>
      </c>
      <c r="N59" s="1"/>
      <c r="O59" s="1"/>
      <c r="P59" s="1"/>
      <c r="Q59" s="1"/>
      <c r="R59" s="1" t="s">
        <v>6412</v>
      </c>
      <c r="S59" s="1" t="s">
        <v>6413</v>
      </c>
      <c r="T59" s="1" t="s">
        <v>6407</v>
      </c>
      <c r="U59" s="1" t="s">
        <v>6096</v>
      </c>
      <c r="V59" s="1" t="s">
        <v>6097</v>
      </c>
      <c r="W59" s="1" t="s">
        <v>6408</v>
      </c>
    </row>
    <row r="60" spans="1:23" ht="48" customHeight="1">
      <c r="A60" s="1" t="s">
        <v>4725</v>
      </c>
      <c r="B60" s="1" t="s">
        <v>6107</v>
      </c>
      <c r="C60" s="1" t="s">
        <v>6414</v>
      </c>
      <c r="D60" s="1" t="s">
        <v>6415</v>
      </c>
      <c r="E60" s="1"/>
      <c r="F60" s="1" t="s">
        <v>6110</v>
      </c>
      <c r="G60" s="1" t="s">
        <v>422</v>
      </c>
      <c r="H60" s="1" t="s">
        <v>6089</v>
      </c>
      <c r="I60" s="1"/>
      <c r="J60" s="1"/>
      <c r="K60" s="1" t="s">
        <v>6090</v>
      </c>
      <c r="L60" s="1" t="s">
        <v>6416</v>
      </c>
      <c r="M60" s="1" t="s">
        <v>6417</v>
      </c>
      <c r="N60" s="1"/>
      <c r="O60" s="1"/>
      <c r="P60" s="1"/>
      <c r="Q60" s="1"/>
      <c r="R60" s="1"/>
      <c r="S60" s="1"/>
      <c r="T60" s="1"/>
      <c r="U60" s="1"/>
      <c r="V60" s="1"/>
      <c r="W60" s="1"/>
    </row>
    <row r="61" spans="1:23" ht="48" customHeight="1">
      <c r="A61" s="1" t="s">
        <v>4725</v>
      </c>
      <c r="B61" s="1" t="s">
        <v>6113</v>
      </c>
      <c r="C61" s="1" t="s">
        <v>6418</v>
      </c>
      <c r="D61" s="1" t="s">
        <v>6419</v>
      </c>
      <c r="E61" s="1"/>
      <c r="F61" s="1" t="s">
        <v>6110</v>
      </c>
      <c r="G61" s="1" t="s">
        <v>422</v>
      </c>
      <c r="H61" s="1" t="s">
        <v>6089</v>
      </c>
      <c r="I61" s="1"/>
      <c r="J61" s="1"/>
      <c r="K61" s="1" t="s">
        <v>6090</v>
      </c>
      <c r="L61" s="1" t="s">
        <v>6420</v>
      </c>
      <c r="M61" s="1" t="s">
        <v>6421</v>
      </c>
      <c r="N61" s="1"/>
      <c r="O61" s="1"/>
      <c r="P61" s="1"/>
      <c r="Q61" s="1"/>
      <c r="R61" s="1"/>
      <c r="S61" s="1"/>
      <c r="T61" s="1"/>
      <c r="U61" s="1"/>
      <c r="V61" s="1"/>
      <c r="W61" s="1"/>
    </row>
    <row r="62" spans="1:23" ht="48" customHeight="1">
      <c r="A62" s="1" t="s">
        <v>4725</v>
      </c>
      <c r="B62" s="1" t="s">
        <v>6118</v>
      </c>
      <c r="C62" s="1" t="s">
        <v>6422</v>
      </c>
      <c r="D62" s="1" t="s">
        <v>6423</v>
      </c>
      <c r="E62" s="1" t="s">
        <v>6424</v>
      </c>
      <c r="F62" s="1" t="s">
        <v>6087</v>
      </c>
      <c r="G62" s="1" t="s">
        <v>422</v>
      </c>
      <c r="H62" s="1" t="s">
        <v>6089</v>
      </c>
      <c r="I62" s="1"/>
      <c r="J62" s="1"/>
      <c r="K62" s="1" t="s">
        <v>6090</v>
      </c>
      <c r="L62" s="1" t="s">
        <v>6425</v>
      </c>
      <c r="M62" s="1" t="s">
        <v>6426</v>
      </c>
      <c r="N62" s="1"/>
      <c r="O62" s="1"/>
      <c r="P62" s="1"/>
      <c r="Q62" s="1"/>
      <c r="R62" s="1" t="s">
        <v>6427</v>
      </c>
      <c r="S62" s="1" t="s">
        <v>6428</v>
      </c>
      <c r="T62" s="1" t="s">
        <v>6407</v>
      </c>
      <c r="U62" s="1" t="s">
        <v>6096</v>
      </c>
      <c r="V62" s="1" t="s">
        <v>6097</v>
      </c>
      <c r="W62" s="1" t="s">
        <v>6408</v>
      </c>
    </row>
    <row r="63" spans="1:23" ht="48" customHeight="1">
      <c r="A63" s="1" t="s">
        <v>4725</v>
      </c>
      <c r="B63" s="1" t="s">
        <v>6126</v>
      </c>
      <c r="C63" s="1" t="s">
        <v>6429</v>
      </c>
      <c r="D63" s="1" t="s">
        <v>6430</v>
      </c>
      <c r="E63" s="1" t="s">
        <v>6431</v>
      </c>
      <c r="F63" s="1" t="s">
        <v>6087</v>
      </c>
      <c r="G63" s="1" t="s">
        <v>422</v>
      </c>
      <c r="H63" s="1" t="s">
        <v>6089</v>
      </c>
      <c r="I63" s="1"/>
      <c r="J63" s="1"/>
      <c r="K63" s="1" t="s">
        <v>6090</v>
      </c>
      <c r="L63" s="1" t="s">
        <v>6432</v>
      </c>
      <c r="M63" s="1" t="s">
        <v>6433</v>
      </c>
      <c r="N63" s="1"/>
      <c r="O63" s="1"/>
      <c r="P63" s="1"/>
      <c r="Q63" s="1"/>
      <c r="R63" s="1" t="s">
        <v>6434</v>
      </c>
      <c r="S63" s="1" t="s">
        <v>6435</v>
      </c>
      <c r="T63" s="1" t="s">
        <v>6407</v>
      </c>
      <c r="U63" s="1" t="s">
        <v>6096</v>
      </c>
      <c r="V63" s="1" t="s">
        <v>6097</v>
      </c>
      <c r="W63" s="1" t="s">
        <v>6408</v>
      </c>
    </row>
    <row r="64" spans="1:23" ht="72" customHeight="1">
      <c r="A64" s="1" t="s">
        <v>4725</v>
      </c>
      <c r="B64" s="1" t="s">
        <v>6134</v>
      </c>
      <c r="C64" s="1" t="s">
        <v>6286</v>
      </c>
      <c r="D64" s="1" t="s">
        <v>6436</v>
      </c>
      <c r="E64" s="1" t="s">
        <v>6437</v>
      </c>
      <c r="F64" s="1" t="s">
        <v>6138</v>
      </c>
      <c r="G64" s="1" t="s">
        <v>422</v>
      </c>
      <c r="H64" s="1" t="s">
        <v>6089</v>
      </c>
      <c r="I64" s="1" t="s">
        <v>4757</v>
      </c>
      <c r="J64" s="1" t="s">
        <v>4756</v>
      </c>
      <c r="K64" s="1" t="s">
        <v>6289</v>
      </c>
      <c r="L64" s="1" t="s">
        <v>6438</v>
      </c>
      <c r="M64" s="1" t="s">
        <v>6439</v>
      </c>
      <c r="N64" s="1" t="s">
        <v>6440</v>
      </c>
      <c r="O64" s="1"/>
      <c r="P64" s="1"/>
      <c r="Q64" s="1"/>
      <c r="R64" s="1" t="s">
        <v>6441</v>
      </c>
      <c r="S64" s="1" t="s">
        <v>6442</v>
      </c>
      <c r="T64" s="1" t="s">
        <v>6407</v>
      </c>
      <c r="U64" s="1" t="s">
        <v>6096</v>
      </c>
      <c r="V64" s="1" t="s">
        <v>6295</v>
      </c>
      <c r="W64" s="1" t="s">
        <v>6408</v>
      </c>
    </row>
    <row r="65" spans="1:23" ht="60" customHeight="1">
      <c r="A65" s="1" t="s">
        <v>4725</v>
      </c>
      <c r="B65" s="1" t="s">
        <v>6144</v>
      </c>
      <c r="C65" s="1" t="s">
        <v>4747</v>
      </c>
      <c r="D65" s="1" t="s">
        <v>4747</v>
      </c>
      <c r="E65" s="1" t="s">
        <v>6443</v>
      </c>
      <c r="F65" s="1" t="s">
        <v>6138</v>
      </c>
      <c r="G65" s="1" t="s">
        <v>422</v>
      </c>
      <c r="H65" s="1" t="s">
        <v>6089</v>
      </c>
      <c r="I65" s="1"/>
      <c r="J65" s="1"/>
      <c r="K65" s="1" t="s">
        <v>6090</v>
      </c>
      <c r="L65" s="1" t="s">
        <v>6444</v>
      </c>
      <c r="M65" s="1" t="s">
        <v>6445</v>
      </c>
      <c r="N65" s="1"/>
      <c r="O65" s="1"/>
      <c r="P65" s="1"/>
      <c r="Q65" s="1"/>
      <c r="R65" s="1" t="s">
        <v>6446</v>
      </c>
      <c r="S65" s="1" t="s">
        <v>6294</v>
      </c>
      <c r="T65" s="1" t="s">
        <v>6407</v>
      </c>
      <c r="U65" s="1" t="s">
        <v>6096</v>
      </c>
      <c r="V65" s="1" t="s">
        <v>6295</v>
      </c>
      <c r="W65" s="1" t="s">
        <v>6408</v>
      </c>
    </row>
    <row r="66" spans="1:23" ht="60" customHeight="1">
      <c r="A66" s="1" t="s">
        <v>4725</v>
      </c>
      <c r="B66" s="1" t="s">
        <v>6149</v>
      </c>
      <c r="C66" s="1" t="s">
        <v>4747</v>
      </c>
      <c r="D66" s="1" t="s">
        <v>4747</v>
      </c>
      <c r="E66" s="1" t="s">
        <v>6447</v>
      </c>
      <c r="F66" s="1" t="s">
        <v>6138</v>
      </c>
      <c r="G66" s="1" t="s">
        <v>422</v>
      </c>
      <c r="H66" s="1" t="s">
        <v>6089</v>
      </c>
      <c r="I66" s="1"/>
      <c r="J66" s="1"/>
      <c r="K66" s="1" t="s">
        <v>6090</v>
      </c>
      <c r="L66" s="1" t="s">
        <v>6448</v>
      </c>
      <c r="M66" s="1" t="s">
        <v>6449</v>
      </c>
      <c r="N66" s="1"/>
      <c r="O66" s="1"/>
      <c r="P66" s="1"/>
      <c r="Q66" s="1"/>
      <c r="R66" s="1" t="s">
        <v>6450</v>
      </c>
      <c r="S66" s="1" t="s">
        <v>6451</v>
      </c>
      <c r="T66" s="1" t="s">
        <v>6407</v>
      </c>
      <c r="U66" s="1" t="s">
        <v>6096</v>
      </c>
      <c r="V66" s="1" t="s">
        <v>6295</v>
      </c>
      <c r="W66" s="1" t="s">
        <v>6408</v>
      </c>
    </row>
    <row r="67" spans="1:23" ht="60" customHeight="1">
      <c r="A67" s="1" t="s">
        <v>4725</v>
      </c>
      <c r="B67" s="1" t="s">
        <v>6154</v>
      </c>
      <c r="C67" s="1" t="s">
        <v>6452</v>
      </c>
      <c r="D67" s="1" t="s">
        <v>6308</v>
      </c>
      <c r="E67" s="1" t="s">
        <v>6453</v>
      </c>
      <c r="F67" s="1" t="s">
        <v>6138</v>
      </c>
      <c r="G67" s="1" t="s">
        <v>422</v>
      </c>
      <c r="H67" s="1" t="s">
        <v>6089</v>
      </c>
      <c r="I67" s="1"/>
      <c r="J67" s="1"/>
      <c r="K67" s="1" t="s">
        <v>6090</v>
      </c>
      <c r="L67" s="1" t="s">
        <v>6454</v>
      </c>
      <c r="M67" s="1" t="s">
        <v>6455</v>
      </c>
      <c r="N67" s="1"/>
      <c r="O67" s="1"/>
      <c r="P67" s="1"/>
      <c r="Q67" s="1"/>
      <c r="R67" s="1" t="s">
        <v>6456</v>
      </c>
      <c r="S67" s="1" t="s">
        <v>6294</v>
      </c>
      <c r="T67" s="1" t="s">
        <v>6407</v>
      </c>
      <c r="U67" s="1" t="s">
        <v>6096</v>
      </c>
      <c r="V67" s="1" t="s">
        <v>6295</v>
      </c>
      <c r="W67" s="1" t="s">
        <v>6408</v>
      </c>
    </row>
    <row r="68" spans="1:23" ht="48" customHeight="1">
      <c r="A68" s="1" t="s">
        <v>4725</v>
      </c>
      <c r="B68" s="1" t="s">
        <v>6159</v>
      </c>
      <c r="C68" s="1" t="s">
        <v>4736</v>
      </c>
      <c r="D68" s="1" t="s">
        <v>4747</v>
      </c>
      <c r="E68" s="1" t="s">
        <v>6457</v>
      </c>
      <c r="F68" s="1" t="s">
        <v>6163</v>
      </c>
      <c r="G68" s="1" t="s">
        <v>422</v>
      </c>
      <c r="H68" s="1" t="s">
        <v>6089</v>
      </c>
      <c r="I68" s="1"/>
      <c r="J68" s="1"/>
      <c r="K68" s="1" t="s">
        <v>6090</v>
      </c>
      <c r="L68" s="1" t="s">
        <v>6458</v>
      </c>
      <c r="M68" s="1" t="s">
        <v>6459</v>
      </c>
      <c r="N68" s="1"/>
      <c r="O68" s="1" t="s">
        <v>6460</v>
      </c>
      <c r="P68" s="1" t="s">
        <v>6461</v>
      </c>
      <c r="Q68" s="1" t="s">
        <v>6462</v>
      </c>
      <c r="R68" s="1" t="s">
        <v>6463</v>
      </c>
      <c r="S68" s="1" t="s">
        <v>6353</v>
      </c>
      <c r="T68" s="1" t="s">
        <v>6407</v>
      </c>
      <c r="U68" s="1" t="s">
        <v>6096</v>
      </c>
      <c r="V68" s="1" t="s">
        <v>6168</v>
      </c>
      <c r="W68" s="1" t="s">
        <v>6408</v>
      </c>
    </row>
    <row r="69" spans="1:23" ht="60" customHeight="1">
      <c r="A69" s="1" t="s">
        <v>4725</v>
      </c>
      <c r="B69" s="1" t="s">
        <v>6169</v>
      </c>
      <c r="C69" s="1" t="s">
        <v>6464</v>
      </c>
      <c r="D69" s="1" t="s">
        <v>6465</v>
      </c>
      <c r="E69" s="1" t="s">
        <v>6466</v>
      </c>
      <c r="F69" s="1" t="s">
        <v>6349</v>
      </c>
      <c r="G69" s="1" t="s">
        <v>422</v>
      </c>
      <c r="H69" s="1" t="s">
        <v>6089</v>
      </c>
      <c r="I69" s="1"/>
      <c r="J69" s="1"/>
      <c r="K69" s="1" t="s">
        <v>6090</v>
      </c>
      <c r="L69" s="1" t="s">
        <v>6467</v>
      </c>
      <c r="M69" s="1" t="s">
        <v>6468</v>
      </c>
      <c r="N69" s="1"/>
      <c r="O69" s="1" t="s">
        <v>6469</v>
      </c>
      <c r="P69" s="1" t="s">
        <v>6470</v>
      </c>
      <c r="Q69" s="1" t="s">
        <v>6462</v>
      </c>
      <c r="R69" s="1" t="s">
        <v>6471</v>
      </c>
      <c r="S69" s="1" t="s">
        <v>6353</v>
      </c>
      <c r="T69" s="1" t="s">
        <v>6407</v>
      </c>
      <c r="U69" s="1" t="s">
        <v>6096</v>
      </c>
      <c r="V69" s="1" t="s">
        <v>6472</v>
      </c>
      <c r="W69" s="1" t="s">
        <v>6408</v>
      </c>
    </row>
    <row r="70" spans="1:23" ht="96" customHeight="1">
      <c r="A70" s="1" t="s">
        <v>4725</v>
      </c>
      <c r="B70" s="1" t="s">
        <v>6176</v>
      </c>
      <c r="C70" s="1" t="s">
        <v>6473</v>
      </c>
      <c r="D70" s="1" t="s">
        <v>4747</v>
      </c>
      <c r="E70" s="1" t="s">
        <v>6474</v>
      </c>
      <c r="F70" s="1" t="s">
        <v>6138</v>
      </c>
      <c r="G70" s="1" t="s">
        <v>422</v>
      </c>
      <c r="H70" s="1" t="s">
        <v>6089</v>
      </c>
      <c r="I70" s="1"/>
      <c r="J70" s="1"/>
      <c r="K70" s="1" t="s">
        <v>6090</v>
      </c>
      <c r="L70" s="1" t="s">
        <v>6475</v>
      </c>
      <c r="M70" s="1" t="s">
        <v>6476</v>
      </c>
      <c r="N70" s="1"/>
      <c r="O70" s="1"/>
      <c r="P70" s="1"/>
      <c r="Q70" s="1"/>
      <c r="R70" s="1" t="s">
        <v>6477</v>
      </c>
      <c r="S70" s="1" t="s">
        <v>6478</v>
      </c>
      <c r="T70" s="1" t="s">
        <v>6407</v>
      </c>
      <c r="U70" s="1" t="s">
        <v>6096</v>
      </c>
      <c r="V70" s="1" t="s">
        <v>6184</v>
      </c>
      <c r="W70" s="1" t="s">
        <v>6408</v>
      </c>
    </row>
    <row r="71" spans="1:23" ht="96" customHeight="1">
      <c r="A71" s="1" t="s">
        <v>4725</v>
      </c>
      <c r="B71" s="1" t="s">
        <v>6185</v>
      </c>
      <c r="C71" s="1" t="s">
        <v>6479</v>
      </c>
      <c r="D71" s="1" t="s">
        <v>4747</v>
      </c>
      <c r="E71" s="1" t="s">
        <v>6480</v>
      </c>
      <c r="F71" s="1" t="s">
        <v>6138</v>
      </c>
      <c r="G71" s="1" t="s">
        <v>422</v>
      </c>
      <c r="H71" s="1" t="s">
        <v>6089</v>
      </c>
      <c r="I71" s="1"/>
      <c r="J71" s="1"/>
      <c r="K71" s="1" t="s">
        <v>6090</v>
      </c>
      <c r="L71" s="1" t="s">
        <v>6481</v>
      </c>
      <c r="M71" s="1" t="s">
        <v>6482</v>
      </c>
      <c r="N71" s="1"/>
      <c r="O71" s="1"/>
      <c r="P71" s="1"/>
      <c r="Q71" s="1"/>
      <c r="R71" s="1" t="s">
        <v>6483</v>
      </c>
      <c r="S71" s="1" t="s">
        <v>6484</v>
      </c>
      <c r="T71" s="1" t="s">
        <v>6407</v>
      </c>
      <c r="U71" s="1" t="s">
        <v>6096</v>
      </c>
      <c r="V71" s="1" t="s">
        <v>6184</v>
      </c>
      <c r="W71" s="1" t="s">
        <v>6408</v>
      </c>
    </row>
    <row r="72" spans="1:23" ht="96" customHeight="1">
      <c r="A72" s="1" t="s">
        <v>4725</v>
      </c>
      <c r="B72" s="1" t="s">
        <v>6189</v>
      </c>
      <c r="C72" s="1" t="s">
        <v>6485</v>
      </c>
      <c r="D72" s="1" t="s">
        <v>4747</v>
      </c>
      <c r="E72" s="1" t="s">
        <v>6486</v>
      </c>
      <c r="F72" s="1" t="s">
        <v>6138</v>
      </c>
      <c r="G72" s="1" t="s">
        <v>422</v>
      </c>
      <c r="H72" s="1" t="s">
        <v>6089</v>
      </c>
      <c r="I72" s="1"/>
      <c r="J72" s="1"/>
      <c r="K72" s="1" t="s">
        <v>6090</v>
      </c>
      <c r="L72" s="1" t="s">
        <v>6487</v>
      </c>
      <c r="M72" s="1" t="s">
        <v>6488</v>
      </c>
      <c r="N72" s="1"/>
      <c r="O72" s="1"/>
      <c r="P72" s="1"/>
      <c r="Q72" s="1"/>
      <c r="R72" s="1" t="s">
        <v>6489</v>
      </c>
      <c r="S72" s="1" t="s">
        <v>6490</v>
      </c>
      <c r="T72" s="1" t="s">
        <v>6407</v>
      </c>
      <c r="U72" s="1" t="s">
        <v>6096</v>
      </c>
      <c r="V72" s="1" t="s">
        <v>6184</v>
      </c>
      <c r="W72" s="1" t="s">
        <v>6408</v>
      </c>
    </row>
    <row r="73" spans="1:23" ht="48" customHeight="1">
      <c r="A73" s="1" t="s">
        <v>4725</v>
      </c>
      <c r="B73" s="1" t="s">
        <v>6196</v>
      </c>
      <c r="C73" s="1" t="s">
        <v>6491</v>
      </c>
      <c r="D73" s="1" t="s">
        <v>4747</v>
      </c>
      <c r="E73" s="1"/>
      <c r="F73" s="1" t="s">
        <v>6110</v>
      </c>
      <c r="G73" s="1" t="s">
        <v>422</v>
      </c>
      <c r="H73" s="1" t="s">
        <v>6089</v>
      </c>
      <c r="I73" s="1"/>
      <c r="J73" s="1"/>
      <c r="K73" s="1" t="s">
        <v>6090</v>
      </c>
      <c r="L73" s="1" t="s">
        <v>6492</v>
      </c>
      <c r="M73" s="1" t="s">
        <v>6493</v>
      </c>
      <c r="N73" s="1"/>
      <c r="O73" s="1"/>
      <c r="P73" s="1"/>
      <c r="Q73" s="1"/>
      <c r="R73" s="1"/>
      <c r="S73" s="1"/>
      <c r="T73" s="1"/>
      <c r="U73" s="1"/>
      <c r="V73" s="1"/>
      <c r="W73" s="1"/>
    </row>
    <row r="74" spans="1:23" ht="48" customHeight="1">
      <c r="A74" s="1" t="s">
        <v>4725</v>
      </c>
      <c r="B74" s="1" t="s">
        <v>6200</v>
      </c>
      <c r="C74" s="1" t="s">
        <v>6494</v>
      </c>
      <c r="D74" s="1" t="s">
        <v>6495</v>
      </c>
      <c r="E74" s="1" t="s">
        <v>6496</v>
      </c>
      <c r="F74" s="1" t="s">
        <v>6349</v>
      </c>
      <c r="G74" s="1" t="s">
        <v>422</v>
      </c>
      <c r="H74" s="1" t="s">
        <v>6089</v>
      </c>
      <c r="I74" s="1"/>
      <c r="J74" s="1"/>
      <c r="K74" s="1" t="s">
        <v>6090</v>
      </c>
      <c r="L74" s="1" t="s">
        <v>6497</v>
      </c>
      <c r="M74" s="1" t="s">
        <v>6498</v>
      </c>
      <c r="N74" s="1"/>
      <c r="O74" s="1" t="s">
        <v>6499</v>
      </c>
      <c r="P74" s="1" t="s">
        <v>6500</v>
      </c>
      <c r="Q74" s="1" t="s">
        <v>6462</v>
      </c>
      <c r="R74" s="1" t="s">
        <v>6501</v>
      </c>
      <c r="S74" s="1" t="s">
        <v>6361</v>
      </c>
      <c r="T74" s="1" t="s">
        <v>6407</v>
      </c>
      <c r="U74" s="1" t="s">
        <v>6096</v>
      </c>
      <c r="V74" s="1" t="s">
        <v>6502</v>
      </c>
      <c r="W74" s="1" t="s">
        <v>6408</v>
      </c>
    </row>
    <row r="75" spans="1:23" ht="96" customHeight="1">
      <c r="A75" s="1" t="s">
        <v>4725</v>
      </c>
      <c r="B75" s="1" t="s">
        <v>5583</v>
      </c>
      <c r="C75" s="1" t="s">
        <v>5788</v>
      </c>
      <c r="D75" s="1" t="s">
        <v>4747</v>
      </c>
      <c r="E75" s="1" t="s">
        <v>6503</v>
      </c>
      <c r="F75" s="1" t="s">
        <v>6138</v>
      </c>
      <c r="G75" s="1" t="s">
        <v>422</v>
      </c>
      <c r="H75" s="1" t="s">
        <v>6089</v>
      </c>
      <c r="I75" s="1"/>
      <c r="J75" s="1"/>
      <c r="K75" s="1" t="s">
        <v>6090</v>
      </c>
      <c r="L75" s="1" t="s">
        <v>6504</v>
      </c>
      <c r="M75" s="1" t="s">
        <v>6505</v>
      </c>
      <c r="N75" s="1"/>
      <c r="O75" s="1"/>
      <c r="P75" s="1"/>
      <c r="Q75" s="1"/>
      <c r="R75" s="1" t="s">
        <v>6506</v>
      </c>
      <c r="S75" s="1" t="s">
        <v>6507</v>
      </c>
      <c r="T75" s="1" t="s">
        <v>6407</v>
      </c>
      <c r="U75" s="1" t="s">
        <v>6096</v>
      </c>
      <c r="V75" s="1" t="s">
        <v>6184</v>
      </c>
      <c r="W75" s="1" t="s">
        <v>6408</v>
      </c>
    </row>
    <row r="76" spans="1:23" ht="48" customHeight="1">
      <c r="A76" s="1" t="s">
        <v>4725</v>
      </c>
      <c r="B76" s="1" t="s">
        <v>6209</v>
      </c>
      <c r="C76" s="1" t="s">
        <v>6508</v>
      </c>
      <c r="D76" s="1" t="s">
        <v>6509</v>
      </c>
      <c r="E76" s="1"/>
      <c r="F76" s="1" t="s">
        <v>6110</v>
      </c>
      <c r="G76" s="1" t="s">
        <v>422</v>
      </c>
      <c r="H76" s="1" t="s">
        <v>6089</v>
      </c>
      <c r="I76" s="1"/>
      <c r="J76" s="1"/>
      <c r="K76" s="1" t="s">
        <v>6090</v>
      </c>
      <c r="L76" s="1" t="s">
        <v>6510</v>
      </c>
      <c r="M76" s="1" t="s">
        <v>6511</v>
      </c>
      <c r="N76" s="1"/>
      <c r="O76" s="1"/>
      <c r="P76" s="1"/>
      <c r="Q76" s="1"/>
      <c r="R76" s="1"/>
      <c r="S76" s="1"/>
      <c r="T76" s="1"/>
      <c r="U76" s="1"/>
      <c r="V76" s="1"/>
      <c r="W76" s="1"/>
    </row>
    <row r="77" spans="1:23" ht="48" customHeight="1">
      <c r="A77" s="1" t="s">
        <v>4725</v>
      </c>
      <c r="B77" s="1" t="s">
        <v>6212</v>
      </c>
      <c r="C77" s="1" t="s">
        <v>6512</v>
      </c>
      <c r="D77" s="1" t="s">
        <v>4747</v>
      </c>
      <c r="E77" s="1"/>
      <c r="F77" s="1" t="s">
        <v>6110</v>
      </c>
      <c r="G77" s="1" t="s">
        <v>422</v>
      </c>
      <c r="H77" s="1" t="s">
        <v>6089</v>
      </c>
      <c r="I77" s="1"/>
      <c r="J77" s="1"/>
      <c r="K77" s="1" t="s">
        <v>6090</v>
      </c>
      <c r="L77" s="1" t="s">
        <v>6513</v>
      </c>
      <c r="M77" s="1" t="s">
        <v>6514</v>
      </c>
      <c r="N77" s="1"/>
      <c r="O77" s="1"/>
      <c r="P77" s="1"/>
      <c r="Q77" s="1"/>
      <c r="R77" s="1"/>
      <c r="S77" s="1"/>
      <c r="T77" s="1"/>
      <c r="U77" s="1"/>
      <c r="V77" s="1"/>
      <c r="W77" s="1"/>
    </row>
    <row r="78" spans="1:23" ht="48" customHeight="1">
      <c r="A78" s="1" t="s">
        <v>4725</v>
      </c>
      <c r="B78" s="1" t="s">
        <v>6215</v>
      </c>
      <c r="C78" s="1"/>
      <c r="D78" s="1" t="s">
        <v>4747</v>
      </c>
      <c r="E78" s="1"/>
      <c r="F78" s="1" t="s">
        <v>6216</v>
      </c>
      <c r="G78" s="1"/>
      <c r="H78" s="1" t="s">
        <v>6089</v>
      </c>
      <c r="I78" s="1"/>
      <c r="J78" s="1"/>
      <c r="K78" s="1" t="s">
        <v>6090</v>
      </c>
      <c r="L78" s="1"/>
      <c r="M78" s="1" t="s">
        <v>6515</v>
      </c>
      <c r="N78" s="1"/>
      <c r="O78" s="1"/>
      <c r="P78" s="1"/>
      <c r="Q78" s="1"/>
      <c r="R78" s="1"/>
      <c r="S78" s="1"/>
      <c r="T78" s="1"/>
      <c r="U78" s="1"/>
      <c r="V78" s="1"/>
      <c r="W78" s="1"/>
    </row>
    <row r="79" spans="1:23" ht="48" customHeight="1">
      <c r="A79" s="1" t="s">
        <v>4725</v>
      </c>
      <c r="B79" s="1" t="s">
        <v>6218</v>
      </c>
      <c r="C79" s="1" t="s">
        <v>6516</v>
      </c>
      <c r="D79" s="1" t="s">
        <v>4747</v>
      </c>
      <c r="E79" s="1"/>
      <c r="F79" s="1" t="s">
        <v>6110</v>
      </c>
      <c r="G79" s="1" t="s">
        <v>422</v>
      </c>
      <c r="H79" s="1" t="s">
        <v>6089</v>
      </c>
      <c r="I79" s="1"/>
      <c r="J79" s="1"/>
      <c r="K79" s="1" t="s">
        <v>6090</v>
      </c>
      <c r="L79" s="1" t="s">
        <v>6517</v>
      </c>
      <c r="M79" s="1" t="s">
        <v>6518</v>
      </c>
      <c r="N79" s="1"/>
      <c r="O79" s="1"/>
      <c r="P79" s="1"/>
      <c r="Q79" s="1"/>
      <c r="R79" s="1"/>
      <c r="S79" s="1"/>
      <c r="T79" s="1"/>
      <c r="U79" s="1"/>
      <c r="V79" s="1"/>
      <c r="W79" s="1"/>
    </row>
    <row r="80" spans="1:23" ht="48" customHeight="1">
      <c r="A80" s="1" t="s">
        <v>4725</v>
      </c>
      <c r="B80" s="1" t="s">
        <v>6222</v>
      </c>
      <c r="C80" s="1" t="s">
        <v>4747</v>
      </c>
      <c r="D80" s="1" t="s">
        <v>6519</v>
      </c>
      <c r="E80" s="1"/>
      <c r="F80" s="1" t="s">
        <v>6110</v>
      </c>
      <c r="G80" s="1" t="s">
        <v>422</v>
      </c>
      <c r="H80" s="1" t="s">
        <v>6089</v>
      </c>
      <c r="I80" s="1"/>
      <c r="J80" s="1"/>
      <c r="K80" s="1" t="s">
        <v>6090</v>
      </c>
      <c r="L80" s="1" t="s">
        <v>6520</v>
      </c>
      <c r="M80" s="1" t="s">
        <v>6521</v>
      </c>
      <c r="N80" s="1"/>
      <c r="O80" s="1"/>
      <c r="P80" s="1"/>
      <c r="Q80" s="1"/>
      <c r="R80" s="1"/>
      <c r="S80" s="1"/>
      <c r="T80" s="1"/>
      <c r="U80" s="1"/>
      <c r="V80" s="1"/>
      <c r="W80" s="1"/>
    </row>
    <row r="81" spans="1:23" ht="48" customHeight="1">
      <c r="A81" s="1" t="s">
        <v>4725</v>
      </c>
      <c r="B81" s="1" t="s">
        <v>6227</v>
      </c>
      <c r="C81" s="1" t="s">
        <v>6522</v>
      </c>
      <c r="D81" s="1" t="s">
        <v>6523</v>
      </c>
      <c r="E81" s="1"/>
      <c r="F81" s="1" t="s">
        <v>6110</v>
      </c>
      <c r="G81" s="1" t="s">
        <v>422</v>
      </c>
      <c r="H81" s="1" t="s">
        <v>6089</v>
      </c>
      <c r="I81" s="1"/>
      <c r="J81" s="1"/>
      <c r="K81" s="1" t="s">
        <v>6090</v>
      </c>
      <c r="L81" s="1" t="s">
        <v>6524</v>
      </c>
      <c r="M81" s="1" t="s">
        <v>6525</v>
      </c>
      <c r="N81" s="1"/>
      <c r="O81" s="1"/>
      <c r="P81" s="1"/>
      <c r="Q81" s="1"/>
      <c r="R81" s="1"/>
      <c r="S81" s="1"/>
      <c r="T81" s="1"/>
      <c r="U81" s="1"/>
      <c r="V81" s="1"/>
      <c r="W81" s="1"/>
    </row>
    <row r="82" spans="1:23" ht="48" customHeight="1">
      <c r="A82" s="1" t="s">
        <v>4725</v>
      </c>
      <c r="B82" s="1" t="s">
        <v>6232</v>
      </c>
      <c r="C82" s="1" t="s">
        <v>4747</v>
      </c>
      <c r="D82" s="1" t="s">
        <v>4747</v>
      </c>
      <c r="E82" s="1" t="s">
        <v>4747</v>
      </c>
      <c r="F82" s="1" t="s">
        <v>6186</v>
      </c>
      <c r="G82" s="1" t="s">
        <v>422</v>
      </c>
      <c r="H82" s="1" t="s">
        <v>6089</v>
      </c>
      <c r="I82" s="1"/>
      <c r="J82" s="1"/>
      <c r="K82" s="1" t="s">
        <v>6090</v>
      </c>
      <c r="L82" s="1" t="s">
        <v>6526</v>
      </c>
      <c r="M82" s="1" t="s">
        <v>6527</v>
      </c>
      <c r="N82" s="1"/>
      <c r="O82" s="1"/>
      <c r="P82" s="1"/>
      <c r="Q82" s="1"/>
      <c r="R82" s="1"/>
      <c r="S82" s="1"/>
      <c r="T82" s="1"/>
      <c r="U82" s="1"/>
      <c r="V82" s="1"/>
      <c r="W82" s="1"/>
    </row>
    <row r="83" spans="1:23" ht="156" customHeight="1">
      <c r="A83" s="1" t="s">
        <v>4725</v>
      </c>
      <c r="B83" s="1" t="s">
        <v>6236</v>
      </c>
      <c r="C83" s="1" t="s">
        <v>6528</v>
      </c>
      <c r="D83" s="1" t="s">
        <v>6529</v>
      </c>
      <c r="E83" s="1" t="s">
        <v>6530</v>
      </c>
      <c r="F83" s="1" t="s">
        <v>6163</v>
      </c>
      <c r="G83" s="1" t="s">
        <v>422</v>
      </c>
      <c r="H83" s="1" t="s">
        <v>6089</v>
      </c>
      <c r="I83" s="1"/>
      <c r="J83" s="1"/>
      <c r="K83" s="1" t="s">
        <v>6090</v>
      </c>
      <c r="L83" s="1" t="s">
        <v>6531</v>
      </c>
      <c r="M83" s="1" t="s">
        <v>6532</v>
      </c>
      <c r="N83" s="1"/>
      <c r="O83" s="1"/>
      <c r="P83" s="1"/>
      <c r="Q83" s="1"/>
      <c r="R83" s="1" t="s">
        <v>6533</v>
      </c>
      <c r="S83" s="1" t="s">
        <v>6534</v>
      </c>
      <c r="T83" s="1" t="s">
        <v>6407</v>
      </c>
      <c r="U83" s="1" t="s">
        <v>6096</v>
      </c>
      <c r="V83" s="1" t="s">
        <v>6244</v>
      </c>
      <c r="W83" s="1" t="s">
        <v>6408</v>
      </c>
    </row>
    <row r="84" spans="1:23" ht="48" customHeight="1">
      <c r="A84" s="1" t="s">
        <v>4725</v>
      </c>
      <c r="B84" s="1" t="s">
        <v>6245</v>
      </c>
      <c r="C84" s="1" t="s">
        <v>6535</v>
      </c>
      <c r="D84" s="1"/>
      <c r="E84" s="1"/>
      <c r="F84" s="1" t="s">
        <v>6216</v>
      </c>
      <c r="G84" s="1" t="s">
        <v>422</v>
      </c>
      <c r="H84" s="1"/>
      <c r="I84" s="1"/>
      <c r="J84" s="1"/>
      <c r="K84" s="1" t="s">
        <v>6090</v>
      </c>
      <c r="L84" s="1" t="s">
        <v>6536</v>
      </c>
      <c r="M84" s="1"/>
      <c r="N84" s="1"/>
      <c r="O84" s="1"/>
      <c r="P84" s="1"/>
      <c r="Q84" s="1"/>
      <c r="R84" s="1"/>
      <c r="S84" s="1"/>
      <c r="T84" s="1"/>
      <c r="U84" s="1"/>
      <c r="V84" s="1"/>
      <c r="W84" s="1"/>
    </row>
    <row r="85" spans="1:23" ht="48" customHeight="1">
      <c r="A85" s="1" t="s">
        <v>4725</v>
      </c>
      <c r="B85" s="1" t="s">
        <v>6248</v>
      </c>
      <c r="C85" s="1" t="s">
        <v>6537</v>
      </c>
      <c r="D85" s="1"/>
      <c r="E85" s="1"/>
      <c r="F85" s="1" t="s">
        <v>6216</v>
      </c>
      <c r="G85" s="1" t="s">
        <v>422</v>
      </c>
      <c r="H85" s="1"/>
      <c r="I85" s="1"/>
      <c r="J85" s="1"/>
      <c r="K85" s="1" t="s">
        <v>6090</v>
      </c>
      <c r="L85" s="1" t="s">
        <v>6538</v>
      </c>
      <c r="M85" s="1"/>
      <c r="N85" s="1"/>
      <c r="O85" s="1"/>
      <c r="P85" s="1"/>
      <c r="Q85" s="1"/>
      <c r="R85" s="1"/>
      <c r="S85" s="1"/>
      <c r="T85" s="1"/>
      <c r="U85" s="1"/>
      <c r="V85" s="1"/>
      <c r="W85" s="1"/>
    </row>
    <row r="86" spans="1:23" ht="48" customHeight="1">
      <c r="A86" s="1" t="s">
        <v>4762</v>
      </c>
      <c r="B86" s="1" t="s">
        <v>6083</v>
      </c>
      <c r="C86" s="1" t="s">
        <v>6539</v>
      </c>
      <c r="D86" s="1" t="s">
        <v>6540</v>
      </c>
      <c r="E86" s="1" t="s">
        <v>6086</v>
      </c>
      <c r="F86" s="1" t="s">
        <v>6087</v>
      </c>
      <c r="G86" s="1" t="s">
        <v>6541</v>
      </c>
      <c r="H86" s="1" t="s">
        <v>6089</v>
      </c>
      <c r="I86" s="1"/>
      <c r="J86" s="1"/>
      <c r="K86" s="1" t="s">
        <v>6090</v>
      </c>
      <c r="L86" s="1" t="s">
        <v>6542</v>
      </c>
      <c r="M86" s="1" t="s">
        <v>6543</v>
      </c>
      <c r="N86" s="1"/>
      <c r="O86" s="1" t="s">
        <v>6086</v>
      </c>
      <c r="P86" s="1" t="s">
        <v>6544</v>
      </c>
      <c r="Q86" s="1" t="s">
        <v>6462</v>
      </c>
      <c r="R86" s="1" t="s">
        <v>6545</v>
      </c>
      <c r="S86" s="1" t="s">
        <v>6546</v>
      </c>
      <c r="T86" s="1" t="s">
        <v>6547</v>
      </c>
      <c r="U86" s="1" t="s">
        <v>6096</v>
      </c>
      <c r="V86" s="1" t="s">
        <v>6097</v>
      </c>
      <c r="W86" s="1" t="s">
        <v>6548</v>
      </c>
    </row>
    <row r="87" spans="1:23" ht="48" customHeight="1">
      <c r="A87" s="1" t="s">
        <v>4762</v>
      </c>
      <c r="B87" s="1" t="s">
        <v>6099</v>
      </c>
      <c r="C87" s="1" t="s">
        <v>6549</v>
      </c>
      <c r="D87" s="1" t="s">
        <v>6102</v>
      </c>
      <c r="E87" s="1" t="s">
        <v>6102</v>
      </c>
      <c r="F87" s="1" t="s">
        <v>6087</v>
      </c>
      <c r="G87" s="1" t="s">
        <v>6541</v>
      </c>
      <c r="H87" s="1" t="s">
        <v>6089</v>
      </c>
      <c r="I87" s="1"/>
      <c r="J87" s="1"/>
      <c r="K87" s="1" t="s">
        <v>6090</v>
      </c>
      <c r="L87" s="1" t="s">
        <v>6550</v>
      </c>
      <c r="M87" s="1" t="s">
        <v>6551</v>
      </c>
      <c r="N87" s="1"/>
      <c r="O87" s="1" t="s">
        <v>6552</v>
      </c>
      <c r="P87" s="1" t="s">
        <v>6553</v>
      </c>
      <c r="Q87" s="1" t="s">
        <v>6462</v>
      </c>
      <c r="R87" s="1" t="s">
        <v>6554</v>
      </c>
      <c r="S87" s="1" t="s">
        <v>6555</v>
      </c>
      <c r="T87" s="1" t="s">
        <v>6547</v>
      </c>
      <c r="U87" s="1" t="s">
        <v>6096</v>
      </c>
      <c r="V87" s="1" t="s">
        <v>6097</v>
      </c>
      <c r="W87" s="1" t="s">
        <v>6548</v>
      </c>
    </row>
    <row r="88" spans="1:23" ht="48" customHeight="1">
      <c r="A88" s="1" t="s">
        <v>4762</v>
      </c>
      <c r="B88" s="1" t="s">
        <v>6107</v>
      </c>
      <c r="C88" s="1" t="s">
        <v>4747</v>
      </c>
      <c r="D88" s="1" t="s">
        <v>6556</v>
      </c>
      <c r="E88" s="1"/>
      <c r="F88" s="1" t="s">
        <v>6110</v>
      </c>
      <c r="G88" s="1" t="s">
        <v>6541</v>
      </c>
      <c r="H88" s="1" t="s">
        <v>6089</v>
      </c>
      <c r="I88" s="1"/>
      <c r="J88" s="1"/>
      <c r="K88" s="1" t="s">
        <v>6090</v>
      </c>
      <c r="L88" s="1" t="s">
        <v>6557</v>
      </c>
      <c r="M88" s="1" t="s">
        <v>6558</v>
      </c>
      <c r="N88" s="1"/>
      <c r="O88" s="1"/>
      <c r="P88" s="1"/>
      <c r="Q88" s="1"/>
      <c r="R88" s="1"/>
      <c r="S88" s="1"/>
      <c r="T88" s="1"/>
      <c r="U88" s="1"/>
      <c r="V88" s="1"/>
      <c r="W88" s="1"/>
    </row>
    <row r="89" spans="1:23" ht="48" customHeight="1">
      <c r="A89" s="1" t="s">
        <v>4762</v>
      </c>
      <c r="B89" s="1" t="s">
        <v>6113</v>
      </c>
      <c r="C89" s="1" t="s">
        <v>6559</v>
      </c>
      <c r="D89" s="1" t="s">
        <v>6560</v>
      </c>
      <c r="E89" s="1"/>
      <c r="F89" s="1" t="s">
        <v>6110</v>
      </c>
      <c r="G89" s="1" t="s">
        <v>6541</v>
      </c>
      <c r="H89" s="1" t="s">
        <v>6089</v>
      </c>
      <c r="I89" s="1"/>
      <c r="J89" s="1"/>
      <c r="K89" s="1" t="s">
        <v>6090</v>
      </c>
      <c r="L89" s="1" t="s">
        <v>6561</v>
      </c>
      <c r="M89" s="1" t="s">
        <v>6562</v>
      </c>
      <c r="N89" s="1"/>
      <c r="O89" s="1"/>
      <c r="P89" s="1"/>
      <c r="Q89" s="1"/>
      <c r="R89" s="1"/>
      <c r="S89" s="1"/>
      <c r="T89" s="1"/>
      <c r="U89" s="1"/>
      <c r="V89" s="1"/>
      <c r="W89" s="1"/>
    </row>
    <row r="90" spans="1:23" ht="48" customHeight="1">
      <c r="A90" s="1" t="s">
        <v>4762</v>
      </c>
      <c r="B90" s="1" t="s">
        <v>6118</v>
      </c>
      <c r="C90" s="1" t="s">
        <v>6563</v>
      </c>
      <c r="D90" s="1" t="s">
        <v>6564</v>
      </c>
      <c r="E90" s="1" t="s">
        <v>6565</v>
      </c>
      <c r="F90" s="1" t="s">
        <v>6087</v>
      </c>
      <c r="G90" s="1" t="s">
        <v>6541</v>
      </c>
      <c r="H90" s="1" t="s">
        <v>6089</v>
      </c>
      <c r="I90" s="1"/>
      <c r="J90" s="1"/>
      <c r="K90" s="1" t="s">
        <v>6090</v>
      </c>
      <c r="L90" s="1" t="s">
        <v>6566</v>
      </c>
      <c r="M90" s="1" t="s">
        <v>6567</v>
      </c>
      <c r="N90" s="1"/>
      <c r="O90" s="1"/>
      <c r="P90" s="1"/>
      <c r="Q90" s="1"/>
      <c r="R90" s="1" t="s">
        <v>6568</v>
      </c>
      <c r="S90" s="1" t="s">
        <v>6569</v>
      </c>
      <c r="T90" s="1" t="s">
        <v>6547</v>
      </c>
      <c r="U90" s="1" t="s">
        <v>6096</v>
      </c>
      <c r="V90" s="1" t="s">
        <v>6097</v>
      </c>
      <c r="W90" s="1" t="s">
        <v>6548</v>
      </c>
    </row>
    <row r="91" spans="1:23" ht="48" customHeight="1">
      <c r="A91" s="1" t="s">
        <v>4762</v>
      </c>
      <c r="B91" s="1" t="s">
        <v>6126</v>
      </c>
      <c r="C91" s="1" t="s">
        <v>6570</v>
      </c>
      <c r="D91" s="1" t="s">
        <v>6571</v>
      </c>
      <c r="E91" s="1" t="s">
        <v>6129</v>
      </c>
      <c r="F91" s="1" t="s">
        <v>6087</v>
      </c>
      <c r="G91" s="1" t="s">
        <v>6541</v>
      </c>
      <c r="H91" s="1" t="s">
        <v>6089</v>
      </c>
      <c r="I91" s="1"/>
      <c r="J91" s="1"/>
      <c r="K91" s="1" t="s">
        <v>6090</v>
      </c>
      <c r="L91" s="1" t="s">
        <v>6572</v>
      </c>
      <c r="M91" s="1" t="s">
        <v>6573</v>
      </c>
      <c r="N91" s="1"/>
      <c r="O91" s="1"/>
      <c r="P91" s="1"/>
      <c r="Q91" s="1"/>
      <c r="R91" s="1" t="s">
        <v>6574</v>
      </c>
      <c r="S91" s="1" t="s">
        <v>6575</v>
      </c>
      <c r="T91" s="1" t="s">
        <v>6547</v>
      </c>
      <c r="U91" s="1" t="s">
        <v>6096</v>
      </c>
      <c r="V91" s="1" t="s">
        <v>6097</v>
      </c>
      <c r="W91" s="1" t="s">
        <v>6548</v>
      </c>
    </row>
    <row r="92" spans="1:23" ht="48" customHeight="1">
      <c r="A92" s="1" t="s">
        <v>4762</v>
      </c>
      <c r="B92" s="1" t="s">
        <v>6134</v>
      </c>
      <c r="C92" s="1" t="s">
        <v>6576</v>
      </c>
      <c r="D92" s="1" t="s">
        <v>6577</v>
      </c>
      <c r="E92" s="1" t="s">
        <v>6578</v>
      </c>
      <c r="F92" s="1" t="s">
        <v>6138</v>
      </c>
      <c r="G92" s="1" t="s">
        <v>6541</v>
      </c>
      <c r="H92" s="1" t="s">
        <v>6089</v>
      </c>
      <c r="I92" s="1"/>
      <c r="J92" s="1"/>
      <c r="K92" s="1" t="s">
        <v>6090</v>
      </c>
      <c r="L92" s="1" t="s">
        <v>6579</v>
      </c>
      <c r="M92" s="1" t="s">
        <v>6580</v>
      </c>
      <c r="N92" s="1"/>
      <c r="O92" s="1"/>
      <c r="P92" s="1"/>
      <c r="Q92" s="1"/>
      <c r="R92" s="1" t="s">
        <v>6581</v>
      </c>
      <c r="S92" s="1" t="s">
        <v>6582</v>
      </c>
      <c r="T92" s="1" t="s">
        <v>6547</v>
      </c>
      <c r="U92" s="1" t="s">
        <v>6096</v>
      </c>
      <c r="V92" s="1" t="s">
        <v>6143</v>
      </c>
      <c r="W92" s="1" t="s">
        <v>6548</v>
      </c>
    </row>
    <row r="93" spans="1:23" ht="48" customHeight="1">
      <c r="A93" s="1" t="s">
        <v>4762</v>
      </c>
      <c r="B93" s="1" t="s">
        <v>6144</v>
      </c>
      <c r="C93" s="1" t="s">
        <v>6583</v>
      </c>
      <c r="D93" s="1" t="s">
        <v>4747</v>
      </c>
      <c r="E93" s="1" t="s">
        <v>6584</v>
      </c>
      <c r="F93" s="1" t="s">
        <v>6138</v>
      </c>
      <c r="G93" s="1" t="s">
        <v>6541</v>
      </c>
      <c r="H93" s="1" t="s">
        <v>6089</v>
      </c>
      <c r="I93" s="1"/>
      <c r="J93" s="1"/>
      <c r="K93" s="1" t="s">
        <v>6090</v>
      </c>
      <c r="L93" s="1" t="s">
        <v>6585</v>
      </c>
      <c r="M93" s="1" t="s">
        <v>6586</v>
      </c>
      <c r="N93" s="1"/>
      <c r="O93" s="1"/>
      <c r="P93" s="1"/>
      <c r="Q93" s="1"/>
      <c r="R93" s="1" t="s">
        <v>6581</v>
      </c>
      <c r="S93" s="1" t="s">
        <v>6582</v>
      </c>
      <c r="T93" s="1" t="s">
        <v>6547</v>
      </c>
      <c r="U93" s="1" t="s">
        <v>6096</v>
      </c>
      <c r="V93" s="1" t="s">
        <v>6143</v>
      </c>
      <c r="W93" s="1" t="s">
        <v>6548</v>
      </c>
    </row>
    <row r="94" spans="1:23" ht="48" customHeight="1">
      <c r="A94" s="1" t="s">
        <v>4762</v>
      </c>
      <c r="B94" s="1" t="s">
        <v>6149</v>
      </c>
      <c r="C94" s="1" t="s">
        <v>6587</v>
      </c>
      <c r="D94" s="1" t="s">
        <v>6588</v>
      </c>
      <c r="E94" s="1" t="s">
        <v>6589</v>
      </c>
      <c r="F94" s="1" t="s">
        <v>6138</v>
      </c>
      <c r="G94" s="1" t="s">
        <v>6541</v>
      </c>
      <c r="H94" s="1" t="s">
        <v>6089</v>
      </c>
      <c r="I94" s="1"/>
      <c r="J94" s="1"/>
      <c r="K94" s="1" t="s">
        <v>6090</v>
      </c>
      <c r="L94" s="1" t="s">
        <v>6590</v>
      </c>
      <c r="M94" s="1" t="s">
        <v>6591</v>
      </c>
      <c r="N94" s="1"/>
      <c r="O94" s="1"/>
      <c r="P94" s="1"/>
      <c r="Q94" s="1"/>
      <c r="R94" s="1" t="s">
        <v>6581</v>
      </c>
      <c r="S94" s="1" t="s">
        <v>6582</v>
      </c>
      <c r="T94" s="1" t="s">
        <v>6547</v>
      </c>
      <c r="U94" s="1" t="s">
        <v>6096</v>
      </c>
      <c r="V94" s="1" t="s">
        <v>6143</v>
      </c>
      <c r="W94" s="1" t="s">
        <v>6548</v>
      </c>
    </row>
    <row r="95" spans="1:23" ht="48" customHeight="1">
      <c r="A95" s="1" t="s">
        <v>4762</v>
      </c>
      <c r="B95" s="1" t="s">
        <v>6154</v>
      </c>
      <c r="C95" s="1" t="s">
        <v>6592</v>
      </c>
      <c r="D95" s="1" t="s">
        <v>6593</v>
      </c>
      <c r="E95" s="1" t="s">
        <v>6594</v>
      </c>
      <c r="F95" s="1" t="s">
        <v>6138</v>
      </c>
      <c r="G95" s="1" t="s">
        <v>6541</v>
      </c>
      <c r="H95" s="1" t="s">
        <v>6089</v>
      </c>
      <c r="I95" s="1"/>
      <c r="J95" s="1"/>
      <c r="K95" s="1" t="s">
        <v>6090</v>
      </c>
      <c r="L95" s="1" t="s">
        <v>6595</v>
      </c>
      <c r="M95" s="1" t="s">
        <v>6596</v>
      </c>
      <c r="N95" s="1"/>
      <c r="O95" s="1"/>
      <c r="P95" s="1"/>
      <c r="Q95" s="1"/>
      <c r="R95" s="1" t="s">
        <v>6581</v>
      </c>
      <c r="S95" s="1" t="s">
        <v>6582</v>
      </c>
      <c r="T95" s="1" t="s">
        <v>6547</v>
      </c>
      <c r="U95" s="1" t="s">
        <v>6096</v>
      </c>
      <c r="V95" s="1" t="s">
        <v>6143</v>
      </c>
      <c r="W95" s="1" t="s">
        <v>6548</v>
      </c>
    </row>
    <row r="96" spans="1:23" ht="48" customHeight="1">
      <c r="A96" s="1" t="s">
        <v>4762</v>
      </c>
      <c r="B96" s="1" t="s">
        <v>6159</v>
      </c>
      <c r="C96" s="1" t="s">
        <v>4747</v>
      </c>
      <c r="D96" s="1" t="s">
        <v>4747</v>
      </c>
      <c r="E96" s="1" t="s">
        <v>4747</v>
      </c>
      <c r="F96" s="1" t="s">
        <v>6186</v>
      </c>
      <c r="G96" s="1" t="s">
        <v>6541</v>
      </c>
      <c r="H96" s="1" t="s">
        <v>6089</v>
      </c>
      <c r="I96" s="1"/>
      <c r="J96" s="1"/>
      <c r="K96" s="1" t="s">
        <v>6090</v>
      </c>
      <c r="L96" s="1" t="s">
        <v>6597</v>
      </c>
      <c r="M96" s="1" t="s">
        <v>6598</v>
      </c>
      <c r="N96" s="1"/>
      <c r="O96" s="1"/>
      <c r="P96" s="1"/>
      <c r="Q96" s="1"/>
      <c r="R96" s="1"/>
      <c r="S96" s="1"/>
      <c r="T96" s="1"/>
      <c r="U96" s="1"/>
      <c r="V96" s="1"/>
      <c r="W96" s="1"/>
    </row>
    <row r="97" spans="1:23" ht="48" customHeight="1">
      <c r="A97" s="1" t="s">
        <v>4762</v>
      </c>
      <c r="B97" s="1" t="s">
        <v>6169</v>
      </c>
      <c r="C97" s="1" t="s">
        <v>4747</v>
      </c>
      <c r="D97" s="1" t="s">
        <v>4747</v>
      </c>
      <c r="E97" s="1" t="s">
        <v>4747</v>
      </c>
      <c r="F97" s="1" t="s">
        <v>6186</v>
      </c>
      <c r="G97" s="1" t="s">
        <v>6541</v>
      </c>
      <c r="H97" s="1" t="s">
        <v>6089</v>
      </c>
      <c r="I97" s="1"/>
      <c r="J97" s="1"/>
      <c r="K97" s="1" t="s">
        <v>6090</v>
      </c>
      <c r="L97" s="1" t="s">
        <v>6599</v>
      </c>
      <c r="M97" s="1" t="s">
        <v>6600</v>
      </c>
      <c r="N97" s="1"/>
      <c r="O97" s="1"/>
      <c r="P97" s="1"/>
      <c r="Q97" s="1"/>
      <c r="R97" s="1"/>
      <c r="S97" s="1"/>
      <c r="T97" s="1"/>
      <c r="U97" s="1"/>
      <c r="V97" s="1"/>
      <c r="W97" s="1"/>
    </row>
    <row r="98" spans="1:23" ht="48" customHeight="1">
      <c r="A98" s="1" t="s">
        <v>4762</v>
      </c>
      <c r="B98" s="1" t="s">
        <v>6176</v>
      </c>
      <c r="C98" s="1" t="s">
        <v>4747</v>
      </c>
      <c r="D98" s="1" t="s">
        <v>4747</v>
      </c>
      <c r="E98" s="1" t="s">
        <v>4747</v>
      </c>
      <c r="F98" s="1" t="s">
        <v>6186</v>
      </c>
      <c r="G98" s="1" t="s">
        <v>6541</v>
      </c>
      <c r="H98" s="1" t="s">
        <v>6089</v>
      </c>
      <c r="I98" s="1"/>
      <c r="J98" s="1"/>
      <c r="K98" s="1" t="s">
        <v>6090</v>
      </c>
      <c r="L98" s="1" t="s">
        <v>6601</v>
      </c>
      <c r="M98" s="1" t="s">
        <v>6602</v>
      </c>
      <c r="N98" s="1"/>
      <c r="O98" s="1"/>
      <c r="P98" s="1"/>
      <c r="Q98" s="1"/>
      <c r="R98" s="1"/>
      <c r="S98" s="1"/>
      <c r="T98" s="1"/>
      <c r="U98" s="1"/>
      <c r="V98" s="1"/>
      <c r="W98" s="1"/>
    </row>
    <row r="99" spans="1:23" ht="48" customHeight="1">
      <c r="A99" s="1" t="s">
        <v>4762</v>
      </c>
      <c r="B99" s="1" t="s">
        <v>6185</v>
      </c>
      <c r="C99" s="1" t="s">
        <v>4747</v>
      </c>
      <c r="D99" s="1" t="s">
        <v>4747</v>
      </c>
      <c r="E99" s="1" t="s">
        <v>4747</v>
      </c>
      <c r="F99" s="1" t="s">
        <v>6186</v>
      </c>
      <c r="G99" s="1" t="s">
        <v>6541</v>
      </c>
      <c r="H99" s="1" t="s">
        <v>6089</v>
      </c>
      <c r="I99" s="1"/>
      <c r="J99" s="1"/>
      <c r="K99" s="1" t="s">
        <v>6090</v>
      </c>
      <c r="L99" s="1" t="s">
        <v>6603</v>
      </c>
      <c r="M99" s="1" t="s">
        <v>6604</v>
      </c>
      <c r="N99" s="1"/>
      <c r="O99" s="1"/>
      <c r="P99" s="1"/>
      <c r="Q99" s="1"/>
      <c r="R99" s="1"/>
      <c r="S99" s="1"/>
      <c r="T99" s="1"/>
      <c r="U99" s="1"/>
      <c r="V99" s="1"/>
      <c r="W99" s="1"/>
    </row>
    <row r="100" spans="1:23" ht="48" customHeight="1">
      <c r="A100" s="1" t="s">
        <v>4762</v>
      </c>
      <c r="B100" s="1" t="s">
        <v>6189</v>
      </c>
      <c r="C100" s="1" t="s">
        <v>4747</v>
      </c>
      <c r="D100" s="1" t="s">
        <v>4747</v>
      </c>
      <c r="E100" s="1" t="s">
        <v>4747</v>
      </c>
      <c r="F100" s="1" t="s">
        <v>6186</v>
      </c>
      <c r="G100" s="1" t="s">
        <v>6541</v>
      </c>
      <c r="H100" s="1" t="s">
        <v>6089</v>
      </c>
      <c r="I100" s="1"/>
      <c r="J100" s="1"/>
      <c r="K100" s="1" t="s">
        <v>6090</v>
      </c>
      <c r="L100" s="1" t="s">
        <v>6605</v>
      </c>
      <c r="M100" s="1" t="s">
        <v>6606</v>
      </c>
      <c r="N100" s="1"/>
      <c r="O100" s="1"/>
      <c r="P100" s="1"/>
      <c r="Q100" s="1"/>
      <c r="R100" s="1"/>
      <c r="S100" s="1"/>
      <c r="T100" s="1"/>
      <c r="U100" s="1"/>
      <c r="V100" s="1"/>
      <c r="W100" s="1"/>
    </row>
    <row r="101" spans="1:23" ht="48" customHeight="1">
      <c r="A101" s="1" t="s">
        <v>4762</v>
      </c>
      <c r="B101" s="1" t="s">
        <v>6196</v>
      </c>
      <c r="C101" s="1" t="s">
        <v>6197</v>
      </c>
      <c r="D101" s="1" t="s">
        <v>4747</v>
      </c>
      <c r="E101" s="1"/>
      <c r="F101" s="1" t="s">
        <v>6110</v>
      </c>
      <c r="G101" s="1" t="s">
        <v>6541</v>
      </c>
      <c r="H101" s="1" t="s">
        <v>6089</v>
      </c>
      <c r="I101" s="1"/>
      <c r="J101" s="1"/>
      <c r="K101" s="1" t="s">
        <v>6090</v>
      </c>
      <c r="L101" s="1" t="s">
        <v>6607</v>
      </c>
      <c r="M101" s="1" t="s">
        <v>6608</v>
      </c>
      <c r="N101" s="1"/>
      <c r="O101" s="1"/>
      <c r="P101" s="1"/>
      <c r="Q101" s="1"/>
      <c r="R101" s="1"/>
      <c r="S101" s="1"/>
      <c r="T101" s="1"/>
      <c r="U101" s="1"/>
      <c r="V101" s="1"/>
      <c r="W101" s="1"/>
    </row>
    <row r="102" spans="1:23" ht="48" customHeight="1">
      <c r="A102" s="1" t="s">
        <v>4762</v>
      </c>
      <c r="B102" s="1" t="s">
        <v>6200</v>
      </c>
      <c r="C102" s="1" t="s">
        <v>4747</v>
      </c>
      <c r="D102" s="1" t="s">
        <v>4747</v>
      </c>
      <c r="E102" s="1" t="s">
        <v>4747</v>
      </c>
      <c r="F102" s="1" t="s">
        <v>6186</v>
      </c>
      <c r="G102" s="1" t="s">
        <v>6541</v>
      </c>
      <c r="H102" s="1" t="s">
        <v>6089</v>
      </c>
      <c r="I102" s="1"/>
      <c r="J102" s="1"/>
      <c r="K102" s="1" t="s">
        <v>6090</v>
      </c>
      <c r="L102" s="1" t="s">
        <v>6609</v>
      </c>
      <c r="M102" s="1" t="s">
        <v>6610</v>
      </c>
      <c r="N102" s="1"/>
      <c r="O102" s="1"/>
      <c r="P102" s="1"/>
      <c r="Q102" s="1"/>
      <c r="R102" s="1"/>
      <c r="S102" s="1"/>
      <c r="T102" s="1"/>
      <c r="U102" s="1"/>
      <c r="V102" s="1"/>
      <c r="W102" s="1"/>
    </row>
    <row r="103" spans="1:23" ht="48" customHeight="1">
      <c r="A103" s="1" t="s">
        <v>4762</v>
      </c>
      <c r="B103" s="1" t="s">
        <v>5583</v>
      </c>
      <c r="C103" s="1" t="s">
        <v>4747</v>
      </c>
      <c r="D103" s="1" t="s">
        <v>4747</v>
      </c>
      <c r="E103" s="1" t="s">
        <v>4747</v>
      </c>
      <c r="F103" s="1" t="s">
        <v>6186</v>
      </c>
      <c r="G103" s="1" t="s">
        <v>6541</v>
      </c>
      <c r="H103" s="1" t="s">
        <v>6089</v>
      </c>
      <c r="I103" s="1"/>
      <c r="J103" s="1"/>
      <c r="K103" s="1" t="s">
        <v>6090</v>
      </c>
      <c r="L103" s="1" t="s">
        <v>6611</v>
      </c>
      <c r="M103" s="1" t="s">
        <v>6612</v>
      </c>
      <c r="N103" s="1"/>
      <c r="O103" s="1"/>
      <c r="P103" s="1"/>
      <c r="Q103" s="1"/>
      <c r="R103" s="1"/>
      <c r="S103" s="1"/>
      <c r="T103" s="1"/>
      <c r="U103" s="1"/>
      <c r="V103" s="1"/>
      <c r="W103" s="1"/>
    </row>
    <row r="104" spans="1:23" ht="48" customHeight="1">
      <c r="A104" s="1" t="s">
        <v>4762</v>
      </c>
      <c r="B104" s="1" t="s">
        <v>6209</v>
      </c>
      <c r="C104" s="1" t="s">
        <v>4747</v>
      </c>
      <c r="D104" s="1" t="s">
        <v>4747</v>
      </c>
      <c r="E104" s="1" t="s">
        <v>4747</v>
      </c>
      <c r="F104" s="1" t="s">
        <v>6186</v>
      </c>
      <c r="G104" s="1" t="s">
        <v>6541</v>
      </c>
      <c r="H104" s="1" t="s">
        <v>6089</v>
      </c>
      <c r="I104" s="1"/>
      <c r="J104" s="1"/>
      <c r="K104" s="1" t="s">
        <v>6090</v>
      </c>
      <c r="L104" s="1" t="s">
        <v>6613</v>
      </c>
      <c r="M104" s="1" t="s">
        <v>6614</v>
      </c>
      <c r="N104" s="1"/>
      <c r="O104" s="1"/>
      <c r="P104" s="1"/>
      <c r="Q104" s="1"/>
      <c r="R104" s="1"/>
      <c r="S104" s="1"/>
      <c r="T104" s="1"/>
      <c r="U104" s="1"/>
      <c r="V104" s="1"/>
      <c r="W104" s="1"/>
    </row>
    <row r="105" spans="1:23" ht="48" customHeight="1">
      <c r="A105" s="1" t="s">
        <v>4762</v>
      </c>
      <c r="B105" s="1" t="s">
        <v>6212</v>
      </c>
      <c r="C105" s="1" t="s">
        <v>4747</v>
      </c>
      <c r="D105" s="1" t="s">
        <v>4747</v>
      </c>
      <c r="E105" s="1" t="s">
        <v>4747</v>
      </c>
      <c r="F105" s="1" t="s">
        <v>6186</v>
      </c>
      <c r="G105" s="1" t="s">
        <v>6541</v>
      </c>
      <c r="H105" s="1" t="s">
        <v>6089</v>
      </c>
      <c r="I105" s="1"/>
      <c r="J105" s="1"/>
      <c r="K105" s="1" t="s">
        <v>6090</v>
      </c>
      <c r="L105" s="1" t="s">
        <v>6615</v>
      </c>
      <c r="M105" s="1" t="s">
        <v>6616</v>
      </c>
      <c r="N105" s="1"/>
      <c r="O105" s="1"/>
      <c r="P105" s="1"/>
      <c r="Q105" s="1"/>
      <c r="R105" s="1"/>
      <c r="S105" s="1"/>
      <c r="T105" s="1"/>
      <c r="U105" s="1"/>
      <c r="V105" s="1"/>
      <c r="W105" s="1"/>
    </row>
    <row r="106" spans="1:23" ht="48" customHeight="1">
      <c r="A106" s="1" t="s">
        <v>4762</v>
      </c>
      <c r="B106" s="1" t="s">
        <v>6215</v>
      </c>
      <c r="C106" s="1"/>
      <c r="D106" s="1" t="s">
        <v>4747</v>
      </c>
      <c r="E106" s="1"/>
      <c r="F106" s="1" t="s">
        <v>6216</v>
      </c>
      <c r="G106" s="1"/>
      <c r="H106" s="1" t="s">
        <v>6089</v>
      </c>
      <c r="I106" s="1"/>
      <c r="J106" s="1"/>
      <c r="K106" s="1" t="s">
        <v>6090</v>
      </c>
      <c r="L106" s="1"/>
      <c r="M106" s="1" t="s">
        <v>6617</v>
      </c>
      <c r="N106" s="1"/>
      <c r="O106" s="1"/>
      <c r="P106" s="1"/>
      <c r="Q106" s="1"/>
      <c r="R106" s="1"/>
      <c r="S106" s="1"/>
      <c r="T106" s="1"/>
      <c r="U106" s="1"/>
      <c r="V106" s="1"/>
      <c r="W106" s="1"/>
    </row>
    <row r="107" spans="1:23" ht="48" customHeight="1">
      <c r="A107" s="1" t="s">
        <v>4762</v>
      </c>
      <c r="B107" s="1" t="s">
        <v>6218</v>
      </c>
      <c r="C107" s="1" t="s">
        <v>4747</v>
      </c>
      <c r="D107" s="1" t="s">
        <v>4747</v>
      </c>
      <c r="E107" s="1" t="s">
        <v>4747</v>
      </c>
      <c r="F107" s="1" t="s">
        <v>6186</v>
      </c>
      <c r="G107" s="1" t="s">
        <v>6541</v>
      </c>
      <c r="H107" s="1" t="s">
        <v>6089</v>
      </c>
      <c r="I107" s="1"/>
      <c r="J107" s="1"/>
      <c r="K107" s="1" t="s">
        <v>6090</v>
      </c>
      <c r="L107" s="1" t="s">
        <v>6618</v>
      </c>
      <c r="M107" s="1" t="s">
        <v>6619</v>
      </c>
      <c r="N107" s="1"/>
      <c r="O107" s="1"/>
      <c r="P107" s="1"/>
      <c r="Q107" s="1"/>
      <c r="R107" s="1"/>
      <c r="S107" s="1"/>
      <c r="T107" s="1"/>
      <c r="U107" s="1"/>
      <c r="V107" s="1"/>
      <c r="W107" s="1"/>
    </row>
    <row r="108" spans="1:23" ht="48" customHeight="1">
      <c r="A108" s="1" t="s">
        <v>4762</v>
      </c>
      <c r="B108" s="1" t="s">
        <v>6222</v>
      </c>
      <c r="C108" s="1" t="s">
        <v>6620</v>
      </c>
      <c r="D108" s="1" t="s">
        <v>6621</v>
      </c>
      <c r="E108" s="1"/>
      <c r="F108" s="1" t="s">
        <v>6110</v>
      </c>
      <c r="G108" s="1" t="s">
        <v>6541</v>
      </c>
      <c r="H108" s="1" t="s">
        <v>6089</v>
      </c>
      <c r="I108" s="1"/>
      <c r="J108" s="1"/>
      <c r="K108" s="1" t="s">
        <v>6090</v>
      </c>
      <c r="L108" s="1" t="s">
        <v>6622</v>
      </c>
      <c r="M108" s="1" t="s">
        <v>6623</v>
      </c>
      <c r="N108" s="1"/>
      <c r="O108" s="1"/>
      <c r="P108" s="1"/>
      <c r="Q108" s="1"/>
      <c r="R108" s="1"/>
      <c r="S108" s="1"/>
      <c r="T108" s="1"/>
      <c r="U108" s="1"/>
      <c r="V108" s="1"/>
      <c r="W108" s="1"/>
    </row>
    <row r="109" spans="1:23" ht="48" customHeight="1">
      <c r="A109" s="1" t="s">
        <v>4762</v>
      </c>
      <c r="B109" s="1" t="s">
        <v>6227</v>
      </c>
      <c r="C109" s="1" t="s">
        <v>6624</v>
      </c>
      <c r="D109" s="1" t="s">
        <v>4747</v>
      </c>
      <c r="E109" s="1"/>
      <c r="F109" s="1" t="s">
        <v>6110</v>
      </c>
      <c r="G109" s="1" t="s">
        <v>6541</v>
      </c>
      <c r="H109" s="1" t="s">
        <v>6089</v>
      </c>
      <c r="I109" s="1"/>
      <c r="J109" s="1"/>
      <c r="K109" s="1" t="s">
        <v>6090</v>
      </c>
      <c r="L109" s="1" t="s">
        <v>6625</v>
      </c>
      <c r="M109" s="1" t="s">
        <v>6626</v>
      </c>
      <c r="N109" s="1"/>
      <c r="O109" s="1"/>
      <c r="P109" s="1"/>
      <c r="Q109" s="1"/>
      <c r="R109" s="1"/>
      <c r="S109" s="1"/>
      <c r="T109" s="1"/>
      <c r="U109" s="1"/>
      <c r="V109" s="1"/>
      <c r="W109" s="1"/>
    </row>
    <row r="110" spans="1:23" ht="48" customHeight="1">
      <c r="A110" s="1" t="s">
        <v>4762</v>
      </c>
      <c r="B110" s="1" t="s">
        <v>6232</v>
      </c>
      <c r="C110" s="1" t="s">
        <v>4747</v>
      </c>
      <c r="D110" s="1" t="s">
        <v>6627</v>
      </c>
      <c r="E110" s="1"/>
      <c r="F110" s="1" t="s">
        <v>6110</v>
      </c>
      <c r="G110" s="1" t="s">
        <v>6541</v>
      </c>
      <c r="H110" s="1" t="s">
        <v>6089</v>
      </c>
      <c r="I110" s="1"/>
      <c r="J110" s="1"/>
      <c r="K110" s="1" t="s">
        <v>6090</v>
      </c>
      <c r="L110" s="1" t="s">
        <v>6628</v>
      </c>
      <c r="M110" s="1" t="s">
        <v>6629</v>
      </c>
      <c r="N110" s="1"/>
      <c r="O110" s="1"/>
      <c r="P110" s="1"/>
      <c r="Q110" s="1"/>
      <c r="R110" s="1"/>
      <c r="S110" s="1"/>
      <c r="T110" s="1"/>
      <c r="U110" s="1"/>
      <c r="V110" s="1"/>
      <c r="W110" s="1"/>
    </row>
    <row r="111" spans="1:23" ht="60" customHeight="1">
      <c r="A111" s="1" t="s">
        <v>4762</v>
      </c>
      <c r="B111" s="1" t="s">
        <v>6236</v>
      </c>
      <c r="C111" s="1" t="s">
        <v>6630</v>
      </c>
      <c r="D111" s="1" t="s">
        <v>6631</v>
      </c>
      <c r="E111" s="1" t="s">
        <v>6632</v>
      </c>
      <c r="F111" s="1" t="s">
        <v>6163</v>
      </c>
      <c r="G111" s="1" t="s">
        <v>6541</v>
      </c>
      <c r="H111" s="1" t="s">
        <v>6089</v>
      </c>
      <c r="I111" s="1"/>
      <c r="J111" s="1"/>
      <c r="K111" s="1" t="s">
        <v>6090</v>
      </c>
      <c r="L111" s="1" t="s">
        <v>6633</v>
      </c>
      <c r="M111" s="1" t="s">
        <v>6634</v>
      </c>
      <c r="N111" s="1"/>
      <c r="O111" s="1"/>
      <c r="P111" s="1"/>
      <c r="Q111" s="1"/>
      <c r="R111" s="1" t="s">
        <v>6635</v>
      </c>
      <c r="S111" s="1" t="s">
        <v>6636</v>
      </c>
      <c r="T111" s="1" t="s">
        <v>6547</v>
      </c>
      <c r="U111" s="1" t="s">
        <v>6096</v>
      </c>
      <c r="V111" s="1" t="s">
        <v>6244</v>
      </c>
      <c r="W111" s="1" t="s">
        <v>6548</v>
      </c>
    </row>
    <row r="112" spans="1:23" ht="48" customHeight="1">
      <c r="A112" s="1" t="s">
        <v>4762</v>
      </c>
      <c r="B112" s="1" t="s">
        <v>6245</v>
      </c>
      <c r="C112" s="1" t="s">
        <v>6637</v>
      </c>
      <c r="D112" s="1"/>
      <c r="E112" s="1"/>
      <c r="F112" s="1" t="s">
        <v>6216</v>
      </c>
      <c r="G112" s="1" t="s">
        <v>6541</v>
      </c>
      <c r="H112" s="1"/>
      <c r="I112" s="1"/>
      <c r="J112" s="1"/>
      <c r="K112" s="1" t="s">
        <v>6090</v>
      </c>
      <c r="L112" s="1" t="s">
        <v>6638</v>
      </c>
      <c r="M112" s="1"/>
      <c r="N112" s="1"/>
      <c r="O112" s="1"/>
      <c r="P112" s="1"/>
      <c r="Q112" s="1"/>
      <c r="R112" s="1"/>
      <c r="S112" s="1"/>
      <c r="T112" s="1"/>
      <c r="U112" s="1"/>
      <c r="V112" s="1"/>
      <c r="W112" s="1"/>
    </row>
    <row r="113" spans="1:23" ht="48" customHeight="1">
      <c r="A113" s="1" t="s">
        <v>4762</v>
      </c>
      <c r="B113" s="1" t="s">
        <v>6248</v>
      </c>
      <c r="C113" s="1" t="s">
        <v>6639</v>
      </c>
      <c r="D113" s="1"/>
      <c r="E113" s="1"/>
      <c r="F113" s="1" t="s">
        <v>6216</v>
      </c>
      <c r="G113" s="1" t="s">
        <v>6541</v>
      </c>
      <c r="H113" s="1"/>
      <c r="I113" s="1"/>
      <c r="J113" s="1"/>
      <c r="K113" s="1" t="s">
        <v>6090</v>
      </c>
      <c r="L113" s="1" t="s">
        <v>6640</v>
      </c>
      <c r="M113" s="1"/>
      <c r="N113" s="1"/>
      <c r="O113" s="1"/>
      <c r="P113" s="1"/>
      <c r="Q113" s="1"/>
      <c r="R113" s="1"/>
      <c r="S113" s="1"/>
      <c r="T113" s="1"/>
      <c r="U113" s="1"/>
      <c r="V113" s="1"/>
      <c r="W113" s="1"/>
    </row>
    <row r="114" spans="1:23" ht="48" customHeight="1">
      <c r="A114" s="1" t="s">
        <v>5845</v>
      </c>
      <c r="B114" s="1" t="s">
        <v>6083</v>
      </c>
      <c r="C114" s="1" t="s">
        <v>6641</v>
      </c>
      <c r="D114" s="1" t="s">
        <v>6642</v>
      </c>
      <c r="E114" s="1" t="s">
        <v>6643</v>
      </c>
      <c r="F114" s="1" t="s">
        <v>6087</v>
      </c>
      <c r="G114" s="1" t="s">
        <v>6644</v>
      </c>
      <c r="H114" s="1" t="s">
        <v>6089</v>
      </c>
      <c r="I114" s="1"/>
      <c r="J114" s="1"/>
      <c r="K114" s="1" t="s">
        <v>6090</v>
      </c>
      <c r="L114" s="1" t="s">
        <v>6645</v>
      </c>
      <c r="M114" s="1" t="s">
        <v>6646</v>
      </c>
      <c r="N114" s="1"/>
      <c r="O114" s="1"/>
      <c r="P114" s="1"/>
      <c r="Q114" s="1"/>
      <c r="R114" s="1" t="s">
        <v>6647</v>
      </c>
      <c r="S114" s="1" t="s">
        <v>6648</v>
      </c>
      <c r="T114" s="1" t="s">
        <v>6649</v>
      </c>
      <c r="U114" s="1" t="s">
        <v>6096</v>
      </c>
      <c r="V114" s="1" t="s">
        <v>6097</v>
      </c>
      <c r="W114" s="1" t="s">
        <v>6650</v>
      </c>
    </row>
    <row r="115" spans="1:23" ht="48" customHeight="1">
      <c r="A115" s="1" t="s">
        <v>5845</v>
      </c>
      <c r="B115" s="1" t="s">
        <v>6099</v>
      </c>
      <c r="C115" s="1" t="s">
        <v>6651</v>
      </c>
      <c r="D115" s="1" t="s">
        <v>6652</v>
      </c>
      <c r="E115" s="1" t="s">
        <v>6102</v>
      </c>
      <c r="F115" s="1" t="s">
        <v>6087</v>
      </c>
      <c r="G115" s="1" t="s">
        <v>6644</v>
      </c>
      <c r="H115" s="1" t="s">
        <v>6089</v>
      </c>
      <c r="I115" s="1"/>
      <c r="J115" s="1"/>
      <c r="K115" s="1" t="s">
        <v>6090</v>
      </c>
      <c r="L115" s="1" t="s">
        <v>6653</v>
      </c>
      <c r="M115" s="1" t="s">
        <v>6654</v>
      </c>
      <c r="N115" s="1"/>
      <c r="O115" s="1"/>
      <c r="P115" s="1"/>
      <c r="Q115" s="1"/>
      <c r="R115" s="1" t="s">
        <v>6655</v>
      </c>
      <c r="S115" s="1" t="s">
        <v>6656</v>
      </c>
      <c r="T115" s="1" t="s">
        <v>6649</v>
      </c>
      <c r="U115" s="1" t="s">
        <v>6096</v>
      </c>
      <c r="V115" s="1" t="s">
        <v>6097</v>
      </c>
      <c r="W115" s="1" t="s">
        <v>6650</v>
      </c>
    </row>
    <row r="116" spans="1:23" ht="48" customHeight="1">
      <c r="A116" s="1" t="s">
        <v>5845</v>
      </c>
      <c r="B116" s="1" t="s">
        <v>6107</v>
      </c>
      <c r="C116" s="1" t="s">
        <v>6657</v>
      </c>
      <c r="D116" s="1" t="s">
        <v>6658</v>
      </c>
      <c r="E116" s="1"/>
      <c r="F116" s="1" t="s">
        <v>6110</v>
      </c>
      <c r="G116" s="1" t="s">
        <v>6644</v>
      </c>
      <c r="H116" s="1" t="s">
        <v>6089</v>
      </c>
      <c r="I116" s="1"/>
      <c r="J116" s="1"/>
      <c r="K116" s="1" t="s">
        <v>6090</v>
      </c>
      <c r="L116" s="1" t="s">
        <v>6659</v>
      </c>
      <c r="M116" s="1" t="s">
        <v>6660</v>
      </c>
      <c r="N116" s="1"/>
      <c r="O116" s="1"/>
      <c r="P116" s="1"/>
      <c r="Q116" s="1"/>
      <c r="R116" s="1"/>
      <c r="S116" s="1"/>
      <c r="T116" s="1"/>
      <c r="U116" s="1"/>
      <c r="V116" s="1"/>
      <c r="W116" s="1"/>
    </row>
    <row r="117" spans="1:23" ht="48" customHeight="1">
      <c r="A117" s="1" t="s">
        <v>5845</v>
      </c>
      <c r="B117" s="1" t="s">
        <v>6113</v>
      </c>
      <c r="C117" s="1" t="s">
        <v>6661</v>
      </c>
      <c r="D117" s="1" t="s">
        <v>6662</v>
      </c>
      <c r="E117" s="1"/>
      <c r="F117" s="1" t="s">
        <v>6110</v>
      </c>
      <c r="G117" s="1" t="s">
        <v>6644</v>
      </c>
      <c r="H117" s="1" t="s">
        <v>6089</v>
      </c>
      <c r="I117" s="1"/>
      <c r="J117" s="1"/>
      <c r="K117" s="1" t="s">
        <v>6090</v>
      </c>
      <c r="L117" s="1" t="s">
        <v>6663</v>
      </c>
      <c r="M117" s="1" t="s">
        <v>6664</v>
      </c>
      <c r="N117" s="1"/>
      <c r="O117" s="1"/>
      <c r="P117" s="1"/>
      <c r="Q117" s="1"/>
      <c r="R117" s="1"/>
      <c r="S117" s="1"/>
      <c r="T117" s="1"/>
      <c r="U117" s="1"/>
      <c r="V117" s="1"/>
      <c r="W117" s="1"/>
    </row>
    <row r="118" spans="1:23" ht="48" customHeight="1">
      <c r="A118" s="1" t="s">
        <v>5845</v>
      </c>
      <c r="B118" s="1" t="s">
        <v>6118</v>
      </c>
      <c r="C118" s="1" t="s">
        <v>6665</v>
      </c>
      <c r="D118" s="1" t="s">
        <v>6666</v>
      </c>
      <c r="E118" s="1" t="s">
        <v>6667</v>
      </c>
      <c r="F118" s="1" t="s">
        <v>6087</v>
      </c>
      <c r="G118" s="1" t="s">
        <v>6644</v>
      </c>
      <c r="H118" s="1" t="s">
        <v>6089</v>
      </c>
      <c r="I118" s="1"/>
      <c r="J118" s="1"/>
      <c r="K118" s="1" t="s">
        <v>6090</v>
      </c>
      <c r="L118" s="1" t="s">
        <v>6668</v>
      </c>
      <c r="M118" s="1" t="s">
        <v>6669</v>
      </c>
      <c r="N118" s="1"/>
      <c r="O118" s="1"/>
      <c r="P118" s="1"/>
      <c r="Q118" s="1"/>
      <c r="R118" s="1" t="s">
        <v>6670</v>
      </c>
      <c r="S118" s="1" t="s">
        <v>6671</v>
      </c>
      <c r="T118" s="1" t="s">
        <v>6649</v>
      </c>
      <c r="U118" s="1" t="s">
        <v>6096</v>
      </c>
      <c r="V118" s="1" t="s">
        <v>6097</v>
      </c>
      <c r="W118" s="1" t="s">
        <v>6650</v>
      </c>
    </row>
    <row r="119" spans="1:23" ht="48" customHeight="1">
      <c r="A119" s="1" t="s">
        <v>5845</v>
      </c>
      <c r="B119" s="1" t="s">
        <v>6126</v>
      </c>
      <c r="C119" s="1" t="s">
        <v>6672</v>
      </c>
      <c r="D119" s="1" t="s">
        <v>6673</v>
      </c>
      <c r="E119" s="1" t="s">
        <v>6129</v>
      </c>
      <c r="F119" s="1" t="s">
        <v>6087</v>
      </c>
      <c r="G119" s="1" t="s">
        <v>6644</v>
      </c>
      <c r="H119" s="1" t="s">
        <v>6089</v>
      </c>
      <c r="I119" s="1"/>
      <c r="J119" s="1"/>
      <c r="K119" s="1" t="s">
        <v>6090</v>
      </c>
      <c r="L119" s="1" t="s">
        <v>6674</v>
      </c>
      <c r="M119" s="1" t="s">
        <v>6675</v>
      </c>
      <c r="N119" s="1"/>
      <c r="O119" s="1"/>
      <c r="P119" s="1"/>
      <c r="Q119" s="1"/>
      <c r="R119" s="1" t="s">
        <v>6676</v>
      </c>
      <c r="S119" s="1" t="s">
        <v>6677</v>
      </c>
      <c r="T119" s="1" t="s">
        <v>6649</v>
      </c>
      <c r="U119" s="1" t="s">
        <v>6096</v>
      </c>
      <c r="V119" s="1" t="s">
        <v>6097</v>
      </c>
      <c r="W119" s="1" t="s">
        <v>6650</v>
      </c>
    </row>
    <row r="120" spans="1:23" ht="48" customHeight="1">
      <c r="A120" s="1" t="s">
        <v>5845</v>
      </c>
      <c r="B120" s="1" t="s">
        <v>6134</v>
      </c>
      <c r="C120" s="1" t="s">
        <v>6678</v>
      </c>
      <c r="D120" s="1" t="s">
        <v>6679</v>
      </c>
      <c r="E120" s="1" t="s">
        <v>6680</v>
      </c>
      <c r="F120" s="1" t="s">
        <v>6138</v>
      </c>
      <c r="G120" s="1" t="s">
        <v>6644</v>
      </c>
      <c r="H120" s="1" t="s">
        <v>6089</v>
      </c>
      <c r="I120" s="1"/>
      <c r="J120" s="1"/>
      <c r="K120" s="1" t="s">
        <v>6090</v>
      </c>
      <c r="L120" s="1" t="s">
        <v>6681</v>
      </c>
      <c r="M120" s="1" t="s">
        <v>6682</v>
      </c>
      <c r="N120" s="1"/>
      <c r="O120" s="1"/>
      <c r="P120" s="1"/>
      <c r="Q120" s="1"/>
      <c r="R120" s="1" t="s">
        <v>6683</v>
      </c>
      <c r="S120" s="1" t="s">
        <v>6684</v>
      </c>
      <c r="T120" s="1" t="s">
        <v>6649</v>
      </c>
      <c r="U120" s="1" t="s">
        <v>6096</v>
      </c>
      <c r="V120" s="1" t="s">
        <v>6143</v>
      </c>
      <c r="W120" s="1" t="s">
        <v>6650</v>
      </c>
    </row>
    <row r="121" spans="1:23" ht="48" customHeight="1">
      <c r="A121" s="1" t="s">
        <v>5845</v>
      </c>
      <c r="B121" s="1" t="s">
        <v>6144</v>
      </c>
      <c r="C121" s="1" t="s">
        <v>6685</v>
      </c>
      <c r="D121" s="1" t="s">
        <v>4747</v>
      </c>
      <c r="E121" s="1" t="s">
        <v>6686</v>
      </c>
      <c r="F121" s="1" t="s">
        <v>6138</v>
      </c>
      <c r="G121" s="1" t="s">
        <v>6644</v>
      </c>
      <c r="H121" s="1" t="s">
        <v>6089</v>
      </c>
      <c r="I121" s="1"/>
      <c r="J121" s="1"/>
      <c r="K121" s="1" t="s">
        <v>6090</v>
      </c>
      <c r="L121" s="1" t="s">
        <v>6687</v>
      </c>
      <c r="M121" s="1" t="s">
        <v>6688</v>
      </c>
      <c r="N121" s="1"/>
      <c r="O121" s="1"/>
      <c r="P121" s="1"/>
      <c r="Q121" s="1"/>
      <c r="R121" s="1" t="s">
        <v>6683</v>
      </c>
      <c r="S121" s="1" t="s">
        <v>6684</v>
      </c>
      <c r="T121" s="1" t="s">
        <v>6649</v>
      </c>
      <c r="U121" s="1" t="s">
        <v>6096</v>
      </c>
      <c r="V121" s="1" t="s">
        <v>6143</v>
      </c>
      <c r="W121" s="1" t="s">
        <v>6650</v>
      </c>
    </row>
    <row r="122" spans="1:23" ht="60" customHeight="1">
      <c r="A122" s="1" t="s">
        <v>5845</v>
      </c>
      <c r="B122" s="1" t="s">
        <v>6149</v>
      </c>
      <c r="C122" s="1" t="s">
        <v>6689</v>
      </c>
      <c r="D122" s="1" t="s">
        <v>6690</v>
      </c>
      <c r="E122" s="1" t="s">
        <v>6691</v>
      </c>
      <c r="F122" s="1" t="s">
        <v>6138</v>
      </c>
      <c r="G122" s="1" t="s">
        <v>6644</v>
      </c>
      <c r="H122" s="1" t="s">
        <v>6089</v>
      </c>
      <c r="I122" s="1"/>
      <c r="J122" s="1"/>
      <c r="K122" s="1" t="s">
        <v>6090</v>
      </c>
      <c r="L122" s="1" t="s">
        <v>6692</v>
      </c>
      <c r="M122" s="1" t="s">
        <v>6693</v>
      </c>
      <c r="N122" s="1"/>
      <c r="O122" s="1"/>
      <c r="P122" s="1"/>
      <c r="Q122" s="1"/>
      <c r="R122" s="1" t="s">
        <v>6683</v>
      </c>
      <c r="S122" s="1" t="s">
        <v>6684</v>
      </c>
      <c r="T122" s="1" t="s">
        <v>6649</v>
      </c>
      <c r="U122" s="1" t="s">
        <v>6096</v>
      </c>
      <c r="V122" s="1" t="s">
        <v>6143</v>
      </c>
      <c r="W122" s="1" t="s">
        <v>6650</v>
      </c>
    </row>
    <row r="123" spans="1:23" ht="48" customHeight="1">
      <c r="A123" s="1" t="s">
        <v>5845</v>
      </c>
      <c r="B123" s="1" t="s">
        <v>6154</v>
      </c>
      <c r="C123" s="1" t="s">
        <v>6694</v>
      </c>
      <c r="D123" s="1" t="s">
        <v>6695</v>
      </c>
      <c r="E123" s="1" t="s">
        <v>6696</v>
      </c>
      <c r="F123" s="1" t="s">
        <v>6138</v>
      </c>
      <c r="G123" s="1" t="s">
        <v>6644</v>
      </c>
      <c r="H123" s="1" t="s">
        <v>6089</v>
      </c>
      <c r="I123" s="1"/>
      <c r="J123" s="1"/>
      <c r="K123" s="1" t="s">
        <v>6090</v>
      </c>
      <c r="L123" s="1" t="s">
        <v>6697</v>
      </c>
      <c r="M123" s="1" t="s">
        <v>6698</v>
      </c>
      <c r="N123" s="1"/>
      <c r="O123" s="1"/>
      <c r="P123" s="1"/>
      <c r="Q123" s="1"/>
      <c r="R123" s="1" t="s">
        <v>6683</v>
      </c>
      <c r="S123" s="1" t="s">
        <v>6684</v>
      </c>
      <c r="T123" s="1" t="s">
        <v>6649</v>
      </c>
      <c r="U123" s="1" t="s">
        <v>6096</v>
      </c>
      <c r="V123" s="1" t="s">
        <v>6143</v>
      </c>
      <c r="W123" s="1" t="s">
        <v>6650</v>
      </c>
    </row>
    <row r="124" spans="1:23" ht="48" customHeight="1">
      <c r="A124" s="1" t="s">
        <v>5845</v>
      </c>
      <c r="B124" s="1" t="s">
        <v>6159</v>
      </c>
      <c r="C124" s="1" t="s">
        <v>4747</v>
      </c>
      <c r="D124" s="1" t="s">
        <v>4747</v>
      </c>
      <c r="E124" s="1" t="s">
        <v>4747</v>
      </c>
      <c r="F124" s="1" t="s">
        <v>6186</v>
      </c>
      <c r="G124" s="1" t="s">
        <v>6644</v>
      </c>
      <c r="H124" s="1" t="s">
        <v>6089</v>
      </c>
      <c r="I124" s="1"/>
      <c r="J124" s="1"/>
      <c r="K124" s="1" t="s">
        <v>6090</v>
      </c>
      <c r="L124" s="1" t="s">
        <v>6699</v>
      </c>
      <c r="M124" s="1" t="s">
        <v>6700</v>
      </c>
      <c r="N124" s="1"/>
      <c r="O124" s="1"/>
      <c r="P124" s="1"/>
      <c r="Q124" s="1"/>
      <c r="R124" s="1"/>
      <c r="S124" s="1"/>
      <c r="T124" s="1"/>
      <c r="U124" s="1"/>
      <c r="V124" s="1"/>
      <c r="W124" s="1"/>
    </row>
    <row r="125" spans="1:23" ht="48" customHeight="1">
      <c r="A125" s="1" t="s">
        <v>5845</v>
      </c>
      <c r="B125" s="1" t="s">
        <v>6169</v>
      </c>
      <c r="C125" s="1" t="s">
        <v>4747</v>
      </c>
      <c r="D125" s="1" t="s">
        <v>4747</v>
      </c>
      <c r="E125" s="1" t="s">
        <v>4747</v>
      </c>
      <c r="F125" s="1" t="s">
        <v>6186</v>
      </c>
      <c r="G125" s="1" t="s">
        <v>6644</v>
      </c>
      <c r="H125" s="1" t="s">
        <v>6089</v>
      </c>
      <c r="I125" s="1"/>
      <c r="J125" s="1"/>
      <c r="K125" s="1" t="s">
        <v>6090</v>
      </c>
      <c r="L125" s="1" t="s">
        <v>6701</v>
      </c>
      <c r="M125" s="1" t="s">
        <v>6702</v>
      </c>
      <c r="N125" s="1"/>
      <c r="O125" s="1"/>
      <c r="P125" s="1"/>
      <c r="Q125" s="1"/>
      <c r="R125" s="1"/>
      <c r="S125" s="1"/>
      <c r="T125" s="1"/>
      <c r="U125" s="1"/>
      <c r="V125" s="1"/>
      <c r="W125" s="1"/>
    </row>
    <row r="126" spans="1:23" ht="48" customHeight="1">
      <c r="A126" s="1" t="s">
        <v>5845</v>
      </c>
      <c r="B126" s="1" t="s">
        <v>6176</v>
      </c>
      <c r="C126" s="1" t="s">
        <v>4747</v>
      </c>
      <c r="D126" s="1" t="s">
        <v>4747</v>
      </c>
      <c r="E126" s="1" t="s">
        <v>4747</v>
      </c>
      <c r="F126" s="1" t="s">
        <v>6186</v>
      </c>
      <c r="G126" s="1" t="s">
        <v>6644</v>
      </c>
      <c r="H126" s="1" t="s">
        <v>6089</v>
      </c>
      <c r="I126" s="1"/>
      <c r="J126" s="1"/>
      <c r="K126" s="1" t="s">
        <v>6090</v>
      </c>
      <c r="L126" s="1" t="s">
        <v>6703</v>
      </c>
      <c r="M126" s="1" t="s">
        <v>6704</v>
      </c>
      <c r="N126" s="1"/>
      <c r="O126" s="1"/>
      <c r="P126" s="1"/>
      <c r="Q126" s="1"/>
      <c r="R126" s="1"/>
      <c r="S126" s="1"/>
      <c r="T126" s="1"/>
      <c r="U126" s="1"/>
      <c r="V126" s="1"/>
      <c r="W126" s="1"/>
    </row>
    <row r="127" spans="1:23" ht="48" customHeight="1">
      <c r="A127" s="1" t="s">
        <v>5845</v>
      </c>
      <c r="B127" s="1" t="s">
        <v>6185</v>
      </c>
      <c r="C127" s="1" t="s">
        <v>4747</v>
      </c>
      <c r="D127" s="1" t="s">
        <v>4747</v>
      </c>
      <c r="E127" s="1" t="s">
        <v>4747</v>
      </c>
      <c r="F127" s="1" t="s">
        <v>6186</v>
      </c>
      <c r="G127" s="1" t="s">
        <v>6644</v>
      </c>
      <c r="H127" s="1" t="s">
        <v>6089</v>
      </c>
      <c r="I127" s="1"/>
      <c r="J127" s="1"/>
      <c r="K127" s="1" t="s">
        <v>6090</v>
      </c>
      <c r="L127" s="1" t="s">
        <v>6705</v>
      </c>
      <c r="M127" s="1" t="s">
        <v>6706</v>
      </c>
      <c r="N127" s="1"/>
      <c r="O127" s="1"/>
      <c r="P127" s="1"/>
      <c r="Q127" s="1"/>
      <c r="R127" s="1"/>
      <c r="S127" s="1"/>
      <c r="T127" s="1"/>
      <c r="U127" s="1"/>
      <c r="V127" s="1"/>
      <c r="W127" s="1"/>
    </row>
    <row r="128" spans="1:23" ht="96" customHeight="1">
      <c r="A128" s="1" t="s">
        <v>5845</v>
      </c>
      <c r="B128" s="1" t="s">
        <v>6189</v>
      </c>
      <c r="C128" s="1" t="s">
        <v>6707</v>
      </c>
      <c r="D128" s="1" t="s">
        <v>6708</v>
      </c>
      <c r="E128" s="1" t="s">
        <v>6709</v>
      </c>
      <c r="F128" s="1" t="s">
        <v>6710</v>
      </c>
      <c r="G128" s="1" t="s">
        <v>6644</v>
      </c>
      <c r="H128" s="1" t="s">
        <v>6089</v>
      </c>
      <c r="I128" s="1"/>
      <c r="J128" s="1"/>
      <c r="K128" s="1" t="s">
        <v>6090</v>
      </c>
      <c r="L128" s="1" t="s">
        <v>6711</v>
      </c>
      <c r="M128" s="1" t="s">
        <v>6712</v>
      </c>
      <c r="N128" s="1"/>
      <c r="O128" s="1"/>
      <c r="P128" s="1"/>
      <c r="Q128" s="1"/>
      <c r="R128" s="1" t="s">
        <v>6713</v>
      </c>
      <c r="S128" s="1" t="s">
        <v>6714</v>
      </c>
      <c r="T128" s="1" t="s">
        <v>6649</v>
      </c>
      <c r="U128" s="1" t="s">
        <v>6096</v>
      </c>
      <c r="V128" s="1" t="s">
        <v>6184</v>
      </c>
      <c r="W128" s="1" t="s">
        <v>6650</v>
      </c>
    </row>
    <row r="129" spans="1:23" ht="48" customHeight="1">
      <c r="A129" s="1" t="s">
        <v>5845</v>
      </c>
      <c r="B129" s="1" t="s">
        <v>6196</v>
      </c>
      <c r="C129" s="1" t="s">
        <v>6197</v>
      </c>
      <c r="D129" s="1" t="s">
        <v>4747</v>
      </c>
      <c r="E129" s="1"/>
      <c r="F129" s="1" t="s">
        <v>6110</v>
      </c>
      <c r="G129" s="1" t="s">
        <v>6644</v>
      </c>
      <c r="H129" s="1" t="s">
        <v>6089</v>
      </c>
      <c r="I129" s="1"/>
      <c r="J129" s="1"/>
      <c r="K129" s="1" t="s">
        <v>6090</v>
      </c>
      <c r="L129" s="1" t="s">
        <v>6715</v>
      </c>
      <c r="M129" s="1" t="s">
        <v>6716</v>
      </c>
      <c r="N129" s="1"/>
      <c r="O129" s="1"/>
      <c r="P129" s="1"/>
      <c r="Q129" s="1"/>
      <c r="R129" s="1"/>
      <c r="S129" s="1"/>
      <c r="T129" s="1"/>
      <c r="U129" s="1"/>
      <c r="V129" s="1"/>
      <c r="W129" s="1"/>
    </row>
    <row r="130" spans="1:23" ht="60" customHeight="1">
      <c r="A130" s="1" t="s">
        <v>5845</v>
      </c>
      <c r="B130" s="1" t="s">
        <v>6200</v>
      </c>
      <c r="C130" s="1" t="s">
        <v>6717</v>
      </c>
      <c r="D130" s="1" t="s">
        <v>6718</v>
      </c>
      <c r="E130" s="1" t="s">
        <v>6719</v>
      </c>
      <c r="F130" s="1" t="s">
        <v>6349</v>
      </c>
      <c r="G130" s="1" t="s">
        <v>6644</v>
      </c>
      <c r="H130" s="1" t="s">
        <v>6089</v>
      </c>
      <c r="I130" s="1"/>
      <c r="J130" s="1"/>
      <c r="K130" s="1" t="s">
        <v>6090</v>
      </c>
      <c r="L130" s="1" t="s">
        <v>6720</v>
      </c>
      <c r="M130" s="1" t="s">
        <v>6721</v>
      </c>
      <c r="N130" s="1"/>
      <c r="O130" s="1"/>
      <c r="P130" s="1"/>
      <c r="Q130" s="1"/>
      <c r="R130" s="1" t="s">
        <v>6722</v>
      </c>
      <c r="S130" s="1" t="s">
        <v>6723</v>
      </c>
      <c r="T130" s="1" t="s">
        <v>6649</v>
      </c>
      <c r="U130" s="1" t="s">
        <v>6096</v>
      </c>
      <c r="V130" s="1" t="s">
        <v>6724</v>
      </c>
      <c r="W130" s="1" t="s">
        <v>6650</v>
      </c>
    </row>
    <row r="131" spans="1:23" ht="96" customHeight="1">
      <c r="A131" s="1" t="s">
        <v>5845</v>
      </c>
      <c r="B131" s="1" t="s">
        <v>5583</v>
      </c>
      <c r="C131" s="1" t="s">
        <v>6725</v>
      </c>
      <c r="D131" s="1" t="s">
        <v>4747</v>
      </c>
      <c r="E131" s="1" t="s">
        <v>6726</v>
      </c>
      <c r="F131" s="1" t="s">
        <v>6138</v>
      </c>
      <c r="G131" s="1" t="s">
        <v>6644</v>
      </c>
      <c r="H131" s="1" t="s">
        <v>6089</v>
      </c>
      <c r="I131" s="1"/>
      <c r="J131" s="1"/>
      <c r="K131" s="1" t="s">
        <v>6090</v>
      </c>
      <c r="L131" s="1" t="s">
        <v>6727</v>
      </c>
      <c r="M131" s="1" t="s">
        <v>6728</v>
      </c>
      <c r="N131" s="1"/>
      <c r="O131" s="1"/>
      <c r="P131" s="1"/>
      <c r="Q131" s="1"/>
      <c r="R131" s="1" t="s">
        <v>6729</v>
      </c>
      <c r="S131" s="1" t="s">
        <v>6730</v>
      </c>
      <c r="T131" s="1" t="s">
        <v>6649</v>
      </c>
      <c r="U131" s="1" t="s">
        <v>6096</v>
      </c>
      <c r="V131" s="1" t="s">
        <v>6184</v>
      </c>
      <c r="W131" s="1" t="s">
        <v>6650</v>
      </c>
    </row>
    <row r="132" spans="1:23" ht="48" customHeight="1">
      <c r="A132" s="1" t="s">
        <v>5845</v>
      </c>
      <c r="B132" s="1" t="s">
        <v>6209</v>
      </c>
      <c r="C132" s="1" t="s">
        <v>4747</v>
      </c>
      <c r="D132" s="1" t="s">
        <v>4747</v>
      </c>
      <c r="E132" s="1" t="s">
        <v>4747</v>
      </c>
      <c r="F132" s="1" t="s">
        <v>6186</v>
      </c>
      <c r="G132" s="1" t="s">
        <v>6644</v>
      </c>
      <c r="H132" s="1" t="s">
        <v>6089</v>
      </c>
      <c r="I132" s="1"/>
      <c r="J132" s="1"/>
      <c r="K132" s="1" t="s">
        <v>6090</v>
      </c>
      <c r="L132" s="1" t="s">
        <v>6731</v>
      </c>
      <c r="M132" s="1" t="s">
        <v>6732</v>
      </c>
      <c r="N132" s="1"/>
      <c r="O132" s="1"/>
      <c r="P132" s="1"/>
      <c r="Q132" s="1"/>
      <c r="R132" s="1"/>
      <c r="S132" s="1"/>
      <c r="T132" s="1"/>
      <c r="U132" s="1"/>
      <c r="V132" s="1"/>
      <c r="W132" s="1"/>
    </row>
    <row r="133" spans="1:23" ht="60" customHeight="1">
      <c r="A133" s="1" t="s">
        <v>5845</v>
      </c>
      <c r="B133" s="1" t="s">
        <v>6212</v>
      </c>
      <c r="C133" s="1" t="s">
        <v>6733</v>
      </c>
      <c r="D133" s="1" t="s">
        <v>4747</v>
      </c>
      <c r="E133" s="1" t="s">
        <v>6734</v>
      </c>
      <c r="F133" s="1" t="s">
        <v>6349</v>
      </c>
      <c r="G133" s="1" t="s">
        <v>6644</v>
      </c>
      <c r="H133" s="1" t="s">
        <v>6089</v>
      </c>
      <c r="I133" s="1"/>
      <c r="J133" s="1"/>
      <c r="K133" s="1" t="s">
        <v>6090</v>
      </c>
      <c r="L133" s="1" t="s">
        <v>6735</v>
      </c>
      <c r="M133" s="1" t="s">
        <v>6736</v>
      </c>
      <c r="N133" s="1"/>
      <c r="O133" s="1"/>
      <c r="P133" s="1"/>
      <c r="Q133" s="1"/>
      <c r="R133" s="1" t="s">
        <v>6737</v>
      </c>
      <c r="S133" s="1" t="s">
        <v>6738</v>
      </c>
      <c r="T133" s="1" t="s">
        <v>6649</v>
      </c>
      <c r="U133" s="1" t="s">
        <v>6096</v>
      </c>
      <c r="V133" s="1" t="s">
        <v>6739</v>
      </c>
      <c r="W133" s="1" t="s">
        <v>6650</v>
      </c>
    </row>
    <row r="134" spans="1:23" ht="48" customHeight="1">
      <c r="A134" s="1" t="s">
        <v>5845</v>
      </c>
      <c r="B134" s="1" t="s">
        <v>6215</v>
      </c>
      <c r="C134" s="1"/>
      <c r="D134" s="1" t="s">
        <v>6740</v>
      </c>
      <c r="E134" s="1" t="s">
        <v>6741</v>
      </c>
      <c r="F134" s="1" t="s">
        <v>6163</v>
      </c>
      <c r="G134" s="1"/>
      <c r="H134" s="1" t="s">
        <v>6089</v>
      </c>
      <c r="I134" s="1"/>
      <c r="J134" s="1"/>
      <c r="K134" s="1" t="s">
        <v>6090</v>
      </c>
      <c r="L134" s="1"/>
      <c r="M134" s="1" t="s">
        <v>6742</v>
      </c>
      <c r="N134" s="1"/>
      <c r="O134" s="1"/>
      <c r="P134" s="1"/>
      <c r="Q134" s="1"/>
      <c r="R134" s="1" t="s">
        <v>6743</v>
      </c>
      <c r="S134" s="1" t="s">
        <v>6738</v>
      </c>
      <c r="T134" s="1" t="s">
        <v>6649</v>
      </c>
      <c r="U134" s="1" t="s">
        <v>6096</v>
      </c>
      <c r="V134" s="1" t="s">
        <v>6168</v>
      </c>
      <c r="W134" s="1" t="s">
        <v>6650</v>
      </c>
    </row>
    <row r="135" spans="1:23" ht="48" customHeight="1">
      <c r="A135" s="1" t="s">
        <v>5845</v>
      </c>
      <c r="B135" s="1" t="s">
        <v>6218</v>
      </c>
      <c r="C135" s="1" t="s">
        <v>6744</v>
      </c>
      <c r="D135" s="1" t="s">
        <v>4747</v>
      </c>
      <c r="E135" s="1"/>
      <c r="F135" s="1" t="s">
        <v>6110</v>
      </c>
      <c r="G135" s="1" t="s">
        <v>6644</v>
      </c>
      <c r="H135" s="1" t="s">
        <v>6089</v>
      </c>
      <c r="I135" s="1"/>
      <c r="J135" s="1"/>
      <c r="K135" s="1" t="s">
        <v>6090</v>
      </c>
      <c r="L135" s="1" t="s">
        <v>6745</v>
      </c>
      <c r="M135" s="1" t="s">
        <v>6746</v>
      </c>
      <c r="N135" s="1"/>
      <c r="O135" s="1"/>
      <c r="P135" s="1"/>
      <c r="Q135" s="1"/>
      <c r="R135" s="1"/>
      <c r="S135" s="1"/>
      <c r="T135" s="1"/>
      <c r="U135" s="1"/>
      <c r="V135" s="1"/>
      <c r="W135" s="1"/>
    </row>
    <row r="136" spans="1:23" ht="48" customHeight="1">
      <c r="A136" s="1" t="s">
        <v>5845</v>
      </c>
      <c r="B136" s="1" t="s">
        <v>6222</v>
      </c>
      <c r="C136" s="1" t="s">
        <v>6747</v>
      </c>
      <c r="D136" s="1" t="s">
        <v>6748</v>
      </c>
      <c r="E136" s="1"/>
      <c r="F136" s="1" t="s">
        <v>6110</v>
      </c>
      <c r="G136" s="1" t="s">
        <v>6644</v>
      </c>
      <c r="H136" s="1" t="s">
        <v>6089</v>
      </c>
      <c r="I136" s="1"/>
      <c r="J136" s="1"/>
      <c r="K136" s="1" t="s">
        <v>6090</v>
      </c>
      <c r="L136" s="1" t="s">
        <v>6749</v>
      </c>
      <c r="M136" s="1" t="s">
        <v>6750</v>
      </c>
      <c r="N136" s="1"/>
      <c r="O136" s="1"/>
      <c r="P136" s="1"/>
      <c r="Q136" s="1"/>
      <c r="R136" s="1"/>
      <c r="S136" s="1"/>
      <c r="T136" s="1"/>
      <c r="U136" s="1"/>
      <c r="V136" s="1"/>
      <c r="W136" s="1"/>
    </row>
    <row r="137" spans="1:23" ht="48" customHeight="1">
      <c r="A137" s="1" t="s">
        <v>5845</v>
      </c>
      <c r="B137" s="1" t="s">
        <v>6227</v>
      </c>
      <c r="C137" s="1" t="s">
        <v>6751</v>
      </c>
      <c r="D137" s="1" t="s">
        <v>6752</v>
      </c>
      <c r="E137" s="1"/>
      <c r="F137" s="1" t="s">
        <v>6110</v>
      </c>
      <c r="G137" s="1" t="s">
        <v>6644</v>
      </c>
      <c r="H137" s="1" t="s">
        <v>6089</v>
      </c>
      <c r="I137" s="1"/>
      <c r="J137" s="1"/>
      <c r="K137" s="1" t="s">
        <v>6090</v>
      </c>
      <c r="L137" s="1" t="s">
        <v>6753</v>
      </c>
      <c r="M137" s="1" t="s">
        <v>6754</v>
      </c>
      <c r="N137" s="1"/>
      <c r="O137" s="1"/>
      <c r="P137" s="1"/>
      <c r="Q137" s="1"/>
      <c r="R137" s="1"/>
      <c r="S137" s="1"/>
      <c r="T137" s="1"/>
      <c r="U137" s="1"/>
      <c r="V137" s="1"/>
      <c r="W137" s="1"/>
    </row>
    <row r="138" spans="1:23" ht="48" customHeight="1">
      <c r="A138" s="1" t="s">
        <v>5845</v>
      </c>
      <c r="B138" s="1" t="s">
        <v>6232</v>
      </c>
      <c r="C138" s="1" t="s">
        <v>4747</v>
      </c>
      <c r="D138" s="1" t="s">
        <v>6755</v>
      </c>
      <c r="E138" s="1"/>
      <c r="F138" s="1" t="s">
        <v>6110</v>
      </c>
      <c r="G138" s="1" t="s">
        <v>6644</v>
      </c>
      <c r="H138" s="1" t="s">
        <v>6089</v>
      </c>
      <c r="I138" s="1"/>
      <c r="J138" s="1"/>
      <c r="K138" s="1" t="s">
        <v>6090</v>
      </c>
      <c r="L138" s="1" t="s">
        <v>6756</v>
      </c>
      <c r="M138" s="1" t="s">
        <v>6757</v>
      </c>
      <c r="N138" s="1"/>
      <c r="O138" s="1"/>
      <c r="P138" s="1"/>
      <c r="Q138" s="1"/>
      <c r="R138" s="1"/>
      <c r="S138" s="1"/>
      <c r="T138" s="1"/>
      <c r="U138" s="1"/>
      <c r="V138" s="1"/>
      <c r="W138" s="1"/>
    </row>
    <row r="139" spans="1:23" ht="60" customHeight="1">
      <c r="A139" s="1" t="s">
        <v>5845</v>
      </c>
      <c r="B139" s="1" t="s">
        <v>6236</v>
      </c>
      <c r="C139" s="1" t="s">
        <v>6758</v>
      </c>
      <c r="D139" s="1" t="s">
        <v>6759</v>
      </c>
      <c r="E139" s="1" t="s">
        <v>6760</v>
      </c>
      <c r="F139" s="1" t="s">
        <v>6163</v>
      </c>
      <c r="G139" s="1" t="s">
        <v>6644</v>
      </c>
      <c r="H139" s="1" t="s">
        <v>6089</v>
      </c>
      <c r="I139" s="1"/>
      <c r="J139" s="1"/>
      <c r="K139" s="1" t="s">
        <v>6090</v>
      </c>
      <c r="L139" s="1" t="s">
        <v>6761</v>
      </c>
      <c r="M139" s="1" t="s">
        <v>6762</v>
      </c>
      <c r="N139" s="1"/>
      <c r="O139" s="1"/>
      <c r="P139" s="1"/>
      <c r="Q139" s="1"/>
      <c r="R139" s="1" t="s">
        <v>6763</v>
      </c>
      <c r="S139" s="1" t="s">
        <v>6764</v>
      </c>
      <c r="T139" s="1" t="s">
        <v>6649</v>
      </c>
      <c r="U139" s="1" t="s">
        <v>6096</v>
      </c>
      <c r="V139" s="1" t="s">
        <v>6244</v>
      </c>
      <c r="W139" s="1" t="s">
        <v>6650</v>
      </c>
    </row>
    <row r="140" spans="1:23" ht="48" customHeight="1">
      <c r="A140" s="1" t="s">
        <v>5845</v>
      </c>
      <c r="B140" s="1" t="s">
        <v>6245</v>
      </c>
      <c r="C140" s="1" t="s">
        <v>6765</v>
      </c>
      <c r="D140" s="1"/>
      <c r="E140" s="1"/>
      <c r="F140" s="1" t="s">
        <v>6216</v>
      </c>
      <c r="G140" s="1" t="s">
        <v>6644</v>
      </c>
      <c r="H140" s="1"/>
      <c r="I140" s="1"/>
      <c r="J140" s="1"/>
      <c r="K140" s="1" t="s">
        <v>6090</v>
      </c>
      <c r="L140" s="1" t="s">
        <v>6766</v>
      </c>
      <c r="M140" s="1"/>
      <c r="N140" s="1"/>
      <c r="O140" s="1"/>
      <c r="P140" s="1"/>
      <c r="Q140" s="1"/>
      <c r="R140" s="1"/>
      <c r="S140" s="1"/>
      <c r="T140" s="1"/>
      <c r="U140" s="1"/>
      <c r="V140" s="1"/>
      <c r="W140" s="1"/>
    </row>
    <row r="141" spans="1:23" ht="48" customHeight="1">
      <c r="A141" s="1" t="s">
        <v>5845</v>
      </c>
      <c r="B141" s="1" t="s">
        <v>6248</v>
      </c>
      <c r="C141" s="1" t="s">
        <v>6767</v>
      </c>
      <c r="D141" s="1"/>
      <c r="E141" s="1"/>
      <c r="F141" s="1" t="s">
        <v>6216</v>
      </c>
      <c r="G141" s="1" t="s">
        <v>6644</v>
      </c>
      <c r="H141" s="1"/>
      <c r="I141" s="1"/>
      <c r="J141" s="1"/>
      <c r="K141" s="1" t="s">
        <v>6090</v>
      </c>
      <c r="L141" s="1" t="s">
        <v>6768</v>
      </c>
      <c r="M141" s="1"/>
      <c r="N141" s="1"/>
      <c r="O141" s="1"/>
      <c r="P141" s="1"/>
      <c r="Q141" s="1"/>
      <c r="R141" s="1"/>
      <c r="S141" s="1"/>
      <c r="T141" s="1"/>
      <c r="U141" s="1"/>
      <c r="V141" s="1"/>
      <c r="W141" s="1"/>
    </row>
    <row r="142" spans="1:23" ht="48" customHeight="1">
      <c r="A142" s="1" t="s">
        <v>4771</v>
      </c>
      <c r="B142" s="1" t="s">
        <v>6083</v>
      </c>
      <c r="C142" s="1" t="s">
        <v>6769</v>
      </c>
      <c r="D142" s="1" t="s">
        <v>6770</v>
      </c>
      <c r="E142" s="1" t="s">
        <v>6771</v>
      </c>
      <c r="F142" s="1" t="s">
        <v>6772</v>
      </c>
      <c r="G142" s="1" t="s">
        <v>422</v>
      </c>
      <c r="H142" s="1" t="s">
        <v>6089</v>
      </c>
      <c r="I142" s="1"/>
      <c r="J142" s="1"/>
      <c r="K142" s="1" t="s">
        <v>6090</v>
      </c>
      <c r="L142" s="1" t="s">
        <v>6773</v>
      </c>
      <c r="M142" s="1" t="s">
        <v>6774</v>
      </c>
      <c r="N142" s="1"/>
      <c r="O142" s="1" t="s">
        <v>6775</v>
      </c>
      <c r="P142" s="1" t="s">
        <v>6776</v>
      </c>
      <c r="Q142" s="1" t="s">
        <v>6462</v>
      </c>
      <c r="R142" s="1" t="s">
        <v>6777</v>
      </c>
      <c r="S142" s="1" t="s">
        <v>6778</v>
      </c>
      <c r="T142" s="1" t="s">
        <v>6779</v>
      </c>
      <c r="U142" s="1" t="s">
        <v>6096</v>
      </c>
      <c r="V142" s="1" t="s">
        <v>6097</v>
      </c>
      <c r="W142" s="1" t="s">
        <v>6780</v>
      </c>
    </row>
    <row r="143" spans="1:23" ht="48" customHeight="1">
      <c r="A143" s="1" t="s">
        <v>4771</v>
      </c>
      <c r="B143" s="1" t="s">
        <v>6099</v>
      </c>
      <c r="C143" s="1" t="s">
        <v>6781</v>
      </c>
      <c r="D143" s="1" t="s">
        <v>6102</v>
      </c>
      <c r="E143" s="1" t="s">
        <v>6102</v>
      </c>
      <c r="F143" s="1" t="s">
        <v>6087</v>
      </c>
      <c r="G143" s="1" t="s">
        <v>422</v>
      </c>
      <c r="H143" s="1" t="s">
        <v>6089</v>
      </c>
      <c r="I143" s="1"/>
      <c r="J143" s="1"/>
      <c r="K143" s="1" t="s">
        <v>6090</v>
      </c>
      <c r="L143" s="1" t="s">
        <v>6782</v>
      </c>
      <c r="M143" s="1" t="s">
        <v>6783</v>
      </c>
      <c r="N143" s="1"/>
      <c r="O143" s="1"/>
      <c r="P143" s="1"/>
      <c r="Q143" s="1"/>
      <c r="R143" s="1" t="s">
        <v>6784</v>
      </c>
      <c r="S143" s="1" t="s">
        <v>6785</v>
      </c>
      <c r="T143" s="1" t="s">
        <v>6779</v>
      </c>
      <c r="U143" s="1" t="s">
        <v>6096</v>
      </c>
      <c r="V143" s="1" t="s">
        <v>6097</v>
      </c>
      <c r="W143" s="1" t="s">
        <v>6780</v>
      </c>
    </row>
    <row r="144" spans="1:23" ht="48" customHeight="1">
      <c r="A144" s="1" t="s">
        <v>4771</v>
      </c>
      <c r="B144" s="1" t="s">
        <v>6107</v>
      </c>
      <c r="C144" s="1" t="s">
        <v>6786</v>
      </c>
      <c r="D144" s="1" t="s">
        <v>6787</v>
      </c>
      <c r="E144" s="1"/>
      <c r="F144" s="1" t="s">
        <v>6110</v>
      </c>
      <c r="G144" s="1" t="s">
        <v>422</v>
      </c>
      <c r="H144" s="1" t="s">
        <v>6089</v>
      </c>
      <c r="I144" s="1"/>
      <c r="J144" s="1"/>
      <c r="K144" s="1" t="s">
        <v>6090</v>
      </c>
      <c r="L144" s="1" t="s">
        <v>6788</v>
      </c>
      <c r="M144" s="1" t="s">
        <v>6789</v>
      </c>
      <c r="N144" s="1"/>
      <c r="O144" s="1"/>
      <c r="P144" s="1"/>
      <c r="Q144" s="1"/>
      <c r="R144" s="1"/>
      <c r="S144" s="1"/>
      <c r="T144" s="1"/>
      <c r="U144" s="1"/>
      <c r="V144" s="1"/>
      <c r="W144" s="1"/>
    </row>
    <row r="145" spans="1:23" ht="48" customHeight="1">
      <c r="A145" s="1" t="s">
        <v>4771</v>
      </c>
      <c r="B145" s="1" t="s">
        <v>6113</v>
      </c>
      <c r="C145" s="1" t="s">
        <v>6790</v>
      </c>
      <c r="D145" s="1" t="s">
        <v>6790</v>
      </c>
      <c r="E145" s="1" t="s">
        <v>6790</v>
      </c>
      <c r="F145" s="1" t="s">
        <v>6186</v>
      </c>
      <c r="G145" s="1" t="s">
        <v>422</v>
      </c>
      <c r="H145" s="1" t="s">
        <v>6089</v>
      </c>
      <c r="I145" s="1"/>
      <c r="J145" s="1"/>
      <c r="K145" s="1" t="s">
        <v>6090</v>
      </c>
      <c r="L145" s="1" t="s">
        <v>6791</v>
      </c>
      <c r="M145" s="1" t="s">
        <v>6792</v>
      </c>
      <c r="N145" s="1"/>
      <c r="O145" s="1"/>
      <c r="P145" s="1"/>
      <c r="Q145" s="1"/>
      <c r="R145" s="1"/>
      <c r="S145" s="1"/>
      <c r="T145" s="1"/>
      <c r="U145" s="1"/>
      <c r="V145" s="1"/>
      <c r="W145" s="1"/>
    </row>
    <row r="146" spans="1:23" ht="48" customHeight="1">
      <c r="A146" s="1" t="s">
        <v>4771</v>
      </c>
      <c r="B146" s="1" t="s">
        <v>6118</v>
      </c>
      <c r="C146" s="1" t="s">
        <v>6793</v>
      </c>
      <c r="D146" s="1" t="s">
        <v>6794</v>
      </c>
      <c r="E146" s="1" t="s">
        <v>6795</v>
      </c>
      <c r="F146" s="1" t="s">
        <v>6087</v>
      </c>
      <c r="G146" s="1" t="s">
        <v>422</v>
      </c>
      <c r="H146" s="1" t="s">
        <v>6089</v>
      </c>
      <c r="I146" s="1"/>
      <c r="J146" s="1"/>
      <c r="K146" s="1" t="s">
        <v>6090</v>
      </c>
      <c r="L146" s="1" t="s">
        <v>6796</v>
      </c>
      <c r="M146" s="1" t="s">
        <v>6797</v>
      </c>
      <c r="N146" s="1"/>
      <c r="O146" s="1"/>
      <c r="P146" s="1"/>
      <c r="Q146" s="1"/>
      <c r="R146" s="1" t="s">
        <v>6798</v>
      </c>
      <c r="S146" s="1" t="s">
        <v>6799</v>
      </c>
      <c r="T146" s="1" t="s">
        <v>6779</v>
      </c>
      <c r="U146" s="1" t="s">
        <v>6096</v>
      </c>
      <c r="V146" s="1" t="s">
        <v>6097</v>
      </c>
      <c r="W146" s="1" t="s">
        <v>6780</v>
      </c>
    </row>
    <row r="147" spans="1:23" ht="48" customHeight="1">
      <c r="A147" s="1" t="s">
        <v>4771</v>
      </c>
      <c r="B147" s="1" t="s">
        <v>6126</v>
      </c>
      <c r="C147" s="1" t="s">
        <v>6800</v>
      </c>
      <c r="D147" s="1" t="s">
        <v>6801</v>
      </c>
      <c r="E147" s="1" t="s">
        <v>6802</v>
      </c>
      <c r="F147" s="1" t="s">
        <v>6087</v>
      </c>
      <c r="G147" s="1" t="s">
        <v>422</v>
      </c>
      <c r="H147" s="1" t="s">
        <v>6089</v>
      </c>
      <c r="I147" s="1"/>
      <c r="J147" s="1"/>
      <c r="K147" s="1" t="s">
        <v>6090</v>
      </c>
      <c r="L147" s="1" t="s">
        <v>6803</v>
      </c>
      <c r="M147" s="1" t="s">
        <v>6804</v>
      </c>
      <c r="N147" s="1"/>
      <c r="O147" s="1"/>
      <c r="P147" s="1"/>
      <c r="Q147" s="1"/>
      <c r="R147" s="1" t="s">
        <v>6805</v>
      </c>
      <c r="S147" s="1" t="s">
        <v>6806</v>
      </c>
      <c r="T147" s="1" t="s">
        <v>6779</v>
      </c>
      <c r="U147" s="1" t="s">
        <v>6096</v>
      </c>
      <c r="V147" s="1" t="s">
        <v>6097</v>
      </c>
      <c r="W147" s="1" t="s">
        <v>6780</v>
      </c>
    </row>
    <row r="148" spans="1:23" ht="60" customHeight="1">
      <c r="A148" s="1" t="s">
        <v>4771</v>
      </c>
      <c r="B148" s="1" t="s">
        <v>6134</v>
      </c>
      <c r="C148" s="1" t="s">
        <v>6286</v>
      </c>
      <c r="D148" s="1" t="s">
        <v>6287</v>
      </c>
      <c r="E148" s="1" t="s">
        <v>6807</v>
      </c>
      <c r="F148" s="1" t="s">
        <v>6138</v>
      </c>
      <c r="G148" s="1" t="s">
        <v>422</v>
      </c>
      <c r="H148" s="1" t="s">
        <v>6089</v>
      </c>
      <c r="I148" s="1" t="s">
        <v>4782</v>
      </c>
      <c r="J148" s="1" t="s">
        <v>4781</v>
      </c>
      <c r="K148" s="1" t="s">
        <v>6289</v>
      </c>
      <c r="L148" s="1" t="s">
        <v>6808</v>
      </c>
      <c r="M148" s="1" t="s">
        <v>6809</v>
      </c>
      <c r="N148" s="1" t="s">
        <v>6810</v>
      </c>
      <c r="O148" s="1"/>
      <c r="P148" s="1"/>
      <c r="Q148" s="1"/>
      <c r="R148" s="1" t="s">
        <v>6811</v>
      </c>
      <c r="S148" s="1" t="s">
        <v>6812</v>
      </c>
      <c r="T148" s="1" t="s">
        <v>6779</v>
      </c>
      <c r="U148" s="1" t="s">
        <v>6096</v>
      </c>
      <c r="V148" s="1" t="s">
        <v>6295</v>
      </c>
      <c r="W148" s="1" t="s">
        <v>6780</v>
      </c>
    </row>
    <row r="149" spans="1:23" ht="60" customHeight="1">
      <c r="A149" s="1" t="s">
        <v>4771</v>
      </c>
      <c r="B149" s="1" t="s">
        <v>6144</v>
      </c>
      <c r="C149" s="1" t="s">
        <v>6813</v>
      </c>
      <c r="D149" s="1" t="s">
        <v>4747</v>
      </c>
      <c r="E149" s="1" t="s">
        <v>6814</v>
      </c>
      <c r="F149" s="1" t="s">
        <v>6138</v>
      </c>
      <c r="G149" s="1" t="s">
        <v>422</v>
      </c>
      <c r="H149" s="1" t="s">
        <v>6089</v>
      </c>
      <c r="I149" s="1"/>
      <c r="J149" s="1"/>
      <c r="K149" s="1" t="s">
        <v>6090</v>
      </c>
      <c r="L149" s="1" t="s">
        <v>6815</v>
      </c>
      <c r="M149" s="1" t="s">
        <v>6816</v>
      </c>
      <c r="N149" s="1"/>
      <c r="O149" s="1"/>
      <c r="P149" s="1"/>
      <c r="Q149" s="1"/>
      <c r="R149" s="1" t="s">
        <v>6817</v>
      </c>
      <c r="S149" s="1" t="s">
        <v>6812</v>
      </c>
      <c r="T149" s="1" t="s">
        <v>6779</v>
      </c>
      <c r="U149" s="1" t="s">
        <v>6096</v>
      </c>
      <c r="V149" s="1" t="s">
        <v>6295</v>
      </c>
      <c r="W149" s="1" t="s">
        <v>6780</v>
      </c>
    </row>
    <row r="150" spans="1:23" ht="60" customHeight="1">
      <c r="A150" s="1" t="s">
        <v>4771</v>
      </c>
      <c r="B150" s="1" t="s">
        <v>6149</v>
      </c>
      <c r="C150" s="1" t="s">
        <v>5684</v>
      </c>
      <c r="D150" s="1" t="s">
        <v>6818</v>
      </c>
      <c r="E150" s="1" t="s">
        <v>6819</v>
      </c>
      <c r="F150" s="1" t="s">
        <v>6138</v>
      </c>
      <c r="G150" s="1" t="s">
        <v>422</v>
      </c>
      <c r="H150" s="1" t="s">
        <v>6089</v>
      </c>
      <c r="I150" s="1"/>
      <c r="J150" s="1"/>
      <c r="K150" s="1" t="s">
        <v>6090</v>
      </c>
      <c r="L150" s="1" t="s">
        <v>6820</v>
      </c>
      <c r="M150" s="1" t="s">
        <v>6821</v>
      </c>
      <c r="N150" s="1"/>
      <c r="O150" s="1"/>
      <c r="P150" s="1"/>
      <c r="Q150" s="1"/>
      <c r="R150" s="1" t="s">
        <v>6822</v>
      </c>
      <c r="S150" s="1" t="s">
        <v>6812</v>
      </c>
      <c r="T150" s="1" t="s">
        <v>6779</v>
      </c>
      <c r="U150" s="1" t="s">
        <v>6096</v>
      </c>
      <c r="V150" s="1" t="s">
        <v>6295</v>
      </c>
      <c r="W150" s="1" t="s">
        <v>6780</v>
      </c>
    </row>
    <row r="151" spans="1:23" ht="48" customHeight="1">
      <c r="A151" s="1" t="s">
        <v>4771</v>
      </c>
      <c r="B151" s="1" t="s">
        <v>6154</v>
      </c>
      <c r="C151" s="1" t="s">
        <v>6823</v>
      </c>
      <c r="D151" s="1" t="s">
        <v>6308</v>
      </c>
      <c r="E151" s="1" t="s">
        <v>6309</v>
      </c>
      <c r="F151" s="1" t="s">
        <v>6138</v>
      </c>
      <c r="G151" s="1" t="s">
        <v>422</v>
      </c>
      <c r="H151" s="1" t="s">
        <v>6089</v>
      </c>
      <c r="I151" s="1"/>
      <c r="J151" s="1"/>
      <c r="K151" s="1" t="s">
        <v>6090</v>
      </c>
      <c r="L151" s="1" t="s">
        <v>6824</v>
      </c>
      <c r="M151" s="1" t="s">
        <v>6825</v>
      </c>
      <c r="N151" s="1"/>
      <c r="O151" s="1"/>
      <c r="P151" s="1"/>
      <c r="Q151" s="1"/>
      <c r="R151" s="1" t="s">
        <v>6826</v>
      </c>
      <c r="S151" s="1" t="s">
        <v>6827</v>
      </c>
      <c r="T151" s="1" t="s">
        <v>6779</v>
      </c>
      <c r="U151" s="1" t="s">
        <v>6096</v>
      </c>
      <c r="V151" s="1" t="s">
        <v>6295</v>
      </c>
      <c r="W151" s="1" t="s">
        <v>6780</v>
      </c>
    </row>
    <row r="152" spans="1:23" ht="48" customHeight="1">
      <c r="A152" s="1" t="s">
        <v>4771</v>
      </c>
      <c r="B152" s="1" t="s">
        <v>6159</v>
      </c>
      <c r="C152" s="1" t="s">
        <v>4747</v>
      </c>
      <c r="D152" s="1" t="s">
        <v>6828</v>
      </c>
      <c r="E152" s="1" t="s">
        <v>6829</v>
      </c>
      <c r="F152" s="1" t="s">
        <v>6163</v>
      </c>
      <c r="G152" s="1" t="s">
        <v>422</v>
      </c>
      <c r="H152" s="1" t="s">
        <v>6089</v>
      </c>
      <c r="I152" s="1"/>
      <c r="J152" s="1"/>
      <c r="K152" s="1" t="s">
        <v>6090</v>
      </c>
      <c r="L152" s="1" t="s">
        <v>6830</v>
      </c>
      <c r="M152" s="1" t="s">
        <v>6831</v>
      </c>
      <c r="N152" s="1"/>
      <c r="O152" s="1" t="s">
        <v>6829</v>
      </c>
      <c r="P152" s="1" t="s">
        <v>6832</v>
      </c>
      <c r="Q152" s="1" t="s">
        <v>6462</v>
      </c>
      <c r="R152" s="1" t="s">
        <v>6833</v>
      </c>
      <c r="S152" s="1" t="s">
        <v>6834</v>
      </c>
      <c r="T152" s="1" t="s">
        <v>6779</v>
      </c>
      <c r="U152" s="1" t="s">
        <v>6096</v>
      </c>
      <c r="V152" s="1" t="s">
        <v>6168</v>
      </c>
      <c r="W152" s="1" t="s">
        <v>6780</v>
      </c>
    </row>
    <row r="153" spans="1:23" ht="48" customHeight="1">
      <c r="A153" s="1" t="s">
        <v>4771</v>
      </c>
      <c r="B153" s="1" t="s">
        <v>6169</v>
      </c>
      <c r="C153" s="1" t="s">
        <v>6835</v>
      </c>
      <c r="D153" s="1" t="s">
        <v>6835</v>
      </c>
      <c r="E153" s="1" t="s">
        <v>6836</v>
      </c>
      <c r="F153" s="1" t="s">
        <v>6163</v>
      </c>
      <c r="G153" s="1" t="s">
        <v>422</v>
      </c>
      <c r="H153" s="1" t="s">
        <v>6089</v>
      </c>
      <c r="I153" s="1"/>
      <c r="J153" s="1"/>
      <c r="K153" s="1" t="s">
        <v>6090</v>
      </c>
      <c r="L153" s="1" t="s">
        <v>6837</v>
      </c>
      <c r="M153" s="1" t="s">
        <v>6838</v>
      </c>
      <c r="N153" s="1"/>
      <c r="O153" s="1" t="s">
        <v>6836</v>
      </c>
      <c r="P153" s="1" t="s">
        <v>6839</v>
      </c>
      <c r="Q153" s="1" t="s">
        <v>6462</v>
      </c>
      <c r="R153" s="1" t="s">
        <v>6840</v>
      </c>
      <c r="S153" s="1" t="s">
        <v>6841</v>
      </c>
      <c r="T153" s="1" t="s">
        <v>6779</v>
      </c>
      <c r="U153" s="1" t="s">
        <v>6096</v>
      </c>
      <c r="V153" s="1" t="s">
        <v>6168</v>
      </c>
      <c r="W153" s="1" t="s">
        <v>6780</v>
      </c>
    </row>
    <row r="154" spans="1:23" ht="48" customHeight="1">
      <c r="A154" s="1" t="s">
        <v>4771</v>
      </c>
      <c r="B154" s="1" t="s">
        <v>6176</v>
      </c>
      <c r="C154" s="1" t="s">
        <v>4747</v>
      </c>
      <c r="D154" s="1" t="s">
        <v>4747</v>
      </c>
      <c r="E154" s="1" t="s">
        <v>4747</v>
      </c>
      <c r="F154" s="1" t="s">
        <v>6186</v>
      </c>
      <c r="G154" s="1" t="s">
        <v>422</v>
      </c>
      <c r="H154" s="1" t="s">
        <v>6089</v>
      </c>
      <c r="I154" s="1"/>
      <c r="J154" s="1"/>
      <c r="K154" s="1" t="s">
        <v>6090</v>
      </c>
      <c r="L154" s="1" t="s">
        <v>6842</v>
      </c>
      <c r="M154" s="1" t="s">
        <v>6843</v>
      </c>
      <c r="N154" s="1"/>
      <c r="O154" s="1"/>
      <c r="P154" s="1"/>
      <c r="Q154" s="1"/>
      <c r="R154" s="1"/>
      <c r="S154" s="1"/>
      <c r="T154" s="1"/>
      <c r="U154" s="1"/>
      <c r="V154" s="1"/>
      <c r="W154" s="1"/>
    </row>
    <row r="155" spans="1:23" ht="48" customHeight="1">
      <c r="A155" s="1" t="s">
        <v>4771</v>
      </c>
      <c r="B155" s="1" t="s">
        <v>6185</v>
      </c>
      <c r="C155" s="1" t="s">
        <v>4747</v>
      </c>
      <c r="D155" s="1" t="s">
        <v>4747</v>
      </c>
      <c r="E155" s="1" t="s">
        <v>4747</v>
      </c>
      <c r="F155" s="1" t="s">
        <v>6186</v>
      </c>
      <c r="G155" s="1" t="s">
        <v>422</v>
      </c>
      <c r="H155" s="1" t="s">
        <v>6089</v>
      </c>
      <c r="I155" s="1"/>
      <c r="J155" s="1"/>
      <c r="K155" s="1" t="s">
        <v>6090</v>
      </c>
      <c r="L155" s="1" t="s">
        <v>6844</v>
      </c>
      <c r="M155" s="1" t="s">
        <v>6845</v>
      </c>
      <c r="N155" s="1"/>
      <c r="O155" s="1"/>
      <c r="P155" s="1"/>
      <c r="Q155" s="1"/>
      <c r="R155" s="1"/>
      <c r="S155" s="1"/>
      <c r="T155" s="1"/>
      <c r="U155" s="1"/>
      <c r="V155" s="1"/>
      <c r="W155" s="1"/>
    </row>
    <row r="156" spans="1:23" ht="96" customHeight="1">
      <c r="A156" s="1" t="s">
        <v>4771</v>
      </c>
      <c r="B156" s="1" t="s">
        <v>6189</v>
      </c>
      <c r="C156" s="1" t="s">
        <v>6846</v>
      </c>
      <c r="D156" s="1" t="s">
        <v>4747</v>
      </c>
      <c r="E156" s="1" t="s">
        <v>6847</v>
      </c>
      <c r="F156" s="1" t="s">
        <v>6138</v>
      </c>
      <c r="G156" s="1" t="s">
        <v>422</v>
      </c>
      <c r="H156" s="1" t="s">
        <v>6089</v>
      </c>
      <c r="I156" s="1"/>
      <c r="J156" s="1"/>
      <c r="K156" s="1" t="s">
        <v>6090</v>
      </c>
      <c r="L156" s="1" t="s">
        <v>6848</v>
      </c>
      <c r="M156" s="1" t="s">
        <v>6849</v>
      </c>
      <c r="N156" s="1"/>
      <c r="O156" s="1"/>
      <c r="P156" s="1"/>
      <c r="Q156" s="1"/>
      <c r="R156" s="1" t="s">
        <v>6850</v>
      </c>
      <c r="S156" s="1" t="s">
        <v>6851</v>
      </c>
      <c r="T156" s="1" t="s">
        <v>6779</v>
      </c>
      <c r="U156" s="1" t="s">
        <v>6096</v>
      </c>
      <c r="V156" s="1" t="s">
        <v>6184</v>
      </c>
      <c r="W156" s="1" t="s">
        <v>6780</v>
      </c>
    </row>
    <row r="157" spans="1:23" ht="48" customHeight="1">
      <c r="A157" s="1" t="s">
        <v>4771</v>
      </c>
      <c r="B157" s="1" t="s">
        <v>6196</v>
      </c>
      <c r="C157" s="1" t="s">
        <v>6197</v>
      </c>
      <c r="D157" s="1" t="s">
        <v>4747</v>
      </c>
      <c r="E157" s="1"/>
      <c r="F157" s="1" t="s">
        <v>6110</v>
      </c>
      <c r="G157" s="1" t="s">
        <v>422</v>
      </c>
      <c r="H157" s="1" t="s">
        <v>6089</v>
      </c>
      <c r="I157" s="1"/>
      <c r="J157" s="1"/>
      <c r="K157" s="1" t="s">
        <v>6090</v>
      </c>
      <c r="L157" s="1" t="s">
        <v>6852</v>
      </c>
      <c r="M157" s="1" t="s">
        <v>6853</v>
      </c>
      <c r="N157" s="1"/>
      <c r="O157" s="1"/>
      <c r="P157" s="1"/>
      <c r="Q157" s="1"/>
      <c r="R157" s="1"/>
      <c r="S157" s="1"/>
      <c r="T157" s="1"/>
      <c r="U157" s="1"/>
      <c r="V157" s="1"/>
      <c r="W157" s="1"/>
    </row>
    <row r="158" spans="1:23" ht="60" customHeight="1">
      <c r="A158" s="1" t="s">
        <v>4771</v>
      </c>
      <c r="B158" s="1" t="s">
        <v>6200</v>
      </c>
      <c r="C158" s="1" t="s">
        <v>6854</v>
      </c>
      <c r="D158" s="1" t="s">
        <v>6855</v>
      </c>
      <c r="E158" s="1" t="s">
        <v>6856</v>
      </c>
      <c r="F158" s="1" t="s">
        <v>6349</v>
      </c>
      <c r="G158" s="1" t="s">
        <v>422</v>
      </c>
      <c r="H158" s="1" t="s">
        <v>6089</v>
      </c>
      <c r="I158" s="1"/>
      <c r="J158" s="1"/>
      <c r="K158" s="1" t="s">
        <v>6090</v>
      </c>
      <c r="L158" s="1" t="s">
        <v>6857</v>
      </c>
      <c r="M158" s="1" t="s">
        <v>6858</v>
      </c>
      <c r="N158" s="1"/>
      <c r="O158" s="1" t="s">
        <v>6859</v>
      </c>
      <c r="P158" s="1" t="s">
        <v>6860</v>
      </c>
      <c r="Q158" s="1" t="s">
        <v>6462</v>
      </c>
      <c r="R158" s="1" t="s">
        <v>6861</v>
      </c>
      <c r="S158" s="1" t="s">
        <v>6862</v>
      </c>
      <c r="T158" s="1" t="s">
        <v>6779</v>
      </c>
      <c r="U158" s="1" t="s">
        <v>6096</v>
      </c>
      <c r="V158" s="1" t="s">
        <v>6863</v>
      </c>
      <c r="W158" s="1" t="s">
        <v>6780</v>
      </c>
    </row>
    <row r="159" spans="1:23" ht="96" customHeight="1">
      <c r="A159" s="1" t="s">
        <v>4771</v>
      </c>
      <c r="B159" s="1" t="s">
        <v>5583</v>
      </c>
      <c r="C159" s="1" t="s">
        <v>6864</v>
      </c>
      <c r="D159" s="1" t="s">
        <v>4747</v>
      </c>
      <c r="E159" s="1" t="s">
        <v>6865</v>
      </c>
      <c r="F159" s="1" t="s">
        <v>6138</v>
      </c>
      <c r="G159" s="1" t="s">
        <v>422</v>
      </c>
      <c r="H159" s="1" t="s">
        <v>6089</v>
      </c>
      <c r="I159" s="1"/>
      <c r="J159" s="1"/>
      <c r="K159" s="1" t="s">
        <v>6090</v>
      </c>
      <c r="L159" s="1" t="s">
        <v>6866</v>
      </c>
      <c r="M159" s="1" t="s">
        <v>6867</v>
      </c>
      <c r="N159" s="1"/>
      <c r="O159" s="1"/>
      <c r="P159" s="1"/>
      <c r="Q159" s="1"/>
      <c r="R159" s="1" t="s">
        <v>6868</v>
      </c>
      <c r="S159" s="1" t="s">
        <v>6869</v>
      </c>
      <c r="T159" s="1" t="s">
        <v>6779</v>
      </c>
      <c r="U159" s="1" t="s">
        <v>6096</v>
      </c>
      <c r="V159" s="1" t="s">
        <v>6184</v>
      </c>
      <c r="W159" s="1" t="s">
        <v>6780</v>
      </c>
    </row>
    <row r="160" spans="1:23" ht="60" customHeight="1">
      <c r="A160" s="1" t="s">
        <v>4771</v>
      </c>
      <c r="B160" s="1" t="s">
        <v>6209</v>
      </c>
      <c r="C160" s="1" t="s">
        <v>6870</v>
      </c>
      <c r="D160" s="1" t="s">
        <v>6509</v>
      </c>
      <c r="E160" s="1" t="s">
        <v>6871</v>
      </c>
      <c r="F160" s="1" t="s">
        <v>6163</v>
      </c>
      <c r="G160" s="1" t="s">
        <v>422</v>
      </c>
      <c r="H160" s="1" t="s">
        <v>6089</v>
      </c>
      <c r="I160" s="1"/>
      <c r="J160" s="1"/>
      <c r="K160" s="1" t="s">
        <v>6090</v>
      </c>
      <c r="L160" s="1" t="s">
        <v>6872</v>
      </c>
      <c r="M160" s="1" t="s">
        <v>6873</v>
      </c>
      <c r="N160" s="1"/>
      <c r="O160" s="1"/>
      <c r="P160" s="1"/>
      <c r="Q160" s="1"/>
      <c r="R160" s="1" t="s">
        <v>6874</v>
      </c>
      <c r="S160" s="1" t="s">
        <v>6875</v>
      </c>
      <c r="T160" s="1" t="s">
        <v>6779</v>
      </c>
      <c r="U160" s="1" t="s">
        <v>6096</v>
      </c>
      <c r="V160" s="1" t="s">
        <v>6168</v>
      </c>
      <c r="W160" s="1" t="s">
        <v>6780</v>
      </c>
    </row>
    <row r="161" spans="1:23" ht="48" customHeight="1">
      <c r="A161" s="1" t="s">
        <v>4771</v>
      </c>
      <c r="B161" s="1" t="s">
        <v>6212</v>
      </c>
      <c r="C161" s="1" t="s">
        <v>4747</v>
      </c>
      <c r="D161" s="1" t="s">
        <v>6876</v>
      </c>
      <c r="E161" s="1"/>
      <c r="F161" s="1" t="s">
        <v>6110</v>
      </c>
      <c r="G161" s="1" t="s">
        <v>422</v>
      </c>
      <c r="H161" s="1" t="s">
        <v>6089</v>
      </c>
      <c r="I161" s="1"/>
      <c r="J161" s="1"/>
      <c r="K161" s="1" t="s">
        <v>6090</v>
      </c>
      <c r="L161" s="1" t="s">
        <v>6877</v>
      </c>
      <c r="M161" s="1" t="s">
        <v>6878</v>
      </c>
      <c r="N161" s="1"/>
      <c r="O161" s="1"/>
      <c r="P161" s="1"/>
      <c r="Q161" s="1"/>
      <c r="R161" s="1"/>
      <c r="S161" s="1"/>
      <c r="T161" s="1"/>
      <c r="U161" s="1"/>
      <c r="V161" s="1"/>
      <c r="W161" s="1"/>
    </row>
    <row r="162" spans="1:23" ht="48" customHeight="1">
      <c r="A162" s="1" t="s">
        <v>4771</v>
      </c>
      <c r="B162" s="1" t="s">
        <v>6215</v>
      </c>
      <c r="C162" s="1"/>
      <c r="D162" s="1" t="s">
        <v>4747</v>
      </c>
      <c r="E162" s="1"/>
      <c r="F162" s="1" t="s">
        <v>6216</v>
      </c>
      <c r="G162" s="1"/>
      <c r="H162" s="1" t="s">
        <v>6089</v>
      </c>
      <c r="I162" s="1"/>
      <c r="J162" s="1"/>
      <c r="K162" s="1" t="s">
        <v>6090</v>
      </c>
      <c r="L162" s="1"/>
      <c r="M162" s="1" t="s">
        <v>6879</v>
      </c>
      <c r="N162" s="1"/>
      <c r="O162" s="1"/>
      <c r="P162" s="1"/>
      <c r="Q162" s="1"/>
      <c r="R162" s="1"/>
      <c r="S162" s="1"/>
      <c r="T162" s="1"/>
      <c r="U162" s="1"/>
      <c r="V162" s="1"/>
      <c r="W162" s="1"/>
    </row>
    <row r="163" spans="1:23" ht="84" customHeight="1">
      <c r="A163" s="1" t="s">
        <v>4771</v>
      </c>
      <c r="B163" s="1" t="s">
        <v>6218</v>
      </c>
      <c r="C163" s="1" t="s">
        <v>6880</v>
      </c>
      <c r="D163" s="1" t="s">
        <v>6881</v>
      </c>
      <c r="E163" s="1" t="s">
        <v>6882</v>
      </c>
      <c r="F163" s="1" t="s">
        <v>6349</v>
      </c>
      <c r="G163" s="1" t="s">
        <v>422</v>
      </c>
      <c r="H163" s="1" t="s">
        <v>6089</v>
      </c>
      <c r="I163" s="1"/>
      <c r="J163" s="1"/>
      <c r="K163" s="1" t="s">
        <v>6090</v>
      </c>
      <c r="L163" s="1" t="s">
        <v>6883</v>
      </c>
      <c r="M163" s="1" t="s">
        <v>6884</v>
      </c>
      <c r="N163" s="1"/>
      <c r="O163" s="1"/>
      <c r="P163" s="1"/>
      <c r="Q163" s="1"/>
      <c r="R163" s="1" t="s">
        <v>6885</v>
      </c>
      <c r="S163" s="1" t="s">
        <v>6886</v>
      </c>
      <c r="T163" s="1" t="s">
        <v>6779</v>
      </c>
      <c r="U163" s="1" t="s">
        <v>6096</v>
      </c>
      <c r="V163" s="1" t="s">
        <v>6887</v>
      </c>
      <c r="W163" s="1" t="s">
        <v>6780</v>
      </c>
    </row>
    <row r="164" spans="1:23" ht="48" customHeight="1">
      <c r="A164" s="1" t="s">
        <v>4771</v>
      </c>
      <c r="B164" s="1" t="s">
        <v>6222</v>
      </c>
      <c r="C164" s="1" t="s">
        <v>4747</v>
      </c>
      <c r="D164" s="1" t="s">
        <v>4747</v>
      </c>
      <c r="E164" s="1" t="s">
        <v>4747</v>
      </c>
      <c r="F164" s="1" t="s">
        <v>6186</v>
      </c>
      <c r="G164" s="1" t="s">
        <v>422</v>
      </c>
      <c r="H164" s="1" t="s">
        <v>6089</v>
      </c>
      <c r="I164" s="1"/>
      <c r="J164" s="1"/>
      <c r="K164" s="1" t="s">
        <v>6090</v>
      </c>
      <c r="L164" s="1" t="s">
        <v>6888</v>
      </c>
      <c r="M164" s="1" t="s">
        <v>6889</v>
      </c>
      <c r="N164" s="1"/>
      <c r="O164" s="1"/>
      <c r="P164" s="1"/>
      <c r="Q164" s="1"/>
      <c r="R164" s="1"/>
      <c r="S164" s="1"/>
      <c r="T164" s="1"/>
      <c r="U164" s="1"/>
      <c r="V164" s="1"/>
      <c r="W164" s="1"/>
    </row>
    <row r="165" spans="1:23" ht="48" customHeight="1">
      <c r="A165" s="1" t="s">
        <v>4771</v>
      </c>
      <c r="B165" s="1" t="s">
        <v>6227</v>
      </c>
      <c r="C165" s="1" t="s">
        <v>6890</v>
      </c>
      <c r="D165" s="1" t="s">
        <v>6891</v>
      </c>
      <c r="E165" s="1"/>
      <c r="F165" s="1" t="s">
        <v>6110</v>
      </c>
      <c r="G165" s="1" t="s">
        <v>422</v>
      </c>
      <c r="H165" s="1" t="s">
        <v>6089</v>
      </c>
      <c r="I165" s="1"/>
      <c r="J165" s="1"/>
      <c r="K165" s="1" t="s">
        <v>6090</v>
      </c>
      <c r="L165" s="1" t="s">
        <v>6892</v>
      </c>
      <c r="M165" s="1" t="s">
        <v>6893</v>
      </c>
      <c r="N165" s="1"/>
      <c r="O165" s="1"/>
      <c r="P165" s="1"/>
      <c r="Q165" s="1"/>
      <c r="R165" s="1"/>
      <c r="S165" s="1"/>
      <c r="T165" s="1"/>
      <c r="U165" s="1"/>
      <c r="V165" s="1"/>
      <c r="W165" s="1"/>
    </row>
    <row r="166" spans="1:23" ht="48" customHeight="1">
      <c r="A166" s="1" t="s">
        <v>4771</v>
      </c>
      <c r="B166" s="1" t="s">
        <v>6232</v>
      </c>
      <c r="C166" s="1" t="s">
        <v>4747</v>
      </c>
      <c r="D166" s="1" t="s">
        <v>6894</v>
      </c>
      <c r="E166" s="1"/>
      <c r="F166" s="1" t="s">
        <v>6110</v>
      </c>
      <c r="G166" s="1" t="s">
        <v>422</v>
      </c>
      <c r="H166" s="1" t="s">
        <v>6089</v>
      </c>
      <c r="I166" s="1"/>
      <c r="J166" s="1"/>
      <c r="K166" s="1" t="s">
        <v>6090</v>
      </c>
      <c r="L166" s="1" t="s">
        <v>6895</v>
      </c>
      <c r="M166" s="1" t="s">
        <v>6896</v>
      </c>
      <c r="N166" s="1"/>
      <c r="O166" s="1"/>
      <c r="P166" s="1"/>
      <c r="Q166" s="1"/>
      <c r="R166" s="1"/>
      <c r="S166" s="1"/>
      <c r="T166" s="1"/>
      <c r="U166" s="1"/>
      <c r="V166" s="1"/>
      <c r="W166" s="1"/>
    </row>
    <row r="167" spans="1:23" ht="72" customHeight="1">
      <c r="A167" s="1" t="s">
        <v>4771</v>
      </c>
      <c r="B167" s="1" t="s">
        <v>6236</v>
      </c>
      <c r="C167" s="1" t="s">
        <v>6897</v>
      </c>
      <c r="D167" s="1" t="s">
        <v>6898</v>
      </c>
      <c r="E167" s="1" t="s">
        <v>6899</v>
      </c>
      <c r="F167" s="1" t="s">
        <v>6900</v>
      </c>
      <c r="G167" s="1" t="s">
        <v>422</v>
      </c>
      <c r="H167" s="1" t="s">
        <v>6089</v>
      </c>
      <c r="I167" s="1"/>
      <c r="J167" s="1"/>
      <c r="K167" s="1" t="s">
        <v>6090</v>
      </c>
      <c r="L167" s="1" t="s">
        <v>6901</v>
      </c>
      <c r="M167" s="1" t="s">
        <v>6902</v>
      </c>
      <c r="N167" s="1"/>
      <c r="O167" s="1"/>
      <c r="P167" s="1"/>
      <c r="Q167" s="1"/>
      <c r="R167" s="1" t="s">
        <v>6903</v>
      </c>
      <c r="S167" s="1" t="s">
        <v>6904</v>
      </c>
      <c r="T167" s="1" t="s">
        <v>6779</v>
      </c>
      <c r="U167" s="1" t="s">
        <v>6096</v>
      </c>
      <c r="V167" s="1" t="s">
        <v>6905</v>
      </c>
      <c r="W167" s="1" t="s">
        <v>6780</v>
      </c>
    </row>
    <row r="168" spans="1:23" ht="48" customHeight="1">
      <c r="A168" s="1" t="s">
        <v>4771</v>
      </c>
      <c r="B168" s="1" t="s">
        <v>6245</v>
      </c>
      <c r="C168" s="1" t="s">
        <v>6906</v>
      </c>
      <c r="D168" s="1"/>
      <c r="E168" s="1"/>
      <c r="F168" s="1" t="s">
        <v>6216</v>
      </c>
      <c r="G168" s="1" t="s">
        <v>422</v>
      </c>
      <c r="H168" s="1"/>
      <c r="I168" s="1"/>
      <c r="J168" s="1"/>
      <c r="K168" s="1" t="s">
        <v>6090</v>
      </c>
      <c r="L168" s="1" t="s">
        <v>6907</v>
      </c>
      <c r="M168" s="1"/>
      <c r="N168" s="1"/>
      <c r="O168" s="1"/>
      <c r="P168" s="1"/>
      <c r="Q168" s="1"/>
      <c r="R168" s="1"/>
      <c r="S168" s="1"/>
      <c r="T168" s="1"/>
      <c r="U168" s="1"/>
      <c r="V168" s="1"/>
      <c r="W168" s="1"/>
    </row>
    <row r="169" spans="1:23" ht="48" customHeight="1">
      <c r="A169" s="1" t="s">
        <v>4771</v>
      </c>
      <c r="B169" s="1" t="s">
        <v>6248</v>
      </c>
      <c r="C169" s="1" t="s">
        <v>6908</v>
      </c>
      <c r="D169" s="1"/>
      <c r="E169" s="1"/>
      <c r="F169" s="1" t="s">
        <v>6216</v>
      </c>
      <c r="G169" s="1" t="s">
        <v>422</v>
      </c>
      <c r="H169" s="1"/>
      <c r="I169" s="1"/>
      <c r="J169" s="1"/>
      <c r="K169" s="1" t="s">
        <v>6090</v>
      </c>
      <c r="L169" s="1" t="s">
        <v>6909</v>
      </c>
      <c r="M169" s="1"/>
      <c r="N169" s="1"/>
      <c r="O169" s="1"/>
      <c r="P169" s="1"/>
      <c r="Q169" s="1"/>
      <c r="R169" s="1"/>
      <c r="S169" s="1"/>
      <c r="T169" s="1"/>
      <c r="U169" s="1"/>
      <c r="V169" s="1"/>
      <c r="W169" s="1"/>
    </row>
    <row r="170" spans="1:23" ht="48" customHeight="1">
      <c r="A170" s="1" t="s">
        <v>4786</v>
      </c>
      <c r="B170" s="1" t="s">
        <v>6083</v>
      </c>
      <c r="C170" s="1" t="s">
        <v>6910</v>
      </c>
      <c r="D170" s="1" t="s">
        <v>6911</v>
      </c>
      <c r="E170" s="1" t="s">
        <v>6643</v>
      </c>
      <c r="F170" s="1" t="s">
        <v>6087</v>
      </c>
      <c r="G170" s="1" t="s">
        <v>6912</v>
      </c>
      <c r="H170" s="1" t="s">
        <v>6089</v>
      </c>
      <c r="I170" s="1"/>
      <c r="J170" s="1"/>
      <c r="K170" s="1" t="s">
        <v>6090</v>
      </c>
      <c r="L170" s="1" t="s">
        <v>6913</v>
      </c>
      <c r="M170" s="1" t="s">
        <v>6914</v>
      </c>
      <c r="N170" s="1"/>
      <c r="O170" s="1"/>
      <c r="P170" s="1"/>
      <c r="Q170" s="1"/>
      <c r="R170" s="1" t="s">
        <v>6915</v>
      </c>
      <c r="S170" s="1" t="s">
        <v>6916</v>
      </c>
      <c r="T170" s="1" t="s">
        <v>6917</v>
      </c>
      <c r="U170" s="1" t="s">
        <v>6096</v>
      </c>
      <c r="V170" s="1" t="s">
        <v>6097</v>
      </c>
      <c r="W170" s="1" t="s">
        <v>6918</v>
      </c>
    </row>
    <row r="171" spans="1:23" ht="48" customHeight="1">
      <c r="A171" s="1" t="s">
        <v>4786</v>
      </c>
      <c r="B171" s="1" t="s">
        <v>6099</v>
      </c>
      <c r="C171" s="1" t="s">
        <v>6919</v>
      </c>
      <c r="D171" s="1" t="s">
        <v>6101</v>
      </c>
      <c r="E171" s="1" t="s">
        <v>6102</v>
      </c>
      <c r="F171" s="1" t="s">
        <v>6087</v>
      </c>
      <c r="G171" s="1" t="s">
        <v>6912</v>
      </c>
      <c r="H171" s="1" t="s">
        <v>6089</v>
      </c>
      <c r="I171" s="1"/>
      <c r="J171" s="1"/>
      <c r="K171" s="1" t="s">
        <v>6090</v>
      </c>
      <c r="L171" s="1" t="s">
        <v>6920</v>
      </c>
      <c r="M171" s="1" t="s">
        <v>6921</v>
      </c>
      <c r="N171" s="1"/>
      <c r="O171" s="1"/>
      <c r="P171" s="1"/>
      <c r="Q171" s="1"/>
      <c r="R171" s="1" t="s">
        <v>6922</v>
      </c>
      <c r="S171" s="1" t="s">
        <v>6923</v>
      </c>
      <c r="T171" s="1" t="s">
        <v>6917</v>
      </c>
      <c r="U171" s="1" t="s">
        <v>6096</v>
      </c>
      <c r="V171" s="1" t="s">
        <v>6097</v>
      </c>
      <c r="W171" s="1" t="s">
        <v>6918</v>
      </c>
    </row>
    <row r="172" spans="1:23" ht="48" customHeight="1">
      <c r="A172" s="1" t="s">
        <v>4786</v>
      </c>
      <c r="B172" s="1" t="s">
        <v>6107</v>
      </c>
      <c r="C172" s="1" t="s">
        <v>4747</v>
      </c>
      <c r="D172" s="1" t="s">
        <v>6924</v>
      </c>
      <c r="E172" s="1"/>
      <c r="F172" s="1" t="s">
        <v>6110</v>
      </c>
      <c r="G172" s="1" t="s">
        <v>6912</v>
      </c>
      <c r="H172" s="1" t="s">
        <v>6089</v>
      </c>
      <c r="I172" s="1"/>
      <c r="J172" s="1"/>
      <c r="K172" s="1" t="s">
        <v>6090</v>
      </c>
      <c r="L172" s="1" t="s">
        <v>6925</v>
      </c>
      <c r="M172" s="1" t="s">
        <v>6926</v>
      </c>
      <c r="N172" s="1"/>
      <c r="O172" s="1"/>
      <c r="P172" s="1"/>
      <c r="Q172" s="1"/>
      <c r="R172" s="1"/>
      <c r="S172" s="1"/>
      <c r="T172" s="1"/>
      <c r="U172" s="1"/>
      <c r="V172" s="1"/>
      <c r="W172" s="1"/>
    </row>
    <row r="173" spans="1:23" ht="48" customHeight="1">
      <c r="A173" s="1" t="s">
        <v>4786</v>
      </c>
      <c r="B173" s="1" t="s">
        <v>6113</v>
      </c>
      <c r="C173" s="1" t="s">
        <v>6927</v>
      </c>
      <c r="D173" s="1" t="s">
        <v>6927</v>
      </c>
      <c r="E173" s="1" t="s">
        <v>6927</v>
      </c>
      <c r="F173" s="1" t="s">
        <v>6186</v>
      </c>
      <c r="G173" s="1" t="s">
        <v>6912</v>
      </c>
      <c r="H173" s="1" t="s">
        <v>6089</v>
      </c>
      <c r="I173" s="1"/>
      <c r="J173" s="1"/>
      <c r="K173" s="1" t="s">
        <v>6090</v>
      </c>
      <c r="L173" s="1" t="s">
        <v>6928</v>
      </c>
      <c r="M173" s="1" t="s">
        <v>6929</v>
      </c>
      <c r="N173" s="1"/>
      <c r="O173" s="1"/>
      <c r="P173" s="1"/>
      <c r="Q173" s="1"/>
      <c r="R173" s="1"/>
      <c r="S173" s="1"/>
      <c r="T173" s="1"/>
      <c r="U173" s="1"/>
      <c r="V173" s="1"/>
      <c r="W173" s="1"/>
    </row>
    <row r="174" spans="1:23" ht="48" customHeight="1">
      <c r="A174" s="1" t="s">
        <v>4786</v>
      </c>
      <c r="B174" s="1" t="s">
        <v>6118</v>
      </c>
      <c r="C174" s="1" t="s">
        <v>6930</v>
      </c>
      <c r="D174" s="1" t="s">
        <v>6931</v>
      </c>
      <c r="E174" s="1" t="s">
        <v>6932</v>
      </c>
      <c r="F174" s="1" t="s">
        <v>6087</v>
      </c>
      <c r="G174" s="1" t="s">
        <v>6912</v>
      </c>
      <c r="H174" s="1" t="s">
        <v>6089</v>
      </c>
      <c r="I174" s="1"/>
      <c r="J174" s="1"/>
      <c r="K174" s="1" t="s">
        <v>6090</v>
      </c>
      <c r="L174" s="1" t="s">
        <v>6933</v>
      </c>
      <c r="M174" s="1" t="s">
        <v>6934</v>
      </c>
      <c r="N174" s="1"/>
      <c r="O174" s="1"/>
      <c r="P174" s="1"/>
      <c r="Q174" s="1"/>
      <c r="R174" s="1" t="s">
        <v>6935</v>
      </c>
      <c r="S174" s="1" t="s">
        <v>6936</v>
      </c>
      <c r="T174" s="1" t="s">
        <v>6917</v>
      </c>
      <c r="U174" s="1" t="s">
        <v>6096</v>
      </c>
      <c r="V174" s="1" t="s">
        <v>6097</v>
      </c>
      <c r="W174" s="1" t="s">
        <v>6918</v>
      </c>
    </row>
    <row r="175" spans="1:23" ht="48" customHeight="1">
      <c r="A175" s="1" t="s">
        <v>4786</v>
      </c>
      <c r="B175" s="1" t="s">
        <v>6126</v>
      </c>
      <c r="C175" s="1" t="s">
        <v>6937</v>
      </c>
      <c r="D175" s="1" t="s">
        <v>6938</v>
      </c>
      <c r="E175" s="1" t="s">
        <v>6281</v>
      </c>
      <c r="F175" s="1" t="s">
        <v>6087</v>
      </c>
      <c r="G175" s="1" t="s">
        <v>6912</v>
      </c>
      <c r="H175" s="1" t="s">
        <v>6089</v>
      </c>
      <c r="I175" s="1"/>
      <c r="J175" s="1"/>
      <c r="K175" s="1" t="s">
        <v>6090</v>
      </c>
      <c r="L175" s="1" t="s">
        <v>6939</v>
      </c>
      <c r="M175" s="1" t="s">
        <v>6940</v>
      </c>
      <c r="N175" s="1"/>
      <c r="O175" s="1"/>
      <c r="P175" s="1"/>
      <c r="Q175" s="1"/>
      <c r="R175" s="1" t="s">
        <v>6941</v>
      </c>
      <c r="S175" s="1" t="s">
        <v>6942</v>
      </c>
      <c r="T175" s="1" t="s">
        <v>6917</v>
      </c>
      <c r="U175" s="1" t="s">
        <v>6096</v>
      </c>
      <c r="V175" s="1" t="s">
        <v>6097</v>
      </c>
      <c r="W175" s="1" t="s">
        <v>6918</v>
      </c>
    </row>
    <row r="176" spans="1:23" ht="60" customHeight="1">
      <c r="A176" s="1" t="s">
        <v>4786</v>
      </c>
      <c r="B176" s="1" t="s">
        <v>6134</v>
      </c>
      <c r="C176" s="1" t="s">
        <v>6286</v>
      </c>
      <c r="D176" s="1" t="s">
        <v>6943</v>
      </c>
      <c r="E176" s="1" t="s">
        <v>6944</v>
      </c>
      <c r="F176" s="1" t="s">
        <v>6138</v>
      </c>
      <c r="G176" s="1" t="s">
        <v>6912</v>
      </c>
      <c r="H176" s="1" t="s">
        <v>6089</v>
      </c>
      <c r="I176" s="1" t="s">
        <v>4821</v>
      </c>
      <c r="J176" s="1" t="s">
        <v>4820</v>
      </c>
      <c r="K176" s="1" t="s">
        <v>6289</v>
      </c>
      <c r="L176" s="1" t="s">
        <v>6945</v>
      </c>
      <c r="M176" s="1" t="s">
        <v>6946</v>
      </c>
      <c r="N176" s="1" t="s">
        <v>6947</v>
      </c>
      <c r="O176" s="1"/>
      <c r="P176" s="1"/>
      <c r="Q176" s="1"/>
      <c r="R176" s="1" t="s">
        <v>6948</v>
      </c>
      <c r="S176" s="1" t="s">
        <v>6949</v>
      </c>
      <c r="T176" s="1" t="s">
        <v>6917</v>
      </c>
      <c r="U176" s="1" t="s">
        <v>6096</v>
      </c>
      <c r="V176" s="1" t="s">
        <v>6295</v>
      </c>
      <c r="W176" s="1" t="s">
        <v>6918</v>
      </c>
    </row>
    <row r="177" spans="1:23" ht="60" customHeight="1">
      <c r="A177" s="1" t="s">
        <v>4786</v>
      </c>
      <c r="B177" s="1" t="s">
        <v>6144</v>
      </c>
      <c r="C177" s="1" t="s">
        <v>6950</v>
      </c>
      <c r="D177" s="1" t="s">
        <v>4747</v>
      </c>
      <c r="E177" s="1" t="s">
        <v>6951</v>
      </c>
      <c r="F177" s="1" t="s">
        <v>6138</v>
      </c>
      <c r="G177" s="1" t="s">
        <v>6912</v>
      </c>
      <c r="H177" s="1" t="s">
        <v>6089</v>
      </c>
      <c r="I177" s="1"/>
      <c r="J177" s="1"/>
      <c r="K177" s="1" t="s">
        <v>6090</v>
      </c>
      <c r="L177" s="1" t="s">
        <v>6952</v>
      </c>
      <c r="M177" s="1" t="s">
        <v>6953</v>
      </c>
      <c r="N177" s="1"/>
      <c r="O177" s="1"/>
      <c r="P177" s="1"/>
      <c r="Q177" s="1"/>
      <c r="R177" s="1" t="s">
        <v>6954</v>
      </c>
      <c r="S177" s="1" t="s">
        <v>6955</v>
      </c>
      <c r="T177" s="1" t="s">
        <v>6917</v>
      </c>
      <c r="U177" s="1" t="s">
        <v>6096</v>
      </c>
      <c r="V177" s="1" t="s">
        <v>6295</v>
      </c>
      <c r="W177" s="1" t="s">
        <v>6918</v>
      </c>
    </row>
    <row r="178" spans="1:23" ht="72" customHeight="1">
      <c r="A178" s="1" t="s">
        <v>4786</v>
      </c>
      <c r="B178" s="1" t="s">
        <v>6149</v>
      </c>
      <c r="C178" s="1" t="s">
        <v>5688</v>
      </c>
      <c r="D178" s="1" t="s">
        <v>6818</v>
      </c>
      <c r="E178" s="1" t="s">
        <v>6956</v>
      </c>
      <c r="F178" s="1" t="s">
        <v>6138</v>
      </c>
      <c r="G178" s="1" t="s">
        <v>6912</v>
      </c>
      <c r="H178" s="1" t="s">
        <v>6089</v>
      </c>
      <c r="I178" s="1"/>
      <c r="J178" s="1"/>
      <c r="K178" s="1" t="s">
        <v>6090</v>
      </c>
      <c r="L178" s="1" t="s">
        <v>6957</v>
      </c>
      <c r="M178" s="1" t="s">
        <v>6958</v>
      </c>
      <c r="N178" s="1"/>
      <c r="O178" s="1"/>
      <c r="P178" s="1"/>
      <c r="Q178" s="1"/>
      <c r="R178" s="1" t="s">
        <v>6959</v>
      </c>
      <c r="S178" s="1" t="s">
        <v>6960</v>
      </c>
      <c r="T178" s="1" t="s">
        <v>6917</v>
      </c>
      <c r="U178" s="1" t="s">
        <v>6096</v>
      </c>
      <c r="V178" s="1" t="s">
        <v>6295</v>
      </c>
      <c r="W178" s="1" t="s">
        <v>6918</v>
      </c>
    </row>
    <row r="179" spans="1:23" ht="60" customHeight="1">
      <c r="A179" s="1" t="s">
        <v>4786</v>
      </c>
      <c r="B179" s="1" t="s">
        <v>6154</v>
      </c>
      <c r="C179" s="1" t="s">
        <v>6823</v>
      </c>
      <c r="D179" s="1" t="s">
        <v>6308</v>
      </c>
      <c r="E179" s="1" t="s">
        <v>6961</v>
      </c>
      <c r="F179" s="1" t="s">
        <v>6138</v>
      </c>
      <c r="G179" s="1" t="s">
        <v>6912</v>
      </c>
      <c r="H179" s="1" t="s">
        <v>6089</v>
      </c>
      <c r="I179" s="1"/>
      <c r="J179" s="1"/>
      <c r="K179" s="1" t="s">
        <v>6090</v>
      </c>
      <c r="L179" s="1" t="s">
        <v>6962</v>
      </c>
      <c r="M179" s="1" t="s">
        <v>6963</v>
      </c>
      <c r="N179" s="1"/>
      <c r="O179" s="1"/>
      <c r="P179" s="1"/>
      <c r="Q179" s="1"/>
      <c r="R179" s="1" t="s">
        <v>6964</v>
      </c>
      <c r="S179" s="1" t="s">
        <v>6965</v>
      </c>
      <c r="T179" s="1" t="s">
        <v>6917</v>
      </c>
      <c r="U179" s="1" t="s">
        <v>6096</v>
      </c>
      <c r="V179" s="1" t="s">
        <v>6295</v>
      </c>
      <c r="W179" s="1" t="s">
        <v>6918</v>
      </c>
    </row>
    <row r="180" spans="1:23" ht="48" customHeight="1">
      <c r="A180" s="1" t="s">
        <v>4786</v>
      </c>
      <c r="B180" s="1" t="s">
        <v>6159</v>
      </c>
      <c r="C180" s="1" t="s">
        <v>4796</v>
      </c>
      <c r="D180" s="1" t="s">
        <v>4747</v>
      </c>
      <c r="E180" s="1" t="s">
        <v>6966</v>
      </c>
      <c r="F180" s="1" t="s">
        <v>6163</v>
      </c>
      <c r="G180" s="1" t="s">
        <v>6912</v>
      </c>
      <c r="H180" s="1" t="s">
        <v>6089</v>
      </c>
      <c r="I180" s="1"/>
      <c r="J180" s="1"/>
      <c r="K180" s="1" t="s">
        <v>6090</v>
      </c>
      <c r="L180" s="1" t="s">
        <v>6967</v>
      </c>
      <c r="M180" s="1" t="s">
        <v>6968</v>
      </c>
      <c r="N180" s="1"/>
      <c r="O180" s="1" t="s">
        <v>6969</v>
      </c>
      <c r="P180" s="1" t="s">
        <v>6970</v>
      </c>
      <c r="Q180" s="1" t="s">
        <v>6462</v>
      </c>
      <c r="R180" s="1" t="s">
        <v>6971</v>
      </c>
      <c r="S180" s="1" t="s">
        <v>6972</v>
      </c>
      <c r="T180" s="1" t="s">
        <v>6917</v>
      </c>
      <c r="U180" s="1" t="s">
        <v>6096</v>
      </c>
      <c r="V180" s="1" t="s">
        <v>6168</v>
      </c>
      <c r="W180" s="1" t="s">
        <v>6918</v>
      </c>
    </row>
    <row r="181" spans="1:23" ht="72" customHeight="1">
      <c r="A181" s="1" t="s">
        <v>4786</v>
      </c>
      <c r="B181" s="1" t="s">
        <v>6169</v>
      </c>
      <c r="C181" s="1" t="s">
        <v>4747</v>
      </c>
      <c r="D181" s="1" t="s">
        <v>4747</v>
      </c>
      <c r="E181" s="1" t="s">
        <v>6973</v>
      </c>
      <c r="F181" s="1" t="s">
        <v>6349</v>
      </c>
      <c r="G181" s="1" t="s">
        <v>6912</v>
      </c>
      <c r="H181" s="1" t="s">
        <v>6089</v>
      </c>
      <c r="I181" s="1"/>
      <c r="J181" s="1"/>
      <c r="K181" s="1" t="s">
        <v>6090</v>
      </c>
      <c r="L181" s="1" t="s">
        <v>6974</v>
      </c>
      <c r="M181" s="1" t="s">
        <v>6975</v>
      </c>
      <c r="N181" s="1"/>
      <c r="O181" s="1"/>
      <c r="P181" s="1"/>
      <c r="Q181" s="1"/>
      <c r="R181" s="1" t="s">
        <v>6976</v>
      </c>
      <c r="S181" s="1" t="s">
        <v>6319</v>
      </c>
      <c r="T181" s="1" t="s">
        <v>6917</v>
      </c>
      <c r="U181" s="1" t="s">
        <v>6096</v>
      </c>
      <c r="V181" s="1" t="s">
        <v>6977</v>
      </c>
      <c r="W181" s="1" t="s">
        <v>6918</v>
      </c>
    </row>
    <row r="182" spans="1:23" ht="96" customHeight="1">
      <c r="A182" s="1" t="s">
        <v>4786</v>
      </c>
      <c r="B182" s="1" t="s">
        <v>6176</v>
      </c>
      <c r="C182" s="1" t="s">
        <v>6978</v>
      </c>
      <c r="D182" s="1" t="s">
        <v>4747</v>
      </c>
      <c r="E182" s="1" t="s">
        <v>6979</v>
      </c>
      <c r="F182" s="1" t="s">
        <v>6138</v>
      </c>
      <c r="G182" s="1" t="s">
        <v>6912</v>
      </c>
      <c r="H182" s="1" t="s">
        <v>6089</v>
      </c>
      <c r="I182" s="1"/>
      <c r="J182" s="1"/>
      <c r="K182" s="1" t="s">
        <v>6090</v>
      </c>
      <c r="L182" s="1" t="s">
        <v>6980</v>
      </c>
      <c r="M182" s="1" t="s">
        <v>6981</v>
      </c>
      <c r="N182" s="1"/>
      <c r="O182" s="1"/>
      <c r="P182" s="1"/>
      <c r="Q182" s="1"/>
      <c r="R182" s="1" t="s">
        <v>6982</v>
      </c>
      <c r="S182" s="1" t="s">
        <v>6983</v>
      </c>
      <c r="T182" s="1" t="s">
        <v>6917</v>
      </c>
      <c r="U182" s="1" t="s">
        <v>6096</v>
      </c>
      <c r="V182" s="1" t="s">
        <v>6184</v>
      </c>
      <c r="W182" s="1" t="s">
        <v>6918</v>
      </c>
    </row>
    <row r="183" spans="1:23" ht="48" customHeight="1">
      <c r="A183" s="1" t="s">
        <v>4786</v>
      </c>
      <c r="B183" s="1" t="s">
        <v>6185</v>
      </c>
      <c r="C183" s="1" t="s">
        <v>4747</v>
      </c>
      <c r="D183" s="1" t="s">
        <v>4747</v>
      </c>
      <c r="E183" s="1" t="s">
        <v>4747</v>
      </c>
      <c r="F183" s="1" t="s">
        <v>6186</v>
      </c>
      <c r="G183" s="1" t="s">
        <v>6912</v>
      </c>
      <c r="H183" s="1" t="s">
        <v>6089</v>
      </c>
      <c r="I183" s="1"/>
      <c r="J183" s="1"/>
      <c r="K183" s="1" t="s">
        <v>6090</v>
      </c>
      <c r="L183" s="1" t="s">
        <v>6984</v>
      </c>
      <c r="M183" s="1" t="s">
        <v>6985</v>
      </c>
      <c r="N183" s="1"/>
      <c r="O183" s="1"/>
      <c r="P183" s="1"/>
      <c r="Q183" s="1"/>
      <c r="R183" s="1"/>
      <c r="S183" s="1"/>
      <c r="T183" s="1"/>
      <c r="U183" s="1"/>
      <c r="V183" s="1"/>
      <c r="W183" s="1"/>
    </row>
    <row r="184" spans="1:23" ht="96" customHeight="1">
      <c r="A184" s="1" t="s">
        <v>4786</v>
      </c>
      <c r="B184" s="1" t="s">
        <v>6189</v>
      </c>
      <c r="C184" s="1" t="s">
        <v>6986</v>
      </c>
      <c r="D184" s="1" t="s">
        <v>4747</v>
      </c>
      <c r="E184" s="1" t="s">
        <v>6987</v>
      </c>
      <c r="F184" s="1" t="s">
        <v>6138</v>
      </c>
      <c r="G184" s="1" t="s">
        <v>6912</v>
      </c>
      <c r="H184" s="1" t="s">
        <v>6089</v>
      </c>
      <c r="I184" s="1"/>
      <c r="J184" s="1"/>
      <c r="K184" s="1" t="s">
        <v>6090</v>
      </c>
      <c r="L184" s="1" t="s">
        <v>6988</v>
      </c>
      <c r="M184" s="1" t="s">
        <v>6989</v>
      </c>
      <c r="N184" s="1"/>
      <c r="O184" s="1"/>
      <c r="P184" s="1"/>
      <c r="Q184" s="1"/>
      <c r="R184" s="1" t="s">
        <v>6990</v>
      </c>
      <c r="S184" s="1" t="s">
        <v>6991</v>
      </c>
      <c r="T184" s="1" t="s">
        <v>6917</v>
      </c>
      <c r="U184" s="1" t="s">
        <v>6096</v>
      </c>
      <c r="V184" s="1" t="s">
        <v>6184</v>
      </c>
      <c r="W184" s="1" t="s">
        <v>6918</v>
      </c>
    </row>
    <row r="185" spans="1:23" ht="48" customHeight="1">
      <c r="A185" s="1" t="s">
        <v>4786</v>
      </c>
      <c r="B185" s="1" t="s">
        <v>6196</v>
      </c>
      <c r="C185" s="1" t="s">
        <v>6992</v>
      </c>
      <c r="D185" s="1" t="s">
        <v>6993</v>
      </c>
      <c r="E185" s="1" t="s">
        <v>6994</v>
      </c>
      <c r="F185" s="1" t="s">
        <v>6163</v>
      </c>
      <c r="G185" s="1" t="s">
        <v>6912</v>
      </c>
      <c r="H185" s="1" t="s">
        <v>6089</v>
      </c>
      <c r="I185" s="1"/>
      <c r="J185" s="1"/>
      <c r="K185" s="1" t="s">
        <v>6090</v>
      </c>
      <c r="L185" s="1" t="s">
        <v>6995</v>
      </c>
      <c r="M185" s="1" t="s">
        <v>6996</v>
      </c>
      <c r="N185" s="1"/>
      <c r="O185" s="1"/>
      <c r="P185" s="1"/>
      <c r="Q185" s="1"/>
      <c r="R185" s="1" t="s">
        <v>6997</v>
      </c>
      <c r="S185" s="1" t="s">
        <v>6972</v>
      </c>
      <c r="T185" s="1" t="s">
        <v>6917</v>
      </c>
      <c r="U185" s="1" t="s">
        <v>6096</v>
      </c>
      <c r="V185" s="1" t="s">
        <v>6168</v>
      </c>
      <c r="W185" s="1" t="s">
        <v>6918</v>
      </c>
    </row>
    <row r="186" spans="1:23" ht="60" customHeight="1">
      <c r="A186" s="1" t="s">
        <v>4786</v>
      </c>
      <c r="B186" s="1" t="s">
        <v>6200</v>
      </c>
      <c r="C186" s="1" t="s">
        <v>6998</v>
      </c>
      <c r="D186" s="1" t="s">
        <v>6999</v>
      </c>
      <c r="E186" s="1" t="s">
        <v>7000</v>
      </c>
      <c r="F186" s="1" t="s">
        <v>6349</v>
      </c>
      <c r="G186" s="1" t="s">
        <v>6912</v>
      </c>
      <c r="H186" s="1" t="s">
        <v>6089</v>
      </c>
      <c r="I186" s="1"/>
      <c r="J186" s="1"/>
      <c r="K186" s="1" t="s">
        <v>6090</v>
      </c>
      <c r="L186" s="1" t="s">
        <v>7001</v>
      </c>
      <c r="M186" s="1" t="s">
        <v>7002</v>
      </c>
      <c r="N186" s="1"/>
      <c r="O186" s="1" t="s">
        <v>7003</v>
      </c>
      <c r="P186" s="1" t="s">
        <v>7004</v>
      </c>
      <c r="Q186" s="1" t="s">
        <v>6462</v>
      </c>
      <c r="R186" s="1" t="s">
        <v>7005</v>
      </c>
      <c r="S186" s="1" t="s">
        <v>7006</v>
      </c>
      <c r="T186" s="1" t="s">
        <v>6917</v>
      </c>
      <c r="U186" s="1" t="s">
        <v>6096</v>
      </c>
      <c r="V186" s="1" t="s">
        <v>7007</v>
      </c>
      <c r="W186" s="1" t="s">
        <v>6918</v>
      </c>
    </row>
    <row r="187" spans="1:23" ht="48" customHeight="1">
      <c r="A187" s="1" t="s">
        <v>4786</v>
      </c>
      <c r="B187" s="1" t="s">
        <v>5583</v>
      </c>
      <c r="C187" s="1" t="s">
        <v>4747</v>
      </c>
      <c r="D187" s="1" t="s">
        <v>4747</v>
      </c>
      <c r="E187" s="1" t="s">
        <v>4747</v>
      </c>
      <c r="F187" s="1" t="s">
        <v>6186</v>
      </c>
      <c r="G187" s="1" t="s">
        <v>6912</v>
      </c>
      <c r="H187" s="1" t="s">
        <v>6089</v>
      </c>
      <c r="I187" s="1"/>
      <c r="J187" s="1"/>
      <c r="K187" s="1" t="s">
        <v>6090</v>
      </c>
      <c r="L187" s="1" t="s">
        <v>7008</v>
      </c>
      <c r="M187" s="1" t="s">
        <v>7009</v>
      </c>
      <c r="N187" s="1"/>
      <c r="O187" s="1"/>
      <c r="P187" s="1"/>
      <c r="Q187" s="1"/>
      <c r="R187" s="1"/>
      <c r="S187" s="1"/>
      <c r="T187" s="1"/>
      <c r="U187" s="1"/>
      <c r="V187" s="1"/>
      <c r="W187" s="1"/>
    </row>
    <row r="188" spans="1:23" ht="48" customHeight="1">
      <c r="A188" s="1" t="s">
        <v>4786</v>
      </c>
      <c r="B188" s="1" t="s">
        <v>6209</v>
      </c>
      <c r="C188" s="1" t="s">
        <v>7010</v>
      </c>
      <c r="D188" s="1" t="s">
        <v>4747</v>
      </c>
      <c r="E188" s="1" t="s">
        <v>7011</v>
      </c>
      <c r="F188" s="1" t="s">
        <v>6163</v>
      </c>
      <c r="G188" s="1" t="s">
        <v>6912</v>
      </c>
      <c r="H188" s="1" t="s">
        <v>6089</v>
      </c>
      <c r="I188" s="1"/>
      <c r="J188" s="1"/>
      <c r="K188" s="1" t="s">
        <v>6090</v>
      </c>
      <c r="L188" s="1" t="s">
        <v>7012</v>
      </c>
      <c r="M188" s="1" t="s">
        <v>7013</v>
      </c>
      <c r="N188" s="1"/>
      <c r="O188" s="1"/>
      <c r="P188" s="1"/>
      <c r="Q188" s="1"/>
      <c r="R188" s="1" t="s">
        <v>7014</v>
      </c>
      <c r="S188" s="1" t="s">
        <v>7015</v>
      </c>
      <c r="T188" s="1" t="s">
        <v>6917</v>
      </c>
      <c r="U188" s="1" t="s">
        <v>6096</v>
      </c>
      <c r="V188" s="1" t="s">
        <v>6168</v>
      </c>
      <c r="W188" s="1" t="s">
        <v>6918</v>
      </c>
    </row>
    <row r="189" spans="1:23" ht="60" customHeight="1">
      <c r="A189" s="1" t="s">
        <v>4786</v>
      </c>
      <c r="B189" s="1" t="s">
        <v>6212</v>
      </c>
      <c r="C189" s="1" t="s">
        <v>7016</v>
      </c>
      <c r="D189" s="1" t="s">
        <v>4747</v>
      </c>
      <c r="E189" s="1" t="s">
        <v>7017</v>
      </c>
      <c r="F189" s="1" t="s">
        <v>6349</v>
      </c>
      <c r="G189" s="1" t="s">
        <v>6912</v>
      </c>
      <c r="H189" s="1" t="s">
        <v>6089</v>
      </c>
      <c r="I189" s="1"/>
      <c r="J189" s="1"/>
      <c r="K189" s="1" t="s">
        <v>6090</v>
      </c>
      <c r="L189" s="1" t="s">
        <v>7018</v>
      </c>
      <c r="M189" s="1" t="s">
        <v>7019</v>
      </c>
      <c r="N189" s="1"/>
      <c r="O189" s="1"/>
      <c r="P189" s="1"/>
      <c r="Q189" s="1"/>
      <c r="R189" s="1" t="s">
        <v>7020</v>
      </c>
      <c r="S189" s="1" t="s">
        <v>7021</v>
      </c>
      <c r="T189" s="1" t="s">
        <v>6917</v>
      </c>
      <c r="U189" s="1" t="s">
        <v>6096</v>
      </c>
      <c r="V189" s="1" t="s">
        <v>7022</v>
      </c>
      <c r="W189" s="1" t="s">
        <v>6918</v>
      </c>
    </row>
    <row r="190" spans="1:23" ht="48" customHeight="1">
      <c r="A190" s="1" t="s">
        <v>4786</v>
      </c>
      <c r="B190" s="1" t="s">
        <v>6215</v>
      </c>
      <c r="C190" s="1"/>
      <c r="D190" s="1" t="s">
        <v>4747</v>
      </c>
      <c r="E190" s="1" t="s">
        <v>7023</v>
      </c>
      <c r="F190" s="1" t="s">
        <v>6163</v>
      </c>
      <c r="G190" s="1"/>
      <c r="H190" s="1" t="s">
        <v>6089</v>
      </c>
      <c r="I190" s="1"/>
      <c r="J190" s="1"/>
      <c r="K190" s="1" t="s">
        <v>6090</v>
      </c>
      <c r="L190" s="1"/>
      <c r="M190" s="1" t="s">
        <v>7024</v>
      </c>
      <c r="N190" s="1"/>
      <c r="O190" s="1"/>
      <c r="P190" s="1"/>
      <c r="Q190" s="1"/>
      <c r="R190" s="1" t="s">
        <v>7025</v>
      </c>
      <c r="S190" s="1" t="s">
        <v>7026</v>
      </c>
      <c r="T190" s="1" t="s">
        <v>6917</v>
      </c>
      <c r="U190" s="1" t="s">
        <v>6096</v>
      </c>
      <c r="V190" s="1" t="s">
        <v>6168</v>
      </c>
      <c r="W190" s="1" t="s">
        <v>6918</v>
      </c>
    </row>
    <row r="191" spans="1:23" ht="48" customHeight="1">
      <c r="A191" s="1" t="s">
        <v>4786</v>
      </c>
      <c r="B191" s="1" t="s">
        <v>6218</v>
      </c>
      <c r="C191" s="1" t="s">
        <v>4747</v>
      </c>
      <c r="D191" s="1" t="s">
        <v>4747</v>
      </c>
      <c r="E191" s="1" t="s">
        <v>4747</v>
      </c>
      <c r="F191" s="1" t="s">
        <v>6186</v>
      </c>
      <c r="G191" s="1" t="s">
        <v>6912</v>
      </c>
      <c r="H191" s="1" t="s">
        <v>6089</v>
      </c>
      <c r="I191" s="1"/>
      <c r="J191" s="1"/>
      <c r="K191" s="1" t="s">
        <v>6090</v>
      </c>
      <c r="L191" s="1" t="s">
        <v>7027</v>
      </c>
      <c r="M191" s="1" t="s">
        <v>7028</v>
      </c>
      <c r="N191" s="1"/>
      <c r="O191" s="1"/>
      <c r="P191" s="1"/>
      <c r="Q191" s="1"/>
      <c r="R191" s="1"/>
      <c r="S191" s="1"/>
      <c r="T191" s="1"/>
      <c r="U191" s="1"/>
      <c r="V191" s="1"/>
      <c r="W191" s="1"/>
    </row>
    <row r="192" spans="1:23" ht="48" customHeight="1">
      <c r="A192" s="1" t="s">
        <v>4786</v>
      </c>
      <c r="B192" s="1" t="s">
        <v>6222</v>
      </c>
      <c r="C192" s="1" t="s">
        <v>4747</v>
      </c>
      <c r="D192" s="1" t="s">
        <v>4747</v>
      </c>
      <c r="E192" s="1" t="s">
        <v>4747</v>
      </c>
      <c r="F192" s="1" t="s">
        <v>6186</v>
      </c>
      <c r="G192" s="1" t="s">
        <v>6912</v>
      </c>
      <c r="H192" s="1" t="s">
        <v>6089</v>
      </c>
      <c r="I192" s="1"/>
      <c r="J192" s="1"/>
      <c r="K192" s="1" t="s">
        <v>6090</v>
      </c>
      <c r="L192" s="1" t="s">
        <v>7029</v>
      </c>
      <c r="M192" s="1" t="s">
        <v>7030</v>
      </c>
      <c r="N192" s="1"/>
      <c r="O192" s="1"/>
      <c r="P192" s="1"/>
      <c r="Q192" s="1"/>
      <c r="R192" s="1"/>
      <c r="S192" s="1"/>
      <c r="T192" s="1"/>
      <c r="U192" s="1"/>
      <c r="V192" s="1"/>
      <c r="W192" s="1"/>
    </row>
    <row r="193" spans="1:23" ht="48" customHeight="1">
      <c r="A193" s="1" t="s">
        <v>4786</v>
      </c>
      <c r="B193" s="1" t="s">
        <v>6227</v>
      </c>
      <c r="C193" s="1" t="s">
        <v>7031</v>
      </c>
      <c r="D193" s="1" t="s">
        <v>7032</v>
      </c>
      <c r="E193" s="1"/>
      <c r="F193" s="1" t="s">
        <v>6110</v>
      </c>
      <c r="G193" s="1" t="s">
        <v>6912</v>
      </c>
      <c r="H193" s="1" t="s">
        <v>6089</v>
      </c>
      <c r="I193" s="1"/>
      <c r="J193" s="1"/>
      <c r="K193" s="1" t="s">
        <v>6090</v>
      </c>
      <c r="L193" s="1" t="s">
        <v>7033</v>
      </c>
      <c r="M193" s="1" t="s">
        <v>7034</v>
      </c>
      <c r="N193" s="1"/>
      <c r="O193" s="1"/>
      <c r="P193" s="1"/>
      <c r="Q193" s="1"/>
      <c r="R193" s="1"/>
      <c r="S193" s="1"/>
      <c r="T193" s="1"/>
      <c r="U193" s="1"/>
      <c r="V193" s="1"/>
      <c r="W193" s="1"/>
    </row>
    <row r="194" spans="1:23" ht="48" customHeight="1">
      <c r="A194" s="1" t="s">
        <v>4786</v>
      </c>
      <c r="B194" s="1" t="s">
        <v>6232</v>
      </c>
      <c r="C194" s="1" t="s">
        <v>4747</v>
      </c>
      <c r="D194" s="1" t="s">
        <v>7035</v>
      </c>
      <c r="E194" s="1"/>
      <c r="F194" s="1" t="s">
        <v>6110</v>
      </c>
      <c r="G194" s="1" t="s">
        <v>6912</v>
      </c>
      <c r="H194" s="1" t="s">
        <v>6089</v>
      </c>
      <c r="I194" s="1"/>
      <c r="J194" s="1"/>
      <c r="K194" s="1" t="s">
        <v>6090</v>
      </c>
      <c r="L194" s="1" t="s">
        <v>7036</v>
      </c>
      <c r="M194" s="1" t="s">
        <v>7037</v>
      </c>
      <c r="N194" s="1"/>
      <c r="O194" s="1"/>
      <c r="P194" s="1"/>
      <c r="Q194" s="1"/>
      <c r="R194" s="1"/>
      <c r="S194" s="1"/>
      <c r="T194" s="1"/>
      <c r="U194" s="1"/>
      <c r="V194" s="1"/>
      <c r="W194" s="1"/>
    </row>
    <row r="195" spans="1:23" ht="60" customHeight="1">
      <c r="A195" s="1" t="s">
        <v>4786</v>
      </c>
      <c r="B195" s="1" t="s">
        <v>6236</v>
      </c>
      <c r="C195" s="1" t="s">
        <v>7038</v>
      </c>
      <c r="D195" s="1" t="s">
        <v>7039</v>
      </c>
      <c r="E195" s="1" t="s">
        <v>7040</v>
      </c>
      <c r="F195" s="1" t="s">
        <v>6163</v>
      </c>
      <c r="G195" s="1" t="s">
        <v>6912</v>
      </c>
      <c r="H195" s="1" t="s">
        <v>6089</v>
      </c>
      <c r="I195" s="1"/>
      <c r="J195" s="1"/>
      <c r="K195" s="1" t="s">
        <v>6090</v>
      </c>
      <c r="L195" s="1" t="s">
        <v>7041</v>
      </c>
      <c r="M195" s="1" t="s">
        <v>7042</v>
      </c>
      <c r="N195" s="1"/>
      <c r="O195" s="1"/>
      <c r="P195" s="1"/>
      <c r="Q195" s="1"/>
      <c r="R195" s="1" t="s">
        <v>7043</v>
      </c>
      <c r="S195" s="1" t="s">
        <v>7044</v>
      </c>
      <c r="T195" s="1" t="s">
        <v>6917</v>
      </c>
      <c r="U195" s="1" t="s">
        <v>6096</v>
      </c>
      <c r="V195" s="1" t="s">
        <v>6244</v>
      </c>
      <c r="W195" s="1" t="s">
        <v>6918</v>
      </c>
    </row>
    <row r="196" spans="1:23" ht="48" customHeight="1">
      <c r="A196" s="1" t="s">
        <v>4786</v>
      </c>
      <c r="B196" s="1" t="s">
        <v>6245</v>
      </c>
      <c r="C196" s="1" t="s">
        <v>7045</v>
      </c>
      <c r="D196" s="1"/>
      <c r="E196" s="1"/>
      <c r="F196" s="1" t="s">
        <v>6216</v>
      </c>
      <c r="G196" s="1" t="s">
        <v>6912</v>
      </c>
      <c r="H196" s="1"/>
      <c r="I196" s="1"/>
      <c r="J196" s="1"/>
      <c r="K196" s="1" t="s">
        <v>6090</v>
      </c>
      <c r="L196" s="1" t="s">
        <v>7046</v>
      </c>
      <c r="M196" s="1"/>
      <c r="N196" s="1"/>
      <c r="O196" s="1"/>
      <c r="P196" s="1"/>
      <c r="Q196" s="1"/>
      <c r="R196" s="1"/>
      <c r="S196" s="1"/>
      <c r="T196" s="1"/>
      <c r="U196" s="1"/>
      <c r="V196" s="1"/>
      <c r="W196" s="1"/>
    </row>
    <row r="197" spans="1:23" ht="48" customHeight="1">
      <c r="A197" s="1" t="s">
        <v>4786</v>
      </c>
      <c r="B197" s="1" t="s">
        <v>6248</v>
      </c>
      <c r="C197" s="1" t="s">
        <v>7047</v>
      </c>
      <c r="D197" s="1"/>
      <c r="E197" s="1"/>
      <c r="F197" s="1" t="s">
        <v>6216</v>
      </c>
      <c r="G197" s="1" t="s">
        <v>6912</v>
      </c>
      <c r="H197" s="1"/>
      <c r="I197" s="1"/>
      <c r="J197" s="1"/>
      <c r="K197" s="1" t="s">
        <v>6090</v>
      </c>
      <c r="L197" s="1" t="s">
        <v>7048</v>
      </c>
      <c r="M197" s="1"/>
      <c r="N197" s="1"/>
      <c r="O197" s="1"/>
      <c r="P197" s="1"/>
      <c r="Q197" s="1"/>
      <c r="R197" s="1"/>
      <c r="S197" s="1"/>
      <c r="T197" s="1"/>
      <c r="U197" s="1"/>
      <c r="V197" s="1"/>
      <c r="W197" s="1"/>
    </row>
    <row r="198" spans="1:23" ht="48" customHeight="1">
      <c r="A198" s="1" t="s">
        <v>4825</v>
      </c>
      <c r="B198" s="1" t="s">
        <v>6083</v>
      </c>
      <c r="C198" s="1" t="s">
        <v>7049</v>
      </c>
      <c r="D198" s="1" t="s">
        <v>7050</v>
      </c>
      <c r="E198" s="1" t="s">
        <v>6402</v>
      </c>
      <c r="F198" s="1" t="s">
        <v>6087</v>
      </c>
      <c r="G198" s="1" t="s">
        <v>7051</v>
      </c>
      <c r="H198" s="1" t="s">
        <v>6089</v>
      </c>
      <c r="I198" s="1"/>
      <c r="J198" s="1"/>
      <c r="K198" s="1" t="s">
        <v>6090</v>
      </c>
      <c r="L198" s="1" t="s">
        <v>7052</v>
      </c>
      <c r="M198" s="1" t="s">
        <v>7053</v>
      </c>
      <c r="N198" s="1"/>
      <c r="O198" s="1"/>
      <c r="P198" s="1"/>
      <c r="Q198" s="1"/>
      <c r="R198" s="1" t="s">
        <v>7054</v>
      </c>
      <c r="S198" s="1" t="s">
        <v>7055</v>
      </c>
      <c r="T198" s="1" t="s">
        <v>7056</v>
      </c>
      <c r="U198" s="1" t="s">
        <v>6096</v>
      </c>
      <c r="V198" s="1" t="s">
        <v>6097</v>
      </c>
      <c r="W198" s="1" t="s">
        <v>7057</v>
      </c>
    </row>
    <row r="199" spans="1:23" ht="48" customHeight="1">
      <c r="A199" s="1" t="s">
        <v>4825</v>
      </c>
      <c r="B199" s="1" t="s">
        <v>6099</v>
      </c>
      <c r="C199" s="1" t="s">
        <v>7058</v>
      </c>
      <c r="D199" s="1" t="s">
        <v>7059</v>
      </c>
      <c r="E199" s="1" t="s">
        <v>7060</v>
      </c>
      <c r="F199" s="1" t="s">
        <v>6087</v>
      </c>
      <c r="G199" s="1" t="s">
        <v>7051</v>
      </c>
      <c r="H199" s="1" t="s">
        <v>6089</v>
      </c>
      <c r="I199" s="1"/>
      <c r="J199" s="1"/>
      <c r="K199" s="1" t="s">
        <v>6090</v>
      </c>
      <c r="L199" s="1" t="s">
        <v>7061</v>
      </c>
      <c r="M199" s="1" t="s">
        <v>7062</v>
      </c>
      <c r="N199" s="1"/>
      <c r="O199" s="1"/>
      <c r="P199" s="1"/>
      <c r="Q199" s="1"/>
      <c r="R199" s="1" t="s">
        <v>7063</v>
      </c>
      <c r="S199" s="1" t="s">
        <v>7064</v>
      </c>
      <c r="T199" s="1" t="s">
        <v>7056</v>
      </c>
      <c r="U199" s="1" t="s">
        <v>6096</v>
      </c>
      <c r="V199" s="1" t="s">
        <v>6097</v>
      </c>
      <c r="W199" s="1" t="s">
        <v>7057</v>
      </c>
    </row>
    <row r="200" spans="1:23" ht="48" customHeight="1">
      <c r="A200" s="1" t="s">
        <v>4825</v>
      </c>
      <c r="B200" s="1" t="s">
        <v>6107</v>
      </c>
      <c r="C200" s="1" t="s">
        <v>7065</v>
      </c>
      <c r="D200" s="1" t="s">
        <v>7066</v>
      </c>
      <c r="E200" s="1"/>
      <c r="F200" s="1" t="s">
        <v>6110</v>
      </c>
      <c r="G200" s="1" t="s">
        <v>7051</v>
      </c>
      <c r="H200" s="1" t="s">
        <v>6089</v>
      </c>
      <c r="I200" s="1"/>
      <c r="J200" s="1"/>
      <c r="K200" s="1" t="s">
        <v>6090</v>
      </c>
      <c r="L200" s="1" t="s">
        <v>7067</v>
      </c>
      <c r="M200" s="1" t="s">
        <v>7068</v>
      </c>
      <c r="N200" s="1"/>
      <c r="O200" s="1"/>
      <c r="P200" s="1"/>
      <c r="Q200" s="1"/>
      <c r="R200" s="1"/>
      <c r="S200" s="1"/>
      <c r="T200" s="1"/>
      <c r="U200" s="1"/>
      <c r="V200" s="1"/>
      <c r="W200" s="1"/>
    </row>
    <row r="201" spans="1:23" ht="48" customHeight="1">
      <c r="A201" s="1" t="s">
        <v>4825</v>
      </c>
      <c r="B201" s="1" t="s">
        <v>6113</v>
      </c>
      <c r="C201" s="1" t="s">
        <v>7069</v>
      </c>
      <c r="D201" s="1" t="s">
        <v>7070</v>
      </c>
      <c r="E201" s="1"/>
      <c r="F201" s="1" t="s">
        <v>6110</v>
      </c>
      <c r="G201" s="1" t="s">
        <v>7051</v>
      </c>
      <c r="H201" s="1" t="s">
        <v>6089</v>
      </c>
      <c r="I201" s="1"/>
      <c r="J201" s="1"/>
      <c r="K201" s="1" t="s">
        <v>6090</v>
      </c>
      <c r="L201" s="1" t="s">
        <v>7071</v>
      </c>
      <c r="M201" s="1" t="s">
        <v>7072</v>
      </c>
      <c r="N201" s="1"/>
      <c r="O201" s="1"/>
      <c r="P201" s="1"/>
      <c r="Q201" s="1"/>
      <c r="R201" s="1"/>
      <c r="S201" s="1"/>
      <c r="T201" s="1"/>
      <c r="U201" s="1"/>
      <c r="V201" s="1"/>
      <c r="W201" s="1"/>
    </row>
    <row r="202" spans="1:23" ht="48" customHeight="1">
      <c r="A202" s="1" t="s">
        <v>4825</v>
      </c>
      <c r="B202" s="1" t="s">
        <v>6118</v>
      </c>
      <c r="C202" s="1" t="s">
        <v>7073</v>
      </c>
      <c r="D202" s="1" t="s">
        <v>7074</v>
      </c>
      <c r="E202" s="1" t="s">
        <v>7075</v>
      </c>
      <c r="F202" s="1" t="s">
        <v>6087</v>
      </c>
      <c r="G202" s="1" t="s">
        <v>7051</v>
      </c>
      <c r="H202" s="1" t="s">
        <v>6089</v>
      </c>
      <c r="I202" s="1"/>
      <c r="J202" s="1"/>
      <c r="K202" s="1" t="s">
        <v>6090</v>
      </c>
      <c r="L202" s="1" t="s">
        <v>7076</v>
      </c>
      <c r="M202" s="1" t="s">
        <v>7077</v>
      </c>
      <c r="N202" s="1"/>
      <c r="O202" s="1"/>
      <c r="P202" s="1"/>
      <c r="Q202" s="1"/>
      <c r="R202" s="1" t="s">
        <v>7078</v>
      </c>
      <c r="S202" s="1" t="s">
        <v>7079</v>
      </c>
      <c r="T202" s="1" t="s">
        <v>7056</v>
      </c>
      <c r="U202" s="1" t="s">
        <v>6096</v>
      </c>
      <c r="V202" s="1" t="s">
        <v>6097</v>
      </c>
      <c r="W202" s="1" t="s">
        <v>7057</v>
      </c>
    </row>
    <row r="203" spans="1:23" ht="48" customHeight="1">
      <c r="A203" s="1" t="s">
        <v>4825</v>
      </c>
      <c r="B203" s="1" t="s">
        <v>6126</v>
      </c>
      <c r="C203" s="1" t="s">
        <v>7080</v>
      </c>
      <c r="D203" s="1" t="s">
        <v>7081</v>
      </c>
      <c r="E203" s="1" t="s">
        <v>6129</v>
      </c>
      <c r="F203" s="1" t="s">
        <v>6087</v>
      </c>
      <c r="G203" s="1" t="s">
        <v>7051</v>
      </c>
      <c r="H203" s="1" t="s">
        <v>6089</v>
      </c>
      <c r="I203" s="1"/>
      <c r="J203" s="1"/>
      <c r="K203" s="1" t="s">
        <v>6090</v>
      </c>
      <c r="L203" s="1" t="s">
        <v>7082</v>
      </c>
      <c r="M203" s="1" t="s">
        <v>7083</v>
      </c>
      <c r="N203" s="1"/>
      <c r="O203" s="1"/>
      <c r="P203" s="1"/>
      <c r="Q203" s="1"/>
      <c r="R203" s="1" t="s">
        <v>7084</v>
      </c>
      <c r="S203" s="1" t="s">
        <v>7085</v>
      </c>
      <c r="T203" s="1" t="s">
        <v>7056</v>
      </c>
      <c r="U203" s="1" t="s">
        <v>6096</v>
      </c>
      <c r="V203" s="1" t="s">
        <v>6097</v>
      </c>
      <c r="W203" s="1" t="s">
        <v>7057</v>
      </c>
    </row>
    <row r="204" spans="1:23" ht="60" customHeight="1">
      <c r="A204" s="1" t="s">
        <v>4825</v>
      </c>
      <c r="B204" s="1" t="s">
        <v>6134</v>
      </c>
      <c r="C204" s="1" t="s">
        <v>6286</v>
      </c>
      <c r="D204" s="1" t="s">
        <v>6287</v>
      </c>
      <c r="E204" s="1" t="s">
        <v>7086</v>
      </c>
      <c r="F204" s="1" t="s">
        <v>6138</v>
      </c>
      <c r="G204" s="1" t="s">
        <v>7051</v>
      </c>
      <c r="H204" s="1" t="s">
        <v>6089</v>
      </c>
      <c r="I204" s="1" t="s">
        <v>4829</v>
      </c>
      <c r="J204" s="1" t="s">
        <v>4828</v>
      </c>
      <c r="K204" s="1" t="s">
        <v>6289</v>
      </c>
      <c r="L204" s="1" t="s">
        <v>7087</v>
      </c>
      <c r="M204" s="1" t="s">
        <v>7088</v>
      </c>
      <c r="N204" s="1" t="s">
        <v>7089</v>
      </c>
      <c r="O204" s="1"/>
      <c r="P204" s="1"/>
      <c r="Q204" s="1"/>
      <c r="R204" s="1" t="s">
        <v>7090</v>
      </c>
      <c r="S204" s="1" t="s">
        <v>7091</v>
      </c>
      <c r="T204" s="1" t="s">
        <v>7056</v>
      </c>
      <c r="U204" s="1" t="s">
        <v>6096</v>
      </c>
      <c r="V204" s="1" t="s">
        <v>6295</v>
      </c>
      <c r="W204" s="1" t="s">
        <v>7057</v>
      </c>
    </row>
    <row r="205" spans="1:23" ht="60" customHeight="1">
      <c r="A205" s="1" t="s">
        <v>4825</v>
      </c>
      <c r="B205" s="1" t="s">
        <v>6144</v>
      </c>
      <c r="C205" s="1" t="s">
        <v>7092</v>
      </c>
      <c r="D205" s="1" t="s">
        <v>4747</v>
      </c>
      <c r="E205" s="1" t="s">
        <v>7093</v>
      </c>
      <c r="F205" s="1" t="s">
        <v>6138</v>
      </c>
      <c r="G205" s="1" t="s">
        <v>7051</v>
      </c>
      <c r="H205" s="1" t="s">
        <v>6089</v>
      </c>
      <c r="I205" s="1"/>
      <c r="J205" s="1"/>
      <c r="K205" s="1" t="s">
        <v>6090</v>
      </c>
      <c r="L205" s="1" t="s">
        <v>7094</v>
      </c>
      <c r="M205" s="1" t="s">
        <v>7095</v>
      </c>
      <c r="N205" s="1"/>
      <c r="O205" s="1"/>
      <c r="P205" s="1"/>
      <c r="Q205" s="1"/>
      <c r="R205" s="1" t="s">
        <v>7096</v>
      </c>
      <c r="S205" s="1" t="s">
        <v>7097</v>
      </c>
      <c r="T205" s="1" t="s">
        <v>7056</v>
      </c>
      <c r="U205" s="1" t="s">
        <v>6096</v>
      </c>
      <c r="V205" s="1" t="s">
        <v>6295</v>
      </c>
      <c r="W205" s="1" t="s">
        <v>7057</v>
      </c>
    </row>
    <row r="206" spans="1:23" ht="60" customHeight="1">
      <c r="A206" s="1" t="s">
        <v>4825</v>
      </c>
      <c r="B206" s="1" t="s">
        <v>6149</v>
      </c>
      <c r="C206" s="1" t="s">
        <v>5695</v>
      </c>
      <c r="D206" s="1" t="s">
        <v>4747</v>
      </c>
      <c r="E206" s="1" t="s">
        <v>7098</v>
      </c>
      <c r="F206" s="1" t="s">
        <v>6138</v>
      </c>
      <c r="G206" s="1" t="s">
        <v>7051</v>
      </c>
      <c r="H206" s="1" t="s">
        <v>6089</v>
      </c>
      <c r="I206" s="1"/>
      <c r="J206" s="1"/>
      <c r="K206" s="1" t="s">
        <v>6090</v>
      </c>
      <c r="L206" s="1" t="s">
        <v>7099</v>
      </c>
      <c r="M206" s="1" t="s">
        <v>7100</v>
      </c>
      <c r="N206" s="1"/>
      <c r="O206" s="1"/>
      <c r="P206" s="1"/>
      <c r="Q206" s="1"/>
      <c r="R206" s="1" t="s">
        <v>7101</v>
      </c>
      <c r="S206" s="1" t="s">
        <v>7102</v>
      </c>
      <c r="T206" s="1" t="s">
        <v>7056</v>
      </c>
      <c r="U206" s="1" t="s">
        <v>6096</v>
      </c>
      <c r="V206" s="1" t="s">
        <v>6295</v>
      </c>
      <c r="W206" s="1" t="s">
        <v>7057</v>
      </c>
    </row>
    <row r="207" spans="1:23" ht="60" customHeight="1">
      <c r="A207" s="1" t="s">
        <v>4825</v>
      </c>
      <c r="B207" s="1" t="s">
        <v>6154</v>
      </c>
      <c r="C207" s="1" t="s">
        <v>6823</v>
      </c>
      <c r="D207" s="1" t="s">
        <v>6308</v>
      </c>
      <c r="E207" s="1" t="s">
        <v>7103</v>
      </c>
      <c r="F207" s="1" t="s">
        <v>6138</v>
      </c>
      <c r="G207" s="1" t="s">
        <v>7051</v>
      </c>
      <c r="H207" s="1" t="s">
        <v>6089</v>
      </c>
      <c r="I207" s="1"/>
      <c r="J207" s="1"/>
      <c r="K207" s="1" t="s">
        <v>6090</v>
      </c>
      <c r="L207" s="1" t="s">
        <v>7104</v>
      </c>
      <c r="M207" s="1" t="s">
        <v>7105</v>
      </c>
      <c r="N207" s="1"/>
      <c r="O207" s="1"/>
      <c r="P207" s="1"/>
      <c r="Q207" s="1"/>
      <c r="R207" s="1" t="s">
        <v>7106</v>
      </c>
      <c r="S207" s="1" t="s">
        <v>7107</v>
      </c>
      <c r="T207" s="1" t="s">
        <v>7056</v>
      </c>
      <c r="U207" s="1" t="s">
        <v>6096</v>
      </c>
      <c r="V207" s="1" t="s">
        <v>6295</v>
      </c>
      <c r="W207" s="1" t="s">
        <v>7057</v>
      </c>
    </row>
    <row r="208" spans="1:23" ht="48" customHeight="1">
      <c r="A208" s="1" t="s">
        <v>4825</v>
      </c>
      <c r="B208" s="1" t="s">
        <v>6159</v>
      </c>
      <c r="C208" s="1" t="s">
        <v>7108</v>
      </c>
      <c r="D208" s="1" t="s">
        <v>7109</v>
      </c>
      <c r="E208" s="1" t="s">
        <v>7110</v>
      </c>
      <c r="F208" s="1" t="s">
        <v>6163</v>
      </c>
      <c r="G208" s="1" t="s">
        <v>7051</v>
      </c>
      <c r="H208" s="1" t="s">
        <v>6089</v>
      </c>
      <c r="I208" s="1"/>
      <c r="J208" s="1"/>
      <c r="K208" s="1" t="s">
        <v>6090</v>
      </c>
      <c r="L208" s="1" t="s">
        <v>7111</v>
      </c>
      <c r="M208" s="1" t="s">
        <v>7112</v>
      </c>
      <c r="N208" s="1"/>
      <c r="O208" s="1"/>
      <c r="P208" s="1"/>
      <c r="Q208" s="1"/>
      <c r="R208" s="1" t="s">
        <v>7113</v>
      </c>
      <c r="S208" s="1" t="s">
        <v>7006</v>
      </c>
      <c r="T208" s="1" t="s">
        <v>7056</v>
      </c>
      <c r="U208" s="1" t="s">
        <v>6096</v>
      </c>
      <c r="V208" s="1" t="s">
        <v>6168</v>
      </c>
      <c r="W208" s="1" t="s">
        <v>7057</v>
      </c>
    </row>
    <row r="209" spans="1:23" ht="48" customHeight="1">
      <c r="A209" s="1" t="s">
        <v>4825</v>
      </c>
      <c r="B209" s="1" t="s">
        <v>6169</v>
      </c>
      <c r="C209" s="1" t="s">
        <v>7114</v>
      </c>
      <c r="D209" s="1" t="s">
        <v>7115</v>
      </c>
      <c r="E209" s="1" t="s">
        <v>7116</v>
      </c>
      <c r="F209" s="1" t="s">
        <v>6163</v>
      </c>
      <c r="G209" s="1" t="s">
        <v>7051</v>
      </c>
      <c r="H209" s="1" t="s">
        <v>6089</v>
      </c>
      <c r="I209" s="1"/>
      <c r="J209" s="1"/>
      <c r="K209" s="1" t="s">
        <v>6090</v>
      </c>
      <c r="L209" s="1" t="s">
        <v>7117</v>
      </c>
      <c r="M209" s="1" t="s">
        <v>7118</v>
      </c>
      <c r="N209" s="1"/>
      <c r="O209" s="1"/>
      <c r="P209" s="1"/>
      <c r="Q209" s="1"/>
      <c r="R209" s="1" t="s">
        <v>7119</v>
      </c>
      <c r="S209" s="1" t="s">
        <v>7006</v>
      </c>
      <c r="T209" s="1" t="s">
        <v>7056</v>
      </c>
      <c r="U209" s="1" t="s">
        <v>6096</v>
      </c>
      <c r="V209" s="1" t="s">
        <v>6168</v>
      </c>
      <c r="W209" s="1" t="s">
        <v>7057</v>
      </c>
    </row>
    <row r="210" spans="1:23" ht="48" customHeight="1">
      <c r="A210" s="1" t="s">
        <v>4825</v>
      </c>
      <c r="B210" s="1" t="s">
        <v>6176</v>
      </c>
      <c r="C210" s="1" t="s">
        <v>4747</v>
      </c>
      <c r="D210" s="1" t="s">
        <v>4747</v>
      </c>
      <c r="E210" s="1" t="s">
        <v>4747</v>
      </c>
      <c r="F210" s="1" t="s">
        <v>6186</v>
      </c>
      <c r="G210" s="1" t="s">
        <v>7051</v>
      </c>
      <c r="H210" s="1" t="s">
        <v>6089</v>
      </c>
      <c r="I210" s="1"/>
      <c r="J210" s="1"/>
      <c r="K210" s="1" t="s">
        <v>6090</v>
      </c>
      <c r="L210" s="1" t="s">
        <v>7120</v>
      </c>
      <c r="M210" s="1" t="s">
        <v>7121</v>
      </c>
      <c r="N210" s="1"/>
      <c r="O210" s="1"/>
      <c r="P210" s="1"/>
      <c r="Q210" s="1"/>
      <c r="R210" s="1"/>
      <c r="S210" s="1"/>
      <c r="T210" s="1"/>
      <c r="U210" s="1"/>
      <c r="V210" s="1"/>
      <c r="W210" s="1"/>
    </row>
    <row r="211" spans="1:23" ht="96" customHeight="1">
      <c r="A211" s="1" t="s">
        <v>4825</v>
      </c>
      <c r="B211" s="1" t="s">
        <v>6185</v>
      </c>
      <c r="C211" s="1" t="s">
        <v>7122</v>
      </c>
      <c r="D211" s="1" t="s">
        <v>4747</v>
      </c>
      <c r="E211" s="1" t="s">
        <v>7123</v>
      </c>
      <c r="F211" s="1" t="s">
        <v>6138</v>
      </c>
      <c r="G211" s="1" t="s">
        <v>7051</v>
      </c>
      <c r="H211" s="1" t="s">
        <v>6089</v>
      </c>
      <c r="I211" s="1"/>
      <c r="J211" s="1"/>
      <c r="K211" s="1" t="s">
        <v>6090</v>
      </c>
      <c r="L211" s="1" t="s">
        <v>7124</v>
      </c>
      <c r="M211" s="1" t="s">
        <v>7125</v>
      </c>
      <c r="N211" s="1"/>
      <c r="O211" s="1"/>
      <c r="P211" s="1"/>
      <c r="Q211" s="1"/>
      <c r="R211" s="1" t="s">
        <v>7126</v>
      </c>
      <c r="S211" s="1" t="s">
        <v>7127</v>
      </c>
      <c r="T211" s="1" t="s">
        <v>7056</v>
      </c>
      <c r="U211" s="1" t="s">
        <v>6096</v>
      </c>
      <c r="V211" s="1" t="s">
        <v>6184</v>
      </c>
      <c r="W211" s="1" t="s">
        <v>7057</v>
      </c>
    </row>
    <row r="212" spans="1:23" ht="96" customHeight="1">
      <c r="A212" s="1" t="s">
        <v>4825</v>
      </c>
      <c r="B212" s="1" t="s">
        <v>6189</v>
      </c>
      <c r="C212" s="1" t="s">
        <v>4747</v>
      </c>
      <c r="D212" s="1" t="s">
        <v>4747</v>
      </c>
      <c r="E212" s="1" t="s">
        <v>7128</v>
      </c>
      <c r="F212" s="1" t="s">
        <v>6138</v>
      </c>
      <c r="G212" s="1" t="s">
        <v>7051</v>
      </c>
      <c r="H212" s="1" t="s">
        <v>6089</v>
      </c>
      <c r="I212" s="1"/>
      <c r="J212" s="1"/>
      <c r="K212" s="1" t="s">
        <v>6090</v>
      </c>
      <c r="L212" s="1" t="s">
        <v>7129</v>
      </c>
      <c r="M212" s="1" t="s">
        <v>7130</v>
      </c>
      <c r="N212" s="1"/>
      <c r="O212" s="1"/>
      <c r="P212" s="1"/>
      <c r="Q212" s="1"/>
      <c r="R212" s="1" t="s">
        <v>7131</v>
      </c>
      <c r="S212" s="1" t="s">
        <v>7132</v>
      </c>
      <c r="T212" s="1" t="s">
        <v>7056</v>
      </c>
      <c r="U212" s="1" t="s">
        <v>6096</v>
      </c>
      <c r="V212" s="1" t="s">
        <v>6184</v>
      </c>
      <c r="W212" s="1" t="s">
        <v>7057</v>
      </c>
    </row>
    <row r="213" spans="1:23" ht="48" customHeight="1">
      <c r="A213" s="1" t="s">
        <v>4825</v>
      </c>
      <c r="B213" s="1" t="s">
        <v>6196</v>
      </c>
      <c r="C213" s="1" t="s">
        <v>6197</v>
      </c>
      <c r="D213" s="1" t="s">
        <v>4747</v>
      </c>
      <c r="E213" s="1"/>
      <c r="F213" s="1" t="s">
        <v>6110</v>
      </c>
      <c r="G213" s="1" t="s">
        <v>7051</v>
      </c>
      <c r="H213" s="1" t="s">
        <v>6089</v>
      </c>
      <c r="I213" s="1"/>
      <c r="J213" s="1"/>
      <c r="K213" s="1" t="s">
        <v>6090</v>
      </c>
      <c r="L213" s="1" t="s">
        <v>7133</v>
      </c>
      <c r="M213" s="1" t="s">
        <v>7134</v>
      </c>
      <c r="N213" s="1"/>
      <c r="O213" s="1"/>
      <c r="P213" s="1"/>
      <c r="Q213" s="1"/>
      <c r="R213" s="1"/>
      <c r="S213" s="1"/>
      <c r="T213" s="1"/>
      <c r="U213" s="1"/>
      <c r="V213" s="1"/>
      <c r="W213" s="1"/>
    </row>
    <row r="214" spans="1:23" ht="60" customHeight="1">
      <c r="A214" s="1" t="s">
        <v>4825</v>
      </c>
      <c r="B214" s="1" t="s">
        <v>6200</v>
      </c>
      <c r="C214" s="1" t="s">
        <v>7135</v>
      </c>
      <c r="D214" s="1" t="s">
        <v>7136</v>
      </c>
      <c r="E214" s="1" t="s">
        <v>7137</v>
      </c>
      <c r="F214" s="1" t="s">
        <v>6349</v>
      </c>
      <c r="G214" s="1" t="s">
        <v>7051</v>
      </c>
      <c r="H214" s="1" t="s">
        <v>6089</v>
      </c>
      <c r="I214" s="1"/>
      <c r="J214" s="1"/>
      <c r="K214" s="1" t="s">
        <v>6090</v>
      </c>
      <c r="L214" s="1" t="s">
        <v>7138</v>
      </c>
      <c r="M214" s="1" t="s">
        <v>7139</v>
      </c>
      <c r="N214" s="1"/>
      <c r="O214" s="1"/>
      <c r="P214" s="1"/>
      <c r="Q214" s="1"/>
      <c r="R214" s="1" t="s">
        <v>7140</v>
      </c>
      <c r="S214" s="1" t="s">
        <v>7141</v>
      </c>
      <c r="T214" s="1" t="s">
        <v>7056</v>
      </c>
      <c r="U214" s="1" t="s">
        <v>6096</v>
      </c>
      <c r="V214" s="1" t="s">
        <v>7142</v>
      </c>
      <c r="W214" s="1" t="s">
        <v>7057</v>
      </c>
    </row>
    <row r="215" spans="1:23" ht="96" customHeight="1">
      <c r="A215" s="1" t="s">
        <v>4825</v>
      </c>
      <c r="B215" s="1" t="s">
        <v>5583</v>
      </c>
      <c r="C215" s="1" t="s">
        <v>7143</v>
      </c>
      <c r="D215" s="1" t="s">
        <v>4747</v>
      </c>
      <c r="E215" s="1" t="s">
        <v>7144</v>
      </c>
      <c r="F215" s="1" t="s">
        <v>6138</v>
      </c>
      <c r="G215" s="1" t="s">
        <v>7051</v>
      </c>
      <c r="H215" s="1" t="s">
        <v>6089</v>
      </c>
      <c r="I215" s="1"/>
      <c r="J215" s="1"/>
      <c r="K215" s="1" t="s">
        <v>6090</v>
      </c>
      <c r="L215" s="1" t="s">
        <v>7145</v>
      </c>
      <c r="M215" s="1" t="s">
        <v>7146</v>
      </c>
      <c r="N215" s="1"/>
      <c r="O215" s="1"/>
      <c r="P215" s="1"/>
      <c r="Q215" s="1"/>
      <c r="R215" s="1" t="s">
        <v>7147</v>
      </c>
      <c r="S215" s="1" t="s">
        <v>7148</v>
      </c>
      <c r="T215" s="1" t="s">
        <v>7056</v>
      </c>
      <c r="U215" s="1" t="s">
        <v>6096</v>
      </c>
      <c r="V215" s="1" t="s">
        <v>6184</v>
      </c>
      <c r="W215" s="1" t="s">
        <v>7057</v>
      </c>
    </row>
    <row r="216" spans="1:23" ht="60" customHeight="1">
      <c r="A216" s="1" t="s">
        <v>4825</v>
      </c>
      <c r="B216" s="1" t="s">
        <v>6209</v>
      </c>
      <c r="C216" s="1" t="s">
        <v>7149</v>
      </c>
      <c r="D216" s="1" t="s">
        <v>6509</v>
      </c>
      <c r="E216" s="1" t="s">
        <v>7150</v>
      </c>
      <c r="F216" s="1" t="s">
        <v>6349</v>
      </c>
      <c r="G216" s="1" t="s">
        <v>7051</v>
      </c>
      <c r="H216" s="1" t="s">
        <v>6089</v>
      </c>
      <c r="I216" s="1"/>
      <c r="J216" s="1"/>
      <c r="K216" s="1" t="s">
        <v>6090</v>
      </c>
      <c r="L216" s="1" t="s">
        <v>7151</v>
      </c>
      <c r="M216" s="1" t="s">
        <v>7152</v>
      </c>
      <c r="N216" s="1"/>
      <c r="O216" s="1"/>
      <c r="P216" s="1"/>
      <c r="Q216" s="1"/>
      <c r="R216" s="1" t="s">
        <v>7153</v>
      </c>
      <c r="S216" s="1" t="s">
        <v>7154</v>
      </c>
      <c r="T216" s="1" t="s">
        <v>7056</v>
      </c>
      <c r="U216" s="1" t="s">
        <v>6096</v>
      </c>
      <c r="V216" s="1" t="s">
        <v>7155</v>
      </c>
      <c r="W216" s="1" t="s">
        <v>7057</v>
      </c>
    </row>
    <row r="217" spans="1:23" ht="48" customHeight="1">
      <c r="A217" s="1" t="s">
        <v>4825</v>
      </c>
      <c r="B217" s="1" t="s">
        <v>6212</v>
      </c>
      <c r="C217" s="1" t="s">
        <v>4747</v>
      </c>
      <c r="D217" s="1" t="s">
        <v>4747</v>
      </c>
      <c r="E217" s="1" t="s">
        <v>4747</v>
      </c>
      <c r="F217" s="1" t="s">
        <v>6186</v>
      </c>
      <c r="G217" s="1" t="s">
        <v>7051</v>
      </c>
      <c r="H217" s="1" t="s">
        <v>6089</v>
      </c>
      <c r="I217" s="1"/>
      <c r="J217" s="1"/>
      <c r="K217" s="1" t="s">
        <v>6090</v>
      </c>
      <c r="L217" s="1" t="s">
        <v>7156</v>
      </c>
      <c r="M217" s="1" t="s">
        <v>7157</v>
      </c>
      <c r="N217" s="1"/>
      <c r="O217" s="1"/>
      <c r="P217" s="1"/>
      <c r="Q217" s="1"/>
      <c r="R217" s="1"/>
      <c r="S217" s="1"/>
      <c r="T217" s="1"/>
      <c r="U217" s="1"/>
      <c r="V217" s="1"/>
      <c r="W217" s="1"/>
    </row>
    <row r="218" spans="1:23" ht="60" customHeight="1">
      <c r="A218" s="1" t="s">
        <v>4825</v>
      </c>
      <c r="B218" s="1" t="s">
        <v>6215</v>
      </c>
      <c r="C218" s="1"/>
      <c r="D218" s="1" t="s">
        <v>6375</v>
      </c>
      <c r="E218" s="1" t="s">
        <v>7158</v>
      </c>
      <c r="F218" s="1" t="s">
        <v>6349</v>
      </c>
      <c r="G218" s="1"/>
      <c r="H218" s="1" t="s">
        <v>6089</v>
      </c>
      <c r="I218" s="1"/>
      <c r="J218" s="1"/>
      <c r="K218" s="1" t="s">
        <v>6090</v>
      </c>
      <c r="L218" s="1"/>
      <c r="M218" s="1" t="s">
        <v>7159</v>
      </c>
      <c r="N218" s="1"/>
      <c r="O218" s="1"/>
      <c r="P218" s="1"/>
      <c r="Q218" s="1"/>
      <c r="R218" s="1" t="s">
        <v>7160</v>
      </c>
      <c r="S218" s="1" t="s">
        <v>7154</v>
      </c>
      <c r="T218" s="1" t="s">
        <v>7056</v>
      </c>
      <c r="U218" s="1" t="s">
        <v>6096</v>
      </c>
      <c r="V218" s="1" t="s">
        <v>7161</v>
      </c>
      <c r="W218" s="1" t="s">
        <v>7057</v>
      </c>
    </row>
    <row r="219" spans="1:23" ht="48" customHeight="1">
      <c r="A219" s="1" t="s">
        <v>4825</v>
      </c>
      <c r="B219" s="1" t="s">
        <v>6218</v>
      </c>
      <c r="C219" s="1" t="s">
        <v>7162</v>
      </c>
      <c r="D219" s="1" t="s">
        <v>7163</v>
      </c>
      <c r="E219" s="1"/>
      <c r="F219" s="1" t="s">
        <v>6110</v>
      </c>
      <c r="G219" s="1" t="s">
        <v>7051</v>
      </c>
      <c r="H219" s="1" t="s">
        <v>6089</v>
      </c>
      <c r="I219" s="1"/>
      <c r="J219" s="1"/>
      <c r="K219" s="1" t="s">
        <v>6090</v>
      </c>
      <c r="L219" s="1" t="s">
        <v>7164</v>
      </c>
      <c r="M219" s="1" t="s">
        <v>7165</v>
      </c>
      <c r="N219" s="1"/>
      <c r="O219" s="1"/>
      <c r="P219" s="1"/>
      <c r="Q219" s="1"/>
      <c r="R219" s="1"/>
      <c r="S219" s="1"/>
      <c r="T219" s="1"/>
      <c r="U219" s="1"/>
      <c r="V219" s="1"/>
      <c r="W219" s="1"/>
    </row>
    <row r="220" spans="1:23" ht="48" customHeight="1">
      <c r="A220" s="1" t="s">
        <v>4825</v>
      </c>
      <c r="B220" s="1" t="s">
        <v>6222</v>
      </c>
      <c r="C220" s="1" t="s">
        <v>4747</v>
      </c>
      <c r="D220" s="1" t="s">
        <v>4747</v>
      </c>
      <c r="E220" s="1" t="s">
        <v>4747</v>
      </c>
      <c r="F220" s="1" t="s">
        <v>6186</v>
      </c>
      <c r="G220" s="1" t="s">
        <v>7051</v>
      </c>
      <c r="H220" s="1" t="s">
        <v>6089</v>
      </c>
      <c r="I220" s="1"/>
      <c r="J220" s="1"/>
      <c r="K220" s="1" t="s">
        <v>6090</v>
      </c>
      <c r="L220" s="1" t="s">
        <v>7166</v>
      </c>
      <c r="M220" s="1" t="s">
        <v>7167</v>
      </c>
      <c r="N220" s="1"/>
      <c r="O220" s="1"/>
      <c r="P220" s="1"/>
      <c r="Q220" s="1"/>
      <c r="R220" s="1"/>
      <c r="S220" s="1"/>
      <c r="T220" s="1"/>
      <c r="U220" s="1"/>
      <c r="V220" s="1"/>
      <c r="W220" s="1"/>
    </row>
    <row r="221" spans="1:23" ht="48" customHeight="1">
      <c r="A221" s="1" t="s">
        <v>4825</v>
      </c>
      <c r="B221" s="1" t="s">
        <v>6227</v>
      </c>
      <c r="C221" s="1" t="s">
        <v>4747</v>
      </c>
      <c r="D221" s="1" t="s">
        <v>4747</v>
      </c>
      <c r="E221" s="1" t="s">
        <v>4747</v>
      </c>
      <c r="F221" s="1" t="s">
        <v>6186</v>
      </c>
      <c r="G221" s="1" t="s">
        <v>7051</v>
      </c>
      <c r="H221" s="1" t="s">
        <v>6089</v>
      </c>
      <c r="I221" s="1"/>
      <c r="J221" s="1"/>
      <c r="K221" s="1" t="s">
        <v>6090</v>
      </c>
      <c r="L221" s="1" t="s">
        <v>7168</v>
      </c>
      <c r="M221" s="1" t="s">
        <v>7169</v>
      </c>
      <c r="N221" s="1"/>
      <c r="O221" s="1"/>
      <c r="P221" s="1"/>
      <c r="Q221" s="1"/>
      <c r="R221" s="1"/>
      <c r="S221" s="1"/>
      <c r="T221" s="1"/>
      <c r="U221" s="1"/>
      <c r="V221" s="1"/>
      <c r="W221" s="1"/>
    </row>
    <row r="222" spans="1:23" ht="48" customHeight="1">
      <c r="A222" s="1" t="s">
        <v>4825</v>
      </c>
      <c r="B222" s="1" t="s">
        <v>6232</v>
      </c>
      <c r="C222" s="1" t="s">
        <v>4747</v>
      </c>
      <c r="D222" s="1" t="s">
        <v>7170</v>
      </c>
      <c r="E222" s="1"/>
      <c r="F222" s="1" t="s">
        <v>6110</v>
      </c>
      <c r="G222" s="1" t="s">
        <v>7051</v>
      </c>
      <c r="H222" s="1" t="s">
        <v>6089</v>
      </c>
      <c r="I222" s="1"/>
      <c r="J222" s="1"/>
      <c r="K222" s="1" t="s">
        <v>6090</v>
      </c>
      <c r="L222" s="1" t="s">
        <v>7171</v>
      </c>
      <c r="M222" s="1" t="s">
        <v>7172</v>
      </c>
      <c r="N222" s="1"/>
      <c r="O222" s="1"/>
      <c r="P222" s="1"/>
      <c r="Q222" s="1"/>
      <c r="R222" s="1"/>
      <c r="S222" s="1"/>
      <c r="T222" s="1"/>
      <c r="U222" s="1"/>
      <c r="V222" s="1"/>
      <c r="W222" s="1"/>
    </row>
    <row r="223" spans="1:23" ht="60" customHeight="1">
      <c r="A223" s="1" t="s">
        <v>4825</v>
      </c>
      <c r="B223" s="1" t="s">
        <v>6236</v>
      </c>
      <c r="C223" s="1" t="s">
        <v>7173</v>
      </c>
      <c r="D223" s="1" t="s">
        <v>7174</v>
      </c>
      <c r="E223" s="1" t="s">
        <v>7175</v>
      </c>
      <c r="F223" s="1" t="s">
        <v>6163</v>
      </c>
      <c r="G223" s="1" t="s">
        <v>7051</v>
      </c>
      <c r="H223" s="1" t="s">
        <v>6089</v>
      </c>
      <c r="I223" s="1"/>
      <c r="J223" s="1"/>
      <c r="K223" s="1" t="s">
        <v>6090</v>
      </c>
      <c r="L223" s="1" t="s">
        <v>7176</v>
      </c>
      <c r="M223" s="1" t="s">
        <v>7177</v>
      </c>
      <c r="N223" s="1"/>
      <c r="O223" s="1"/>
      <c r="P223" s="1"/>
      <c r="Q223" s="1"/>
      <c r="R223" s="1" t="s">
        <v>7178</v>
      </c>
      <c r="S223" s="1" t="s">
        <v>7179</v>
      </c>
      <c r="T223" s="1" t="s">
        <v>7056</v>
      </c>
      <c r="U223" s="1" t="s">
        <v>6096</v>
      </c>
      <c r="V223" s="1" t="s">
        <v>6244</v>
      </c>
      <c r="W223" s="1" t="s">
        <v>7057</v>
      </c>
    </row>
    <row r="224" spans="1:23" ht="48" customHeight="1">
      <c r="A224" s="1" t="s">
        <v>4825</v>
      </c>
      <c r="B224" s="1" t="s">
        <v>6245</v>
      </c>
      <c r="C224" s="1" t="s">
        <v>7180</v>
      </c>
      <c r="D224" s="1"/>
      <c r="E224" s="1"/>
      <c r="F224" s="1" t="s">
        <v>6216</v>
      </c>
      <c r="G224" s="1" t="s">
        <v>7051</v>
      </c>
      <c r="H224" s="1"/>
      <c r="I224" s="1"/>
      <c r="J224" s="1"/>
      <c r="K224" s="1" t="s">
        <v>6090</v>
      </c>
      <c r="L224" s="1" t="s">
        <v>7181</v>
      </c>
      <c r="M224" s="1"/>
      <c r="N224" s="1"/>
      <c r="O224" s="1"/>
      <c r="P224" s="1"/>
      <c r="Q224" s="1"/>
      <c r="R224" s="1"/>
      <c r="S224" s="1"/>
      <c r="T224" s="1"/>
      <c r="U224" s="1"/>
      <c r="V224" s="1"/>
      <c r="W224" s="1"/>
    </row>
    <row r="225" spans="1:23" ht="48" customHeight="1">
      <c r="A225" s="1" t="s">
        <v>4825</v>
      </c>
      <c r="B225" s="1" t="s">
        <v>6248</v>
      </c>
      <c r="C225" s="1" t="s">
        <v>7182</v>
      </c>
      <c r="D225" s="1"/>
      <c r="E225" s="1"/>
      <c r="F225" s="1" t="s">
        <v>6216</v>
      </c>
      <c r="G225" s="1" t="s">
        <v>7051</v>
      </c>
      <c r="H225" s="1"/>
      <c r="I225" s="1"/>
      <c r="J225" s="1"/>
      <c r="K225" s="1" t="s">
        <v>6090</v>
      </c>
      <c r="L225" s="1" t="s">
        <v>7183</v>
      </c>
      <c r="M225" s="1"/>
      <c r="N225" s="1"/>
      <c r="O225" s="1"/>
      <c r="P225" s="1"/>
      <c r="Q225" s="1"/>
      <c r="R225" s="1"/>
      <c r="S225" s="1"/>
      <c r="T225" s="1"/>
      <c r="U225" s="1"/>
      <c r="V225" s="1"/>
      <c r="W225" s="1"/>
    </row>
    <row r="226" spans="1:23" ht="48" customHeight="1">
      <c r="A226" s="1" t="s">
        <v>4833</v>
      </c>
      <c r="B226" s="1" t="s">
        <v>6083</v>
      </c>
      <c r="C226" s="1" t="s">
        <v>7184</v>
      </c>
      <c r="D226" s="1" t="s">
        <v>7185</v>
      </c>
      <c r="E226" s="1" t="s">
        <v>7186</v>
      </c>
      <c r="F226" s="1" t="s">
        <v>6087</v>
      </c>
      <c r="G226" s="1" t="s">
        <v>7187</v>
      </c>
      <c r="H226" s="1" t="s">
        <v>6089</v>
      </c>
      <c r="I226" s="1"/>
      <c r="J226" s="1"/>
      <c r="K226" s="1" t="s">
        <v>6090</v>
      </c>
      <c r="L226" s="1" t="s">
        <v>7188</v>
      </c>
      <c r="M226" s="1" t="s">
        <v>7189</v>
      </c>
      <c r="N226" s="1"/>
      <c r="O226" s="1"/>
      <c r="P226" s="1"/>
      <c r="Q226" s="1"/>
      <c r="R226" s="1" t="s">
        <v>7190</v>
      </c>
      <c r="S226" s="1" t="s">
        <v>7191</v>
      </c>
      <c r="T226" s="1" t="s">
        <v>7192</v>
      </c>
      <c r="U226" s="1" t="s">
        <v>6096</v>
      </c>
      <c r="V226" s="1" t="s">
        <v>6097</v>
      </c>
      <c r="W226" s="1" t="s">
        <v>7193</v>
      </c>
    </row>
    <row r="227" spans="1:23" ht="48" customHeight="1">
      <c r="A227" s="1" t="s">
        <v>4833</v>
      </c>
      <c r="B227" s="1" t="s">
        <v>6099</v>
      </c>
      <c r="C227" s="1" t="s">
        <v>7194</v>
      </c>
      <c r="D227" s="1" t="s">
        <v>7195</v>
      </c>
      <c r="E227" s="1" t="s">
        <v>6102</v>
      </c>
      <c r="F227" s="1" t="s">
        <v>6087</v>
      </c>
      <c r="G227" s="1" t="s">
        <v>7187</v>
      </c>
      <c r="H227" s="1" t="s">
        <v>6089</v>
      </c>
      <c r="I227" s="1"/>
      <c r="J227" s="1"/>
      <c r="K227" s="1" t="s">
        <v>6090</v>
      </c>
      <c r="L227" s="1" t="s">
        <v>7196</v>
      </c>
      <c r="M227" s="1" t="s">
        <v>7197</v>
      </c>
      <c r="N227" s="1"/>
      <c r="O227" s="1"/>
      <c r="P227" s="1"/>
      <c r="Q227" s="1"/>
      <c r="R227" s="1" t="s">
        <v>7198</v>
      </c>
      <c r="S227" s="1" t="s">
        <v>7199</v>
      </c>
      <c r="T227" s="1" t="s">
        <v>7192</v>
      </c>
      <c r="U227" s="1" t="s">
        <v>6096</v>
      </c>
      <c r="V227" s="1" t="s">
        <v>6097</v>
      </c>
      <c r="W227" s="1" t="s">
        <v>7193</v>
      </c>
    </row>
    <row r="228" spans="1:23" ht="48" customHeight="1">
      <c r="A228" s="1" t="s">
        <v>4833</v>
      </c>
      <c r="B228" s="1" t="s">
        <v>6107</v>
      </c>
      <c r="C228" s="1" t="s">
        <v>7200</v>
      </c>
      <c r="D228" s="1" t="s">
        <v>7201</v>
      </c>
      <c r="E228" s="1"/>
      <c r="F228" s="1" t="s">
        <v>6110</v>
      </c>
      <c r="G228" s="1" t="s">
        <v>7187</v>
      </c>
      <c r="H228" s="1" t="s">
        <v>6089</v>
      </c>
      <c r="I228" s="1"/>
      <c r="J228" s="1"/>
      <c r="K228" s="1" t="s">
        <v>6090</v>
      </c>
      <c r="L228" s="1" t="s">
        <v>7202</v>
      </c>
      <c r="M228" s="1" t="s">
        <v>7203</v>
      </c>
      <c r="N228" s="1"/>
      <c r="O228" s="1"/>
      <c r="P228" s="1"/>
      <c r="Q228" s="1"/>
      <c r="R228" s="1"/>
      <c r="S228" s="1"/>
      <c r="T228" s="1"/>
      <c r="U228" s="1"/>
      <c r="V228" s="1"/>
      <c r="W228" s="1"/>
    </row>
    <row r="229" spans="1:23" ht="48" customHeight="1">
      <c r="A229" s="1" t="s">
        <v>4833</v>
      </c>
      <c r="B229" s="1" t="s">
        <v>6113</v>
      </c>
      <c r="C229" s="1" t="s">
        <v>7204</v>
      </c>
      <c r="D229" s="1" t="s">
        <v>7205</v>
      </c>
      <c r="E229" s="1"/>
      <c r="F229" s="1" t="s">
        <v>6110</v>
      </c>
      <c r="G229" s="1" t="s">
        <v>7187</v>
      </c>
      <c r="H229" s="1" t="s">
        <v>6089</v>
      </c>
      <c r="I229" s="1"/>
      <c r="J229" s="1"/>
      <c r="K229" s="1" t="s">
        <v>6090</v>
      </c>
      <c r="L229" s="1" t="s">
        <v>7206</v>
      </c>
      <c r="M229" s="1" t="s">
        <v>7207</v>
      </c>
      <c r="N229" s="1"/>
      <c r="O229" s="1"/>
      <c r="P229" s="1"/>
      <c r="Q229" s="1"/>
      <c r="R229" s="1"/>
      <c r="S229" s="1"/>
      <c r="T229" s="1"/>
      <c r="U229" s="1"/>
      <c r="V229" s="1"/>
      <c r="W229" s="1"/>
    </row>
    <row r="230" spans="1:23" ht="48" customHeight="1">
      <c r="A230" s="1" t="s">
        <v>4833</v>
      </c>
      <c r="B230" s="1" t="s">
        <v>6118</v>
      </c>
      <c r="C230" s="1" t="s">
        <v>7208</v>
      </c>
      <c r="D230" s="1" t="s">
        <v>7209</v>
      </c>
      <c r="E230" s="1" t="s">
        <v>7210</v>
      </c>
      <c r="F230" s="1" t="s">
        <v>6087</v>
      </c>
      <c r="G230" s="1" t="s">
        <v>7187</v>
      </c>
      <c r="H230" s="1" t="s">
        <v>6089</v>
      </c>
      <c r="I230" s="1"/>
      <c r="J230" s="1"/>
      <c r="K230" s="1" t="s">
        <v>6090</v>
      </c>
      <c r="L230" s="1" t="s">
        <v>7211</v>
      </c>
      <c r="M230" s="1" t="s">
        <v>7212</v>
      </c>
      <c r="N230" s="1"/>
      <c r="O230" s="1"/>
      <c r="P230" s="1"/>
      <c r="Q230" s="1"/>
      <c r="R230" s="1" t="s">
        <v>7213</v>
      </c>
      <c r="S230" s="1" t="s">
        <v>7214</v>
      </c>
      <c r="T230" s="1" t="s">
        <v>7192</v>
      </c>
      <c r="U230" s="1" t="s">
        <v>6096</v>
      </c>
      <c r="V230" s="1" t="s">
        <v>6097</v>
      </c>
      <c r="W230" s="1" t="s">
        <v>7193</v>
      </c>
    </row>
    <row r="231" spans="1:23" ht="48" customHeight="1">
      <c r="A231" s="1" t="s">
        <v>4833</v>
      </c>
      <c r="B231" s="1" t="s">
        <v>6126</v>
      </c>
      <c r="C231" s="1" t="s">
        <v>7215</v>
      </c>
      <c r="D231" s="1" t="s">
        <v>7216</v>
      </c>
      <c r="E231" s="1" t="s">
        <v>7217</v>
      </c>
      <c r="F231" s="1" t="s">
        <v>6087</v>
      </c>
      <c r="G231" s="1" t="s">
        <v>7187</v>
      </c>
      <c r="H231" s="1" t="s">
        <v>6089</v>
      </c>
      <c r="I231" s="1"/>
      <c r="J231" s="1"/>
      <c r="K231" s="1" t="s">
        <v>6090</v>
      </c>
      <c r="L231" s="1" t="s">
        <v>7218</v>
      </c>
      <c r="M231" s="1" t="s">
        <v>7219</v>
      </c>
      <c r="N231" s="1"/>
      <c r="O231" s="1"/>
      <c r="P231" s="1"/>
      <c r="Q231" s="1"/>
      <c r="R231" s="1" t="s">
        <v>7220</v>
      </c>
      <c r="S231" s="1" t="s">
        <v>7221</v>
      </c>
      <c r="T231" s="1" t="s">
        <v>7192</v>
      </c>
      <c r="U231" s="1" t="s">
        <v>6096</v>
      </c>
      <c r="V231" s="1" t="s">
        <v>6097</v>
      </c>
      <c r="W231" s="1" t="s">
        <v>7193</v>
      </c>
    </row>
    <row r="232" spans="1:23" ht="48" customHeight="1">
      <c r="A232" s="1" t="s">
        <v>4833</v>
      </c>
      <c r="B232" s="1" t="s">
        <v>6134</v>
      </c>
      <c r="C232" s="1" t="s">
        <v>6286</v>
      </c>
      <c r="D232" s="1" t="s">
        <v>7222</v>
      </c>
      <c r="E232" s="1" t="s">
        <v>7223</v>
      </c>
      <c r="F232" s="1" t="s">
        <v>6138</v>
      </c>
      <c r="G232" s="1" t="s">
        <v>7187</v>
      </c>
      <c r="H232" s="1" t="s">
        <v>6089</v>
      </c>
      <c r="I232" s="1" t="s">
        <v>4864</v>
      </c>
      <c r="J232" s="1" t="s">
        <v>4863</v>
      </c>
      <c r="K232" s="1" t="s">
        <v>6289</v>
      </c>
      <c r="L232" s="1" t="s">
        <v>7224</v>
      </c>
      <c r="M232" s="1" t="s">
        <v>7225</v>
      </c>
      <c r="N232" s="1" t="s">
        <v>7226</v>
      </c>
      <c r="O232" s="1"/>
      <c r="P232" s="1"/>
      <c r="Q232" s="1"/>
      <c r="R232" s="1" t="s">
        <v>7227</v>
      </c>
      <c r="S232" s="1" t="s">
        <v>7228</v>
      </c>
      <c r="T232" s="1" t="s">
        <v>7192</v>
      </c>
      <c r="U232" s="1" t="s">
        <v>6096</v>
      </c>
      <c r="V232" s="1" t="s">
        <v>6295</v>
      </c>
      <c r="W232" s="1" t="s">
        <v>7193</v>
      </c>
    </row>
    <row r="233" spans="1:23" ht="48" customHeight="1">
      <c r="A233" s="1" t="s">
        <v>4833</v>
      </c>
      <c r="B233" s="1" t="s">
        <v>6144</v>
      </c>
      <c r="C233" s="1" t="s">
        <v>7229</v>
      </c>
      <c r="D233" s="1" t="s">
        <v>4747</v>
      </c>
      <c r="E233" s="1" t="s">
        <v>7230</v>
      </c>
      <c r="F233" s="1" t="s">
        <v>6138</v>
      </c>
      <c r="G233" s="1" t="s">
        <v>7187</v>
      </c>
      <c r="H233" s="1" t="s">
        <v>6089</v>
      </c>
      <c r="I233" s="1"/>
      <c r="J233" s="1"/>
      <c r="K233" s="1" t="s">
        <v>6090</v>
      </c>
      <c r="L233" s="1" t="s">
        <v>7231</v>
      </c>
      <c r="M233" s="1" t="s">
        <v>7232</v>
      </c>
      <c r="N233" s="1"/>
      <c r="O233" s="1"/>
      <c r="P233" s="1"/>
      <c r="Q233" s="1"/>
      <c r="R233" s="1" t="s">
        <v>7233</v>
      </c>
      <c r="S233" s="1" t="s">
        <v>7228</v>
      </c>
      <c r="T233" s="1" t="s">
        <v>7192</v>
      </c>
      <c r="U233" s="1" t="s">
        <v>6096</v>
      </c>
      <c r="V233" s="1" t="s">
        <v>6295</v>
      </c>
      <c r="W233" s="1" t="s">
        <v>7193</v>
      </c>
    </row>
    <row r="234" spans="1:23" ht="60" customHeight="1">
      <c r="A234" s="1" t="s">
        <v>4833</v>
      </c>
      <c r="B234" s="1" t="s">
        <v>6149</v>
      </c>
      <c r="C234" s="1" t="s">
        <v>5699</v>
      </c>
      <c r="D234" s="1" t="s">
        <v>7234</v>
      </c>
      <c r="E234" s="1" t="s">
        <v>7235</v>
      </c>
      <c r="F234" s="1" t="s">
        <v>6138</v>
      </c>
      <c r="G234" s="1" t="s">
        <v>7187</v>
      </c>
      <c r="H234" s="1" t="s">
        <v>6089</v>
      </c>
      <c r="I234" s="1"/>
      <c r="J234" s="1"/>
      <c r="K234" s="1" t="s">
        <v>6090</v>
      </c>
      <c r="L234" s="1" t="s">
        <v>7236</v>
      </c>
      <c r="M234" s="1" t="s">
        <v>7237</v>
      </c>
      <c r="N234" s="1"/>
      <c r="O234" s="1"/>
      <c r="P234" s="1"/>
      <c r="Q234" s="1"/>
      <c r="R234" s="1" t="s">
        <v>7238</v>
      </c>
      <c r="S234" s="1" t="s">
        <v>7239</v>
      </c>
      <c r="T234" s="1" t="s">
        <v>7192</v>
      </c>
      <c r="U234" s="1" t="s">
        <v>6096</v>
      </c>
      <c r="V234" s="1" t="s">
        <v>6295</v>
      </c>
      <c r="W234" s="1" t="s">
        <v>7193</v>
      </c>
    </row>
    <row r="235" spans="1:23" ht="48" customHeight="1">
      <c r="A235" s="1" t="s">
        <v>4833</v>
      </c>
      <c r="B235" s="1" t="s">
        <v>6154</v>
      </c>
      <c r="C235" s="1" t="s">
        <v>6823</v>
      </c>
      <c r="D235" s="1" t="s">
        <v>6308</v>
      </c>
      <c r="E235" s="1" t="s">
        <v>7240</v>
      </c>
      <c r="F235" s="1" t="s">
        <v>6138</v>
      </c>
      <c r="G235" s="1" t="s">
        <v>7187</v>
      </c>
      <c r="H235" s="1" t="s">
        <v>6089</v>
      </c>
      <c r="I235" s="1"/>
      <c r="J235" s="1"/>
      <c r="K235" s="1" t="s">
        <v>6090</v>
      </c>
      <c r="L235" s="1" t="s">
        <v>7241</v>
      </c>
      <c r="M235" s="1" t="s">
        <v>7242</v>
      </c>
      <c r="N235" s="1"/>
      <c r="O235" s="1"/>
      <c r="P235" s="1"/>
      <c r="Q235" s="1"/>
      <c r="R235" s="1" t="s">
        <v>7243</v>
      </c>
      <c r="S235" s="1" t="s">
        <v>7228</v>
      </c>
      <c r="T235" s="1" t="s">
        <v>7192</v>
      </c>
      <c r="U235" s="1" t="s">
        <v>6096</v>
      </c>
      <c r="V235" s="1" t="s">
        <v>6295</v>
      </c>
      <c r="W235" s="1" t="s">
        <v>7193</v>
      </c>
    </row>
    <row r="236" spans="1:23" ht="48" customHeight="1">
      <c r="A236" s="1" t="s">
        <v>4833</v>
      </c>
      <c r="B236" s="1" t="s">
        <v>6159</v>
      </c>
      <c r="C236" s="1" t="s">
        <v>7244</v>
      </c>
      <c r="D236" s="1" t="s">
        <v>7245</v>
      </c>
      <c r="E236" s="1" t="s">
        <v>7246</v>
      </c>
      <c r="F236" s="1" t="s">
        <v>6163</v>
      </c>
      <c r="G236" s="1" t="s">
        <v>7187</v>
      </c>
      <c r="H236" s="1" t="s">
        <v>6089</v>
      </c>
      <c r="I236" s="1"/>
      <c r="J236" s="1"/>
      <c r="K236" s="1" t="s">
        <v>6090</v>
      </c>
      <c r="L236" s="1" t="s">
        <v>7247</v>
      </c>
      <c r="M236" s="1" t="s">
        <v>7248</v>
      </c>
      <c r="N236" s="1"/>
      <c r="O236" s="1"/>
      <c r="P236" s="1"/>
      <c r="Q236" s="1"/>
      <c r="R236" s="1" t="s">
        <v>7249</v>
      </c>
      <c r="S236" s="1" t="s">
        <v>7250</v>
      </c>
      <c r="T236" s="1" t="s">
        <v>7192</v>
      </c>
      <c r="U236" s="1" t="s">
        <v>6096</v>
      </c>
      <c r="V236" s="1" t="s">
        <v>6168</v>
      </c>
      <c r="W236" s="1" t="s">
        <v>7193</v>
      </c>
    </row>
    <row r="237" spans="1:23" ht="48" customHeight="1">
      <c r="A237" s="1" t="s">
        <v>4833</v>
      </c>
      <c r="B237" s="1" t="s">
        <v>6169</v>
      </c>
      <c r="C237" s="1" t="s">
        <v>7251</v>
      </c>
      <c r="D237" s="1" t="s">
        <v>7252</v>
      </c>
      <c r="E237" s="1" t="s">
        <v>7253</v>
      </c>
      <c r="F237" s="1" t="s">
        <v>6323</v>
      </c>
      <c r="G237" s="1" t="s">
        <v>7187</v>
      </c>
      <c r="H237" s="1" t="s">
        <v>6089</v>
      </c>
      <c r="I237" s="1"/>
      <c r="J237" s="1"/>
      <c r="K237" s="1" t="s">
        <v>6090</v>
      </c>
      <c r="L237" s="1" t="s">
        <v>7254</v>
      </c>
      <c r="M237" s="1" t="s">
        <v>7255</v>
      </c>
      <c r="N237" s="1"/>
      <c r="O237" s="1"/>
      <c r="P237" s="1"/>
      <c r="Q237" s="1"/>
      <c r="R237" s="1" t="s">
        <v>7256</v>
      </c>
      <c r="S237" s="1" t="s">
        <v>7250</v>
      </c>
      <c r="T237" s="1" t="s">
        <v>7192</v>
      </c>
      <c r="U237" s="1" t="s">
        <v>6096</v>
      </c>
      <c r="V237" s="1" t="s">
        <v>6168</v>
      </c>
      <c r="W237" s="1" t="s">
        <v>7193</v>
      </c>
    </row>
    <row r="238" spans="1:23" ht="96" customHeight="1">
      <c r="A238" s="1" t="s">
        <v>4833</v>
      </c>
      <c r="B238" s="1" t="s">
        <v>6176</v>
      </c>
      <c r="C238" s="1" t="s">
        <v>7257</v>
      </c>
      <c r="D238" s="1" t="s">
        <v>4747</v>
      </c>
      <c r="E238" s="1" t="s">
        <v>7258</v>
      </c>
      <c r="F238" s="1" t="s">
        <v>6138</v>
      </c>
      <c r="G238" s="1" t="s">
        <v>7187</v>
      </c>
      <c r="H238" s="1" t="s">
        <v>6089</v>
      </c>
      <c r="I238" s="1"/>
      <c r="J238" s="1"/>
      <c r="K238" s="1" t="s">
        <v>6090</v>
      </c>
      <c r="L238" s="1" t="s">
        <v>7259</v>
      </c>
      <c r="M238" s="1" t="s">
        <v>7260</v>
      </c>
      <c r="N238" s="1"/>
      <c r="O238" s="1"/>
      <c r="P238" s="1"/>
      <c r="Q238" s="1"/>
      <c r="R238" s="1" t="s">
        <v>7261</v>
      </c>
      <c r="S238" s="1" t="s">
        <v>7262</v>
      </c>
      <c r="T238" s="1" t="s">
        <v>7192</v>
      </c>
      <c r="U238" s="1" t="s">
        <v>6096</v>
      </c>
      <c r="V238" s="1" t="s">
        <v>6184</v>
      </c>
      <c r="W238" s="1" t="s">
        <v>7193</v>
      </c>
    </row>
    <row r="239" spans="1:23" ht="48" customHeight="1">
      <c r="A239" s="1" t="s">
        <v>4833</v>
      </c>
      <c r="B239" s="1" t="s">
        <v>6185</v>
      </c>
      <c r="C239" s="1" t="s">
        <v>4747</v>
      </c>
      <c r="D239" s="1" t="s">
        <v>4747</v>
      </c>
      <c r="E239" s="1" t="s">
        <v>4747</v>
      </c>
      <c r="F239" s="1" t="s">
        <v>6186</v>
      </c>
      <c r="G239" s="1" t="s">
        <v>7187</v>
      </c>
      <c r="H239" s="1" t="s">
        <v>6089</v>
      </c>
      <c r="I239" s="1"/>
      <c r="J239" s="1"/>
      <c r="K239" s="1" t="s">
        <v>6090</v>
      </c>
      <c r="L239" s="1" t="s">
        <v>7263</v>
      </c>
      <c r="M239" s="1" t="s">
        <v>7264</v>
      </c>
      <c r="N239" s="1"/>
      <c r="O239" s="1"/>
      <c r="P239" s="1"/>
      <c r="Q239" s="1"/>
      <c r="R239" s="1"/>
      <c r="S239" s="1"/>
      <c r="T239" s="1"/>
      <c r="U239" s="1"/>
      <c r="V239" s="1"/>
      <c r="W239" s="1"/>
    </row>
    <row r="240" spans="1:23" ht="96" customHeight="1">
      <c r="A240" s="1" t="s">
        <v>4833</v>
      </c>
      <c r="B240" s="1" t="s">
        <v>6189</v>
      </c>
      <c r="C240" s="1" t="s">
        <v>7265</v>
      </c>
      <c r="D240" s="1" t="s">
        <v>4747</v>
      </c>
      <c r="E240" s="1" t="s">
        <v>7266</v>
      </c>
      <c r="F240" s="1" t="s">
        <v>6138</v>
      </c>
      <c r="G240" s="1" t="s">
        <v>7187</v>
      </c>
      <c r="H240" s="1" t="s">
        <v>6089</v>
      </c>
      <c r="I240" s="1"/>
      <c r="J240" s="1"/>
      <c r="K240" s="1" t="s">
        <v>6090</v>
      </c>
      <c r="L240" s="1" t="s">
        <v>7267</v>
      </c>
      <c r="M240" s="1" t="s">
        <v>7268</v>
      </c>
      <c r="N240" s="1"/>
      <c r="O240" s="1"/>
      <c r="P240" s="1"/>
      <c r="Q240" s="1"/>
      <c r="R240" s="1" t="s">
        <v>7269</v>
      </c>
      <c r="S240" s="1" t="s">
        <v>7270</v>
      </c>
      <c r="T240" s="1" t="s">
        <v>7192</v>
      </c>
      <c r="U240" s="1" t="s">
        <v>6096</v>
      </c>
      <c r="V240" s="1" t="s">
        <v>6184</v>
      </c>
      <c r="W240" s="1" t="s">
        <v>7193</v>
      </c>
    </row>
    <row r="241" spans="1:23" ht="60" customHeight="1">
      <c r="A241" s="1" t="s">
        <v>4833</v>
      </c>
      <c r="B241" s="1" t="s">
        <v>6196</v>
      </c>
      <c r="C241" s="1" t="s">
        <v>7271</v>
      </c>
      <c r="D241" s="1" t="s">
        <v>7272</v>
      </c>
      <c r="E241" s="1" t="s">
        <v>7273</v>
      </c>
      <c r="F241" s="1" t="s">
        <v>6349</v>
      </c>
      <c r="G241" s="1" t="s">
        <v>7187</v>
      </c>
      <c r="H241" s="1" t="s">
        <v>6089</v>
      </c>
      <c r="I241" s="1"/>
      <c r="J241" s="1"/>
      <c r="K241" s="1" t="s">
        <v>6090</v>
      </c>
      <c r="L241" s="1" t="s">
        <v>7274</v>
      </c>
      <c r="M241" s="1" t="s">
        <v>7275</v>
      </c>
      <c r="N241" s="1"/>
      <c r="O241" s="1"/>
      <c r="P241" s="1"/>
      <c r="Q241" s="1"/>
      <c r="R241" s="1" t="s">
        <v>7276</v>
      </c>
      <c r="S241" s="1" t="s">
        <v>7277</v>
      </c>
      <c r="T241" s="1" t="s">
        <v>7192</v>
      </c>
      <c r="U241" s="1" t="s">
        <v>6096</v>
      </c>
      <c r="V241" s="1" t="s">
        <v>7278</v>
      </c>
      <c r="W241" s="1" t="s">
        <v>7193</v>
      </c>
    </row>
    <row r="242" spans="1:23" ht="48" customHeight="1">
      <c r="A242" s="1" t="s">
        <v>4833</v>
      </c>
      <c r="B242" s="1" t="s">
        <v>6200</v>
      </c>
      <c r="C242" s="1" t="s">
        <v>7279</v>
      </c>
      <c r="D242" s="1" t="s">
        <v>7280</v>
      </c>
      <c r="E242" s="1" t="s">
        <v>7281</v>
      </c>
      <c r="F242" s="1" t="s">
        <v>6163</v>
      </c>
      <c r="G242" s="1" t="s">
        <v>7187</v>
      </c>
      <c r="H242" s="1" t="s">
        <v>6089</v>
      </c>
      <c r="I242" s="1"/>
      <c r="J242" s="1"/>
      <c r="K242" s="1" t="s">
        <v>6090</v>
      </c>
      <c r="L242" s="1" t="s">
        <v>7282</v>
      </c>
      <c r="M242" s="1" t="s">
        <v>7283</v>
      </c>
      <c r="N242" s="1"/>
      <c r="O242" s="1"/>
      <c r="P242" s="1"/>
      <c r="Q242" s="1"/>
      <c r="R242" s="1" t="s">
        <v>7284</v>
      </c>
      <c r="S242" s="1" t="s">
        <v>7277</v>
      </c>
      <c r="T242" s="1" t="s">
        <v>7192</v>
      </c>
      <c r="U242" s="1" t="s">
        <v>6096</v>
      </c>
      <c r="V242" s="1" t="s">
        <v>6168</v>
      </c>
      <c r="W242" s="1" t="s">
        <v>7193</v>
      </c>
    </row>
    <row r="243" spans="1:23" ht="48" customHeight="1">
      <c r="A243" s="1" t="s">
        <v>4833</v>
      </c>
      <c r="B243" s="1" t="s">
        <v>5583</v>
      </c>
      <c r="C243" s="1" t="s">
        <v>4747</v>
      </c>
      <c r="D243" s="1" t="s">
        <v>4747</v>
      </c>
      <c r="E243" s="1" t="s">
        <v>4747</v>
      </c>
      <c r="F243" s="1" t="s">
        <v>6186</v>
      </c>
      <c r="G243" s="1" t="s">
        <v>7187</v>
      </c>
      <c r="H243" s="1" t="s">
        <v>6089</v>
      </c>
      <c r="I243" s="1"/>
      <c r="J243" s="1"/>
      <c r="K243" s="1" t="s">
        <v>6090</v>
      </c>
      <c r="L243" s="1" t="s">
        <v>7285</v>
      </c>
      <c r="M243" s="1" t="s">
        <v>7286</v>
      </c>
      <c r="N243" s="1"/>
      <c r="O243" s="1"/>
      <c r="P243" s="1"/>
      <c r="Q243" s="1"/>
      <c r="R243" s="1"/>
      <c r="S243" s="1"/>
      <c r="T243" s="1"/>
      <c r="U243" s="1"/>
      <c r="V243" s="1"/>
      <c r="W243" s="1"/>
    </row>
    <row r="244" spans="1:23" ht="48" customHeight="1">
      <c r="A244" s="1" t="s">
        <v>4833</v>
      </c>
      <c r="B244" s="1" t="s">
        <v>6209</v>
      </c>
      <c r="C244" s="1" t="s">
        <v>7287</v>
      </c>
      <c r="D244" s="1" t="s">
        <v>6509</v>
      </c>
      <c r="E244" s="1" t="s">
        <v>7288</v>
      </c>
      <c r="F244" s="1" t="s">
        <v>6163</v>
      </c>
      <c r="G244" s="1" t="s">
        <v>7187</v>
      </c>
      <c r="H244" s="1" t="s">
        <v>6089</v>
      </c>
      <c r="I244" s="1"/>
      <c r="J244" s="1"/>
      <c r="K244" s="1" t="s">
        <v>6090</v>
      </c>
      <c r="L244" s="1" t="s">
        <v>7289</v>
      </c>
      <c r="M244" s="1" t="s">
        <v>7290</v>
      </c>
      <c r="N244" s="1"/>
      <c r="O244" s="1"/>
      <c r="P244" s="1"/>
      <c r="Q244" s="1"/>
      <c r="R244" s="1" t="s">
        <v>7291</v>
      </c>
      <c r="S244" s="1" t="s">
        <v>7292</v>
      </c>
      <c r="T244" s="1" t="s">
        <v>7192</v>
      </c>
      <c r="U244" s="1" t="s">
        <v>6096</v>
      </c>
      <c r="V244" s="1" t="s">
        <v>6168</v>
      </c>
      <c r="W244" s="1" t="s">
        <v>7193</v>
      </c>
    </row>
    <row r="245" spans="1:23" ht="60" customHeight="1">
      <c r="A245" s="1" t="s">
        <v>4833</v>
      </c>
      <c r="B245" s="1" t="s">
        <v>6212</v>
      </c>
      <c r="C245" s="1" t="s">
        <v>7293</v>
      </c>
      <c r="D245" s="1" t="s">
        <v>7294</v>
      </c>
      <c r="E245" s="1" t="s">
        <v>7295</v>
      </c>
      <c r="F245" s="1" t="s">
        <v>6349</v>
      </c>
      <c r="G245" s="1" t="s">
        <v>7187</v>
      </c>
      <c r="H245" s="1" t="s">
        <v>6089</v>
      </c>
      <c r="I245" s="1"/>
      <c r="J245" s="1"/>
      <c r="K245" s="1" t="s">
        <v>6090</v>
      </c>
      <c r="L245" s="1" t="s">
        <v>7296</v>
      </c>
      <c r="M245" s="1" t="s">
        <v>7297</v>
      </c>
      <c r="N245" s="1"/>
      <c r="O245" s="1"/>
      <c r="P245" s="1"/>
      <c r="Q245" s="1"/>
      <c r="R245" s="1" t="s">
        <v>7298</v>
      </c>
      <c r="S245" s="1" t="s">
        <v>7299</v>
      </c>
      <c r="T245" s="1" t="s">
        <v>7192</v>
      </c>
      <c r="U245" s="1" t="s">
        <v>6096</v>
      </c>
      <c r="V245" s="1" t="s">
        <v>7300</v>
      </c>
      <c r="W245" s="1" t="s">
        <v>7193</v>
      </c>
    </row>
    <row r="246" spans="1:23" ht="48" customHeight="1">
      <c r="A246" s="1" t="s">
        <v>4833</v>
      </c>
      <c r="B246" s="1" t="s">
        <v>6215</v>
      </c>
      <c r="C246" s="1"/>
      <c r="D246" s="1" t="s">
        <v>4747</v>
      </c>
      <c r="E246" s="1"/>
      <c r="F246" s="1" t="s">
        <v>6216</v>
      </c>
      <c r="G246" s="1"/>
      <c r="H246" s="1" t="s">
        <v>6089</v>
      </c>
      <c r="I246" s="1"/>
      <c r="J246" s="1"/>
      <c r="K246" s="1" t="s">
        <v>6090</v>
      </c>
      <c r="L246" s="1"/>
      <c r="M246" s="1" t="s">
        <v>7301</v>
      </c>
      <c r="N246" s="1"/>
      <c r="O246" s="1"/>
      <c r="P246" s="1"/>
      <c r="Q246" s="1"/>
      <c r="R246" s="1"/>
      <c r="S246" s="1"/>
      <c r="T246" s="1"/>
      <c r="U246" s="1"/>
      <c r="V246" s="1"/>
      <c r="W246" s="1"/>
    </row>
    <row r="247" spans="1:23" ht="48" customHeight="1">
      <c r="A247" s="1" t="s">
        <v>4833</v>
      </c>
      <c r="B247" s="1" t="s">
        <v>6218</v>
      </c>
      <c r="C247" s="1" t="s">
        <v>4747</v>
      </c>
      <c r="D247" s="1" t="s">
        <v>7302</v>
      </c>
      <c r="E247" s="1"/>
      <c r="F247" s="1" t="s">
        <v>6110</v>
      </c>
      <c r="G247" s="1" t="s">
        <v>7187</v>
      </c>
      <c r="H247" s="1" t="s">
        <v>6089</v>
      </c>
      <c r="I247" s="1"/>
      <c r="J247" s="1"/>
      <c r="K247" s="1" t="s">
        <v>6090</v>
      </c>
      <c r="L247" s="1" t="s">
        <v>7303</v>
      </c>
      <c r="M247" s="1" t="s">
        <v>7304</v>
      </c>
      <c r="N247" s="1"/>
      <c r="O247" s="1"/>
      <c r="P247" s="1"/>
      <c r="Q247" s="1"/>
      <c r="R247" s="1"/>
      <c r="S247" s="1"/>
      <c r="T247" s="1"/>
      <c r="U247" s="1"/>
      <c r="V247" s="1"/>
      <c r="W247" s="1"/>
    </row>
    <row r="248" spans="1:23" ht="48" customHeight="1">
      <c r="A248" s="1" t="s">
        <v>4833</v>
      </c>
      <c r="B248" s="1" t="s">
        <v>6222</v>
      </c>
      <c r="C248" s="1" t="s">
        <v>4747</v>
      </c>
      <c r="D248" s="1" t="s">
        <v>7305</v>
      </c>
      <c r="E248" s="1"/>
      <c r="F248" s="1" t="s">
        <v>6110</v>
      </c>
      <c r="G248" s="1" t="s">
        <v>7187</v>
      </c>
      <c r="H248" s="1" t="s">
        <v>6089</v>
      </c>
      <c r="I248" s="1"/>
      <c r="J248" s="1"/>
      <c r="K248" s="1" t="s">
        <v>6090</v>
      </c>
      <c r="L248" s="1" t="s">
        <v>7306</v>
      </c>
      <c r="M248" s="1" t="s">
        <v>7307</v>
      </c>
      <c r="N248" s="1"/>
      <c r="O248" s="1"/>
      <c r="P248" s="1"/>
      <c r="Q248" s="1"/>
      <c r="R248" s="1"/>
      <c r="S248" s="1"/>
      <c r="T248" s="1"/>
      <c r="U248" s="1"/>
      <c r="V248" s="1"/>
      <c r="W248" s="1"/>
    </row>
    <row r="249" spans="1:23" ht="48" customHeight="1">
      <c r="A249" s="1" t="s">
        <v>4833</v>
      </c>
      <c r="B249" s="1" t="s">
        <v>6227</v>
      </c>
      <c r="C249" s="1" t="s">
        <v>4747</v>
      </c>
      <c r="D249" s="1" t="s">
        <v>4747</v>
      </c>
      <c r="E249" s="1" t="s">
        <v>4747</v>
      </c>
      <c r="F249" s="1" t="s">
        <v>6186</v>
      </c>
      <c r="G249" s="1" t="s">
        <v>7187</v>
      </c>
      <c r="H249" s="1" t="s">
        <v>6089</v>
      </c>
      <c r="I249" s="1"/>
      <c r="J249" s="1"/>
      <c r="K249" s="1" t="s">
        <v>6090</v>
      </c>
      <c r="L249" s="1" t="s">
        <v>7308</v>
      </c>
      <c r="M249" s="1" t="s">
        <v>7309</v>
      </c>
      <c r="N249" s="1"/>
      <c r="O249" s="1"/>
      <c r="P249" s="1"/>
      <c r="Q249" s="1"/>
      <c r="R249" s="1"/>
      <c r="S249" s="1"/>
      <c r="T249" s="1"/>
      <c r="U249" s="1"/>
      <c r="V249" s="1"/>
      <c r="W249" s="1"/>
    </row>
    <row r="250" spans="1:23" ht="48" customHeight="1">
      <c r="A250" s="1" t="s">
        <v>4833</v>
      </c>
      <c r="B250" s="1" t="s">
        <v>6232</v>
      </c>
      <c r="C250" s="1" t="s">
        <v>4747</v>
      </c>
      <c r="D250" s="1" t="s">
        <v>7310</v>
      </c>
      <c r="E250" s="1"/>
      <c r="F250" s="1" t="s">
        <v>6110</v>
      </c>
      <c r="G250" s="1" t="s">
        <v>7187</v>
      </c>
      <c r="H250" s="1" t="s">
        <v>6089</v>
      </c>
      <c r="I250" s="1"/>
      <c r="J250" s="1"/>
      <c r="K250" s="1" t="s">
        <v>6090</v>
      </c>
      <c r="L250" s="1" t="s">
        <v>7311</v>
      </c>
      <c r="M250" s="1" t="s">
        <v>7312</v>
      </c>
      <c r="N250" s="1"/>
      <c r="O250" s="1"/>
      <c r="P250" s="1"/>
      <c r="Q250" s="1"/>
      <c r="R250" s="1"/>
      <c r="S250" s="1"/>
      <c r="T250" s="1"/>
      <c r="U250" s="1"/>
      <c r="V250" s="1"/>
      <c r="W250" s="1"/>
    </row>
    <row r="251" spans="1:23" ht="72" customHeight="1">
      <c r="A251" s="1" t="s">
        <v>4833</v>
      </c>
      <c r="B251" s="1" t="s">
        <v>6236</v>
      </c>
      <c r="C251" s="1" t="s">
        <v>7313</v>
      </c>
      <c r="D251" s="1" t="s">
        <v>7314</v>
      </c>
      <c r="E251" s="1" t="s">
        <v>7315</v>
      </c>
      <c r="F251" s="1" t="s">
        <v>6323</v>
      </c>
      <c r="G251" s="1" t="s">
        <v>7187</v>
      </c>
      <c r="H251" s="1" t="s">
        <v>6089</v>
      </c>
      <c r="I251" s="1"/>
      <c r="J251" s="1"/>
      <c r="K251" s="1" t="s">
        <v>6090</v>
      </c>
      <c r="L251" s="1" t="s">
        <v>7316</v>
      </c>
      <c r="M251" s="1" t="s">
        <v>7317</v>
      </c>
      <c r="N251" s="1"/>
      <c r="O251" s="1"/>
      <c r="P251" s="1"/>
      <c r="Q251" s="1"/>
      <c r="R251" s="1" t="s">
        <v>7318</v>
      </c>
      <c r="S251" s="1" t="s">
        <v>7319</v>
      </c>
      <c r="T251" s="1" t="s">
        <v>7192</v>
      </c>
      <c r="U251" s="1" t="s">
        <v>6096</v>
      </c>
      <c r="V251" s="1" t="s">
        <v>7320</v>
      </c>
      <c r="W251" s="1" t="s">
        <v>7193</v>
      </c>
    </row>
    <row r="252" spans="1:23" ht="48" customHeight="1">
      <c r="A252" s="1" t="s">
        <v>4833</v>
      </c>
      <c r="B252" s="1" t="s">
        <v>6245</v>
      </c>
      <c r="C252" s="1" t="s">
        <v>7321</v>
      </c>
      <c r="D252" s="1"/>
      <c r="E252" s="1"/>
      <c r="F252" s="1" t="s">
        <v>6216</v>
      </c>
      <c r="G252" s="1" t="s">
        <v>7187</v>
      </c>
      <c r="H252" s="1"/>
      <c r="I252" s="1"/>
      <c r="J252" s="1"/>
      <c r="K252" s="1" t="s">
        <v>6090</v>
      </c>
      <c r="L252" s="1" t="s">
        <v>7322</v>
      </c>
      <c r="M252" s="1"/>
      <c r="N252" s="1"/>
      <c r="O252" s="1"/>
      <c r="P252" s="1"/>
      <c r="Q252" s="1"/>
      <c r="R252" s="1"/>
      <c r="S252" s="1"/>
      <c r="T252" s="1"/>
      <c r="U252" s="1"/>
      <c r="V252" s="1"/>
      <c r="W252" s="1"/>
    </row>
    <row r="253" spans="1:23" ht="48" customHeight="1">
      <c r="A253" s="1" t="s">
        <v>4833</v>
      </c>
      <c r="B253" s="1" t="s">
        <v>6248</v>
      </c>
      <c r="C253" s="1" t="s">
        <v>7323</v>
      </c>
      <c r="D253" s="1"/>
      <c r="E253" s="1"/>
      <c r="F253" s="1" t="s">
        <v>6216</v>
      </c>
      <c r="G253" s="1" t="s">
        <v>7187</v>
      </c>
      <c r="H253" s="1"/>
      <c r="I253" s="1"/>
      <c r="J253" s="1"/>
      <c r="K253" s="1" t="s">
        <v>6090</v>
      </c>
      <c r="L253" s="1" t="s">
        <v>7324</v>
      </c>
      <c r="M253" s="1"/>
      <c r="N253" s="1"/>
      <c r="O253" s="1"/>
      <c r="P253" s="1"/>
      <c r="Q253" s="1"/>
      <c r="R253" s="1"/>
      <c r="S253" s="1"/>
      <c r="T253" s="1"/>
      <c r="U253" s="1"/>
      <c r="V253" s="1"/>
      <c r="W253" s="1"/>
    </row>
    <row r="254" spans="1:23" ht="48" customHeight="1">
      <c r="A254" s="1" t="s">
        <v>4868</v>
      </c>
      <c r="B254" s="1" t="s">
        <v>6083</v>
      </c>
      <c r="C254" s="1" t="s">
        <v>7325</v>
      </c>
      <c r="D254" s="1" t="s">
        <v>7326</v>
      </c>
      <c r="E254" s="1" t="s">
        <v>7327</v>
      </c>
      <c r="F254" s="1" t="s">
        <v>6087</v>
      </c>
      <c r="G254" s="1" t="s">
        <v>7328</v>
      </c>
      <c r="H254" s="1" t="s">
        <v>6089</v>
      </c>
      <c r="I254" s="1"/>
      <c r="J254" s="1"/>
      <c r="K254" s="1" t="s">
        <v>6090</v>
      </c>
      <c r="L254" s="1" t="s">
        <v>7329</v>
      </c>
      <c r="M254" s="1" t="s">
        <v>7330</v>
      </c>
      <c r="N254" s="1"/>
      <c r="O254" s="1"/>
      <c r="P254" s="1"/>
      <c r="Q254" s="1"/>
      <c r="R254" s="1" t="s">
        <v>7331</v>
      </c>
      <c r="S254" s="1" t="s">
        <v>7332</v>
      </c>
      <c r="T254" s="1" t="s">
        <v>7333</v>
      </c>
      <c r="U254" s="1" t="s">
        <v>6096</v>
      </c>
      <c r="V254" s="1" t="s">
        <v>6097</v>
      </c>
      <c r="W254" s="1" t="s">
        <v>7334</v>
      </c>
    </row>
    <row r="255" spans="1:23" ht="48" customHeight="1">
      <c r="A255" s="1" t="s">
        <v>4868</v>
      </c>
      <c r="B255" s="1" t="s">
        <v>6099</v>
      </c>
      <c r="C255" s="1" t="s">
        <v>7335</v>
      </c>
      <c r="D255" s="1" t="s">
        <v>6102</v>
      </c>
      <c r="E255" s="1" t="s">
        <v>6102</v>
      </c>
      <c r="F255" s="1" t="s">
        <v>6087</v>
      </c>
      <c r="G255" s="1" t="s">
        <v>7328</v>
      </c>
      <c r="H255" s="1" t="s">
        <v>6089</v>
      </c>
      <c r="I255" s="1"/>
      <c r="J255" s="1"/>
      <c r="K255" s="1" t="s">
        <v>6090</v>
      </c>
      <c r="L255" s="1" t="s">
        <v>7336</v>
      </c>
      <c r="M255" s="1" t="s">
        <v>7337</v>
      </c>
      <c r="N255" s="1"/>
      <c r="O255" s="1"/>
      <c r="P255" s="1"/>
      <c r="Q255" s="1"/>
      <c r="R255" s="1" t="s">
        <v>7338</v>
      </c>
      <c r="S255" s="1" t="s">
        <v>7339</v>
      </c>
      <c r="T255" s="1" t="s">
        <v>7333</v>
      </c>
      <c r="U255" s="1" t="s">
        <v>6096</v>
      </c>
      <c r="V255" s="1" t="s">
        <v>6097</v>
      </c>
      <c r="W255" s="1" t="s">
        <v>7334</v>
      </c>
    </row>
    <row r="256" spans="1:23" ht="48" customHeight="1">
      <c r="A256" s="1" t="s">
        <v>4868</v>
      </c>
      <c r="B256" s="1" t="s">
        <v>6107</v>
      </c>
      <c r="C256" s="1" t="s">
        <v>7340</v>
      </c>
      <c r="D256" s="1" t="s">
        <v>7341</v>
      </c>
      <c r="E256" s="1"/>
      <c r="F256" s="1" t="s">
        <v>6110</v>
      </c>
      <c r="G256" s="1" t="s">
        <v>7328</v>
      </c>
      <c r="H256" s="1" t="s">
        <v>6089</v>
      </c>
      <c r="I256" s="1"/>
      <c r="J256" s="1"/>
      <c r="K256" s="1" t="s">
        <v>6090</v>
      </c>
      <c r="L256" s="1" t="s">
        <v>7342</v>
      </c>
      <c r="M256" s="1" t="s">
        <v>7343</v>
      </c>
      <c r="N256" s="1"/>
      <c r="O256" s="1"/>
      <c r="P256" s="1"/>
      <c r="Q256" s="1"/>
      <c r="R256" s="1"/>
      <c r="S256" s="1"/>
      <c r="T256" s="1"/>
      <c r="U256" s="1"/>
      <c r="V256" s="1"/>
      <c r="W256" s="1"/>
    </row>
    <row r="257" spans="1:23" ht="48" customHeight="1">
      <c r="A257" s="1" t="s">
        <v>4868</v>
      </c>
      <c r="B257" s="1" t="s">
        <v>6113</v>
      </c>
      <c r="C257" s="1" t="s">
        <v>7344</v>
      </c>
      <c r="D257" s="1" t="s">
        <v>7345</v>
      </c>
      <c r="E257" s="1"/>
      <c r="F257" s="1" t="s">
        <v>6110</v>
      </c>
      <c r="G257" s="1" t="s">
        <v>7328</v>
      </c>
      <c r="H257" s="1" t="s">
        <v>6089</v>
      </c>
      <c r="I257" s="1"/>
      <c r="J257" s="1"/>
      <c r="K257" s="1" t="s">
        <v>6090</v>
      </c>
      <c r="L257" s="1" t="s">
        <v>7346</v>
      </c>
      <c r="M257" s="1" t="s">
        <v>7347</v>
      </c>
      <c r="N257" s="1"/>
      <c r="O257" s="1"/>
      <c r="P257" s="1"/>
      <c r="Q257" s="1"/>
      <c r="R257" s="1"/>
      <c r="S257" s="1"/>
      <c r="T257" s="1"/>
      <c r="U257" s="1"/>
      <c r="V257" s="1"/>
      <c r="W257" s="1"/>
    </row>
    <row r="258" spans="1:23" ht="48" customHeight="1">
      <c r="A258" s="1" t="s">
        <v>4868</v>
      </c>
      <c r="B258" s="1" t="s">
        <v>6118</v>
      </c>
      <c r="C258" s="1" t="s">
        <v>7348</v>
      </c>
      <c r="D258" s="1" t="s">
        <v>7349</v>
      </c>
      <c r="E258" s="1" t="s">
        <v>7350</v>
      </c>
      <c r="F258" s="1" t="s">
        <v>6087</v>
      </c>
      <c r="G258" s="1" t="s">
        <v>7328</v>
      </c>
      <c r="H258" s="1" t="s">
        <v>6089</v>
      </c>
      <c r="I258" s="1"/>
      <c r="J258" s="1"/>
      <c r="K258" s="1" t="s">
        <v>6090</v>
      </c>
      <c r="L258" s="1" t="s">
        <v>7351</v>
      </c>
      <c r="M258" s="1" t="s">
        <v>7352</v>
      </c>
      <c r="N258" s="1"/>
      <c r="O258" s="1"/>
      <c r="P258" s="1"/>
      <c r="Q258" s="1"/>
      <c r="R258" s="1" t="s">
        <v>7353</v>
      </c>
      <c r="S258" s="1" t="s">
        <v>7354</v>
      </c>
      <c r="T258" s="1" t="s">
        <v>7333</v>
      </c>
      <c r="U258" s="1" t="s">
        <v>6096</v>
      </c>
      <c r="V258" s="1" t="s">
        <v>6097</v>
      </c>
      <c r="W258" s="1" t="s">
        <v>7334</v>
      </c>
    </row>
    <row r="259" spans="1:23" ht="48" customHeight="1">
      <c r="A259" s="1" t="s">
        <v>4868</v>
      </c>
      <c r="B259" s="1" t="s">
        <v>6126</v>
      </c>
      <c r="C259" s="1" t="s">
        <v>7355</v>
      </c>
      <c r="D259" s="1" t="s">
        <v>7356</v>
      </c>
      <c r="E259" s="1" t="s">
        <v>7357</v>
      </c>
      <c r="F259" s="1" t="s">
        <v>6087</v>
      </c>
      <c r="G259" s="1" t="s">
        <v>7328</v>
      </c>
      <c r="H259" s="1" t="s">
        <v>6089</v>
      </c>
      <c r="I259" s="1"/>
      <c r="J259" s="1"/>
      <c r="K259" s="1" t="s">
        <v>6090</v>
      </c>
      <c r="L259" s="1" t="s">
        <v>7358</v>
      </c>
      <c r="M259" s="1" t="s">
        <v>7359</v>
      </c>
      <c r="N259" s="1"/>
      <c r="O259" s="1"/>
      <c r="P259" s="1"/>
      <c r="Q259" s="1"/>
      <c r="R259" s="1" t="s">
        <v>7360</v>
      </c>
      <c r="S259" s="1" t="s">
        <v>7361</v>
      </c>
      <c r="T259" s="1" t="s">
        <v>7333</v>
      </c>
      <c r="U259" s="1" t="s">
        <v>6096</v>
      </c>
      <c r="V259" s="1" t="s">
        <v>6097</v>
      </c>
      <c r="W259" s="1" t="s">
        <v>7334</v>
      </c>
    </row>
    <row r="260" spans="1:23" ht="48" customHeight="1">
      <c r="A260" s="1" t="s">
        <v>4868</v>
      </c>
      <c r="B260" s="1" t="s">
        <v>6134</v>
      </c>
      <c r="C260" s="1" t="s">
        <v>6286</v>
      </c>
      <c r="D260" s="1" t="s">
        <v>6287</v>
      </c>
      <c r="E260" s="1" t="s">
        <v>7362</v>
      </c>
      <c r="F260" s="1" t="s">
        <v>6138</v>
      </c>
      <c r="G260" s="1" t="s">
        <v>7328</v>
      </c>
      <c r="H260" s="1" t="s">
        <v>6089</v>
      </c>
      <c r="I260" s="1" t="s">
        <v>4906</v>
      </c>
      <c r="J260" s="1" t="s">
        <v>4905</v>
      </c>
      <c r="K260" s="1" t="s">
        <v>6289</v>
      </c>
      <c r="L260" s="1" t="s">
        <v>7363</v>
      </c>
      <c r="M260" s="1" t="s">
        <v>7364</v>
      </c>
      <c r="N260" s="1" t="s">
        <v>7365</v>
      </c>
      <c r="O260" s="1"/>
      <c r="P260" s="1"/>
      <c r="Q260" s="1"/>
      <c r="R260" s="1" t="s">
        <v>7366</v>
      </c>
      <c r="S260" s="1" t="s">
        <v>7367</v>
      </c>
      <c r="T260" s="1" t="s">
        <v>7333</v>
      </c>
      <c r="U260" s="1" t="s">
        <v>6096</v>
      </c>
      <c r="V260" s="1" t="s">
        <v>6295</v>
      </c>
      <c r="W260" s="1" t="s">
        <v>7334</v>
      </c>
    </row>
    <row r="261" spans="1:23" ht="48" customHeight="1">
      <c r="A261" s="1" t="s">
        <v>4868</v>
      </c>
      <c r="B261" s="1" t="s">
        <v>6144</v>
      </c>
      <c r="C261" s="1" t="s">
        <v>7368</v>
      </c>
      <c r="D261" s="1" t="s">
        <v>4747</v>
      </c>
      <c r="E261" s="1" t="s">
        <v>7369</v>
      </c>
      <c r="F261" s="1" t="s">
        <v>6138</v>
      </c>
      <c r="G261" s="1" t="s">
        <v>7328</v>
      </c>
      <c r="H261" s="1" t="s">
        <v>6089</v>
      </c>
      <c r="I261" s="1"/>
      <c r="J261" s="1"/>
      <c r="K261" s="1" t="s">
        <v>6090</v>
      </c>
      <c r="L261" s="1" t="s">
        <v>7370</v>
      </c>
      <c r="M261" s="1" t="s">
        <v>7371</v>
      </c>
      <c r="N261" s="1"/>
      <c r="O261" s="1"/>
      <c r="P261" s="1"/>
      <c r="Q261" s="1"/>
      <c r="R261" s="1" t="s">
        <v>7372</v>
      </c>
      <c r="S261" s="1" t="s">
        <v>6827</v>
      </c>
      <c r="T261" s="1" t="s">
        <v>7333</v>
      </c>
      <c r="U261" s="1" t="s">
        <v>6096</v>
      </c>
      <c r="V261" s="1" t="s">
        <v>6295</v>
      </c>
      <c r="W261" s="1" t="s">
        <v>7334</v>
      </c>
    </row>
    <row r="262" spans="1:23" ht="60" customHeight="1">
      <c r="A262" s="1" t="s">
        <v>4868</v>
      </c>
      <c r="B262" s="1" t="s">
        <v>6149</v>
      </c>
      <c r="C262" s="1" t="s">
        <v>5706</v>
      </c>
      <c r="D262" s="1" t="s">
        <v>7373</v>
      </c>
      <c r="E262" s="1" t="s">
        <v>7374</v>
      </c>
      <c r="F262" s="1" t="s">
        <v>6138</v>
      </c>
      <c r="G262" s="1" t="s">
        <v>7328</v>
      </c>
      <c r="H262" s="1" t="s">
        <v>6089</v>
      </c>
      <c r="I262" s="1"/>
      <c r="J262" s="1"/>
      <c r="K262" s="1" t="s">
        <v>6090</v>
      </c>
      <c r="L262" s="1" t="s">
        <v>7375</v>
      </c>
      <c r="M262" s="1" t="s">
        <v>7376</v>
      </c>
      <c r="N262" s="1"/>
      <c r="O262" s="1"/>
      <c r="P262" s="1"/>
      <c r="Q262" s="1"/>
      <c r="R262" s="1" t="s">
        <v>7377</v>
      </c>
      <c r="S262" s="1" t="s">
        <v>7378</v>
      </c>
      <c r="T262" s="1" t="s">
        <v>7333</v>
      </c>
      <c r="U262" s="1" t="s">
        <v>6096</v>
      </c>
      <c r="V262" s="1" t="s">
        <v>6295</v>
      </c>
      <c r="W262" s="1" t="s">
        <v>7334</v>
      </c>
    </row>
    <row r="263" spans="1:23" ht="60" customHeight="1">
      <c r="A263" s="1" t="s">
        <v>4868</v>
      </c>
      <c r="B263" s="1" t="s">
        <v>6154</v>
      </c>
      <c r="C263" s="1" t="s">
        <v>4910</v>
      </c>
      <c r="D263" s="1" t="s">
        <v>7379</v>
      </c>
      <c r="E263" s="1" t="s">
        <v>7380</v>
      </c>
      <c r="F263" s="1" t="s">
        <v>6138</v>
      </c>
      <c r="G263" s="1" t="s">
        <v>7328</v>
      </c>
      <c r="H263" s="1" t="s">
        <v>6089</v>
      </c>
      <c r="I263" s="1"/>
      <c r="J263" s="1"/>
      <c r="K263" s="1" t="s">
        <v>6090</v>
      </c>
      <c r="L263" s="1" t="s">
        <v>7381</v>
      </c>
      <c r="M263" s="1" t="s">
        <v>7382</v>
      </c>
      <c r="N263" s="1"/>
      <c r="O263" s="1"/>
      <c r="P263" s="1"/>
      <c r="Q263" s="1"/>
      <c r="R263" s="1" t="s">
        <v>7383</v>
      </c>
      <c r="S263" s="1" t="s">
        <v>7384</v>
      </c>
      <c r="T263" s="1" t="s">
        <v>7333</v>
      </c>
      <c r="U263" s="1" t="s">
        <v>6096</v>
      </c>
      <c r="V263" s="1" t="s">
        <v>6295</v>
      </c>
      <c r="W263" s="1" t="s">
        <v>7334</v>
      </c>
    </row>
    <row r="264" spans="1:23" ht="72" customHeight="1">
      <c r="A264" s="1" t="s">
        <v>4868</v>
      </c>
      <c r="B264" s="1" t="s">
        <v>6159</v>
      </c>
      <c r="C264" s="1" t="s">
        <v>4747</v>
      </c>
      <c r="D264" s="1" t="s">
        <v>7385</v>
      </c>
      <c r="E264" s="1" t="s">
        <v>7386</v>
      </c>
      <c r="F264" s="1" t="s">
        <v>6163</v>
      </c>
      <c r="G264" s="1" t="s">
        <v>7328</v>
      </c>
      <c r="H264" s="1" t="s">
        <v>6089</v>
      </c>
      <c r="I264" s="1"/>
      <c r="J264" s="1"/>
      <c r="K264" s="1" t="s">
        <v>6090</v>
      </c>
      <c r="L264" s="1" t="s">
        <v>7387</v>
      </c>
      <c r="M264" s="1" t="s">
        <v>7388</v>
      </c>
      <c r="N264" s="1"/>
      <c r="O264" s="1" t="s">
        <v>7389</v>
      </c>
      <c r="P264" s="1" t="s">
        <v>7390</v>
      </c>
      <c r="Q264" s="1" t="s">
        <v>6462</v>
      </c>
      <c r="R264" s="1" t="s">
        <v>7391</v>
      </c>
      <c r="S264" s="1" t="s">
        <v>7392</v>
      </c>
      <c r="T264" s="1" t="s">
        <v>7393</v>
      </c>
      <c r="U264" s="1" t="s">
        <v>6096</v>
      </c>
      <c r="V264" s="1" t="s">
        <v>6168</v>
      </c>
      <c r="W264" s="1" t="s">
        <v>7394</v>
      </c>
    </row>
    <row r="265" spans="1:23" ht="48" customHeight="1">
      <c r="A265" s="1" t="s">
        <v>4868</v>
      </c>
      <c r="B265" s="1" t="s">
        <v>6169</v>
      </c>
      <c r="C265" s="1" t="s">
        <v>4895</v>
      </c>
      <c r="D265" s="1" t="s">
        <v>4747</v>
      </c>
      <c r="E265" s="1"/>
      <c r="F265" s="1" t="s">
        <v>6110</v>
      </c>
      <c r="G265" s="1" t="s">
        <v>7328</v>
      </c>
      <c r="H265" s="1" t="s">
        <v>6089</v>
      </c>
      <c r="I265" s="1"/>
      <c r="J265" s="1"/>
      <c r="K265" s="1" t="s">
        <v>6090</v>
      </c>
      <c r="L265" s="1" t="s">
        <v>7395</v>
      </c>
      <c r="M265" s="1" t="s">
        <v>7396</v>
      </c>
      <c r="N265" s="1"/>
      <c r="O265" s="1"/>
      <c r="P265" s="1"/>
      <c r="Q265" s="1"/>
      <c r="R265" s="1"/>
      <c r="S265" s="1"/>
      <c r="T265" s="1"/>
      <c r="U265" s="1"/>
      <c r="V265" s="1"/>
      <c r="W265" s="1"/>
    </row>
    <row r="266" spans="1:23" ht="96" customHeight="1">
      <c r="A266" s="1" t="s">
        <v>4868</v>
      </c>
      <c r="B266" s="1" t="s">
        <v>6176</v>
      </c>
      <c r="C266" s="1" t="s">
        <v>7397</v>
      </c>
      <c r="D266" s="1" t="s">
        <v>4747</v>
      </c>
      <c r="E266" s="1" t="s">
        <v>7398</v>
      </c>
      <c r="F266" s="1" t="s">
        <v>6138</v>
      </c>
      <c r="G266" s="1" t="s">
        <v>7328</v>
      </c>
      <c r="H266" s="1" t="s">
        <v>6089</v>
      </c>
      <c r="I266" s="1"/>
      <c r="J266" s="1"/>
      <c r="K266" s="1" t="s">
        <v>6090</v>
      </c>
      <c r="L266" s="1" t="s">
        <v>7399</v>
      </c>
      <c r="M266" s="1" t="s">
        <v>7400</v>
      </c>
      <c r="N266" s="1"/>
      <c r="O266" s="1"/>
      <c r="P266" s="1"/>
      <c r="Q266" s="1"/>
      <c r="R266" s="1" t="s">
        <v>7401</v>
      </c>
      <c r="S266" s="1" t="s">
        <v>7402</v>
      </c>
      <c r="T266" s="1" t="s">
        <v>7333</v>
      </c>
      <c r="U266" s="1" t="s">
        <v>6096</v>
      </c>
      <c r="V266" s="1" t="s">
        <v>6184</v>
      </c>
      <c r="W266" s="1" t="s">
        <v>7334</v>
      </c>
    </row>
    <row r="267" spans="1:23" ht="48" customHeight="1">
      <c r="A267" s="1" t="s">
        <v>4868</v>
      </c>
      <c r="B267" s="1" t="s">
        <v>6185</v>
      </c>
      <c r="C267" s="1" t="s">
        <v>4747</v>
      </c>
      <c r="D267" s="1" t="s">
        <v>4747</v>
      </c>
      <c r="E267" s="1" t="s">
        <v>4747</v>
      </c>
      <c r="F267" s="1" t="s">
        <v>6186</v>
      </c>
      <c r="G267" s="1" t="s">
        <v>7328</v>
      </c>
      <c r="H267" s="1" t="s">
        <v>6089</v>
      </c>
      <c r="I267" s="1"/>
      <c r="J267" s="1"/>
      <c r="K267" s="1" t="s">
        <v>6090</v>
      </c>
      <c r="L267" s="1" t="s">
        <v>7403</v>
      </c>
      <c r="M267" s="1" t="s">
        <v>7404</v>
      </c>
      <c r="N267" s="1"/>
      <c r="O267" s="1"/>
      <c r="P267" s="1"/>
      <c r="Q267" s="1"/>
      <c r="R267" s="1"/>
      <c r="S267" s="1"/>
      <c r="T267" s="1"/>
      <c r="U267" s="1"/>
      <c r="V267" s="1"/>
      <c r="W267" s="1"/>
    </row>
    <row r="268" spans="1:23" ht="96" customHeight="1">
      <c r="A268" s="1" t="s">
        <v>4868</v>
      </c>
      <c r="B268" s="1" t="s">
        <v>6189</v>
      </c>
      <c r="C268" s="1" t="s">
        <v>7405</v>
      </c>
      <c r="D268" s="1" t="s">
        <v>4747</v>
      </c>
      <c r="E268" s="1" t="s">
        <v>7406</v>
      </c>
      <c r="F268" s="1" t="s">
        <v>6138</v>
      </c>
      <c r="G268" s="1" t="s">
        <v>7328</v>
      </c>
      <c r="H268" s="1" t="s">
        <v>6089</v>
      </c>
      <c r="I268" s="1"/>
      <c r="J268" s="1"/>
      <c r="K268" s="1" t="s">
        <v>6090</v>
      </c>
      <c r="L268" s="1" t="s">
        <v>7407</v>
      </c>
      <c r="M268" s="1" t="s">
        <v>7408</v>
      </c>
      <c r="N268" s="1"/>
      <c r="O268" s="1"/>
      <c r="P268" s="1"/>
      <c r="Q268" s="1"/>
      <c r="R268" s="1" t="s">
        <v>7409</v>
      </c>
      <c r="S268" s="1" t="s">
        <v>7410</v>
      </c>
      <c r="T268" s="1" t="s">
        <v>7333</v>
      </c>
      <c r="U268" s="1" t="s">
        <v>6096</v>
      </c>
      <c r="V268" s="1" t="s">
        <v>6184</v>
      </c>
      <c r="W268" s="1" t="s">
        <v>7334</v>
      </c>
    </row>
    <row r="269" spans="1:23" ht="48" customHeight="1">
      <c r="A269" s="1" t="s">
        <v>4868</v>
      </c>
      <c r="B269" s="1" t="s">
        <v>6196</v>
      </c>
      <c r="C269" s="1" t="s">
        <v>7411</v>
      </c>
      <c r="D269" s="1" t="s">
        <v>7412</v>
      </c>
      <c r="E269" s="1" t="s">
        <v>7413</v>
      </c>
      <c r="F269" s="1" t="s">
        <v>6323</v>
      </c>
      <c r="G269" s="1" t="s">
        <v>7328</v>
      </c>
      <c r="H269" s="1" t="s">
        <v>6089</v>
      </c>
      <c r="I269" s="1"/>
      <c r="J269" s="1"/>
      <c r="K269" s="1" t="s">
        <v>6090</v>
      </c>
      <c r="L269" s="1" t="s">
        <v>7414</v>
      </c>
      <c r="M269" s="1" t="s">
        <v>7415</v>
      </c>
      <c r="N269" s="1"/>
      <c r="O269" s="1"/>
      <c r="P269" s="1"/>
      <c r="Q269" s="1"/>
      <c r="R269" s="1" t="s">
        <v>7416</v>
      </c>
      <c r="S269" s="1" t="s">
        <v>7417</v>
      </c>
      <c r="T269" s="1" t="s">
        <v>7333</v>
      </c>
      <c r="U269" s="1" t="s">
        <v>6096</v>
      </c>
      <c r="V269" s="1" t="s">
        <v>6168</v>
      </c>
      <c r="W269" s="1" t="s">
        <v>7334</v>
      </c>
    </row>
    <row r="270" spans="1:23" ht="60" customHeight="1">
      <c r="A270" s="1" t="s">
        <v>4868</v>
      </c>
      <c r="B270" s="1" t="s">
        <v>6200</v>
      </c>
      <c r="C270" s="1" t="s">
        <v>7418</v>
      </c>
      <c r="D270" s="1" t="s">
        <v>7419</v>
      </c>
      <c r="E270" s="1" t="s">
        <v>7420</v>
      </c>
      <c r="F270" s="1" t="s">
        <v>6349</v>
      </c>
      <c r="G270" s="1" t="s">
        <v>7328</v>
      </c>
      <c r="H270" s="1" t="s">
        <v>6089</v>
      </c>
      <c r="I270" s="1"/>
      <c r="J270" s="1"/>
      <c r="K270" s="1" t="s">
        <v>6090</v>
      </c>
      <c r="L270" s="1" t="s">
        <v>7421</v>
      </c>
      <c r="M270" s="1" t="s">
        <v>7422</v>
      </c>
      <c r="N270" s="1"/>
      <c r="O270" s="1" t="s">
        <v>7423</v>
      </c>
      <c r="P270" s="1" t="s">
        <v>7424</v>
      </c>
      <c r="Q270" s="1" t="s">
        <v>6462</v>
      </c>
      <c r="R270" s="1" t="s">
        <v>7425</v>
      </c>
      <c r="S270" s="1" t="s">
        <v>7426</v>
      </c>
      <c r="T270" s="1" t="s">
        <v>7333</v>
      </c>
      <c r="U270" s="1" t="s">
        <v>6096</v>
      </c>
      <c r="V270" s="1" t="s">
        <v>7427</v>
      </c>
      <c r="W270" s="1" t="s">
        <v>7334</v>
      </c>
    </row>
    <row r="271" spans="1:23" ht="96" customHeight="1">
      <c r="A271" s="1" t="s">
        <v>4868</v>
      </c>
      <c r="B271" s="1" t="s">
        <v>5583</v>
      </c>
      <c r="C271" s="1" t="s">
        <v>7428</v>
      </c>
      <c r="D271" s="1" t="s">
        <v>4747</v>
      </c>
      <c r="E271" s="1" t="s">
        <v>7429</v>
      </c>
      <c r="F271" s="1" t="s">
        <v>6138</v>
      </c>
      <c r="G271" s="1" t="s">
        <v>7328</v>
      </c>
      <c r="H271" s="1" t="s">
        <v>6089</v>
      </c>
      <c r="I271" s="1"/>
      <c r="J271" s="1"/>
      <c r="K271" s="1" t="s">
        <v>6090</v>
      </c>
      <c r="L271" s="1" t="s">
        <v>7430</v>
      </c>
      <c r="M271" s="1" t="s">
        <v>7431</v>
      </c>
      <c r="N271" s="1"/>
      <c r="O271" s="1"/>
      <c r="P271" s="1"/>
      <c r="Q271" s="1"/>
      <c r="R271" s="1" t="s">
        <v>7432</v>
      </c>
      <c r="S271" s="1" t="s">
        <v>7433</v>
      </c>
      <c r="T271" s="1" t="s">
        <v>7333</v>
      </c>
      <c r="U271" s="1" t="s">
        <v>6096</v>
      </c>
      <c r="V271" s="1" t="s">
        <v>6184</v>
      </c>
      <c r="W271" s="1" t="s">
        <v>7334</v>
      </c>
    </row>
    <row r="272" spans="1:23" ht="60" customHeight="1">
      <c r="A272" s="1" t="s">
        <v>4868</v>
      </c>
      <c r="B272" s="1" t="s">
        <v>6209</v>
      </c>
      <c r="C272" s="1" t="s">
        <v>4747</v>
      </c>
      <c r="D272" s="1" t="s">
        <v>4747</v>
      </c>
      <c r="E272" s="1" t="s">
        <v>7434</v>
      </c>
      <c r="F272" s="1" t="s">
        <v>6349</v>
      </c>
      <c r="G272" s="1" t="s">
        <v>7328</v>
      </c>
      <c r="H272" s="1" t="s">
        <v>6089</v>
      </c>
      <c r="I272" s="1"/>
      <c r="J272" s="1"/>
      <c r="K272" s="1" t="s">
        <v>6090</v>
      </c>
      <c r="L272" s="1" t="s">
        <v>7435</v>
      </c>
      <c r="M272" s="1" t="s">
        <v>7436</v>
      </c>
      <c r="N272" s="1"/>
      <c r="O272" s="1"/>
      <c r="P272" s="1"/>
      <c r="Q272" s="1"/>
      <c r="R272" s="1" t="s">
        <v>7437</v>
      </c>
      <c r="S272" s="1" t="s">
        <v>7154</v>
      </c>
      <c r="T272" s="1" t="s">
        <v>7333</v>
      </c>
      <c r="U272" s="1" t="s">
        <v>6096</v>
      </c>
      <c r="V272" s="1" t="s">
        <v>7438</v>
      </c>
      <c r="W272" s="1" t="s">
        <v>7334</v>
      </c>
    </row>
    <row r="273" spans="1:23" ht="48" customHeight="1">
      <c r="A273" s="1" t="s">
        <v>4868</v>
      </c>
      <c r="B273" s="1" t="s">
        <v>6212</v>
      </c>
      <c r="C273" s="1" t="s">
        <v>7439</v>
      </c>
      <c r="D273" s="1" t="s">
        <v>7440</v>
      </c>
      <c r="E273" s="1" t="s">
        <v>7441</v>
      </c>
      <c r="F273" s="1" t="s">
        <v>6163</v>
      </c>
      <c r="G273" s="1" t="s">
        <v>7328</v>
      </c>
      <c r="H273" s="1" t="s">
        <v>6089</v>
      </c>
      <c r="I273" s="1"/>
      <c r="J273" s="1"/>
      <c r="K273" s="1" t="s">
        <v>6090</v>
      </c>
      <c r="L273" s="1" t="s">
        <v>7442</v>
      </c>
      <c r="M273" s="1" t="s">
        <v>7443</v>
      </c>
      <c r="N273" s="1"/>
      <c r="O273" s="1"/>
      <c r="P273" s="1"/>
      <c r="Q273" s="1"/>
      <c r="R273" s="1" t="s">
        <v>7444</v>
      </c>
      <c r="S273" s="1" t="s">
        <v>7445</v>
      </c>
      <c r="T273" s="1" t="s">
        <v>7333</v>
      </c>
      <c r="U273" s="1" t="s">
        <v>6096</v>
      </c>
      <c r="V273" s="1" t="s">
        <v>6168</v>
      </c>
      <c r="W273" s="1" t="s">
        <v>7334</v>
      </c>
    </row>
    <row r="274" spans="1:23" ht="60" customHeight="1">
      <c r="A274" s="1" t="s">
        <v>4868</v>
      </c>
      <c r="B274" s="1" t="s">
        <v>6215</v>
      </c>
      <c r="C274" s="1"/>
      <c r="D274" s="1" t="s">
        <v>4747</v>
      </c>
      <c r="E274" s="1" t="s">
        <v>7446</v>
      </c>
      <c r="F274" s="1" t="s">
        <v>6349</v>
      </c>
      <c r="G274" s="1"/>
      <c r="H274" s="1" t="s">
        <v>6089</v>
      </c>
      <c r="I274" s="1"/>
      <c r="J274" s="1"/>
      <c r="K274" s="1" t="s">
        <v>6090</v>
      </c>
      <c r="L274" s="1"/>
      <c r="M274" s="1" t="s">
        <v>7447</v>
      </c>
      <c r="N274" s="1"/>
      <c r="O274" s="1"/>
      <c r="P274" s="1"/>
      <c r="Q274" s="1"/>
      <c r="R274" s="1" t="s">
        <v>7448</v>
      </c>
      <c r="S274" s="1" t="s">
        <v>7154</v>
      </c>
      <c r="T274" s="1" t="s">
        <v>7333</v>
      </c>
      <c r="U274" s="1" t="s">
        <v>6096</v>
      </c>
      <c r="V274" s="1" t="s">
        <v>7449</v>
      </c>
      <c r="W274" s="1" t="s">
        <v>7334</v>
      </c>
    </row>
    <row r="275" spans="1:23" ht="72" customHeight="1">
      <c r="A275" s="1" t="s">
        <v>4868</v>
      </c>
      <c r="B275" s="1" t="s">
        <v>6218</v>
      </c>
      <c r="C275" s="1" t="s">
        <v>7450</v>
      </c>
      <c r="D275" s="1" t="s">
        <v>7451</v>
      </c>
      <c r="E275" s="1" t="s">
        <v>7452</v>
      </c>
      <c r="F275" s="1" t="s">
        <v>6349</v>
      </c>
      <c r="G275" s="1" t="s">
        <v>7328</v>
      </c>
      <c r="H275" s="1" t="s">
        <v>6089</v>
      </c>
      <c r="I275" s="1"/>
      <c r="J275" s="1"/>
      <c r="K275" s="1" t="s">
        <v>6090</v>
      </c>
      <c r="L275" s="1" t="s">
        <v>7453</v>
      </c>
      <c r="M275" s="1" t="s">
        <v>7454</v>
      </c>
      <c r="N275" s="1"/>
      <c r="O275" s="1"/>
      <c r="P275" s="1"/>
      <c r="Q275" s="1"/>
      <c r="R275" s="1" t="s">
        <v>7455</v>
      </c>
      <c r="S275" s="1" t="s">
        <v>6167</v>
      </c>
      <c r="T275" s="1" t="s">
        <v>7333</v>
      </c>
      <c r="U275" s="1" t="s">
        <v>6096</v>
      </c>
      <c r="V275" s="1" t="s">
        <v>7456</v>
      </c>
      <c r="W275" s="1" t="s">
        <v>7334</v>
      </c>
    </row>
    <row r="276" spans="1:23" ht="48" customHeight="1">
      <c r="A276" s="1" t="s">
        <v>4868</v>
      </c>
      <c r="B276" s="1" t="s">
        <v>6222</v>
      </c>
      <c r="C276" s="1" t="s">
        <v>4747</v>
      </c>
      <c r="D276" s="1" t="s">
        <v>4747</v>
      </c>
      <c r="E276" s="1" t="s">
        <v>4747</v>
      </c>
      <c r="F276" s="1" t="s">
        <v>6186</v>
      </c>
      <c r="G276" s="1" t="s">
        <v>7328</v>
      </c>
      <c r="H276" s="1" t="s">
        <v>6089</v>
      </c>
      <c r="I276" s="1"/>
      <c r="J276" s="1"/>
      <c r="K276" s="1" t="s">
        <v>6090</v>
      </c>
      <c r="L276" s="1" t="s">
        <v>7457</v>
      </c>
      <c r="M276" s="1" t="s">
        <v>7458</v>
      </c>
      <c r="N276" s="1"/>
      <c r="O276" s="1"/>
      <c r="P276" s="1"/>
      <c r="Q276" s="1"/>
      <c r="R276" s="1"/>
      <c r="S276" s="1"/>
      <c r="T276" s="1"/>
      <c r="U276" s="1"/>
      <c r="V276" s="1"/>
      <c r="W276" s="1"/>
    </row>
    <row r="277" spans="1:23" ht="48" customHeight="1">
      <c r="A277" s="1" t="s">
        <v>4868</v>
      </c>
      <c r="B277" s="1" t="s">
        <v>6227</v>
      </c>
      <c r="C277" s="1" t="s">
        <v>7459</v>
      </c>
      <c r="D277" s="1" t="s">
        <v>7460</v>
      </c>
      <c r="E277" s="1"/>
      <c r="F277" s="1" t="s">
        <v>6110</v>
      </c>
      <c r="G277" s="1" t="s">
        <v>7328</v>
      </c>
      <c r="H277" s="1" t="s">
        <v>6089</v>
      </c>
      <c r="I277" s="1"/>
      <c r="J277" s="1"/>
      <c r="K277" s="1" t="s">
        <v>6090</v>
      </c>
      <c r="L277" s="1" t="s">
        <v>7461</v>
      </c>
      <c r="M277" s="1" t="s">
        <v>7462</v>
      </c>
      <c r="N277" s="1"/>
      <c r="O277" s="1"/>
      <c r="P277" s="1"/>
      <c r="Q277" s="1"/>
      <c r="R277" s="1"/>
      <c r="S277" s="1"/>
      <c r="T277" s="1"/>
      <c r="U277" s="1"/>
      <c r="V277" s="1"/>
      <c r="W277" s="1"/>
    </row>
    <row r="278" spans="1:23" ht="48" customHeight="1">
      <c r="A278" s="1" t="s">
        <v>4868</v>
      </c>
      <c r="B278" s="1" t="s">
        <v>6232</v>
      </c>
      <c r="C278" s="1" t="s">
        <v>4747</v>
      </c>
      <c r="D278" s="1" t="s">
        <v>7463</v>
      </c>
      <c r="E278" s="1"/>
      <c r="F278" s="1" t="s">
        <v>6110</v>
      </c>
      <c r="G278" s="1" t="s">
        <v>7328</v>
      </c>
      <c r="H278" s="1" t="s">
        <v>6089</v>
      </c>
      <c r="I278" s="1"/>
      <c r="J278" s="1"/>
      <c r="K278" s="1" t="s">
        <v>6090</v>
      </c>
      <c r="L278" s="1" t="s">
        <v>7464</v>
      </c>
      <c r="M278" s="1" t="s">
        <v>7465</v>
      </c>
      <c r="N278" s="1"/>
      <c r="O278" s="1"/>
      <c r="P278" s="1"/>
      <c r="Q278" s="1"/>
      <c r="R278" s="1"/>
      <c r="S278" s="1"/>
      <c r="T278" s="1"/>
      <c r="U278" s="1"/>
      <c r="V278" s="1"/>
      <c r="W278" s="1"/>
    </row>
    <row r="279" spans="1:23" ht="84" customHeight="1">
      <c r="A279" s="1" t="s">
        <v>4868</v>
      </c>
      <c r="B279" s="1" t="s">
        <v>6236</v>
      </c>
      <c r="C279" s="1" t="s">
        <v>7466</v>
      </c>
      <c r="D279" s="1" t="s">
        <v>7467</v>
      </c>
      <c r="E279" s="1" t="s">
        <v>7468</v>
      </c>
      <c r="F279" s="1" t="s">
        <v>6323</v>
      </c>
      <c r="G279" s="1" t="s">
        <v>7328</v>
      </c>
      <c r="H279" s="1" t="s">
        <v>6089</v>
      </c>
      <c r="I279" s="1"/>
      <c r="J279" s="1"/>
      <c r="K279" s="1" t="s">
        <v>6090</v>
      </c>
      <c r="L279" s="1" t="s">
        <v>7469</v>
      </c>
      <c r="M279" s="1" t="s">
        <v>7470</v>
      </c>
      <c r="N279" s="1"/>
      <c r="O279" s="1"/>
      <c r="P279" s="1"/>
      <c r="Q279" s="1"/>
      <c r="R279" s="1" t="s">
        <v>7471</v>
      </c>
      <c r="S279" s="1" t="s">
        <v>7472</v>
      </c>
      <c r="T279" s="1" t="s">
        <v>7333</v>
      </c>
      <c r="U279" s="1" t="s">
        <v>6096</v>
      </c>
      <c r="V279" s="1" t="s">
        <v>7473</v>
      </c>
      <c r="W279" s="1" t="s">
        <v>7334</v>
      </c>
    </row>
    <row r="280" spans="1:23" ht="48" customHeight="1">
      <c r="A280" s="1" t="s">
        <v>4868</v>
      </c>
      <c r="B280" s="1" t="s">
        <v>6245</v>
      </c>
      <c r="C280" s="1" t="s">
        <v>7474</v>
      </c>
      <c r="D280" s="1"/>
      <c r="E280" s="1"/>
      <c r="F280" s="1" t="s">
        <v>6216</v>
      </c>
      <c r="G280" s="1" t="s">
        <v>7328</v>
      </c>
      <c r="H280" s="1"/>
      <c r="I280" s="1"/>
      <c r="J280" s="1"/>
      <c r="K280" s="1" t="s">
        <v>6090</v>
      </c>
      <c r="L280" s="1" t="s">
        <v>7475</v>
      </c>
      <c r="M280" s="1"/>
      <c r="N280" s="1"/>
      <c r="O280" s="1"/>
      <c r="P280" s="1"/>
      <c r="Q280" s="1"/>
      <c r="R280" s="1"/>
      <c r="S280" s="1"/>
      <c r="T280" s="1"/>
      <c r="U280" s="1"/>
      <c r="V280" s="1"/>
      <c r="W280" s="1"/>
    </row>
    <row r="281" spans="1:23" ht="48" customHeight="1">
      <c r="A281" s="1" t="s">
        <v>4868</v>
      </c>
      <c r="B281" s="1" t="s">
        <v>6248</v>
      </c>
      <c r="C281" s="1" t="s">
        <v>7476</v>
      </c>
      <c r="D281" s="1"/>
      <c r="E281" s="1"/>
      <c r="F281" s="1" t="s">
        <v>6216</v>
      </c>
      <c r="G281" s="1" t="s">
        <v>7328</v>
      </c>
      <c r="H281" s="1"/>
      <c r="I281" s="1"/>
      <c r="J281" s="1"/>
      <c r="K281" s="1" t="s">
        <v>6090</v>
      </c>
      <c r="L281" s="1" t="s">
        <v>7477</v>
      </c>
      <c r="M281" s="1"/>
      <c r="N281" s="1"/>
      <c r="O281" s="1"/>
      <c r="P281" s="1"/>
      <c r="Q281" s="1"/>
      <c r="R281" s="1"/>
      <c r="S281" s="1"/>
      <c r="T281" s="1"/>
      <c r="U281" s="1"/>
      <c r="V281" s="1"/>
      <c r="W281" s="1"/>
    </row>
    <row r="282" spans="1:23" ht="48" customHeight="1">
      <c r="A282" s="1" t="s">
        <v>4918</v>
      </c>
      <c r="B282" s="1" t="s">
        <v>6083</v>
      </c>
      <c r="C282" s="1" t="s">
        <v>7478</v>
      </c>
      <c r="D282" s="1" t="s">
        <v>7479</v>
      </c>
      <c r="E282" s="1" t="s">
        <v>6402</v>
      </c>
      <c r="F282" s="1" t="s">
        <v>6087</v>
      </c>
      <c r="G282" s="1" t="s">
        <v>7480</v>
      </c>
      <c r="H282" s="1" t="s">
        <v>6089</v>
      </c>
      <c r="I282" s="1"/>
      <c r="J282" s="1"/>
      <c r="K282" s="1" t="s">
        <v>6090</v>
      </c>
      <c r="L282" s="1" t="s">
        <v>7481</v>
      </c>
      <c r="M282" s="1" t="s">
        <v>7482</v>
      </c>
      <c r="N282" s="1"/>
      <c r="O282" s="1"/>
      <c r="P282" s="1"/>
      <c r="Q282" s="1"/>
      <c r="R282" s="1" t="s">
        <v>7483</v>
      </c>
      <c r="S282" s="1" t="s">
        <v>7484</v>
      </c>
      <c r="T282" s="1" t="s">
        <v>7485</v>
      </c>
      <c r="U282" s="1" t="s">
        <v>6096</v>
      </c>
      <c r="V282" s="1" t="s">
        <v>6097</v>
      </c>
      <c r="W282" s="1" t="s">
        <v>7486</v>
      </c>
    </row>
    <row r="283" spans="1:23" ht="48" customHeight="1">
      <c r="A283" s="1" t="s">
        <v>4918</v>
      </c>
      <c r="B283" s="1" t="s">
        <v>6099</v>
      </c>
      <c r="C283" s="1" t="s">
        <v>7487</v>
      </c>
      <c r="D283" s="1" t="s">
        <v>6102</v>
      </c>
      <c r="E283" s="1" t="s">
        <v>6102</v>
      </c>
      <c r="F283" s="1" t="s">
        <v>6087</v>
      </c>
      <c r="G283" s="1" t="s">
        <v>7480</v>
      </c>
      <c r="H283" s="1" t="s">
        <v>6089</v>
      </c>
      <c r="I283" s="1"/>
      <c r="J283" s="1"/>
      <c r="K283" s="1" t="s">
        <v>6090</v>
      </c>
      <c r="L283" s="1" t="s">
        <v>7488</v>
      </c>
      <c r="M283" s="1" t="s">
        <v>7489</v>
      </c>
      <c r="N283" s="1"/>
      <c r="O283" s="1"/>
      <c r="P283" s="1"/>
      <c r="Q283" s="1"/>
      <c r="R283" s="1" t="s">
        <v>7490</v>
      </c>
      <c r="S283" s="1" t="s">
        <v>7491</v>
      </c>
      <c r="T283" s="1" t="s">
        <v>7485</v>
      </c>
      <c r="U283" s="1" t="s">
        <v>6096</v>
      </c>
      <c r="V283" s="1" t="s">
        <v>6097</v>
      </c>
      <c r="W283" s="1" t="s">
        <v>7486</v>
      </c>
    </row>
    <row r="284" spans="1:23" ht="48" customHeight="1">
      <c r="A284" s="1" t="s">
        <v>4918</v>
      </c>
      <c r="B284" s="1" t="s">
        <v>6107</v>
      </c>
      <c r="C284" s="1" t="s">
        <v>7492</v>
      </c>
      <c r="D284" s="1" t="s">
        <v>7493</v>
      </c>
      <c r="E284" s="1"/>
      <c r="F284" s="1" t="s">
        <v>6110</v>
      </c>
      <c r="G284" s="1" t="s">
        <v>7480</v>
      </c>
      <c r="H284" s="1" t="s">
        <v>6089</v>
      </c>
      <c r="I284" s="1"/>
      <c r="J284" s="1"/>
      <c r="K284" s="1" t="s">
        <v>6090</v>
      </c>
      <c r="L284" s="1" t="s">
        <v>7494</v>
      </c>
      <c r="M284" s="1" t="s">
        <v>7495</v>
      </c>
      <c r="N284" s="1"/>
      <c r="O284" s="1"/>
      <c r="P284" s="1"/>
      <c r="Q284" s="1"/>
      <c r="R284" s="1"/>
      <c r="S284" s="1"/>
      <c r="T284" s="1"/>
      <c r="U284" s="1"/>
      <c r="V284" s="1"/>
      <c r="W284" s="1"/>
    </row>
    <row r="285" spans="1:23" ht="48" customHeight="1">
      <c r="A285" s="1" t="s">
        <v>4918</v>
      </c>
      <c r="B285" s="1" t="s">
        <v>6113</v>
      </c>
      <c r="C285" s="1" t="s">
        <v>7496</v>
      </c>
      <c r="D285" s="1" t="s">
        <v>7497</v>
      </c>
      <c r="E285" s="1"/>
      <c r="F285" s="1" t="s">
        <v>6110</v>
      </c>
      <c r="G285" s="1" t="s">
        <v>7480</v>
      </c>
      <c r="H285" s="1" t="s">
        <v>6089</v>
      </c>
      <c r="I285" s="1"/>
      <c r="J285" s="1"/>
      <c r="K285" s="1" t="s">
        <v>6090</v>
      </c>
      <c r="L285" s="1" t="s">
        <v>7498</v>
      </c>
      <c r="M285" s="1" t="s">
        <v>7499</v>
      </c>
      <c r="N285" s="1"/>
      <c r="O285" s="1"/>
      <c r="P285" s="1"/>
      <c r="Q285" s="1"/>
      <c r="R285" s="1"/>
      <c r="S285" s="1"/>
      <c r="T285" s="1"/>
      <c r="U285" s="1"/>
      <c r="V285" s="1"/>
      <c r="W285" s="1"/>
    </row>
    <row r="286" spans="1:23" ht="48" customHeight="1">
      <c r="A286" s="1" t="s">
        <v>4918</v>
      </c>
      <c r="B286" s="1" t="s">
        <v>6118</v>
      </c>
      <c r="C286" s="1" t="s">
        <v>7500</v>
      </c>
      <c r="D286" s="1" t="s">
        <v>7501</v>
      </c>
      <c r="E286" s="1" t="s">
        <v>7502</v>
      </c>
      <c r="F286" s="1" t="s">
        <v>6087</v>
      </c>
      <c r="G286" s="1" t="s">
        <v>7480</v>
      </c>
      <c r="H286" s="1" t="s">
        <v>6089</v>
      </c>
      <c r="I286" s="1"/>
      <c r="J286" s="1"/>
      <c r="K286" s="1" t="s">
        <v>6090</v>
      </c>
      <c r="L286" s="1" t="s">
        <v>7503</v>
      </c>
      <c r="M286" s="1" t="s">
        <v>7504</v>
      </c>
      <c r="N286" s="1"/>
      <c r="O286" s="1"/>
      <c r="P286" s="1"/>
      <c r="Q286" s="1"/>
      <c r="R286" s="1" t="s">
        <v>7505</v>
      </c>
      <c r="S286" s="1" t="s">
        <v>7506</v>
      </c>
      <c r="T286" s="1" t="s">
        <v>7485</v>
      </c>
      <c r="U286" s="1" t="s">
        <v>6096</v>
      </c>
      <c r="V286" s="1" t="s">
        <v>6097</v>
      </c>
      <c r="W286" s="1" t="s">
        <v>7486</v>
      </c>
    </row>
    <row r="287" spans="1:23" ht="48" customHeight="1">
      <c r="A287" s="1" t="s">
        <v>4918</v>
      </c>
      <c r="B287" s="1" t="s">
        <v>6126</v>
      </c>
      <c r="C287" s="1" t="s">
        <v>7507</v>
      </c>
      <c r="D287" s="1" t="s">
        <v>7508</v>
      </c>
      <c r="E287" s="1" t="s">
        <v>6129</v>
      </c>
      <c r="F287" s="1" t="s">
        <v>6087</v>
      </c>
      <c r="G287" s="1" t="s">
        <v>7480</v>
      </c>
      <c r="H287" s="1" t="s">
        <v>6089</v>
      </c>
      <c r="I287" s="1"/>
      <c r="J287" s="1"/>
      <c r="K287" s="1" t="s">
        <v>6090</v>
      </c>
      <c r="L287" s="1" t="s">
        <v>7509</v>
      </c>
      <c r="M287" s="1" t="s">
        <v>7510</v>
      </c>
      <c r="N287" s="1"/>
      <c r="O287" s="1"/>
      <c r="P287" s="1"/>
      <c r="Q287" s="1"/>
      <c r="R287" s="1" t="s">
        <v>7511</v>
      </c>
      <c r="S287" s="1" t="s">
        <v>7512</v>
      </c>
      <c r="T287" s="1" t="s">
        <v>7485</v>
      </c>
      <c r="U287" s="1" t="s">
        <v>6096</v>
      </c>
      <c r="V287" s="1" t="s">
        <v>6097</v>
      </c>
      <c r="W287" s="1" t="s">
        <v>7486</v>
      </c>
    </row>
    <row r="288" spans="1:23" ht="60" customHeight="1">
      <c r="A288" s="1" t="s">
        <v>4918</v>
      </c>
      <c r="B288" s="1" t="s">
        <v>6134</v>
      </c>
      <c r="C288" s="1" t="s">
        <v>6286</v>
      </c>
      <c r="D288" s="1" t="s">
        <v>6287</v>
      </c>
      <c r="E288" s="1" t="s">
        <v>7513</v>
      </c>
      <c r="F288" s="1" t="s">
        <v>6138</v>
      </c>
      <c r="G288" s="1" t="s">
        <v>7480</v>
      </c>
      <c r="H288" s="1" t="s">
        <v>6089</v>
      </c>
      <c r="I288" s="1" t="s">
        <v>4921</v>
      </c>
      <c r="J288" s="1" t="s">
        <v>4920</v>
      </c>
      <c r="K288" s="1" t="s">
        <v>6289</v>
      </c>
      <c r="L288" s="1" t="s">
        <v>7514</v>
      </c>
      <c r="M288" s="1" t="s">
        <v>7515</v>
      </c>
      <c r="N288" s="1" t="s">
        <v>7516</v>
      </c>
      <c r="O288" s="1"/>
      <c r="P288" s="1"/>
      <c r="Q288" s="1"/>
      <c r="R288" s="1" t="s">
        <v>7517</v>
      </c>
      <c r="S288" s="1" t="s">
        <v>7518</v>
      </c>
      <c r="T288" s="1" t="s">
        <v>7485</v>
      </c>
      <c r="U288" s="1" t="s">
        <v>6096</v>
      </c>
      <c r="V288" s="1" t="s">
        <v>6295</v>
      </c>
      <c r="W288" s="1" t="s">
        <v>7486</v>
      </c>
    </row>
    <row r="289" spans="1:23" ht="48" customHeight="1">
      <c r="A289" s="1" t="s">
        <v>4918</v>
      </c>
      <c r="B289" s="1" t="s">
        <v>6144</v>
      </c>
      <c r="C289" s="1" t="s">
        <v>4747</v>
      </c>
      <c r="D289" s="1" t="s">
        <v>4747</v>
      </c>
      <c r="E289" s="1" t="s">
        <v>7519</v>
      </c>
      <c r="F289" s="1" t="s">
        <v>6138</v>
      </c>
      <c r="G289" s="1" t="s">
        <v>7480</v>
      </c>
      <c r="H289" s="1" t="s">
        <v>6089</v>
      </c>
      <c r="I289" s="1"/>
      <c r="J289" s="1"/>
      <c r="K289" s="1" t="s">
        <v>6090</v>
      </c>
      <c r="L289" s="1" t="s">
        <v>7520</v>
      </c>
      <c r="M289" s="1" t="s">
        <v>7521</v>
      </c>
      <c r="N289" s="1"/>
      <c r="O289" s="1"/>
      <c r="P289" s="1"/>
      <c r="Q289" s="1"/>
      <c r="R289" s="1" t="s">
        <v>7522</v>
      </c>
      <c r="S289" s="1" t="s">
        <v>7518</v>
      </c>
      <c r="T289" s="1" t="s">
        <v>7485</v>
      </c>
      <c r="U289" s="1" t="s">
        <v>6096</v>
      </c>
      <c r="V289" s="1" t="s">
        <v>6295</v>
      </c>
      <c r="W289" s="1" t="s">
        <v>7486</v>
      </c>
    </row>
    <row r="290" spans="1:23" ht="60" customHeight="1">
      <c r="A290" s="1" t="s">
        <v>4918</v>
      </c>
      <c r="B290" s="1" t="s">
        <v>6149</v>
      </c>
      <c r="C290" s="1" t="s">
        <v>4747</v>
      </c>
      <c r="D290" s="1" t="s">
        <v>7523</v>
      </c>
      <c r="E290" s="1" t="s">
        <v>7524</v>
      </c>
      <c r="F290" s="1" t="s">
        <v>6138</v>
      </c>
      <c r="G290" s="1" t="s">
        <v>7480</v>
      </c>
      <c r="H290" s="1" t="s">
        <v>6089</v>
      </c>
      <c r="I290" s="1"/>
      <c r="J290" s="1"/>
      <c r="K290" s="1" t="s">
        <v>6090</v>
      </c>
      <c r="L290" s="1" t="s">
        <v>7525</v>
      </c>
      <c r="M290" s="1" t="s">
        <v>7526</v>
      </c>
      <c r="N290" s="1"/>
      <c r="O290" s="1"/>
      <c r="P290" s="1"/>
      <c r="Q290" s="1"/>
      <c r="R290" s="1" t="s">
        <v>7527</v>
      </c>
      <c r="S290" s="1" t="s">
        <v>7528</v>
      </c>
      <c r="T290" s="1" t="s">
        <v>7485</v>
      </c>
      <c r="U290" s="1" t="s">
        <v>6096</v>
      </c>
      <c r="V290" s="1" t="s">
        <v>6295</v>
      </c>
      <c r="W290" s="1" t="s">
        <v>7486</v>
      </c>
    </row>
    <row r="291" spans="1:23" ht="60" customHeight="1">
      <c r="A291" s="1" t="s">
        <v>4918</v>
      </c>
      <c r="B291" s="1" t="s">
        <v>6154</v>
      </c>
      <c r="C291" s="1" t="s">
        <v>6452</v>
      </c>
      <c r="D291" s="1" t="s">
        <v>6308</v>
      </c>
      <c r="E291" s="1" t="s">
        <v>7529</v>
      </c>
      <c r="F291" s="1" t="s">
        <v>6138</v>
      </c>
      <c r="G291" s="1" t="s">
        <v>7480</v>
      </c>
      <c r="H291" s="1" t="s">
        <v>6089</v>
      </c>
      <c r="I291" s="1"/>
      <c r="J291" s="1"/>
      <c r="K291" s="1" t="s">
        <v>6090</v>
      </c>
      <c r="L291" s="1" t="s">
        <v>7530</v>
      </c>
      <c r="M291" s="1" t="s">
        <v>7531</v>
      </c>
      <c r="N291" s="1"/>
      <c r="O291" s="1"/>
      <c r="P291" s="1"/>
      <c r="Q291" s="1"/>
      <c r="R291" s="1" t="s">
        <v>7532</v>
      </c>
      <c r="S291" s="1" t="s">
        <v>7518</v>
      </c>
      <c r="T291" s="1" t="s">
        <v>7485</v>
      </c>
      <c r="U291" s="1" t="s">
        <v>6096</v>
      </c>
      <c r="V291" s="1" t="s">
        <v>6295</v>
      </c>
      <c r="W291" s="1" t="s">
        <v>7486</v>
      </c>
    </row>
    <row r="292" spans="1:23" ht="48" customHeight="1">
      <c r="A292" s="1" t="s">
        <v>4918</v>
      </c>
      <c r="B292" s="1" t="s">
        <v>6159</v>
      </c>
      <c r="C292" s="1" t="s">
        <v>7533</v>
      </c>
      <c r="D292" s="1" t="s">
        <v>7534</v>
      </c>
      <c r="E292" s="1" t="s">
        <v>7535</v>
      </c>
      <c r="F292" s="1" t="s">
        <v>6163</v>
      </c>
      <c r="G292" s="1" t="s">
        <v>7480</v>
      </c>
      <c r="H292" s="1" t="s">
        <v>6089</v>
      </c>
      <c r="I292" s="1"/>
      <c r="J292" s="1"/>
      <c r="K292" s="1" t="s">
        <v>6090</v>
      </c>
      <c r="L292" s="1" t="s">
        <v>7536</v>
      </c>
      <c r="M292" s="1" t="s">
        <v>7537</v>
      </c>
      <c r="N292" s="1"/>
      <c r="O292" s="1"/>
      <c r="P292" s="1"/>
      <c r="Q292" s="1"/>
      <c r="R292" s="1" t="s">
        <v>7538</v>
      </c>
      <c r="S292" s="1" t="s">
        <v>7539</v>
      </c>
      <c r="T292" s="1" t="s">
        <v>7485</v>
      </c>
      <c r="U292" s="1" t="s">
        <v>6096</v>
      </c>
      <c r="V292" s="1" t="s">
        <v>6168</v>
      </c>
      <c r="W292" s="1" t="s">
        <v>7486</v>
      </c>
    </row>
    <row r="293" spans="1:23" ht="60" customHeight="1">
      <c r="A293" s="1" t="s">
        <v>4918</v>
      </c>
      <c r="B293" s="1" t="s">
        <v>6169</v>
      </c>
      <c r="C293" s="1" t="s">
        <v>7540</v>
      </c>
      <c r="D293" s="1" t="s">
        <v>7541</v>
      </c>
      <c r="E293" s="1" t="s">
        <v>7542</v>
      </c>
      <c r="F293" s="1" t="s">
        <v>6163</v>
      </c>
      <c r="G293" s="1" t="s">
        <v>7480</v>
      </c>
      <c r="H293" s="1" t="s">
        <v>6089</v>
      </c>
      <c r="I293" s="1"/>
      <c r="J293" s="1"/>
      <c r="K293" s="1" t="s">
        <v>6090</v>
      </c>
      <c r="L293" s="1" t="s">
        <v>7543</v>
      </c>
      <c r="M293" s="1" t="s">
        <v>7544</v>
      </c>
      <c r="N293" s="1"/>
      <c r="O293" s="1"/>
      <c r="P293" s="1"/>
      <c r="Q293" s="1"/>
      <c r="R293" s="1" t="s">
        <v>7545</v>
      </c>
      <c r="S293" s="1" t="s">
        <v>7539</v>
      </c>
      <c r="T293" s="1" t="s">
        <v>7485</v>
      </c>
      <c r="U293" s="1" t="s">
        <v>6096</v>
      </c>
      <c r="V293" s="1" t="s">
        <v>6168</v>
      </c>
      <c r="W293" s="1" t="s">
        <v>7486</v>
      </c>
    </row>
    <row r="294" spans="1:23" ht="96" customHeight="1">
      <c r="A294" s="1" t="s">
        <v>4918</v>
      </c>
      <c r="B294" s="1" t="s">
        <v>6176</v>
      </c>
      <c r="C294" s="1" t="s">
        <v>7546</v>
      </c>
      <c r="D294" s="1" t="s">
        <v>7547</v>
      </c>
      <c r="E294" s="1" t="s">
        <v>7548</v>
      </c>
      <c r="F294" s="1" t="s">
        <v>6138</v>
      </c>
      <c r="G294" s="1" t="s">
        <v>7480</v>
      </c>
      <c r="H294" s="1" t="s">
        <v>6089</v>
      </c>
      <c r="I294" s="1"/>
      <c r="J294" s="1"/>
      <c r="K294" s="1" t="s">
        <v>6090</v>
      </c>
      <c r="L294" s="1" t="s">
        <v>7549</v>
      </c>
      <c r="M294" s="1" t="s">
        <v>7550</v>
      </c>
      <c r="N294" s="1"/>
      <c r="O294" s="1"/>
      <c r="P294" s="1"/>
      <c r="Q294" s="1"/>
      <c r="R294" s="1" t="s">
        <v>7551</v>
      </c>
      <c r="S294" s="1" t="s">
        <v>7552</v>
      </c>
      <c r="T294" s="1" t="s">
        <v>7485</v>
      </c>
      <c r="U294" s="1" t="s">
        <v>6096</v>
      </c>
      <c r="V294" s="1" t="s">
        <v>6184</v>
      </c>
      <c r="W294" s="1" t="s">
        <v>7486</v>
      </c>
    </row>
    <row r="295" spans="1:23" ht="96" customHeight="1">
      <c r="A295" s="1" t="s">
        <v>4918</v>
      </c>
      <c r="B295" s="1" t="s">
        <v>6185</v>
      </c>
      <c r="C295" s="1" t="s">
        <v>7553</v>
      </c>
      <c r="D295" s="1" t="s">
        <v>4747</v>
      </c>
      <c r="E295" s="1" t="s">
        <v>7554</v>
      </c>
      <c r="F295" s="1" t="s">
        <v>6138</v>
      </c>
      <c r="G295" s="1" t="s">
        <v>7480</v>
      </c>
      <c r="H295" s="1" t="s">
        <v>6089</v>
      </c>
      <c r="I295" s="1"/>
      <c r="J295" s="1"/>
      <c r="K295" s="1" t="s">
        <v>6090</v>
      </c>
      <c r="L295" s="1" t="s">
        <v>7555</v>
      </c>
      <c r="M295" s="1" t="s">
        <v>7556</v>
      </c>
      <c r="N295" s="1"/>
      <c r="O295" s="1"/>
      <c r="P295" s="1"/>
      <c r="Q295" s="1"/>
      <c r="R295" s="1" t="s">
        <v>7557</v>
      </c>
      <c r="S295" s="1" t="s">
        <v>7558</v>
      </c>
      <c r="T295" s="1" t="s">
        <v>7485</v>
      </c>
      <c r="U295" s="1" t="s">
        <v>6096</v>
      </c>
      <c r="V295" s="1" t="s">
        <v>6184</v>
      </c>
      <c r="W295" s="1" t="s">
        <v>7486</v>
      </c>
    </row>
    <row r="296" spans="1:23" ht="96" customHeight="1">
      <c r="A296" s="1" t="s">
        <v>4918</v>
      </c>
      <c r="B296" s="1" t="s">
        <v>6189</v>
      </c>
      <c r="C296" s="1" t="s">
        <v>7559</v>
      </c>
      <c r="D296" s="1" t="s">
        <v>4747</v>
      </c>
      <c r="E296" s="1" t="s">
        <v>7560</v>
      </c>
      <c r="F296" s="1" t="s">
        <v>6138</v>
      </c>
      <c r="G296" s="1" t="s">
        <v>7480</v>
      </c>
      <c r="H296" s="1" t="s">
        <v>6089</v>
      </c>
      <c r="I296" s="1"/>
      <c r="J296" s="1"/>
      <c r="K296" s="1" t="s">
        <v>6090</v>
      </c>
      <c r="L296" s="1" t="s">
        <v>7561</v>
      </c>
      <c r="M296" s="1" t="s">
        <v>7562</v>
      </c>
      <c r="N296" s="1"/>
      <c r="O296" s="1"/>
      <c r="P296" s="1"/>
      <c r="Q296" s="1"/>
      <c r="R296" s="1" t="s">
        <v>7563</v>
      </c>
      <c r="S296" s="1" t="s">
        <v>7564</v>
      </c>
      <c r="T296" s="1" t="s">
        <v>7485</v>
      </c>
      <c r="U296" s="1" t="s">
        <v>6096</v>
      </c>
      <c r="V296" s="1" t="s">
        <v>6184</v>
      </c>
      <c r="W296" s="1" t="s">
        <v>7486</v>
      </c>
    </row>
    <row r="297" spans="1:23" ht="48" customHeight="1">
      <c r="A297" s="1" t="s">
        <v>4918</v>
      </c>
      <c r="B297" s="1" t="s">
        <v>6196</v>
      </c>
      <c r="C297" s="1" t="s">
        <v>7565</v>
      </c>
      <c r="D297" s="1" t="s">
        <v>7566</v>
      </c>
      <c r="E297" s="1" t="s">
        <v>7567</v>
      </c>
      <c r="F297" s="1" t="s">
        <v>6323</v>
      </c>
      <c r="G297" s="1" t="s">
        <v>7480</v>
      </c>
      <c r="H297" s="1" t="s">
        <v>6089</v>
      </c>
      <c r="I297" s="1"/>
      <c r="J297" s="1"/>
      <c r="K297" s="1" t="s">
        <v>6090</v>
      </c>
      <c r="L297" s="1" t="s">
        <v>7568</v>
      </c>
      <c r="M297" s="1" t="s">
        <v>7569</v>
      </c>
      <c r="N297" s="1"/>
      <c r="O297" s="1"/>
      <c r="P297" s="1"/>
      <c r="Q297" s="1"/>
      <c r="R297" s="1" t="s">
        <v>7570</v>
      </c>
      <c r="S297" s="1" t="s">
        <v>6738</v>
      </c>
      <c r="T297" s="1" t="s">
        <v>7485</v>
      </c>
      <c r="U297" s="1" t="s">
        <v>6096</v>
      </c>
      <c r="V297" s="1" t="s">
        <v>6168</v>
      </c>
      <c r="W297" s="1" t="s">
        <v>7486</v>
      </c>
    </row>
    <row r="298" spans="1:23" ht="60" customHeight="1">
      <c r="A298" s="1" t="s">
        <v>4918</v>
      </c>
      <c r="B298" s="1" t="s">
        <v>6200</v>
      </c>
      <c r="C298" s="1" t="s">
        <v>7571</v>
      </c>
      <c r="D298" s="1" t="s">
        <v>7572</v>
      </c>
      <c r="E298" s="1" t="s">
        <v>7573</v>
      </c>
      <c r="F298" s="1" t="s">
        <v>6349</v>
      </c>
      <c r="G298" s="1" t="s">
        <v>7480</v>
      </c>
      <c r="H298" s="1" t="s">
        <v>6089</v>
      </c>
      <c r="I298" s="1"/>
      <c r="J298" s="1"/>
      <c r="K298" s="1" t="s">
        <v>6090</v>
      </c>
      <c r="L298" s="1" t="s">
        <v>7574</v>
      </c>
      <c r="M298" s="1" t="s">
        <v>7575</v>
      </c>
      <c r="N298" s="1"/>
      <c r="O298" s="1"/>
      <c r="P298" s="1"/>
      <c r="Q298" s="1"/>
      <c r="R298" s="1" t="s">
        <v>7576</v>
      </c>
      <c r="S298" s="1" t="s">
        <v>7539</v>
      </c>
      <c r="T298" s="1" t="s">
        <v>7485</v>
      </c>
      <c r="U298" s="1" t="s">
        <v>6096</v>
      </c>
      <c r="V298" s="1" t="s">
        <v>7577</v>
      </c>
      <c r="W298" s="1" t="s">
        <v>7486</v>
      </c>
    </row>
    <row r="299" spans="1:23" ht="96" customHeight="1">
      <c r="A299" s="1" t="s">
        <v>4918</v>
      </c>
      <c r="B299" s="1" t="s">
        <v>5583</v>
      </c>
      <c r="C299" s="1" t="s">
        <v>5788</v>
      </c>
      <c r="D299" s="1" t="s">
        <v>4747</v>
      </c>
      <c r="E299" s="1" t="s">
        <v>7578</v>
      </c>
      <c r="F299" s="1" t="s">
        <v>6138</v>
      </c>
      <c r="G299" s="1" t="s">
        <v>7480</v>
      </c>
      <c r="H299" s="1" t="s">
        <v>6089</v>
      </c>
      <c r="I299" s="1"/>
      <c r="J299" s="1"/>
      <c r="K299" s="1" t="s">
        <v>6090</v>
      </c>
      <c r="L299" s="1" t="s">
        <v>7579</v>
      </c>
      <c r="M299" s="1" t="s">
        <v>7580</v>
      </c>
      <c r="N299" s="1"/>
      <c r="O299" s="1"/>
      <c r="P299" s="1"/>
      <c r="Q299" s="1"/>
      <c r="R299" s="1" t="s">
        <v>7581</v>
      </c>
      <c r="S299" s="1" t="s">
        <v>7582</v>
      </c>
      <c r="T299" s="1" t="s">
        <v>7485</v>
      </c>
      <c r="U299" s="1" t="s">
        <v>6096</v>
      </c>
      <c r="V299" s="1" t="s">
        <v>6184</v>
      </c>
      <c r="W299" s="1" t="s">
        <v>7486</v>
      </c>
    </row>
    <row r="300" spans="1:23" ht="60" customHeight="1">
      <c r="A300" s="1" t="s">
        <v>4918</v>
      </c>
      <c r="B300" s="1" t="s">
        <v>6209</v>
      </c>
      <c r="C300" s="1" t="s">
        <v>7583</v>
      </c>
      <c r="D300" s="1" t="s">
        <v>4747</v>
      </c>
      <c r="E300" s="1" t="s">
        <v>7584</v>
      </c>
      <c r="F300" s="1" t="s">
        <v>6349</v>
      </c>
      <c r="G300" s="1" t="s">
        <v>7480</v>
      </c>
      <c r="H300" s="1" t="s">
        <v>6089</v>
      </c>
      <c r="I300" s="1"/>
      <c r="J300" s="1"/>
      <c r="K300" s="1" t="s">
        <v>6090</v>
      </c>
      <c r="L300" s="1" t="s">
        <v>7585</v>
      </c>
      <c r="M300" s="1" t="s">
        <v>7586</v>
      </c>
      <c r="N300" s="1"/>
      <c r="O300" s="1"/>
      <c r="P300" s="1"/>
      <c r="Q300" s="1"/>
      <c r="R300" s="1" t="s">
        <v>7587</v>
      </c>
      <c r="S300" s="1" t="s">
        <v>7588</v>
      </c>
      <c r="T300" s="1" t="s">
        <v>7485</v>
      </c>
      <c r="U300" s="1" t="s">
        <v>6096</v>
      </c>
      <c r="V300" s="1" t="s">
        <v>7589</v>
      </c>
      <c r="W300" s="1" t="s">
        <v>7486</v>
      </c>
    </row>
    <row r="301" spans="1:23" ht="72" customHeight="1">
      <c r="A301" s="1" t="s">
        <v>4918</v>
      </c>
      <c r="B301" s="1" t="s">
        <v>6212</v>
      </c>
      <c r="C301" s="1" t="s">
        <v>7590</v>
      </c>
      <c r="D301" s="1" t="s">
        <v>7591</v>
      </c>
      <c r="E301" s="1" t="s">
        <v>7592</v>
      </c>
      <c r="F301" s="1" t="s">
        <v>6349</v>
      </c>
      <c r="G301" s="1" t="s">
        <v>7480</v>
      </c>
      <c r="H301" s="1" t="s">
        <v>6089</v>
      </c>
      <c r="I301" s="1"/>
      <c r="J301" s="1"/>
      <c r="K301" s="1" t="s">
        <v>6090</v>
      </c>
      <c r="L301" s="1" t="s">
        <v>7593</v>
      </c>
      <c r="M301" s="1" t="s">
        <v>7594</v>
      </c>
      <c r="N301" s="1"/>
      <c r="O301" s="1"/>
      <c r="P301" s="1"/>
      <c r="Q301" s="1"/>
      <c r="R301" s="1" t="s">
        <v>7595</v>
      </c>
      <c r="S301" s="1" t="s">
        <v>7277</v>
      </c>
      <c r="T301" s="1" t="s">
        <v>7485</v>
      </c>
      <c r="U301" s="1" t="s">
        <v>6096</v>
      </c>
      <c r="V301" s="1" t="s">
        <v>7596</v>
      </c>
      <c r="W301" s="1" t="s">
        <v>7486</v>
      </c>
    </row>
    <row r="302" spans="1:23" ht="48" customHeight="1">
      <c r="A302" s="1" t="s">
        <v>4918</v>
      </c>
      <c r="B302" s="1" t="s">
        <v>6215</v>
      </c>
      <c r="C302" s="1"/>
      <c r="D302" s="1" t="s">
        <v>4747</v>
      </c>
      <c r="E302" s="1"/>
      <c r="F302" s="1" t="s">
        <v>6216</v>
      </c>
      <c r="G302" s="1"/>
      <c r="H302" s="1" t="s">
        <v>6089</v>
      </c>
      <c r="I302" s="1"/>
      <c r="J302" s="1"/>
      <c r="K302" s="1" t="s">
        <v>6090</v>
      </c>
      <c r="L302" s="1"/>
      <c r="M302" s="1" t="s">
        <v>7597</v>
      </c>
      <c r="N302" s="1"/>
      <c r="O302" s="1"/>
      <c r="P302" s="1"/>
      <c r="Q302" s="1"/>
      <c r="R302" s="1"/>
      <c r="S302" s="1"/>
      <c r="T302" s="1"/>
      <c r="U302" s="1"/>
      <c r="V302" s="1"/>
      <c r="W302" s="1"/>
    </row>
    <row r="303" spans="1:23" ht="48" customHeight="1">
      <c r="A303" s="1" t="s">
        <v>4918</v>
      </c>
      <c r="B303" s="1" t="s">
        <v>6218</v>
      </c>
      <c r="C303" s="1" t="s">
        <v>7598</v>
      </c>
      <c r="D303" s="1" t="s">
        <v>7599</v>
      </c>
      <c r="E303" s="1"/>
      <c r="F303" s="1" t="s">
        <v>6110</v>
      </c>
      <c r="G303" s="1" t="s">
        <v>7480</v>
      </c>
      <c r="H303" s="1" t="s">
        <v>6089</v>
      </c>
      <c r="I303" s="1"/>
      <c r="J303" s="1"/>
      <c r="K303" s="1" t="s">
        <v>6090</v>
      </c>
      <c r="L303" s="1" t="s">
        <v>7600</v>
      </c>
      <c r="M303" s="1" t="s">
        <v>7601</v>
      </c>
      <c r="N303" s="1"/>
      <c r="O303" s="1"/>
      <c r="P303" s="1"/>
      <c r="Q303" s="1"/>
      <c r="R303" s="1"/>
      <c r="S303" s="1"/>
      <c r="T303" s="1"/>
      <c r="U303" s="1"/>
      <c r="V303" s="1"/>
      <c r="W303" s="1"/>
    </row>
    <row r="304" spans="1:23" ht="48" customHeight="1">
      <c r="A304" s="1" t="s">
        <v>4918</v>
      </c>
      <c r="B304" s="1" t="s">
        <v>6222</v>
      </c>
      <c r="C304" s="1" t="s">
        <v>4747</v>
      </c>
      <c r="D304" s="1" t="s">
        <v>7602</v>
      </c>
      <c r="E304" s="1"/>
      <c r="F304" s="1" t="s">
        <v>6110</v>
      </c>
      <c r="G304" s="1" t="s">
        <v>7480</v>
      </c>
      <c r="H304" s="1" t="s">
        <v>6089</v>
      </c>
      <c r="I304" s="1"/>
      <c r="J304" s="1"/>
      <c r="K304" s="1" t="s">
        <v>6090</v>
      </c>
      <c r="L304" s="1" t="s">
        <v>7603</v>
      </c>
      <c r="M304" s="1" t="s">
        <v>7604</v>
      </c>
      <c r="N304" s="1"/>
      <c r="O304" s="1"/>
      <c r="P304" s="1"/>
      <c r="Q304" s="1"/>
      <c r="R304" s="1"/>
      <c r="S304" s="1"/>
      <c r="T304" s="1"/>
      <c r="U304" s="1"/>
      <c r="V304" s="1"/>
      <c r="W304" s="1"/>
    </row>
    <row r="305" spans="1:23" ht="48" customHeight="1">
      <c r="A305" s="1" t="s">
        <v>4918</v>
      </c>
      <c r="B305" s="1" t="s">
        <v>6227</v>
      </c>
      <c r="C305" s="1" t="s">
        <v>6522</v>
      </c>
      <c r="D305" s="1" t="s">
        <v>4747</v>
      </c>
      <c r="E305" s="1"/>
      <c r="F305" s="1" t="s">
        <v>6110</v>
      </c>
      <c r="G305" s="1" t="s">
        <v>7480</v>
      </c>
      <c r="H305" s="1" t="s">
        <v>6089</v>
      </c>
      <c r="I305" s="1"/>
      <c r="J305" s="1"/>
      <c r="K305" s="1" t="s">
        <v>6090</v>
      </c>
      <c r="L305" s="1" t="s">
        <v>7605</v>
      </c>
      <c r="M305" s="1" t="s">
        <v>7606</v>
      </c>
      <c r="N305" s="1"/>
      <c r="O305" s="1"/>
      <c r="P305" s="1"/>
      <c r="Q305" s="1"/>
      <c r="R305" s="1"/>
      <c r="S305" s="1"/>
      <c r="T305" s="1"/>
      <c r="U305" s="1"/>
      <c r="V305" s="1"/>
      <c r="W305" s="1"/>
    </row>
    <row r="306" spans="1:23" ht="48" customHeight="1">
      <c r="A306" s="1" t="s">
        <v>4918</v>
      </c>
      <c r="B306" s="1" t="s">
        <v>6232</v>
      </c>
      <c r="C306" s="1" t="s">
        <v>4747</v>
      </c>
      <c r="D306" s="1" t="s">
        <v>7607</v>
      </c>
      <c r="E306" s="1"/>
      <c r="F306" s="1" t="s">
        <v>6110</v>
      </c>
      <c r="G306" s="1" t="s">
        <v>7480</v>
      </c>
      <c r="H306" s="1" t="s">
        <v>6089</v>
      </c>
      <c r="I306" s="1"/>
      <c r="J306" s="1"/>
      <c r="K306" s="1" t="s">
        <v>6090</v>
      </c>
      <c r="L306" s="1" t="s">
        <v>7608</v>
      </c>
      <c r="M306" s="1" t="s">
        <v>7609</v>
      </c>
      <c r="N306" s="1"/>
      <c r="O306" s="1"/>
      <c r="P306" s="1"/>
      <c r="Q306" s="1"/>
      <c r="R306" s="1"/>
      <c r="S306" s="1"/>
      <c r="T306" s="1"/>
      <c r="U306" s="1"/>
      <c r="V306" s="1"/>
      <c r="W306" s="1"/>
    </row>
    <row r="307" spans="1:23" ht="96" customHeight="1">
      <c r="A307" s="1" t="s">
        <v>4918</v>
      </c>
      <c r="B307" s="1" t="s">
        <v>6236</v>
      </c>
      <c r="C307" s="1" t="s">
        <v>7610</v>
      </c>
      <c r="D307" s="1" t="s">
        <v>7611</v>
      </c>
      <c r="E307" s="1" t="s">
        <v>7612</v>
      </c>
      <c r="F307" s="1" t="s">
        <v>6163</v>
      </c>
      <c r="G307" s="1" t="s">
        <v>7480</v>
      </c>
      <c r="H307" s="1" t="s">
        <v>6089</v>
      </c>
      <c r="I307" s="1"/>
      <c r="J307" s="1"/>
      <c r="K307" s="1" t="s">
        <v>6090</v>
      </c>
      <c r="L307" s="1" t="s">
        <v>7613</v>
      </c>
      <c r="M307" s="1" t="s">
        <v>7614</v>
      </c>
      <c r="N307" s="1"/>
      <c r="O307" s="1"/>
      <c r="P307" s="1"/>
      <c r="Q307" s="1"/>
      <c r="R307" s="1" t="s">
        <v>7615</v>
      </c>
      <c r="S307" s="1" t="s">
        <v>7616</v>
      </c>
      <c r="T307" s="1" t="s">
        <v>7485</v>
      </c>
      <c r="U307" s="1" t="s">
        <v>6096</v>
      </c>
      <c r="V307" s="1" t="s">
        <v>6244</v>
      </c>
      <c r="W307" s="1" t="s">
        <v>7486</v>
      </c>
    </row>
    <row r="308" spans="1:23" ht="48" customHeight="1">
      <c r="A308" s="1" t="s">
        <v>4918</v>
      </c>
      <c r="B308" s="1" t="s">
        <v>6245</v>
      </c>
      <c r="C308" s="1" t="s">
        <v>7617</v>
      </c>
      <c r="D308" s="1"/>
      <c r="E308" s="1"/>
      <c r="F308" s="1" t="s">
        <v>6216</v>
      </c>
      <c r="G308" s="1" t="s">
        <v>7480</v>
      </c>
      <c r="H308" s="1"/>
      <c r="I308" s="1"/>
      <c r="J308" s="1"/>
      <c r="K308" s="1" t="s">
        <v>6090</v>
      </c>
      <c r="L308" s="1" t="s">
        <v>7618</v>
      </c>
      <c r="M308" s="1"/>
      <c r="N308" s="1"/>
      <c r="O308" s="1"/>
      <c r="P308" s="1"/>
      <c r="Q308" s="1"/>
      <c r="R308" s="1"/>
      <c r="S308" s="1"/>
      <c r="T308" s="1"/>
      <c r="U308" s="1"/>
      <c r="V308" s="1"/>
      <c r="W308" s="1"/>
    </row>
    <row r="309" spans="1:23" ht="48" customHeight="1">
      <c r="A309" s="1" t="s">
        <v>4918</v>
      </c>
      <c r="B309" s="1" t="s">
        <v>6248</v>
      </c>
      <c r="C309" s="1" t="s">
        <v>7619</v>
      </c>
      <c r="D309" s="1"/>
      <c r="E309" s="1"/>
      <c r="F309" s="1" t="s">
        <v>6216</v>
      </c>
      <c r="G309" s="1" t="s">
        <v>7480</v>
      </c>
      <c r="H309" s="1"/>
      <c r="I309" s="1"/>
      <c r="J309" s="1"/>
      <c r="K309" s="1" t="s">
        <v>6090</v>
      </c>
      <c r="L309" s="1" t="s">
        <v>7620</v>
      </c>
      <c r="M309" s="1"/>
      <c r="N309" s="1"/>
      <c r="O309" s="1"/>
      <c r="P309" s="1"/>
      <c r="Q309" s="1"/>
      <c r="R309" s="1"/>
      <c r="S309" s="1"/>
      <c r="T309" s="1"/>
      <c r="U309" s="1"/>
      <c r="V309" s="1"/>
      <c r="W309" s="1"/>
    </row>
    <row r="310" spans="1:23" ht="48" customHeight="1">
      <c r="A310" s="1" t="s">
        <v>4925</v>
      </c>
      <c r="B310" s="1" t="s">
        <v>6083</v>
      </c>
      <c r="C310" s="1" t="s">
        <v>7621</v>
      </c>
      <c r="D310" s="1" t="s">
        <v>7622</v>
      </c>
      <c r="E310" s="1" t="s">
        <v>7327</v>
      </c>
      <c r="F310" s="1" t="s">
        <v>6087</v>
      </c>
      <c r="G310" s="1" t="s">
        <v>7623</v>
      </c>
      <c r="H310" s="1" t="s">
        <v>6089</v>
      </c>
      <c r="I310" s="1"/>
      <c r="J310" s="1"/>
      <c r="K310" s="1" t="s">
        <v>6090</v>
      </c>
      <c r="L310" s="1" t="s">
        <v>7624</v>
      </c>
      <c r="M310" s="1" t="s">
        <v>7625</v>
      </c>
      <c r="N310" s="1"/>
      <c r="O310" s="1"/>
      <c r="P310" s="1"/>
      <c r="Q310" s="1"/>
      <c r="R310" s="1" t="s">
        <v>7626</v>
      </c>
      <c r="S310" s="1" t="s">
        <v>7627</v>
      </c>
      <c r="T310" s="1" t="s">
        <v>7628</v>
      </c>
      <c r="U310" s="1" t="s">
        <v>6096</v>
      </c>
      <c r="V310" s="1" t="s">
        <v>6097</v>
      </c>
      <c r="W310" s="1" t="s">
        <v>7629</v>
      </c>
    </row>
    <row r="311" spans="1:23" ht="48" customHeight="1">
      <c r="A311" s="1" t="s">
        <v>4925</v>
      </c>
      <c r="B311" s="1" t="s">
        <v>6099</v>
      </c>
      <c r="C311" s="1" t="s">
        <v>7630</v>
      </c>
      <c r="D311" s="1" t="s">
        <v>7631</v>
      </c>
      <c r="E311" s="1" t="s">
        <v>6102</v>
      </c>
      <c r="F311" s="1" t="s">
        <v>6087</v>
      </c>
      <c r="G311" s="1" t="s">
        <v>7623</v>
      </c>
      <c r="H311" s="1" t="s">
        <v>6089</v>
      </c>
      <c r="I311" s="1"/>
      <c r="J311" s="1"/>
      <c r="K311" s="1" t="s">
        <v>6090</v>
      </c>
      <c r="L311" s="1" t="s">
        <v>7632</v>
      </c>
      <c r="M311" s="1" t="s">
        <v>7633</v>
      </c>
      <c r="N311" s="1"/>
      <c r="O311" s="1"/>
      <c r="P311" s="1"/>
      <c r="Q311" s="1"/>
      <c r="R311" s="1" t="s">
        <v>7634</v>
      </c>
      <c r="S311" s="1" t="s">
        <v>7635</v>
      </c>
      <c r="T311" s="1" t="s">
        <v>7628</v>
      </c>
      <c r="U311" s="1" t="s">
        <v>6096</v>
      </c>
      <c r="V311" s="1" t="s">
        <v>6097</v>
      </c>
      <c r="W311" s="1" t="s">
        <v>7629</v>
      </c>
    </row>
    <row r="312" spans="1:23" ht="48" customHeight="1">
      <c r="A312" s="1" t="s">
        <v>4925</v>
      </c>
      <c r="B312" s="1" t="s">
        <v>6107</v>
      </c>
      <c r="C312" s="1" t="s">
        <v>7636</v>
      </c>
      <c r="D312" s="1" t="s">
        <v>7636</v>
      </c>
      <c r="E312" s="1" t="s">
        <v>7636</v>
      </c>
      <c r="F312" s="1" t="s">
        <v>6186</v>
      </c>
      <c r="G312" s="1" t="s">
        <v>7623</v>
      </c>
      <c r="H312" s="1" t="s">
        <v>6089</v>
      </c>
      <c r="I312" s="1"/>
      <c r="J312" s="1"/>
      <c r="K312" s="1" t="s">
        <v>6090</v>
      </c>
      <c r="L312" s="1" t="s">
        <v>7637</v>
      </c>
      <c r="M312" s="1" t="s">
        <v>7638</v>
      </c>
      <c r="N312" s="1"/>
      <c r="O312" s="1"/>
      <c r="P312" s="1"/>
      <c r="Q312" s="1"/>
      <c r="R312" s="1"/>
      <c r="S312" s="1"/>
      <c r="T312" s="1"/>
      <c r="U312" s="1"/>
      <c r="V312" s="1"/>
      <c r="W312" s="1"/>
    </row>
    <row r="313" spans="1:23" ht="48" customHeight="1">
      <c r="A313" s="1" t="s">
        <v>4925</v>
      </c>
      <c r="B313" s="1" t="s">
        <v>6113</v>
      </c>
      <c r="C313" s="1" t="s">
        <v>7639</v>
      </c>
      <c r="D313" s="1" t="s">
        <v>7640</v>
      </c>
      <c r="E313" s="1"/>
      <c r="F313" s="1" t="s">
        <v>6110</v>
      </c>
      <c r="G313" s="1" t="s">
        <v>7623</v>
      </c>
      <c r="H313" s="1" t="s">
        <v>6089</v>
      </c>
      <c r="I313" s="1"/>
      <c r="J313" s="1"/>
      <c r="K313" s="1" t="s">
        <v>6090</v>
      </c>
      <c r="L313" s="1" t="s">
        <v>7641</v>
      </c>
      <c r="M313" s="1" t="s">
        <v>7642</v>
      </c>
      <c r="N313" s="1"/>
      <c r="O313" s="1"/>
      <c r="P313" s="1"/>
      <c r="Q313" s="1"/>
      <c r="R313" s="1"/>
      <c r="S313" s="1"/>
      <c r="T313" s="1"/>
      <c r="U313" s="1"/>
      <c r="V313" s="1"/>
      <c r="W313" s="1"/>
    </row>
    <row r="314" spans="1:23" ht="48" customHeight="1">
      <c r="A314" s="1" t="s">
        <v>4925</v>
      </c>
      <c r="B314" s="1" t="s">
        <v>6118</v>
      </c>
      <c r="C314" s="1" t="s">
        <v>7643</v>
      </c>
      <c r="D314" s="1" t="s">
        <v>7644</v>
      </c>
      <c r="E314" s="1" t="s">
        <v>7645</v>
      </c>
      <c r="F314" s="1" t="s">
        <v>6087</v>
      </c>
      <c r="G314" s="1" t="s">
        <v>7623</v>
      </c>
      <c r="H314" s="1" t="s">
        <v>6089</v>
      </c>
      <c r="I314" s="1"/>
      <c r="J314" s="1"/>
      <c r="K314" s="1" t="s">
        <v>6090</v>
      </c>
      <c r="L314" s="1" t="s">
        <v>7646</v>
      </c>
      <c r="M314" s="1" t="s">
        <v>7647</v>
      </c>
      <c r="N314" s="1"/>
      <c r="O314" s="1"/>
      <c r="P314" s="1"/>
      <c r="Q314" s="1"/>
      <c r="R314" s="1" t="s">
        <v>7648</v>
      </c>
      <c r="S314" s="1" t="s">
        <v>7649</v>
      </c>
      <c r="T314" s="1" t="s">
        <v>7628</v>
      </c>
      <c r="U314" s="1" t="s">
        <v>6096</v>
      </c>
      <c r="V314" s="1" t="s">
        <v>6097</v>
      </c>
      <c r="W314" s="1" t="s">
        <v>7629</v>
      </c>
    </row>
    <row r="315" spans="1:23" ht="48" customHeight="1">
      <c r="A315" s="1" t="s">
        <v>4925</v>
      </c>
      <c r="B315" s="1" t="s">
        <v>6126</v>
      </c>
      <c r="C315" s="1" t="s">
        <v>7650</v>
      </c>
      <c r="D315" s="1" t="s">
        <v>7651</v>
      </c>
      <c r="E315" s="1" t="s">
        <v>6129</v>
      </c>
      <c r="F315" s="1" t="s">
        <v>6087</v>
      </c>
      <c r="G315" s="1" t="s">
        <v>7623</v>
      </c>
      <c r="H315" s="1" t="s">
        <v>6089</v>
      </c>
      <c r="I315" s="1"/>
      <c r="J315" s="1"/>
      <c r="K315" s="1" t="s">
        <v>6090</v>
      </c>
      <c r="L315" s="1" t="s">
        <v>7652</v>
      </c>
      <c r="M315" s="1" t="s">
        <v>7653</v>
      </c>
      <c r="N315" s="1"/>
      <c r="O315" s="1"/>
      <c r="P315" s="1"/>
      <c r="Q315" s="1"/>
      <c r="R315" s="1" t="s">
        <v>7654</v>
      </c>
      <c r="S315" s="1" t="s">
        <v>7655</v>
      </c>
      <c r="T315" s="1" t="s">
        <v>7628</v>
      </c>
      <c r="U315" s="1" t="s">
        <v>6096</v>
      </c>
      <c r="V315" s="1" t="s">
        <v>6097</v>
      </c>
      <c r="W315" s="1" t="s">
        <v>7629</v>
      </c>
    </row>
    <row r="316" spans="1:23" ht="60" customHeight="1">
      <c r="A316" s="1" t="s">
        <v>4925</v>
      </c>
      <c r="B316" s="1" t="s">
        <v>6134</v>
      </c>
      <c r="C316" s="1" t="s">
        <v>6286</v>
      </c>
      <c r="D316" s="1" t="s">
        <v>6287</v>
      </c>
      <c r="E316" s="1" t="s">
        <v>7656</v>
      </c>
      <c r="F316" s="1" t="s">
        <v>6138</v>
      </c>
      <c r="G316" s="1" t="s">
        <v>7623</v>
      </c>
      <c r="H316" s="1" t="s">
        <v>6089</v>
      </c>
      <c r="I316" s="1" t="s">
        <v>4937</v>
      </c>
      <c r="J316" s="1" t="s">
        <v>4936</v>
      </c>
      <c r="K316" s="1" t="s">
        <v>6289</v>
      </c>
      <c r="L316" s="1" t="s">
        <v>7657</v>
      </c>
      <c r="M316" s="1" t="s">
        <v>7658</v>
      </c>
      <c r="N316" s="1" t="s">
        <v>7659</v>
      </c>
      <c r="O316" s="1"/>
      <c r="P316" s="1"/>
      <c r="Q316" s="1"/>
      <c r="R316" s="1" t="s">
        <v>7660</v>
      </c>
      <c r="S316" s="1" t="s">
        <v>7661</v>
      </c>
      <c r="T316" s="1" t="s">
        <v>7628</v>
      </c>
      <c r="U316" s="1" t="s">
        <v>6096</v>
      </c>
      <c r="V316" s="1" t="s">
        <v>6295</v>
      </c>
      <c r="W316" s="1" t="s">
        <v>7629</v>
      </c>
    </row>
    <row r="317" spans="1:23" ht="60" customHeight="1">
      <c r="A317" s="1" t="s">
        <v>4925</v>
      </c>
      <c r="B317" s="1" t="s">
        <v>6144</v>
      </c>
      <c r="C317" s="1" t="s">
        <v>7662</v>
      </c>
      <c r="D317" s="1" t="s">
        <v>4747</v>
      </c>
      <c r="E317" s="1" t="s">
        <v>7663</v>
      </c>
      <c r="F317" s="1" t="s">
        <v>6138</v>
      </c>
      <c r="G317" s="1" t="s">
        <v>7623</v>
      </c>
      <c r="H317" s="1" t="s">
        <v>6089</v>
      </c>
      <c r="I317" s="1"/>
      <c r="J317" s="1"/>
      <c r="K317" s="1" t="s">
        <v>6090</v>
      </c>
      <c r="L317" s="1" t="s">
        <v>7664</v>
      </c>
      <c r="M317" s="1" t="s">
        <v>7665</v>
      </c>
      <c r="N317" s="1"/>
      <c r="O317" s="1"/>
      <c r="P317" s="1"/>
      <c r="Q317" s="1"/>
      <c r="R317" s="1" t="s">
        <v>7666</v>
      </c>
      <c r="S317" s="1" t="s">
        <v>7661</v>
      </c>
      <c r="T317" s="1" t="s">
        <v>7628</v>
      </c>
      <c r="U317" s="1" t="s">
        <v>6096</v>
      </c>
      <c r="V317" s="1" t="s">
        <v>6295</v>
      </c>
      <c r="W317" s="1" t="s">
        <v>7629</v>
      </c>
    </row>
    <row r="318" spans="1:23" ht="60" customHeight="1">
      <c r="A318" s="1" t="s">
        <v>4925</v>
      </c>
      <c r="B318" s="1" t="s">
        <v>6149</v>
      </c>
      <c r="C318" s="1" t="s">
        <v>5713</v>
      </c>
      <c r="D318" s="1" t="s">
        <v>7667</v>
      </c>
      <c r="E318" s="1" t="s">
        <v>7668</v>
      </c>
      <c r="F318" s="1" t="s">
        <v>6138</v>
      </c>
      <c r="G318" s="1" t="s">
        <v>7623</v>
      </c>
      <c r="H318" s="1" t="s">
        <v>6089</v>
      </c>
      <c r="I318" s="1"/>
      <c r="J318" s="1"/>
      <c r="K318" s="1" t="s">
        <v>6090</v>
      </c>
      <c r="L318" s="1" t="s">
        <v>7669</v>
      </c>
      <c r="M318" s="1" t="s">
        <v>7670</v>
      </c>
      <c r="N318" s="1"/>
      <c r="O318" s="1"/>
      <c r="P318" s="1"/>
      <c r="Q318" s="1"/>
      <c r="R318" s="1" t="s">
        <v>7671</v>
      </c>
      <c r="S318" s="1" t="s">
        <v>7672</v>
      </c>
      <c r="T318" s="1" t="s">
        <v>7628</v>
      </c>
      <c r="U318" s="1" t="s">
        <v>6096</v>
      </c>
      <c r="V318" s="1" t="s">
        <v>6295</v>
      </c>
      <c r="W318" s="1" t="s">
        <v>7629</v>
      </c>
    </row>
    <row r="319" spans="1:23" ht="60" customHeight="1">
      <c r="A319" s="1" t="s">
        <v>4925</v>
      </c>
      <c r="B319" s="1" t="s">
        <v>6154</v>
      </c>
      <c r="C319" s="1" t="s">
        <v>7673</v>
      </c>
      <c r="D319" s="1" t="s">
        <v>6308</v>
      </c>
      <c r="E319" s="1" t="s">
        <v>7674</v>
      </c>
      <c r="F319" s="1" t="s">
        <v>6138</v>
      </c>
      <c r="G319" s="1" t="s">
        <v>7623</v>
      </c>
      <c r="H319" s="1" t="s">
        <v>6089</v>
      </c>
      <c r="I319" s="1"/>
      <c r="J319" s="1"/>
      <c r="K319" s="1" t="s">
        <v>6090</v>
      </c>
      <c r="L319" s="1" t="s">
        <v>7675</v>
      </c>
      <c r="M319" s="1" t="s">
        <v>7676</v>
      </c>
      <c r="N319" s="1"/>
      <c r="O319" s="1"/>
      <c r="P319" s="1"/>
      <c r="Q319" s="1"/>
      <c r="R319" s="1" t="s">
        <v>7677</v>
      </c>
      <c r="S319" s="1" t="s">
        <v>7661</v>
      </c>
      <c r="T319" s="1" t="s">
        <v>7628</v>
      </c>
      <c r="U319" s="1" t="s">
        <v>6096</v>
      </c>
      <c r="V319" s="1" t="s">
        <v>6295</v>
      </c>
      <c r="W319" s="1" t="s">
        <v>7629</v>
      </c>
    </row>
    <row r="320" spans="1:23" ht="48" customHeight="1">
      <c r="A320" s="1" t="s">
        <v>4925</v>
      </c>
      <c r="B320" s="1" t="s">
        <v>6159</v>
      </c>
      <c r="C320" s="1" t="s">
        <v>7678</v>
      </c>
      <c r="D320" s="1" t="s">
        <v>7679</v>
      </c>
      <c r="E320" s="1" t="s">
        <v>7680</v>
      </c>
      <c r="F320" s="1" t="s">
        <v>6163</v>
      </c>
      <c r="G320" s="1" t="s">
        <v>7623</v>
      </c>
      <c r="H320" s="1" t="s">
        <v>6089</v>
      </c>
      <c r="I320" s="1"/>
      <c r="J320" s="1"/>
      <c r="K320" s="1" t="s">
        <v>6090</v>
      </c>
      <c r="L320" s="1" t="s">
        <v>7681</v>
      </c>
      <c r="M320" s="1" t="s">
        <v>7682</v>
      </c>
      <c r="N320" s="1"/>
      <c r="O320" s="1"/>
      <c r="P320" s="1"/>
      <c r="Q320" s="1"/>
      <c r="R320" s="1" t="s">
        <v>7683</v>
      </c>
      <c r="S320" s="1" t="s">
        <v>7006</v>
      </c>
      <c r="T320" s="1" t="s">
        <v>7628</v>
      </c>
      <c r="U320" s="1" t="s">
        <v>6096</v>
      </c>
      <c r="V320" s="1" t="s">
        <v>6168</v>
      </c>
      <c r="W320" s="1" t="s">
        <v>7629</v>
      </c>
    </row>
    <row r="321" spans="1:23" ht="48" customHeight="1">
      <c r="A321" s="1" t="s">
        <v>4925</v>
      </c>
      <c r="B321" s="1" t="s">
        <v>6169</v>
      </c>
      <c r="C321" s="1" t="s">
        <v>7684</v>
      </c>
      <c r="D321" s="1" t="s">
        <v>7685</v>
      </c>
      <c r="E321" s="1" t="s">
        <v>7686</v>
      </c>
      <c r="F321" s="1" t="s">
        <v>6163</v>
      </c>
      <c r="G321" s="1" t="s">
        <v>7623</v>
      </c>
      <c r="H321" s="1" t="s">
        <v>6089</v>
      </c>
      <c r="I321" s="1"/>
      <c r="J321" s="1"/>
      <c r="K321" s="1" t="s">
        <v>6090</v>
      </c>
      <c r="L321" s="1" t="s">
        <v>7687</v>
      </c>
      <c r="M321" s="1" t="s">
        <v>7688</v>
      </c>
      <c r="N321" s="1"/>
      <c r="O321" s="1"/>
      <c r="P321" s="1"/>
      <c r="Q321" s="1"/>
      <c r="R321" s="1" t="s">
        <v>7689</v>
      </c>
      <c r="S321" s="1" t="s">
        <v>7006</v>
      </c>
      <c r="T321" s="1" t="s">
        <v>7628</v>
      </c>
      <c r="U321" s="1" t="s">
        <v>6096</v>
      </c>
      <c r="V321" s="1" t="s">
        <v>6168</v>
      </c>
      <c r="W321" s="1" t="s">
        <v>7629</v>
      </c>
    </row>
    <row r="322" spans="1:23" ht="48" customHeight="1">
      <c r="A322" s="1" t="s">
        <v>4925</v>
      </c>
      <c r="B322" s="1" t="s">
        <v>6176</v>
      </c>
      <c r="C322" s="1" t="s">
        <v>4747</v>
      </c>
      <c r="D322" s="1" t="s">
        <v>4747</v>
      </c>
      <c r="E322" s="1" t="s">
        <v>4747</v>
      </c>
      <c r="F322" s="1" t="s">
        <v>6186</v>
      </c>
      <c r="G322" s="1" t="s">
        <v>7623</v>
      </c>
      <c r="H322" s="1" t="s">
        <v>6089</v>
      </c>
      <c r="I322" s="1"/>
      <c r="J322" s="1"/>
      <c r="K322" s="1" t="s">
        <v>6090</v>
      </c>
      <c r="L322" s="1" t="s">
        <v>7690</v>
      </c>
      <c r="M322" s="1" t="s">
        <v>7691</v>
      </c>
      <c r="N322" s="1"/>
      <c r="O322" s="1"/>
      <c r="P322" s="1"/>
      <c r="Q322" s="1"/>
      <c r="R322" s="1"/>
      <c r="S322" s="1"/>
      <c r="T322" s="1"/>
      <c r="U322" s="1"/>
      <c r="V322" s="1"/>
      <c r="W322" s="1"/>
    </row>
    <row r="323" spans="1:23" ht="48" customHeight="1">
      <c r="A323" s="1" t="s">
        <v>4925</v>
      </c>
      <c r="B323" s="1" t="s">
        <v>6185</v>
      </c>
      <c r="C323" s="1" t="s">
        <v>4747</v>
      </c>
      <c r="D323" s="1" t="s">
        <v>4747</v>
      </c>
      <c r="E323" s="1" t="s">
        <v>4747</v>
      </c>
      <c r="F323" s="1" t="s">
        <v>6186</v>
      </c>
      <c r="G323" s="1" t="s">
        <v>7623</v>
      </c>
      <c r="H323" s="1" t="s">
        <v>6089</v>
      </c>
      <c r="I323" s="1"/>
      <c r="J323" s="1"/>
      <c r="K323" s="1" t="s">
        <v>6090</v>
      </c>
      <c r="L323" s="1" t="s">
        <v>7692</v>
      </c>
      <c r="M323" s="1" t="s">
        <v>7693</v>
      </c>
      <c r="N323" s="1"/>
      <c r="O323" s="1"/>
      <c r="P323" s="1"/>
      <c r="Q323" s="1"/>
      <c r="R323" s="1"/>
      <c r="S323" s="1"/>
      <c r="T323" s="1"/>
      <c r="U323" s="1"/>
      <c r="V323" s="1"/>
      <c r="W323" s="1"/>
    </row>
    <row r="324" spans="1:23" ht="96" customHeight="1">
      <c r="A324" s="1" t="s">
        <v>4925</v>
      </c>
      <c r="B324" s="1" t="s">
        <v>6189</v>
      </c>
      <c r="C324" s="1" t="s">
        <v>7694</v>
      </c>
      <c r="D324" s="1" t="s">
        <v>4747</v>
      </c>
      <c r="E324" s="1" t="s">
        <v>7695</v>
      </c>
      <c r="F324" s="1" t="s">
        <v>6138</v>
      </c>
      <c r="G324" s="1" t="s">
        <v>7623</v>
      </c>
      <c r="H324" s="1" t="s">
        <v>6089</v>
      </c>
      <c r="I324" s="1"/>
      <c r="J324" s="1"/>
      <c r="K324" s="1" t="s">
        <v>6090</v>
      </c>
      <c r="L324" s="1" t="s">
        <v>7696</v>
      </c>
      <c r="M324" s="1" t="s">
        <v>7697</v>
      </c>
      <c r="N324" s="1"/>
      <c r="O324" s="1"/>
      <c r="P324" s="1"/>
      <c r="Q324" s="1"/>
      <c r="R324" s="1" t="s">
        <v>7698</v>
      </c>
      <c r="S324" s="1" t="s">
        <v>7699</v>
      </c>
      <c r="T324" s="1" t="s">
        <v>7628</v>
      </c>
      <c r="U324" s="1" t="s">
        <v>6096</v>
      </c>
      <c r="V324" s="1" t="s">
        <v>6184</v>
      </c>
      <c r="W324" s="1" t="s">
        <v>7629</v>
      </c>
    </row>
    <row r="325" spans="1:23" ht="48" customHeight="1">
      <c r="A325" s="1" t="s">
        <v>4925</v>
      </c>
      <c r="B325" s="1" t="s">
        <v>6196</v>
      </c>
      <c r="C325" s="1" t="s">
        <v>6197</v>
      </c>
      <c r="D325" s="1" t="s">
        <v>7700</v>
      </c>
      <c r="E325" s="1" t="s">
        <v>7701</v>
      </c>
      <c r="F325" s="1" t="s">
        <v>6163</v>
      </c>
      <c r="G325" s="1" t="s">
        <v>7623</v>
      </c>
      <c r="H325" s="1" t="s">
        <v>6089</v>
      </c>
      <c r="I325" s="1"/>
      <c r="J325" s="1"/>
      <c r="K325" s="1" t="s">
        <v>6090</v>
      </c>
      <c r="L325" s="1" t="s">
        <v>7702</v>
      </c>
      <c r="M325" s="1" t="s">
        <v>7703</v>
      </c>
      <c r="N325" s="1"/>
      <c r="O325" s="1"/>
      <c r="P325" s="1"/>
      <c r="Q325" s="1"/>
      <c r="R325" s="1" t="s">
        <v>7704</v>
      </c>
      <c r="S325" s="1" t="s">
        <v>6167</v>
      </c>
      <c r="T325" s="1" t="s">
        <v>7628</v>
      </c>
      <c r="U325" s="1" t="s">
        <v>6096</v>
      </c>
      <c r="V325" s="1" t="s">
        <v>6168</v>
      </c>
      <c r="W325" s="1" t="s">
        <v>7629</v>
      </c>
    </row>
    <row r="326" spans="1:23" ht="48" customHeight="1">
      <c r="A326" s="1" t="s">
        <v>4925</v>
      </c>
      <c r="B326" s="1" t="s">
        <v>6200</v>
      </c>
      <c r="C326" s="1" t="s">
        <v>7705</v>
      </c>
      <c r="D326" s="1" t="s">
        <v>7706</v>
      </c>
      <c r="E326" s="1" t="s">
        <v>7707</v>
      </c>
      <c r="F326" s="1" t="s">
        <v>6163</v>
      </c>
      <c r="G326" s="1" t="s">
        <v>7623</v>
      </c>
      <c r="H326" s="1" t="s">
        <v>6089</v>
      </c>
      <c r="I326" s="1"/>
      <c r="J326" s="1"/>
      <c r="K326" s="1" t="s">
        <v>6090</v>
      </c>
      <c r="L326" s="1" t="s">
        <v>7708</v>
      </c>
      <c r="M326" s="1" t="s">
        <v>7709</v>
      </c>
      <c r="N326" s="1"/>
      <c r="O326" s="1"/>
      <c r="P326" s="1"/>
      <c r="Q326" s="1"/>
      <c r="R326" s="1" t="s">
        <v>7710</v>
      </c>
      <c r="S326" s="1" t="s">
        <v>7711</v>
      </c>
      <c r="T326" s="1" t="s">
        <v>7628</v>
      </c>
      <c r="U326" s="1" t="s">
        <v>6096</v>
      </c>
      <c r="V326" s="1" t="s">
        <v>6168</v>
      </c>
      <c r="W326" s="1" t="s">
        <v>7629</v>
      </c>
    </row>
    <row r="327" spans="1:23" ht="48" customHeight="1">
      <c r="A327" s="1" t="s">
        <v>4925</v>
      </c>
      <c r="B327" s="1" t="s">
        <v>5583</v>
      </c>
      <c r="C327" s="1" t="s">
        <v>4747</v>
      </c>
      <c r="D327" s="1" t="s">
        <v>4747</v>
      </c>
      <c r="E327" s="1" t="s">
        <v>4747</v>
      </c>
      <c r="F327" s="1" t="s">
        <v>6186</v>
      </c>
      <c r="G327" s="1" t="s">
        <v>7623</v>
      </c>
      <c r="H327" s="1" t="s">
        <v>6089</v>
      </c>
      <c r="I327" s="1"/>
      <c r="J327" s="1"/>
      <c r="K327" s="1" t="s">
        <v>6090</v>
      </c>
      <c r="L327" s="1" t="s">
        <v>7712</v>
      </c>
      <c r="M327" s="1" t="s">
        <v>7713</v>
      </c>
      <c r="N327" s="1"/>
      <c r="O327" s="1"/>
      <c r="P327" s="1"/>
      <c r="Q327" s="1"/>
      <c r="R327" s="1"/>
      <c r="S327" s="1"/>
      <c r="T327" s="1"/>
      <c r="U327" s="1"/>
      <c r="V327" s="1"/>
      <c r="W327" s="1"/>
    </row>
    <row r="328" spans="1:23" ht="60" customHeight="1">
      <c r="A328" s="1" t="s">
        <v>4925</v>
      </c>
      <c r="B328" s="1" t="s">
        <v>6209</v>
      </c>
      <c r="C328" s="1" t="s">
        <v>7714</v>
      </c>
      <c r="D328" s="1" t="s">
        <v>4747</v>
      </c>
      <c r="E328" s="1" t="s">
        <v>7715</v>
      </c>
      <c r="F328" s="1" t="s">
        <v>6349</v>
      </c>
      <c r="G328" s="1" t="s">
        <v>7623</v>
      </c>
      <c r="H328" s="1" t="s">
        <v>6089</v>
      </c>
      <c r="I328" s="1"/>
      <c r="J328" s="1"/>
      <c r="K328" s="1" t="s">
        <v>6090</v>
      </c>
      <c r="L328" s="1" t="s">
        <v>7716</v>
      </c>
      <c r="M328" s="1" t="s">
        <v>7717</v>
      </c>
      <c r="N328" s="1"/>
      <c r="O328" s="1"/>
      <c r="P328" s="1"/>
      <c r="Q328" s="1"/>
      <c r="R328" s="1" t="s">
        <v>7718</v>
      </c>
      <c r="S328" s="1" t="s">
        <v>6738</v>
      </c>
      <c r="T328" s="1" t="s">
        <v>7628</v>
      </c>
      <c r="U328" s="1" t="s">
        <v>6096</v>
      </c>
      <c r="V328" s="1" t="s">
        <v>7719</v>
      </c>
      <c r="W328" s="1" t="s">
        <v>7629</v>
      </c>
    </row>
    <row r="329" spans="1:23" ht="48" customHeight="1">
      <c r="A329" s="1" t="s">
        <v>4925</v>
      </c>
      <c r="B329" s="1" t="s">
        <v>6212</v>
      </c>
      <c r="C329" s="1" t="s">
        <v>7720</v>
      </c>
      <c r="D329" s="1" t="s">
        <v>7721</v>
      </c>
      <c r="E329" s="1" t="s">
        <v>7722</v>
      </c>
      <c r="F329" s="1" t="s">
        <v>6163</v>
      </c>
      <c r="G329" s="1" t="s">
        <v>7623</v>
      </c>
      <c r="H329" s="1" t="s">
        <v>6089</v>
      </c>
      <c r="I329" s="1"/>
      <c r="J329" s="1"/>
      <c r="K329" s="1" t="s">
        <v>6090</v>
      </c>
      <c r="L329" s="1" t="s">
        <v>7723</v>
      </c>
      <c r="M329" s="1" t="s">
        <v>7724</v>
      </c>
      <c r="N329" s="1"/>
      <c r="O329" s="1"/>
      <c r="P329" s="1"/>
      <c r="Q329" s="1"/>
      <c r="R329" s="1" t="s">
        <v>7725</v>
      </c>
      <c r="S329" s="1" t="s">
        <v>7292</v>
      </c>
      <c r="T329" s="1" t="s">
        <v>7628</v>
      </c>
      <c r="U329" s="1" t="s">
        <v>6096</v>
      </c>
      <c r="V329" s="1" t="s">
        <v>6168</v>
      </c>
      <c r="W329" s="1" t="s">
        <v>7629</v>
      </c>
    </row>
    <row r="330" spans="1:23" ht="48" customHeight="1">
      <c r="A330" s="1" t="s">
        <v>4925</v>
      </c>
      <c r="B330" s="1" t="s">
        <v>6215</v>
      </c>
      <c r="C330" s="1"/>
      <c r="D330" s="1" t="s">
        <v>4747</v>
      </c>
      <c r="E330" s="1"/>
      <c r="F330" s="1" t="s">
        <v>6216</v>
      </c>
      <c r="G330" s="1"/>
      <c r="H330" s="1" t="s">
        <v>6089</v>
      </c>
      <c r="I330" s="1"/>
      <c r="J330" s="1"/>
      <c r="K330" s="1" t="s">
        <v>6090</v>
      </c>
      <c r="L330" s="1"/>
      <c r="M330" s="1" t="s">
        <v>7726</v>
      </c>
      <c r="N330" s="1"/>
      <c r="O330" s="1"/>
      <c r="P330" s="1"/>
      <c r="Q330" s="1"/>
      <c r="R330" s="1"/>
      <c r="S330" s="1"/>
      <c r="T330" s="1"/>
      <c r="U330" s="1"/>
      <c r="V330" s="1"/>
      <c r="W330" s="1"/>
    </row>
    <row r="331" spans="1:23" ht="48" customHeight="1">
      <c r="A331" s="1" t="s">
        <v>4925</v>
      </c>
      <c r="B331" s="1" t="s">
        <v>6218</v>
      </c>
      <c r="C331" s="1" t="s">
        <v>7727</v>
      </c>
      <c r="D331" s="1" t="s">
        <v>7728</v>
      </c>
      <c r="E331" s="1"/>
      <c r="F331" s="1" t="s">
        <v>6110</v>
      </c>
      <c r="G331" s="1" t="s">
        <v>7623</v>
      </c>
      <c r="H331" s="1" t="s">
        <v>6089</v>
      </c>
      <c r="I331" s="1"/>
      <c r="J331" s="1"/>
      <c r="K331" s="1" t="s">
        <v>6090</v>
      </c>
      <c r="L331" s="1" t="s">
        <v>7729</v>
      </c>
      <c r="M331" s="1" t="s">
        <v>7730</v>
      </c>
      <c r="N331" s="1"/>
      <c r="O331" s="1"/>
      <c r="P331" s="1"/>
      <c r="Q331" s="1"/>
      <c r="R331" s="1"/>
      <c r="S331" s="1"/>
      <c r="T331" s="1"/>
      <c r="U331" s="1"/>
      <c r="V331" s="1"/>
      <c r="W331" s="1"/>
    </row>
    <row r="332" spans="1:23" ht="48" customHeight="1">
      <c r="A332" s="1" t="s">
        <v>4925</v>
      </c>
      <c r="B332" s="1" t="s">
        <v>6222</v>
      </c>
      <c r="C332" s="1" t="s">
        <v>7731</v>
      </c>
      <c r="D332" s="1" t="s">
        <v>4747</v>
      </c>
      <c r="E332" s="1"/>
      <c r="F332" s="1" t="s">
        <v>6110</v>
      </c>
      <c r="G332" s="1" t="s">
        <v>7623</v>
      </c>
      <c r="H332" s="1" t="s">
        <v>6089</v>
      </c>
      <c r="I332" s="1"/>
      <c r="J332" s="1"/>
      <c r="K332" s="1" t="s">
        <v>6090</v>
      </c>
      <c r="L332" s="1" t="s">
        <v>7732</v>
      </c>
      <c r="M332" s="1" t="s">
        <v>7733</v>
      </c>
      <c r="N332" s="1"/>
      <c r="O332" s="1"/>
      <c r="P332" s="1"/>
      <c r="Q332" s="1"/>
      <c r="R332" s="1"/>
      <c r="S332" s="1"/>
      <c r="T332" s="1"/>
      <c r="U332" s="1"/>
      <c r="V332" s="1"/>
      <c r="W332" s="1"/>
    </row>
    <row r="333" spans="1:23" ht="48" customHeight="1">
      <c r="A333" s="1" t="s">
        <v>4925</v>
      </c>
      <c r="B333" s="1" t="s">
        <v>6227</v>
      </c>
      <c r="C333" s="1" t="s">
        <v>4747</v>
      </c>
      <c r="D333" s="1" t="s">
        <v>7734</v>
      </c>
      <c r="E333" s="1"/>
      <c r="F333" s="1" t="s">
        <v>6110</v>
      </c>
      <c r="G333" s="1" t="s">
        <v>7623</v>
      </c>
      <c r="H333" s="1" t="s">
        <v>6089</v>
      </c>
      <c r="I333" s="1"/>
      <c r="J333" s="1"/>
      <c r="K333" s="1" t="s">
        <v>6090</v>
      </c>
      <c r="L333" s="1" t="s">
        <v>7735</v>
      </c>
      <c r="M333" s="1" t="s">
        <v>7736</v>
      </c>
      <c r="N333" s="1"/>
      <c r="O333" s="1"/>
      <c r="P333" s="1"/>
      <c r="Q333" s="1"/>
      <c r="R333" s="1"/>
      <c r="S333" s="1"/>
      <c r="T333" s="1"/>
      <c r="U333" s="1"/>
      <c r="V333" s="1"/>
      <c r="W333" s="1"/>
    </row>
    <row r="334" spans="1:23" ht="48" customHeight="1">
      <c r="A334" s="1" t="s">
        <v>4925</v>
      </c>
      <c r="B334" s="1" t="s">
        <v>6232</v>
      </c>
      <c r="C334" s="1" t="s">
        <v>4747</v>
      </c>
      <c r="D334" s="1" t="s">
        <v>7737</v>
      </c>
      <c r="E334" s="1"/>
      <c r="F334" s="1" t="s">
        <v>6110</v>
      </c>
      <c r="G334" s="1" t="s">
        <v>7623</v>
      </c>
      <c r="H334" s="1" t="s">
        <v>6089</v>
      </c>
      <c r="I334" s="1"/>
      <c r="J334" s="1"/>
      <c r="K334" s="1" t="s">
        <v>6090</v>
      </c>
      <c r="L334" s="1" t="s">
        <v>7738</v>
      </c>
      <c r="M334" s="1" t="s">
        <v>7739</v>
      </c>
      <c r="N334" s="1"/>
      <c r="O334" s="1"/>
      <c r="P334" s="1"/>
      <c r="Q334" s="1"/>
      <c r="R334" s="1"/>
      <c r="S334" s="1"/>
      <c r="T334" s="1"/>
      <c r="U334" s="1"/>
      <c r="V334" s="1"/>
      <c r="W334" s="1"/>
    </row>
    <row r="335" spans="1:23" ht="72" customHeight="1">
      <c r="A335" s="1" t="s">
        <v>4925</v>
      </c>
      <c r="B335" s="1" t="s">
        <v>6236</v>
      </c>
      <c r="C335" s="1" t="s">
        <v>7740</v>
      </c>
      <c r="D335" s="1" t="s">
        <v>7741</v>
      </c>
      <c r="E335" s="1" t="s">
        <v>7742</v>
      </c>
      <c r="F335" s="1" t="s">
        <v>6163</v>
      </c>
      <c r="G335" s="1" t="s">
        <v>7623</v>
      </c>
      <c r="H335" s="1" t="s">
        <v>6089</v>
      </c>
      <c r="I335" s="1"/>
      <c r="J335" s="1"/>
      <c r="K335" s="1" t="s">
        <v>6090</v>
      </c>
      <c r="L335" s="1" t="s">
        <v>7743</v>
      </c>
      <c r="M335" s="1" t="s">
        <v>7744</v>
      </c>
      <c r="N335" s="1"/>
      <c r="O335" s="1"/>
      <c r="P335" s="1"/>
      <c r="Q335" s="1"/>
      <c r="R335" s="1" t="s">
        <v>7745</v>
      </c>
      <c r="S335" s="1" t="s">
        <v>7746</v>
      </c>
      <c r="T335" s="1" t="s">
        <v>7628</v>
      </c>
      <c r="U335" s="1" t="s">
        <v>6096</v>
      </c>
      <c r="V335" s="1" t="s">
        <v>6244</v>
      </c>
      <c r="W335" s="1" t="s">
        <v>7629</v>
      </c>
    </row>
    <row r="336" spans="1:23" ht="48" customHeight="1">
      <c r="A336" s="1" t="s">
        <v>4925</v>
      </c>
      <c r="B336" s="1" t="s">
        <v>6245</v>
      </c>
      <c r="C336" s="1" t="s">
        <v>7747</v>
      </c>
      <c r="D336" s="1"/>
      <c r="E336" s="1"/>
      <c r="F336" s="1" t="s">
        <v>6216</v>
      </c>
      <c r="G336" s="1" t="s">
        <v>7623</v>
      </c>
      <c r="H336" s="1"/>
      <c r="I336" s="1"/>
      <c r="J336" s="1"/>
      <c r="K336" s="1" t="s">
        <v>6090</v>
      </c>
      <c r="L336" s="1" t="s">
        <v>7748</v>
      </c>
      <c r="M336" s="1"/>
      <c r="N336" s="1"/>
      <c r="O336" s="1"/>
      <c r="P336" s="1"/>
      <c r="Q336" s="1"/>
      <c r="R336" s="1"/>
      <c r="S336" s="1"/>
      <c r="T336" s="1"/>
      <c r="U336" s="1"/>
      <c r="V336" s="1"/>
      <c r="W336" s="1"/>
    </row>
    <row r="337" spans="1:23" ht="48" customHeight="1">
      <c r="A337" s="1" t="s">
        <v>4925</v>
      </c>
      <c r="B337" s="1" t="s">
        <v>6248</v>
      </c>
      <c r="C337" s="1" t="s">
        <v>7749</v>
      </c>
      <c r="D337" s="1"/>
      <c r="E337" s="1"/>
      <c r="F337" s="1" t="s">
        <v>6216</v>
      </c>
      <c r="G337" s="1" t="s">
        <v>7623</v>
      </c>
      <c r="H337" s="1"/>
      <c r="I337" s="1"/>
      <c r="J337" s="1"/>
      <c r="K337" s="1" t="s">
        <v>6090</v>
      </c>
      <c r="L337" s="1" t="s">
        <v>7750</v>
      </c>
      <c r="M337" s="1"/>
      <c r="N337" s="1"/>
      <c r="O337" s="1"/>
      <c r="P337" s="1"/>
      <c r="Q337" s="1"/>
      <c r="R337" s="1"/>
      <c r="S337" s="1"/>
      <c r="T337" s="1"/>
      <c r="U337" s="1"/>
      <c r="V337" s="1"/>
      <c r="W337" s="1"/>
    </row>
    <row r="338" spans="1:23" ht="48" customHeight="1">
      <c r="A338" s="1" t="s">
        <v>4941</v>
      </c>
      <c r="B338" s="1" t="s">
        <v>6083</v>
      </c>
      <c r="C338" s="1" t="s">
        <v>7751</v>
      </c>
      <c r="D338" s="1" t="s">
        <v>7752</v>
      </c>
      <c r="E338" s="1" t="s">
        <v>6086</v>
      </c>
      <c r="F338" s="1" t="s">
        <v>6087</v>
      </c>
      <c r="G338" s="1" t="s">
        <v>422</v>
      </c>
      <c r="H338" s="1" t="s">
        <v>6089</v>
      </c>
      <c r="I338" s="1"/>
      <c r="J338" s="1"/>
      <c r="K338" s="1" t="s">
        <v>6090</v>
      </c>
      <c r="L338" s="1" t="s">
        <v>7753</v>
      </c>
      <c r="M338" s="1" t="s">
        <v>7754</v>
      </c>
      <c r="N338" s="1"/>
      <c r="O338" s="1"/>
      <c r="P338" s="1"/>
      <c r="Q338" s="1"/>
      <c r="R338" s="1" t="s">
        <v>7755</v>
      </c>
      <c r="S338" s="1" t="s">
        <v>7756</v>
      </c>
      <c r="T338" s="1" t="s">
        <v>7757</v>
      </c>
      <c r="U338" s="1" t="s">
        <v>6096</v>
      </c>
      <c r="V338" s="1" t="s">
        <v>6097</v>
      </c>
      <c r="W338" s="1" t="s">
        <v>7758</v>
      </c>
    </row>
    <row r="339" spans="1:23" ht="48" customHeight="1">
      <c r="A339" s="1" t="s">
        <v>4941</v>
      </c>
      <c r="B339" s="1" t="s">
        <v>6099</v>
      </c>
      <c r="C339" s="1" t="s">
        <v>7759</v>
      </c>
      <c r="D339" s="1" t="s">
        <v>6102</v>
      </c>
      <c r="E339" s="1" t="s">
        <v>6102</v>
      </c>
      <c r="F339" s="1" t="s">
        <v>6087</v>
      </c>
      <c r="G339" s="1" t="s">
        <v>422</v>
      </c>
      <c r="H339" s="1" t="s">
        <v>6089</v>
      </c>
      <c r="I339" s="1"/>
      <c r="J339" s="1"/>
      <c r="K339" s="1" t="s">
        <v>6090</v>
      </c>
      <c r="L339" s="1" t="s">
        <v>7760</v>
      </c>
      <c r="M339" s="1" t="s">
        <v>7761</v>
      </c>
      <c r="N339" s="1"/>
      <c r="O339" s="1"/>
      <c r="P339" s="1"/>
      <c r="Q339" s="1"/>
      <c r="R339" s="1" t="s">
        <v>7762</v>
      </c>
      <c r="S339" s="1" t="s">
        <v>7763</v>
      </c>
      <c r="T339" s="1" t="s">
        <v>7757</v>
      </c>
      <c r="U339" s="1" t="s">
        <v>6096</v>
      </c>
      <c r="V339" s="1" t="s">
        <v>6097</v>
      </c>
      <c r="W339" s="1" t="s">
        <v>7758</v>
      </c>
    </row>
    <row r="340" spans="1:23" ht="48" customHeight="1">
      <c r="A340" s="1" t="s">
        <v>4941</v>
      </c>
      <c r="B340" s="1" t="s">
        <v>6107</v>
      </c>
      <c r="C340" s="1" t="s">
        <v>7764</v>
      </c>
      <c r="D340" s="1" t="s">
        <v>7765</v>
      </c>
      <c r="E340" s="1"/>
      <c r="F340" s="1" t="s">
        <v>6110</v>
      </c>
      <c r="G340" s="1" t="s">
        <v>422</v>
      </c>
      <c r="H340" s="1" t="s">
        <v>6089</v>
      </c>
      <c r="I340" s="1"/>
      <c r="J340" s="1"/>
      <c r="K340" s="1" t="s">
        <v>6090</v>
      </c>
      <c r="L340" s="1" t="s">
        <v>7766</v>
      </c>
      <c r="M340" s="1" t="s">
        <v>7767</v>
      </c>
      <c r="N340" s="1"/>
      <c r="O340" s="1"/>
      <c r="P340" s="1"/>
      <c r="Q340" s="1"/>
      <c r="R340" s="1"/>
      <c r="S340" s="1"/>
      <c r="T340" s="1"/>
      <c r="U340" s="1"/>
      <c r="V340" s="1"/>
      <c r="W340" s="1"/>
    </row>
    <row r="341" spans="1:23" ht="48" customHeight="1">
      <c r="A341" s="1" t="s">
        <v>4941</v>
      </c>
      <c r="B341" s="1" t="s">
        <v>6113</v>
      </c>
      <c r="C341" s="1" t="s">
        <v>7768</v>
      </c>
      <c r="D341" s="1" t="s">
        <v>7769</v>
      </c>
      <c r="E341" s="1"/>
      <c r="F341" s="1" t="s">
        <v>6110</v>
      </c>
      <c r="G341" s="1" t="s">
        <v>422</v>
      </c>
      <c r="H341" s="1" t="s">
        <v>6089</v>
      </c>
      <c r="I341" s="1"/>
      <c r="J341" s="1"/>
      <c r="K341" s="1" t="s">
        <v>6090</v>
      </c>
      <c r="L341" s="1" t="s">
        <v>7770</v>
      </c>
      <c r="M341" s="1" t="s">
        <v>7771</v>
      </c>
      <c r="N341" s="1"/>
      <c r="O341" s="1"/>
      <c r="P341" s="1"/>
      <c r="Q341" s="1"/>
      <c r="R341" s="1"/>
      <c r="S341" s="1"/>
      <c r="T341" s="1"/>
      <c r="U341" s="1"/>
      <c r="V341" s="1"/>
      <c r="W341" s="1"/>
    </row>
    <row r="342" spans="1:23" ht="48" customHeight="1">
      <c r="A342" s="1" t="s">
        <v>4941</v>
      </c>
      <c r="B342" s="1" t="s">
        <v>6118</v>
      </c>
      <c r="C342" s="1" t="s">
        <v>7772</v>
      </c>
      <c r="D342" s="1" t="s">
        <v>7773</v>
      </c>
      <c r="E342" s="1" t="s">
        <v>7774</v>
      </c>
      <c r="F342" s="1" t="s">
        <v>6087</v>
      </c>
      <c r="G342" s="1" t="s">
        <v>422</v>
      </c>
      <c r="H342" s="1" t="s">
        <v>6089</v>
      </c>
      <c r="I342" s="1"/>
      <c r="J342" s="1"/>
      <c r="K342" s="1" t="s">
        <v>6090</v>
      </c>
      <c r="L342" s="1" t="s">
        <v>7775</v>
      </c>
      <c r="M342" s="1" t="s">
        <v>7776</v>
      </c>
      <c r="N342" s="1"/>
      <c r="O342" s="1"/>
      <c r="P342" s="1"/>
      <c r="Q342" s="1"/>
      <c r="R342" s="1" t="s">
        <v>7777</v>
      </c>
      <c r="S342" s="1" t="s">
        <v>7778</v>
      </c>
      <c r="T342" s="1" t="s">
        <v>7757</v>
      </c>
      <c r="U342" s="1" t="s">
        <v>6096</v>
      </c>
      <c r="V342" s="1" t="s">
        <v>6097</v>
      </c>
      <c r="W342" s="1" t="s">
        <v>7758</v>
      </c>
    </row>
    <row r="343" spans="1:23" ht="48" customHeight="1">
      <c r="A343" s="1" t="s">
        <v>4941</v>
      </c>
      <c r="B343" s="1" t="s">
        <v>6126</v>
      </c>
      <c r="C343" s="1" t="s">
        <v>7779</v>
      </c>
      <c r="D343" s="1" t="s">
        <v>7780</v>
      </c>
      <c r="E343" s="1" t="s">
        <v>6129</v>
      </c>
      <c r="F343" s="1" t="s">
        <v>6087</v>
      </c>
      <c r="G343" s="1" t="s">
        <v>422</v>
      </c>
      <c r="H343" s="1" t="s">
        <v>6089</v>
      </c>
      <c r="I343" s="1"/>
      <c r="J343" s="1"/>
      <c r="K343" s="1" t="s">
        <v>6090</v>
      </c>
      <c r="L343" s="1" t="s">
        <v>7781</v>
      </c>
      <c r="M343" s="1" t="s">
        <v>7782</v>
      </c>
      <c r="N343" s="1"/>
      <c r="O343" s="1"/>
      <c r="P343" s="1"/>
      <c r="Q343" s="1"/>
      <c r="R343" s="1" t="s">
        <v>7783</v>
      </c>
      <c r="S343" s="1" t="s">
        <v>7784</v>
      </c>
      <c r="T343" s="1" t="s">
        <v>7757</v>
      </c>
      <c r="U343" s="1" t="s">
        <v>6096</v>
      </c>
      <c r="V343" s="1" t="s">
        <v>6097</v>
      </c>
      <c r="W343" s="1" t="s">
        <v>7758</v>
      </c>
    </row>
    <row r="344" spans="1:23" ht="60" customHeight="1">
      <c r="A344" s="1" t="s">
        <v>4941</v>
      </c>
      <c r="B344" s="1" t="s">
        <v>6134</v>
      </c>
      <c r="C344" s="1" t="s">
        <v>7785</v>
      </c>
      <c r="D344" s="1" t="s">
        <v>7786</v>
      </c>
      <c r="E344" s="1" t="s">
        <v>7787</v>
      </c>
      <c r="F344" s="1" t="s">
        <v>6138</v>
      </c>
      <c r="G344" s="1" t="s">
        <v>422</v>
      </c>
      <c r="H344" s="1" t="s">
        <v>6089</v>
      </c>
      <c r="I344" s="1"/>
      <c r="J344" s="1"/>
      <c r="K344" s="1" t="s">
        <v>6090</v>
      </c>
      <c r="L344" s="1" t="s">
        <v>7788</v>
      </c>
      <c r="M344" s="1" t="s">
        <v>7789</v>
      </c>
      <c r="N344" s="1"/>
      <c r="O344" s="1"/>
      <c r="P344" s="1"/>
      <c r="Q344" s="1"/>
      <c r="R344" s="1" t="s">
        <v>7790</v>
      </c>
      <c r="S344" s="1" t="s">
        <v>7791</v>
      </c>
      <c r="T344" s="1" t="s">
        <v>7757</v>
      </c>
      <c r="U344" s="1" t="s">
        <v>6096</v>
      </c>
      <c r="V344" s="1" t="s">
        <v>6143</v>
      </c>
      <c r="W344" s="1" t="s">
        <v>7758</v>
      </c>
    </row>
    <row r="345" spans="1:23" ht="48" customHeight="1">
      <c r="A345" s="1" t="s">
        <v>4941</v>
      </c>
      <c r="B345" s="1" t="s">
        <v>6144</v>
      </c>
      <c r="C345" s="1" t="s">
        <v>7792</v>
      </c>
      <c r="D345" s="1" t="s">
        <v>4747</v>
      </c>
      <c r="E345" s="1" t="s">
        <v>7793</v>
      </c>
      <c r="F345" s="1" t="s">
        <v>6138</v>
      </c>
      <c r="G345" s="1" t="s">
        <v>422</v>
      </c>
      <c r="H345" s="1" t="s">
        <v>6089</v>
      </c>
      <c r="I345" s="1"/>
      <c r="J345" s="1"/>
      <c r="K345" s="1" t="s">
        <v>6090</v>
      </c>
      <c r="L345" s="1" t="s">
        <v>7794</v>
      </c>
      <c r="M345" s="1" t="s">
        <v>7795</v>
      </c>
      <c r="N345" s="1"/>
      <c r="O345" s="1"/>
      <c r="P345" s="1"/>
      <c r="Q345" s="1"/>
      <c r="R345" s="1" t="s">
        <v>7790</v>
      </c>
      <c r="S345" s="1" t="s">
        <v>7791</v>
      </c>
      <c r="T345" s="1" t="s">
        <v>7757</v>
      </c>
      <c r="U345" s="1" t="s">
        <v>6096</v>
      </c>
      <c r="V345" s="1" t="s">
        <v>6143</v>
      </c>
      <c r="W345" s="1" t="s">
        <v>7758</v>
      </c>
    </row>
    <row r="346" spans="1:23" ht="48" customHeight="1">
      <c r="A346" s="1" t="s">
        <v>4941</v>
      </c>
      <c r="B346" s="1" t="s">
        <v>6149</v>
      </c>
      <c r="C346" s="1" t="s">
        <v>7796</v>
      </c>
      <c r="D346" s="1" t="s">
        <v>7797</v>
      </c>
      <c r="E346" s="1" t="s">
        <v>7798</v>
      </c>
      <c r="F346" s="1" t="s">
        <v>6138</v>
      </c>
      <c r="G346" s="1" t="s">
        <v>422</v>
      </c>
      <c r="H346" s="1" t="s">
        <v>6089</v>
      </c>
      <c r="I346" s="1"/>
      <c r="J346" s="1"/>
      <c r="K346" s="1" t="s">
        <v>6090</v>
      </c>
      <c r="L346" s="1" t="s">
        <v>7799</v>
      </c>
      <c r="M346" s="1" t="s">
        <v>7800</v>
      </c>
      <c r="N346" s="1"/>
      <c r="O346" s="1"/>
      <c r="P346" s="1"/>
      <c r="Q346" s="1"/>
      <c r="R346" s="1" t="s">
        <v>7790</v>
      </c>
      <c r="S346" s="1" t="s">
        <v>7791</v>
      </c>
      <c r="T346" s="1" t="s">
        <v>7757</v>
      </c>
      <c r="U346" s="1" t="s">
        <v>6096</v>
      </c>
      <c r="V346" s="1" t="s">
        <v>6143</v>
      </c>
      <c r="W346" s="1" t="s">
        <v>7758</v>
      </c>
    </row>
    <row r="347" spans="1:23" ht="48" customHeight="1">
      <c r="A347" s="1" t="s">
        <v>4941</v>
      </c>
      <c r="B347" s="1" t="s">
        <v>6154</v>
      </c>
      <c r="C347" s="1" t="s">
        <v>7801</v>
      </c>
      <c r="D347" s="1" t="s">
        <v>7802</v>
      </c>
      <c r="E347" s="1" t="s">
        <v>7803</v>
      </c>
      <c r="F347" s="1" t="s">
        <v>6138</v>
      </c>
      <c r="G347" s="1" t="s">
        <v>422</v>
      </c>
      <c r="H347" s="1" t="s">
        <v>6089</v>
      </c>
      <c r="I347" s="1"/>
      <c r="J347" s="1"/>
      <c r="K347" s="1" t="s">
        <v>6090</v>
      </c>
      <c r="L347" s="1" t="s">
        <v>7804</v>
      </c>
      <c r="M347" s="1" t="s">
        <v>7805</v>
      </c>
      <c r="N347" s="1"/>
      <c r="O347" s="1"/>
      <c r="P347" s="1"/>
      <c r="Q347" s="1"/>
      <c r="R347" s="1" t="s">
        <v>7790</v>
      </c>
      <c r="S347" s="1" t="s">
        <v>7791</v>
      </c>
      <c r="T347" s="1" t="s">
        <v>7757</v>
      </c>
      <c r="U347" s="1" t="s">
        <v>6096</v>
      </c>
      <c r="V347" s="1" t="s">
        <v>6143</v>
      </c>
      <c r="W347" s="1" t="s">
        <v>7758</v>
      </c>
    </row>
    <row r="348" spans="1:23" ht="48" customHeight="1">
      <c r="A348" s="1" t="s">
        <v>4941</v>
      </c>
      <c r="B348" s="1" t="s">
        <v>6159</v>
      </c>
      <c r="C348" s="1" t="s">
        <v>7806</v>
      </c>
      <c r="D348" s="1" t="s">
        <v>7807</v>
      </c>
      <c r="E348" s="1" t="s">
        <v>7808</v>
      </c>
      <c r="F348" s="1" t="s">
        <v>6163</v>
      </c>
      <c r="G348" s="1" t="s">
        <v>422</v>
      </c>
      <c r="H348" s="1" t="s">
        <v>6089</v>
      </c>
      <c r="I348" s="1"/>
      <c r="J348" s="1"/>
      <c r="K348" s="1" t="s">
        <v>6090</v>
      </c>
      <c r="L348" s="1" t="s">
        <v>7809</v>
      </c>
      <c r="M348" s="1" t="s">
        <v>7810</v>
      </c>
      <c r="N348" s="1"/>
      <c r="O348" s="1"/>
      <c r="P348" s="1"/>
      <c r="Q348" s="1"/>
      <c r="R348" s="1" t="s">
        <v>7811</v>
      </c>
      <c r="S348" s="1" t="s">
        <v>7812</v>
      </c>
      <c r="T348" s="1" t="s">
        <v>7757</v>
      </c>
      <c r="U348" s="1" t="s">
        <v>6096</v>
      </c>
      <c r="V348" s="1" t="s">
        <v>6168</v>
      </c>
      <c r="W348" s="1" t="s">
        <v>7758</v>
      </c>
    </row>
    <row r="349" spans="1:23" ht="48" customHeight="1">
      <c r="A349" s="1" t="s">
        <v>4941</v>
      </c>
      <c r="B349" s="1" t="s">
        <v>6169</v>
      </c>
      <c r="C349" s="1" t="s">
        <v>7813</v>
      </c>
      <c r="D349" s="1" t="s">
        <v>7814</v>
      </c>
      <c r="E349" s="1" t="s">
        <v>7815</v>
      </c>
      <c r="F349" s="1" t="s">
        <v>6163</v>
      </c>
      <c r="G349" s="1" t="s">
        <v>422</v>
      </c>
      <c r="H349" s="1" t="s">
        <v>6089</v>
      </c>
      <c r="I349" s="1"/>
      <c r="J349" s="1"/>
      <c r="K349" s="1" t="s">
        <v>6090</v>
      </c>
      <c r="L349" s="1" t="s">
        <v>7816</v>
      </c>
      <c r="M349" s="1" t="s">
        <v>7817</v>
      </c>
      <c r="N349" s="1"/>
      <c r="O349" s="1"/>
      <c r="P349" s="1"/>
      <c r="Q349" s="1"/>
      <c r="R349" s="1" t="s">
        <v>7818</v>
      </c>
      <c r="S349" s="1" t="s">
        <v>7812</v>
      </c>
      <c r="T349" s="1" t="s">
        <v>7757</v>
      </c>
      <c r="U349" s="1" t="s">
        <v>6096</v>
      </c>
      <c r="V349" s="1" t="s">
        <v>6168</v>
      </c>
      <c r="W349" s="1" t="s">
        <v>7758</v>
      </c>
    </row>
    <row r="350" spans="1:23" ht="96" customHeight="1">
      <c r="A350" s="1" t="s">
        <v>4941</v>
      </c>
      <c r="B350" s="1" t="s">
        <v>6176</v>
      </c>
      <c r="C350" s="1" t="s">
        <v>7819</v>
      </c>
      <c r="D350" s="1" t="s">
        <v>4747</v>
      </c>
      <c r="E350" s="1" t="s">
        <v>7820</v>
      </c>
      <c r="F350" s="1" t="s">
        <v>6138</v>
      </c>
      <c r="G350" s="1" t="s">
        <v>422</v>
      </c>
      <c r="H350" s="1" t="s">
        <v>6089</v>
      </c>
      <c r="I350" s="1"/>
      <c r="J350" s="1"/>
      <c r="K350" s="1" t="s">
        <v>6090</v>
      </c>
      <c r="L350" s="1" t="s">
        <v>7821</v>
      </c>
      <c r="M350" s="1" t="s">
        <v>7822</v>
      </c>
      <c r="N350" s="1"/>
      <c r="O350" s="1"/>
      <c r="P350" s="1"/>
      <c r="Q350" s="1"/>
      <c r="R350" s="1" t="s">
        <v>7823</v>
      </c>
      <c r="S350" s="1" t="s">
        <v>7824</v>
      </c>
      <c r="T350" s="1" t="s">
        <v>7757</v>
      </c>
      <c r="U350" s="1" t="s">
        <v>6096</v>
      </c>
      <c r="V350" s="1" t="s">
        <v>6184</v>
      </c>
      <c r="W350" s="1" t="s">
        <v>7758</v>
      </c>
    </row>
    <row r="351" spans="1:23" ht="48" customHeight="1">
      <c r="A351" s="1" t="s">
        <v>4941</v>
      </c>
      <c r="B351" s="1" t="s">
        <v>6185</v>
      </c>
      <c r="C351" s="1" t="s">
        <v>4747</v>
      </c>
      <c r="D351" s="1" t="s">
        <v>4747</v>
      </c>
      <c r="E351" s="1" t="s">
        <v>4747</v>
      </c>
      <c r="F351" s="1" t="s">
        <v>6186</v>
      </c>
      <c r="G351" s="1" t="s">
        <v>422</v>
      </c>
      <c r="H351" s="1" t="s">
        <v>6089</v>
      </c>
      <c r="I351" s="1"/>
      <c r="J351" s="1"/>
      <c r="K351" s="1" t="s">
        <v>6090</v>
      </c>
      <c r="L351" s="1" t="s">
        <v>7825</v>
      </c>
      <c r="M351" s="1" t="s">
        <v>7826</v>
      </c>
      <c r="N351" s="1"/>
      <c r="O351" s="1"/>
      <c r="P351" s="1"/>
      <c r="Q351" s="1"/>
      <c r="R351" s="1"/>
      <c r="S351" s="1"/>
      <c r="T351" s="1"/>
      <c r="U351" s="1"/>
      <c r="V351" s="1"/>
      <c r="W351" s="1"/>
    </row>
    <row r="352" spans="1:23" ht="96" customHeight="1">
      <c r="A352" s="1" t="s">
        <v>4941</v>
      </c>
      <c r="B352" s="1" t="s">
        <v>6189</v>
      </c>
      <c r="C352" s="1" t="s">
        <v>7827</v>
      </c>
      <c r="D352" s="1" t="s">
        <v>4747</v>
      </c>
      <c r="E352" s="1" t="s">
        <v>7828</v>
      </c>
      <c r="F352" s="1" t="s">
        <v>6138</v>
      </c>
      <c r="G352" s="1" t="s">
        <v>422</v>
      </c>
      <c r="H352" s="1" t="s">
        <v>6089</v>
      </c>
      <c r="I352" s="1"/>
      <c r="J352" s="1"/>
      <c r="K352" s="1" t="s">
        <v>6090</v>
      </c>
      <c r="L352" s="1" t="s">
        <v>7829</v>
      </c>
      <c r="M352" s="1" t="s">
        <v>7830</v>
      </c>
      <c r="N352" s="1"/>
      <c r="O352" s="1"/>
      <c r="P352" s="1"/>
      <c r="Q352" s="1"/>
      <c r="R352" s="1" t="s">
        <v>7831</v>
      </c>
      <c r="S352" s="1" t="s">
        <v>7832</v>
      </c>
      <c r="T352" s="1" t="s">
        <v>7757</v>
      </c>
      <c r="U352" s="1" t="s">
        <v>6096</v>
      </c>
      <c r="V352" s="1" t="s">
        <v>6184</v>
      </c>
      <c r="W352" s="1" t="s">
        <v>7758</v>
      </c>
    </row>
    <row r="353" spans="1:23" ht="48" customHeight="1">
      <c r="A353" s="1" t="s">
        <v>4941</v>
      </c>
      <c r="B353" s="1" t="s">
        <v>6196</v>
      </c>
      <c r="C353" s="1" t="s">
        <v>6197</v>
      </c>
      <c r="D353" s="1" t="s">
        <v>4747</v>
      </c>
      <c r="E353" s="1"/>
      <c r="F353" s="1" t="s">
        <v>6110</v>
      </c>
      <c r="G353" s="1" t="s">
        <v>422</v>
      </c>
      <c r="H353" s="1" t="s">
        <v>6089</v>
      </c>
      <c r="I353" s="1"/>
      <c r="J353" s="1"/>
      <c r="K353" s="1" t="s">
        <v>6090</v>
      </c>
      <c r="L353" s="1" t="s">
        <v>7833</v>
      </c>
      <c r="M353" s="1" t="s">
        <v>7834</v>
      </c>
      <c r="N353" s="1"/>
      <c r="O353" s="1"/>
      <c r="P353" s="1"/>
      <c r="Q353" s="1"/>
      <c r="R353" s="1"/>
      <c r="S353" s="1"/>
      <c r="T353" s="1"/>
      <c r="U353" s="1"/>
      <c r="V353" s="1"/>
      <c r="W353" s="1"/>
    </row>
    <row r="354" spans="1:23" ht="48" customHeight="1">
      <c r="A354" s="1" t="s">
        <v>4941</v>
      </c>
      <c r="B354" s="1" t="s">
        <v>6200</v>
      </c>
      <c r="C354" s="1" t="s">
        <v>7835</v>
      </c>
      <c r="D354" s="1" t="s">
        <v>7836</v>
      </c>
      <c r="E354" s="1" t="s">
        <v>7837</v>
      </c>
      <c r="F354" s="1" t="s">
        <v>6163</v>
      </c>
      <c r="G354" s="1" t="s">
        <v>422</v>
      </c>
      <c r="H354" s="1" t="s">
        <v>6089</v>
      </c>
      <c r="I354" s="1"/>
      <c r="J354" s="1"/>
      <c r="K354" s="1" t="s">
        <v>6090</v>
      </c>
      <c r="L354" s="1" t="s">
        <v>7838</v>
      </c>
      <c r="M354" s="1" t="s">
        <v>7839</v>
      </c>
      <c r="N354" s="1"/>
      <c r="O354" s="1"/>
      <c r="P354" s="1"/>
      <c r="Q354" s="1"/>
      <c r="R354" s="1" t="s">
        <v>7840</v>
      </c>
      <c r="S354" s="1" t="s">
        <v>7841</v>
      </c>
      <c r="T354" s="1" t="s">
        <v>7757</v>
      </c>
      <c r="U354" s="1" t="s">
        <v>6096</v>
      </c>
      <c r="V354" s="1" t="s">
        <v>6168</v>
      </c>
      <c r="W354" s="1" t="s">
        <v>7758</v>
      </c>
    </row>
    <row r="355" spans="1:23" ht="96" customHeight="1">
      <c r="A355" s="1" t="s">
        <v>4941</v>
      </c>
      <c r="B355" s="1" t="s">
        <v>5583</v>
      </c>
      <c r="C355" s="1" t="s">
        <v>7842</v>
      </c>
      <c r="D355" s="1" t="s">
        <v>4747</v>
      </c>
      <c r="E355" s="1" t="s">
        <v>7843</v>
      </c>
      <c r="F355" s="1" t="s">
        <v>6138</v>
      </c>
      <c r="G355" s="1" t="s">
        <v>422</v>
      </c>
      <c r="H355" s="1" t="s">
        <v>6089</v>
      </c>
      <c r="I355" s="1"/>
      <c r="J355" s="1"/>
      <c r="K355" s="1" t="s">
        <v>6090</v>
      </c>
      <c r="L355" s="1" t="s">
        <v>7844</v>
      </c>
      <c r="M355" s="1" t="s">
        <v>7845</v>
      </c>
      <c r="N355" s="1"/>
      <c r="O355" s="1"/>
      <c r="P355" s="1"/>
      <c r="Q355" s="1"/>
      <c r="R355" s="1" t="s">
        <v>7846</v>
      </c>
      <c r="S355" s="1" t="s">
        <v>7847</v>
      </c>
      <c r="T355" s="1" t="s">
        <v>7757</v>
      </c>
      <c r="U355" s="1" t="s">
        <v>6096</v>
      </c>
      <c r="V355" s="1" t="s">
        <v>6184</v>
      </c>
      <c r="W355" s="1" t="s">
        <v>7758</v>
      </c>
    </row>
    <row r="356" spans="1:23" ht="60" customHeight="1">
      <c r="A356" s="1" t="s">
        <v>4941</v>
      </c>
      <c r="B356" s="1" t="s">
        <v>6209</v>
      </c>
      <c r="C356" s="1" t="s">
        <v>7848</v>
      </c>
      <c r="D356" s="1" t="s">
        <v>7849</v>
      </c>
      <c r="E356" s="1" t="s">
        <v>7850</v>
      </c>
      <c r="F356" s="1" t="s">
        <v>6349</v>
      </c>
      <c r="G356" s="1" t="s">
        <v>422</v>
      </c>
      <c r="H356" s="1" t="s">
        <v>6089</v>
      </c>
      <c r="I356" s="1"/>
      <c r="J356" s="1"/>
      <c r="K356" s="1" t="s">
        <v>6090</v>
      </c>
      <c r="L356" s="1" t="s">
        <v>7851</v>
      </c>
      <c r="M356" s="1" t="s">
        <v>7852</v>
      </c>
      <c r="N356" s="1"/>
      <c r="O356" s="1"/>
      <c r="P356" s="1"/>
      <c r="Q356" s="1"/>
      <c r="R356" s="1" t="s">
        <v>7853</v>
      </c>
      <c r="S356" s="1" t="s">
        <v>7854</v>
      </c>
      <c r="T356" s="1" t="s">
        <v>7757</v>
      </c>
      <c r="U356" s="1" t="s">
        <v>6096</v>
      </c>
      <c r="V356" s="1" t="s">
        <v>7855</v>
      </c>
      <c r="W356" s="1" t="s">
        <v>7758</v>
      </c>
    </row>
    <row r="357" spans="1:23" ht="48" customHeight="1">
      <c r="A357" s="1" t="s">
        <v>4941</v>
      </c>
      <c r="B357" s="1" t="s">
        <v>6212</v>
      </c>
      <c r="C357" s="1" t="s">
        <v>7856</v>
      </c>
      <c r="D357" s="1" t="s">
        <v>4747</v>
      </c>
      <c r="E357" s="1" t="s">
        <v>7857</v>
      </c>
      <c r="F357" s="1" t="s">
        <v>6163</v>
      </c>
      <c r="G357" s="1" t="s">
        <v>422</v>
      </c>
      <c r="H357" s="1" t="s">
        <v>6089</v>
      </c>
      <c r="I357" s="1"/>
      <c r="J357" s="1"/>
      <c r="K357" s="1" t="s">
        <v>6090</v>
      </c>
      <c r="L357" s="1" t="s">
        <v>7858</v>
      </c>
      <c r="M357" s="1" t="s">
        <v>7859</v>
      </c>
      <c r="N357" s="1"/>
      <c r="O357" s="1"/>
      <c r="P357" s="1"/>
      <c r="Q357" s="1"/>
      <c r="R357" s="1" t="s">
        <v>7860</v>
      </c>
      <c r="S357" s="1" t="s">
        <v>7854</v>
      </c>
      <c r="T357" s="1" t="s">
        <v>7757</v>
      </c>
      <c r="U357" s="1" t="s">
        <v>6096</v>
      </c>
      <c r="V357" s="1" t="s">
        <v>6168</v>
      </c>
      <c r="W357" s="1" t="s">
        <v>7758</v>
      </c>
    </row>
    <row r="358" spans="1:23" ht="48" customHeight="1">
      <c r="A358" s="1" t="s">
        <v>4941</v>
      </c>
      <c r="B358" s="1" t="s">
        <v>6215</v>
      </c>
      <c r="C358" s="1"/>
      <c r="D358" s="1" t="s">
        <v>4747</v>
      </c>
      <c r="E358" s="1"/>
      <c r="F358" s="1" t="s">
        <v>6216</v>
      </c>
      <c r="G358" s="1"/>
      <c r="H358" s="1" t="s">
        <v>6089</v>
      </c>
      <c r="I358" s="1"/>
      <c r="J358" s="1"/>
      <c r="K358" s="1" t="s">
        <v>6090</v>
      </c>
      <c r="L358" s="1"/>
      <c r="M358" s="1" t="s">
        <v>7861</v>
      </c>
      <c r="N358" s="1"/>
      <c r="O358" s="1"/>
      <c r="P358" s="1"/>
      <c r="Q358" s="1"/>
      <c r="R358" s="1"/>
      <c r="S358" s="1"/>
      <c r="T358" s="1"/>
      <c r="U358" s="1"/>
      <c r="V358" s="1"/>
      <c r="W358" s="1"/>
    </row>
    <row r="359" spans="1:23" ht="48" customHeight="1">
      <c r="A359" s="1" t="s">
        <v>4941</v>
      </c>
      <c r="B359" s="1" t="s">
        <v>6218</v>
      </c>
      <c r="C359" s="1" t="s">
        <v>7862</v>
      </c>
      <c r="D359" s="1" t="s">
        <v>4747</v>
      </c>
      <c r="E359" s="1"/>
      <c r="F359" s="1" t="s">
        <v>6110</v>
      </c>
      <c r="G359" s="1" t="s">
        <v>422</v>
      </c>
      <c r="H359" s="1" t="s">
        <v>6089</v>
      </c>
      <c r="I359" s="1"/>
      <c r="J359" s="1"/>
      <c r="K359" s="1" t="s">
        <v>6090</v>
      </c>
      <c r="L359" s="1" t="s">
        <v>7863</v>
      </c>
      <c r="M359" s="1" t="s">
        <v>7864</v>
      </c>
      <c r="N359" s="1"/>
      <c r="O359" s="1"/>
      <c r="P359" s="1"/>
      <c r="Q359" s="1"/>
      <c r="R359" s="1"/>
      <c r="S359" s="1"/>
      <c r="T359" s="1"/>
      <c r="U359" s="1"/>
      <c r="V359" s="1"/>
      <c r="W359" s="1"/>
    </row>
    <row r="360" spans="1:23" ht="48" customHeight="1">
      <c r="A360" s="1" t="s">
        <v>4941</v>
      </c>
      <c r="B360" s="1" t="s">
        <v>6222</v>
      </c>
      <c r="C360" s="1" t="s">
        <v>7865</v>
      </c>
      <c r="D360" s="1" t="s">
        <v>7866</v>
      </c>
      <c r="E360" s="1"/>
      <c r="F360" s="1" t="s">
        <v>6110</v>
      </c>
      <c r="G360" s="1" t="s">
        <v>422</v>
      </c>
      <c r="H360" s="1" t="s">
        <v>6089</v>
      </c>
      <c r="I360" s="1"/>
      <c r="J360" s="1"/>
      <c r="K360" s="1" t="s">
        <v>6090</v>
      </c>
      <c r="L360" s="1" t="s">
        <v>7867</v>
      </c>
      <c r="M360" s="1" t="s">
        <v>7868</v>
      </c>
      <c r="N360" s="1"/>
      <c r="O360" s="1"/>
      <c r="P360" s="1"/>
      <c r="Q360" s="1"/>
      <c r="R360" s="1"/>
      <c r="S360" s="1"/>
      <c r="T360" s="1"/>
      <c r="U360" s="1"/>
      <c r="V360" s="1"/>
      <c r="W360" s="1"/>
    </row>
    <row r="361" spans="1:23" ht="48" customHeight="1">
      <c r="A361" s="1" t="s">
        <v>4941</v>
      </c>
      <c r="B361" s="1" t="s">
        <v>6227</v>
      </c>
      <c r="C361" s="1" t="s">
        <v>7869</v>
      </c>
      <c r="D361" s="1" t="s">
        <v>7870</v>
      </c>
      <c r="E361" s="1"/>
      <c r="F361" s="1" t="s">
        <v>6110</v>
      </c>
      <c r="G361" s="1" t="s">
        <v>422</v>
      </c>
      <c r="H361" s="1" t="s">
        <v>6089</v>
      </c>
      <c r="I361" s="1"/>
      <c r="J361" s="1"/>
      <c r="K361" s="1" t="s">
        <v>6090</v>
      </c>
      <c r="L361" s="1" t="s">
        <v>7871</v>
      </c>
      <c r="M361" s="1" t="s">
        <v>7872</v>
      </c>
      <c r="N361" s="1"/>
      <c r="O361" s="1"/>
      <c r="P361" s="1"/>
      <c r="Q361" s="1"/>
      <c r="R361" s="1"/>
      <c r="S361" s="1"/>
      <c r="T361" s="1"/>
      <c r="U361" s="1"/>
      <c r="V361" s="1"/>
      <c r="W361" s="1"/>
    </row>
    <row r="362" spans="1:23" ht="48" customHeight="1">
      <c r="A362" s="1" t="s">
        <v>4941</v>
      </c>
      <c r="B362" s="1" t="s">
        <v>6232</v>
      </c>
      <c r="C362" s="1" t="s">
        <v>4747</v>
      </c>
      <c r="D362" s="1" t="s">
        <v>7873</v>
      </c>
      <c r="E362" s="1"/>
      <c r="F362" s="1" t="s">
        <v>6110</v>
      </c>
      <c r="G362" s="1" t="s">
        <v>422</v>
      </c>
      <c r="H362" s="1" t="s">
        <v>6089</v>
      </c>
      <c r="I362" s="1"/>
      <c r="J362" s="1"/>
      <c r="K362" s="1" t="s">
        <v>6090</v>
      </c>
      <c r="L362" s="1" t="s">
        <v>7874</v>
      </c>
      <c r="M362" s="1" t="s">
        <v>7875</v>
      </c>
      <c r="N362" s="1"/>
      <c r="O362" s="1"/>
      <c r="P362" s="1"/>
      <c r="Q362" s="1"/>
      <c r="R362" s="1"/>
      <c r="S362" s="1"/>
      <c r="T362" s="1"/>
      <c r="U362" s="1"/>
      <c r="V362" s="1"/>
      <c r="W362" s="1"/>
    </row>
    <row r="363" spans="1:23" ht="84" customHeight="1">
      <c r="A363" s="1" t="s">
        <v>4941</v>
      </c>
      <c r="B363" s="1" t="s">
        <v>6236</v>
      </c>
      <c r="C363" s="1" t="s">
        <v>7876</v>
      </c>
      <c r="D363" s="1" t="s">
        <v>7877</v>
      </c>
      <c r="E363" s="1" t="s">
        <v>7878</v>
      </c>
      <c r="F363" s="1" t="s">
        <v>6163</v>
      </c>
      <c r="G363" s="1" t="s">
        <v>422</v>
      </c>
      <c r="H363" s="1" t="s">
        <v>6089</v>
      </c>
      <c r="I363" s="1"/>
      <c r="J363" s="1"/>
      <c r="K363" s="1" t="s">
        <v>6090</v>
      </c>
      <c r="L363" s="1" t="s">
        <v>7879</v>
      </c>
      <c r="M363" s="1" t="s">
        <v>7880</v>
      </c>
      <c r="N363" s="1"/>
      <c r="O363" s="1"/>
      <c r="P363" s="1"/>
      <c r="Q363" s="1"/>
      <c r="R363" s="1" t="s">
        <v>7881</v>
      </c>
      <c r="S363" s="1" t="s">
        <v>7882</v>
      </c>
      <c r="T363" s="1" t="s">
        <v>7757</v>
      </c>
      <c r="U363" s="1" t="s">
        <v>6096</v>
      </c>
      <c r="V363" s="1" t="s">
        <v>6244</v>
      </c>
      <c r="W363" s="1" t="s">
        <v>7758</v>
      </c>
    </row>
    <row r="364" spans="1:23" ht="48" customHeight="1">
      <c r="A364" s="1" t="s">
        <v>4941</v>
      </c>
      <c r="B364" s="1" t="s">
        <v>6245</v>
      </c>
      <c r="C364" s="1" t="s">
        <v>7883</v>
      </c>
      <c r="D364" s="1"/>
      <c r="E364" s="1"/>
      <c r="F364" s="1" t="s">
        <v>6216</v>
      </c>
      <c r="G364" s="1" t="s">
        <v>422</v>
      </c>
      <c r="H364" s="1"/>
      <c r="I364" s="1"/>
      <c r="J364" s="1"/>
      <c r="K364" s="1" t="s">
        <v>6090</v>
      </c>
      <c r="L364" s="1" t="s">
        <v>7884</v>
      </c>
      <c r="M364" s="1"/>
      <c r="N364" s="1"/>
      <c r="O364" s="1"/>
      <c r="P364" s="1"/>
      <c r="Q364" s="1"/>
      <c r="R364" s="1"/>
      <c r="S364" s="1"/>
      <c r="T364" s="1"/>
      <c r="U364" s="1"/>
      <c r="V364" s="1"/>
      <c r="W364" s="1"/>
    </row>
    <row r="365" spans="1:23" ht="48" customHeight="1">
      <c r="A365" s="1" t="s">
        <v>4941</v>
      </c>
      <c r="B365" s="1" t="s">
        <v>6248</v>
      </c>
      <c r="C365" s="1" t="s">
        <v>7885</v>
      </c>
      <c r="D365" s="1"/>
      <c r="E365" s="1"/>
      <c r="F365" s="1" t="s">
        <v>6216</v>
      </c>
      <c r="G365" s="1" t="s">
        <v>422</v>
      </c>
      <c r="H365" s="1"/>
      <c r="I365" s="1"/>
      <c r="J365" s="1"/>
      <c r="K365" s="1" t="s">
        <v>6090</v>
      </c>
      <c r="L365" s="1" t="s">
        <v>7886</v>
      </c>
      <c r="M365" s="1"/>
      <c r="N365" s="1"/>
      <c r="O365" s="1"/>
      <c r="P365" s="1"/>
      <c r="Q365" s="1"/>
      <c r="R365" s="1"/>
      <c r="S365" s="1"/>
      <c r="T365" s="1"/>
      <c r="U365" s="1"/>
      <c r="V365" s="1"/>
      <c r="W365" s="1"/>
    </row>
    <row r="366" spans="1:23" ht="48" customHeight="1">
      <c r="A366" s="1" t="s">
        <v>4950</v>
      </c>
      <c r="B366" s="1" t="s">
        <v>6083</v>
      </c>
      <c r="C366" s="1" t="s">
        <v>7887</v>
      </c>
      <c r="D366" s="1" t="s">
        <v>7888</v>
      </c>
      <c r="E366" s="1" t="s">
        <v>6086</v>
      </c>
      <c r="F366" s="1" t="s">
        <v>6087</v>
      </c>
      <c r="G366" s="1" t="s">
        <v>422</v>
      </c>
      <c r="H366" s="1" t="s">
        <v>6089</v>
      </c>
      <c r="I366" s="1"/>
      <c r="J366" s="1"/>
      <c r="K366" s="1" t="s">
        <v>6090</v>
      </c>
      <c r="L366" s="1" t="s">
        <v>7889</v>
      </c>
      <c r="M366" s="1" t="s">
        <v>7890</v>
      </c>
      <c r="N366" s="1"/>
      <c r="O366" s="1"/>
      <c r="P366" s="1"/>
      <c r="Q366" s="1"/>
      <c r="R366" s="1" t="s">
        <v>7891</v>
      </c>
      <c r="S366" s="1" t="s">
        <v>7892</v>
      </c>
      <c r="T366" s="1" t="s">
        <v>7893</v>
      </c>
      <c r="U366" s="1" t="s">
        <v>6096</v>
      </c>
      <c r="V366" s="1" t="s">
        <v>6097</v>
      </c>
      <c r="W366" s="1" t="s">
        <v>7894</v>
      </c>
    </row>
    <row r="367" spans="1:23" ht="48" customHeight="1">
      <c r="A367" s="1" t="s">
        <v>4950</v>
      </c>
      <c r="B367" s="1" t="s">
        <v>6099</v>
      </c>
      <c r="C367" s="1" t="s">
        <v>7895</v>
      </c>
      <c r="D367" s="1" t="s">
        <v>6102</v>
      </c>
      <c r="E367" s="1" t="s">
        <v>6102</v>
      </c>
      <c r="F367" s="1" t="s">
        <v>6087</v>
      </c>
      <c r="G367" s="1" t="s">
        <v>422</v>
      </c>
      <c r="H367" s="1" t="s">
        <v>6089</v>
      </c>
      <c r="I367" s="1"/>
      <c r="J367" s="1"/>
      <c r="K367" s="1" t="s">
        <v>6090</v>
      </c>
      <c r="L367" s="1" t="s">
        <v>7896</v>
      </c>
      <c r="M367" s="1" t="s">
        <v>7897</v>
      </c>
      <c r="N367" s="1"/>
      <c r="O367" s="1"/>
      <c r="P367" s="1"/>
      <c r="Q367" s="1"/>
      <c r="R367" s="1" t="s">
        <v>7898</v>
      </c>
      <c r="S367" s="1" t="s">
        <v>7899</v>
      </c>
      <c r="T367" s="1" t="s">
        <v>7893</v>
      </c>
      <c r="U367" s="1" t="s">
        <v>6096</v>
      </c>
      <c r="V367" s="1" t="s">
        <v>6097</v>
      </c>
      <c r="W367" s="1" t="s">
        <v>7894</v>
      </c>
    </row>
    <row r="368" spans="1:23" ht="48" customHeight="1">
      <c r="A368" s="1" t="s">
        <v>4950</v>
      </c>
      <c r="B368" s="1" t="s">
        <v>6107</v>
      </c>
      <c r="C368" s="1" t="s">
        <v>7900</v>
      </c>
      <c r="D368" s="1" t="s">
        <v>7901</v>
      </c>
      <c r="E368" s="1"/>
      <c r="F368" s="1" t="s">
        <v>6110</v>
      </c>
      <c r="G368" s="1" t="s">
        <v>422</v>
      </c>
      <c r="H368" s="1" t="s">
        <v>6089</v>
      </c>
      <c r="I368" s="1"/>
      <c r="J368" s="1"/>
      <c r="K368" s="1" t="s">
        <v>6090</v>
      </c>
      <c r="L368" s="1" t="s">
        <v>7902</v>
      </c>
      <c r="M368" s="1" t="s">
        <v>7903</v>
      </c>
      <c r="N368" s="1"/>
      <c r="O368" s="1"/>
      <c r="P368" s="1"/>
      <c r="Q368" s="1"/>
      <c r="R368" s="1"/>
      <c r="S368" s="1"/>
      <c r="T368" s="1"/>
      <c r="U368" s="1"/>
      <c r="V368" s="1"/>
      <c r="W368" s="1"/>
    </row>
    <row r="369" spans="1:23" ht="48" customHeight="1">
      <c r="A369" s="1" t="s">
        <v>4950</v>
      </c>
      <c r="B369" s="1" t="s">
        <v>6113</v>
      </c>
      <c r="C369" s="1" t="s">
        <v>7904</v>
      </c>
      <c r="D369" s="1" t="s">
        <v>7905</v>
      </c>
      <c r="E369" s="1"/>
      <c r="F369" s="1" t="s">
        <v>6110</v>
      </c>
      <c r="G369" s="1" t="s">
        <v>422</v>
      </c>
      <c r="H369" s="1" t="s">
        <v>6089</v>
      </c>
      <c r="I369" s="1"/>
      <c r="J369" s="1"/>
      <c r="K369" s="1" t="s">
        <v>6090</v>
      </c>
      <c r="L369" s="1" t="s">
        <v>7906</v>
      </c>
      <c r="M369" s="1" t="s">
        <v>7907</v>
      </c>
      <c r="N369" s="1"/>
      <c r="O369" s="1"/>
      <c r="P369" s="1"/>
      <c r="Q369" s="1"/>
      <c r="R369" s="1"/>
      <c r="S369" s="1"/>
      <c r="T369" s="1"/>
      <c r="U369" s="1"/>
      <c r="V369" s="1"/>
      <c r="W369" s="1"/>
    </row>
    <row r="370" spans="1:23" ht="48" customHeight="1">
      <c r="A370" s="1" t="s">
        <v>4950</v>
      </c>
      <c r="B370" s="1" t="s">
        <v>6118</v>
      </c>
      <c r="C370" s="1" t="s">
        <v>7908</v>
      </c>
      <c r="D370" s="1" t="s">
        <v>7909</v>
      </c>
      <c r="E370" s="1" t="s">
        <v>7910</v>
      </c>
      <c r="F370" s="1" t="s">
        <v>6087</v>
      </c>
      <c r="G370" s="1" t="s">
        <v>422</v>
      </c>
      <c r="H370" s="1" t="s">
        <v>6089</v>
      </c>
      <c r="I370" s="1"/>
      <c r="J370" s="1"/>
      <c r="K370" s="1" t="s">
        <v>6090</v>
      </c>
      <c r="L370" s="1" t="s">
        <v>7911</v>
      </c>
      <c r="M370" s="1" t="s">
        <v>7912</v>
      </c>
      <c r="N370" s="1"/>
      <c r="O370" s="1"/>
      <c r="P370" s="1"/>
      <c r="Q370" s="1"/>
      <c r="R370" s="1" t="s">
        <v>7913</v>
      </c>
      <c r="S370" s="1" t="s">
        <v>7914</v>
      </c>
      <c r="T370" s="1" t="s">
        <v>7893</v>
      </c>
      <c r="U370" s="1" t="s">
        <v>6096</v>
      </c>
      <c r="V370" s="1" t="s">
        <v>6097</v>
      </c>
      <c r="W370" s="1" t="s">
        <v>7894</v>
      </c>
    </row>
    <row r="371" spans="1:23" ht="48" customHeight="1">
      <c r="A371" s="1" t="s">
        <v>4950</v>
      </c>
      <c r="B371" s="1" t="s">
        <v>6126</v>
      </c>
      <c r="C371" s="1" t="s">
        <v>7915</v>
      </c>
      <c r="D371" s="1" t="s">
        <v>7916</v>
      </c>
      <c r="E371" s="1" t="s">
        <v>7217</v>
      </c>
      <c r="F371" s="1" t="s">
        <v>6087</v>
      </c>
      <c r="G371" s="1" t="s">
        <v>422</v>
      </c>
      <c r="H371" s="1" t="s">
        <v>6089</v>
      </c>
      <c r="I371" s="1"/>
      <c r="J371" s="1"/>
      <c r="K371" s="1" t="s">
        <v>6090</v>
      </c>
      <c r="L371" s="1" t="s">
        <v>7917</v>
      </c>
      <c r="M371" s="1" t="s">
        <v>7918</v>
      </c>
      <c r="N371" s="1"/>
      <c r="O371" s="1"/>
      <c r="P371" s="1"/>
      <c r="Q371" s="1"/>
      <c r="R371" s="1" t="s">
        <v>7919</v>
      </c>
      <c r="S371" s="1" t="s">
        <v>7920</v>
      </c>
      <c r="T371" s="1" t="s">
        <v>7893</v>
      </c>
      <c r="U371" s="1" t="s">
        <v>6096</v>
      </c>
      <c r="V371" s="1" t="s">
        <v>6097</v>
      </c>
      <c r="W371" s="1" t="s">
        <v>7894</v>
      </c>
    </row>
    <row r="372" spans="1:23" ht="48" customHeight="1">
      <c r="A372" s="1" t="s">
        <v>4950</v>
      </c>
      <c r="B372" s="1" t="s">
        <v>6134</v>
      </c>
      <c r="C372" s="1" t="s">
        <v>6286</v>
      </c>
      <c r="D372" s="1" t="s">
        <v>6287</v>
      </c>
      <c r="E372" s="1" t="s">
        <v>7921</v>
      </c>
      <c r="F372" s="1" t="s">
        <v>6138</v>
      </c>
      <c r="G372" s="1" t="s">
        <v>422</v>
      </c>
      <c r="H372" s="1" t="s">
        <v>6089</v>
      </c>
      <c r="I372" s="1" t="s">
        <v>4961</v>
      </c>
      <c r="J372" s="1" t="s">
        <v>4960</v>
      </c>
      <c r="K372" s="1" t="s">
        <v>6289</v>
      </c>
      <c r="L372" s="1" t="s">
        <v>7922</v>
      </c>
      <c r="M372" s="1" t="s">
        <v>7923</v>
      </c>
      <c r="N372" s="1" t="s">
        <v>7924</v>
      </c>
      <c r="O372" s="1"/>
      <c r="P372" s="1"/>
      <c r="Q372" s="1"/>
      <c r="R372" s="1" t="s">
        <v>7925</v>
      </c>
      <c r="S372" s="1" t="s">
        <v>7926</v>
      </c>
      <c r="T372" s="1" t="s">
        <v>7893</v>
      </c>
      <c r="U372" s="1" t="s">
        <v>6096</v>
      </c>
      <c r="V372" s="1" t="s">
        <v>6295</v>
      </c>
      <c r="W372" s="1" t="s">
        <v>7894</v>
      </c>
    </row>
    <row r="373" spans="1:23" ht="60" customHeight="1">
      <c r="A373" s="1" t="s">
        <v>4950</v>
      </c>
      <c r="B373" s="1" t="s">
        <v>6144</v>
      </c>
      <c r="C373" s="1" t="s">
        <v>7927</v>
      </c>
      <c r="D373" s="1" t="s">
        <v>4747</v>
      </c>
      <c r="E373" s="1" t="s">
        <v>7928</v>
      </c>
      <c r="F373" s="1" t="s">
        <v>6138</v>
      </c>
      <c r="G373" s="1" t="s">
        <v>422</v>
      </c>
      <c r="H373" s="1" t="s">
        <v>6089</v>
      </c>
      <c r="I373" s="1"/>
      <c r="J373" s="1"/>
      <c r="K373" s="1" t="s">
        <v>6090</v>
      </c>
      <c r="L373" s="1" t="s">
        <v>7929</v>
      </c>
      <c r="M373" s="1" t="s">
        <v>7930</v>
      </c>
      <c r="N373" s="1"/>
      <c r="O373" s="1"/>
      <c r="P373" s="1"/>
      <c r="Q373" s="1"/>
      <c r="R373" s="1" t="s">
        <v>7931</v>
      </c>
      <c r="S373" s="1" t="s">
        <v>7926</v>
      </c>
      <c r="T373" s="1" t="s">
        <v>7893</v>
      </c>
      <c r="U373" s="1" t="s">
        <v>6096</v>
      </c>
      <c r="V373" s="1" t="s">
        <v>6295</v>
      </c>
      <c r="W373" s="1" t="s">
        <v>7894</v>
      </c>
    </row>
    <row r="374" spans="1:23" ht="60" customHeight="1">
      <c r="A374" s="1" t="s">
        <v>4950</v>
      </c>
      <c r="B374" s="1" t="s">
        <v>6149</v>
      </c>
      <c r="C374" s="1" t="s">
        <v>5723</v>
      </c>
      <c r="D374" s="1" t="s">
        <v>7932</v>
      </c>
      <c r="E374" s="1" t="s">
        <v>7933</v>
      </c>
      <c r="F374" s="1" t="s">
        <v>6138</v>
      </c>
      <c r="G374" s="1" t="s">
        <v>422</v>
      </c>
      <c r="H374" s="1" t="s">
        <v>6089</v>
      </c>
      <c r="I374" s="1"/>
      <c r="J374" s="1"/>
      <c r="K374" s="1" t="s">
        <v>6090</v>
      </c>
      <c r="L374" s="1" t="s">
        <v>7934</v>
      </c>
      <c r="M374" s="1" t="s">
        <v>7935</v>
      </c>
      <c r="N374" s="1"/>
      <c r="O374" s="1"/>
      <c r="P374" s="1"/>
      <c r="Q374" s="1"/>
      <c r="R374" s="1" t="s">
        <v>7936</v>
      </c>
      <c r="S374" s="1" t="s">
        <v>7937</v>
      </c>
      <c r="T374" s="1" t="s">
        <v>7893</v>
      </c>
      <c r="U374" s="1" t="s">
        <v>6096</v>
      </c>
      <c r="V374" s="1" t="s">
        <v>6295</v>
      </c>
      <c r="W374" s="1" t="s">
        <v>7894</v>
      </c>
    </row>
    <row r="375" spans="1:23" ht="60" customHeight="1">
      <c r="A375" s="1" t="s">
        <v>4950</v>
      </c>
      <c r="B375" s="1" t="s">
        <v>6154</v>
      </c>
      <c r="C375" s="1" t="s">
        <v>4965</v>
      </c>
      <c r="D375" s="1" t="s">
        <v>7938</v>
      </c>
      <c r="E375" s="1" t="s">
        <v>7939</v>
      </c>
      <c r="F375" s="1" t="s">
        <v>6138</v>
      </c>
      <c r="G375" s="1" t="s">
        <v>422</v>
      </c>
      <c r="H375" s="1" t="s">
        <v>6089</v>
      </c>
      <c r="I375" s="1"/>
      <c r="J375" s="1"/>
      <c r="K375" s="1" t="s">
        <v>6090</v>
      </c>
      <c r="L375" s="1" t="s">
        <v>7940</v>
      </c>
      <c r="M375" s="1" t="s">
        <v>7941</v>
      </c>
      <c r="N375" s="1"/>
      <c r="O375" s="1"/>
      <c r="P375" s="1"/>
      <c r="Q375" s="1"/>
      <c r="R375" s="1" t="s">
        <v>7942</v>
      </c>
      <c r="S375" s="1" t="s">
        <v>7943</v>
      </c>
      <c r="T375" s="1" t="s">
        <v>7893</v>
      </c>
      <c r="U375" s="1" t="s">
        <v>6096</v>
      </c>
      <c r="V375" s="1" t="s">
        <v>6295</v>
      </c>
      <c r="W375" s="1" t="s">
        <v>7894</v>
      </c>
    </row>
    <row r="376" spans="1:23" ht="48" customHeight="1">
      <c r="A376" s="1" t="s">
        <v>4950</v>
      </c>
      <c r="B376" s="1" t="s">
        <v>6159</v>
      </c>
      <c r="C376" s="1" t="s">
        <v>7806</v>
      </c>
      <c r="D376" s="1" t="s">
        <v>7807</v>
      </c>
      <c r="E376" s="1" t="s">
        <v>7944</v>
      </c>
      <c r="F376" s="1" t="s">
        <v>6163</v>
      </c>
      <c r="G376" s="1" t="s">
        <v>422</v>
      </c>
      <c r="H376" s="1" t="s">
        <v>6089</v>
      </c>
      <c r="I376" s="1"/>
      <c r="J376" s="1"/>
      <c r="K376" s="1" t="s">
        <v>6090</v>
      </c>
      <c r="L376" s="1" t="s">
        <v>7945</v>
      </c>
      <c r="M376" s="1" t="s">
        <v>7946</v>
      </c>
      <c r="N376" s="1"/>
      <c r="O376" s="1"/>
      <c r="P376" s="1"/>
      <c r="Q376" s="1"/>
      <c r="R376" s="1" t="s">
        <v>7947</v>
      </c>
      <c r="S376" s="1" t="s">
        <v>7948</v>
      </c>
      <c r="T376" s="1" t="s">
        <v>7893</v>
      </c>
      <c r="U376" s="1" t="s">
        <v>6096</v>
      </c>
      <c r="V376" s="1" t="s">
        <v>6168</v>
      </c>
      <c r="W376" s="1" t="s">
        <v>7894</v>
      </c>
    </row>
    <row r="377" spans="1:23" ht="48" customHeight="1">
      <c r="A377" s="1" t="s">
        <v>4950</v>
      </c>
      <c r="B377" s="1" t="s">
        <v>6169</v>
      </c>
      <c r="C377" s="1" t="s">
        <v>7949</v>
      </c>
      <c r="D377" s="1" t="s">
        <v>7950</v>
      </c>
      <c r="E377" s="1" t="s">
        <v>7951</v>
      </c>
      <c r="F377" s="1" t="s">
        <v>6163</v>
      </c>
      <c r="G377" s="1" t="s">
        <v>422</v>
      </c>
      <c r="H377" s="1" t="s">
        <v>6089</v>
      </c>
      <c r="I377" s="1"/>
      <c r="J377" s="1"/>
      <c r="K377" s="1" t="s">
        <v>6090</v>
      </c>
      <c r="L377" s="1" t="s">
        <v>7952</v>
      </c>
      <c r="M377" s="1" t="s">
        <v>7953</v>
      </c>
      <c r="N377" s="1"/>
      <c r="O377" s="1"/>
      <c r="P377" s="1"/>
      <c r="Q377" s="1"/>
      <c r="R377" s="1" t="s">
        <v>7954</v>
      </c>
      <c r="S377" s="1" t="s">
        <v>7948</v>
      </c>
      <c r="T377" s="1" t="s">
        <v>7893</v>
      </c>
      <c r="U377" s="1" t="s">
        <v>6096</v>
      </c>
      <c r="V377" s="1" t="s">
        <v>6168</v>
      </c>
      <c r="W377" s="1" t="s">
        <v>7894</v>
      </c>
    </row>
    <row r="378" spans="1:23" ht="48" customHeight="1">
      <c r="A378" s="1" t="s">
        <v>4950</v>
      </c>
      <c r="B378" s="1" t="s">
        <v>6176</v>
      </c>
      <c r="C378" s="1" t="s">
        <v>4747</v>
      </c>
      <c r="D378" s="1" t="s">
        <v>4747</v>
      </c>
      <c r="E378" s="1" t="s">
        <v>4747</v>
      </c>
      <c r="F378" s="1" t="s">
        <v>6186</v>
      </c>
      <c r="G378" s="1" t="s">
        <v>422</v>
      </c>
      <c r="H378" s="1" t="s">
        <v>6089</v>
      </c>
      <c r="I378" s="1"/>
      <c r="J378" s="1"/>
      <c r="K378" s="1" t="s">
        <v>6090</v>
      </c>
      <c r="L378" s="1" t="s">
        <v>7955</v>
      </c>
      <c r="M378" s="1" t="s">
        <v>7956</v>
      </c>
      <c r="N378" s="1"/>
      <c r="O378" s="1"/>
      <c r="P378" s="1"/>
      <c r="Q378" s="1"/>
      <c r="R378" s="1"/>
      <c r="S378" s="1"/>
      <c r="T378" s="1"/>
      <c r="U378" s="1"/>
      <c r="V378" s="1"/>
      <c r="W378" s="1"/>
    </row>
    <row r="379" spans="1:23" ht="48" customHeight="1">
      <c r="A379" s="1" t="s">
        <v>4950</v>
      </c>
      <c r="B379" s="1" t="s">
        <v>6185</v>
      </c>
      <c r="C379" s="1" t="s">
        <v>4747</v>
      </c>
      <c r="D379" s="1" t="s">
        <v>4747</v>
      </c>
      <c r="E379" s="1" t="s">
        <v>4747</v>
      </c>
      <c r="F379" s="1" t="s">
        <v>6186</v>
      </c>
      <c r="G379" s="1" t="s">
        <v>422</v>
      </c>
      <c r="H379" s="1" t="s">
        <v>6089</v>
      </c>
      <c r="I379" s="1"/>
      <c r="J379" s="1"/>
      <c r="K379" s="1" t="s">
        <v>6090</v>
      </c>
      <c r="L379" s="1" t="s">
        <v>7957</v>
      </c>
      <c r="M379" s="1" t="s">
        <v>7958</v>
      </c>
      <c r="N379" s="1"/>
      <c r="O379" s="1"/>
      <c r="P379" s="1"/>
      <c r="Q379" s="1"/>
      <c r="R379" s="1"/>
      <c r="S379" s="1"/>
      <c r="T379" s="1"/>
      <c r="U379" s="1"/>
      <c r="V379" s="1"/>
      <c r="W379" s="1"/>
    </row>
    <row r="380" spans="1:23" ht="96" customHeight="1">
      <c r="A380" s="1" t="s">
        <v>4950</v>
      </c>
      <c r="B380" s="1" t="s">
        <v>6189</v>
      </c>
      <c r="C380" s="1" t="s">
        <v>7959</v>
      </c>
      <c r="D380" s="1" t="s">
        <v>4747</v>
      </c>
      <c r="E380" s="1" t="s">
        <v>7960</v>
      </c>
      <c r="F380" s="1" t="s">
        <v>7961</v>
      </c>
      <c r="G380" s="1" t="s">
        <v>422</v>
      </c>
      <c r="H380" s="1" t="s">
        <v>6089</v>
      </c>
      <c r="I380" s="1"/>
      <c r="J380" s="1"/>
      <c r="K380" s="1" t="s">
        <v>6090</v>
      </c>
      <c r="L380" s="1" t="s">
        <v>7962</v>
      </c>
      <c r="M380" s="1" t="s">
        <v>7963</v>
      </c>
      <c r="N380" s="1"/>
      <c r="O380" s="1"/>
      <c r="P380" s="1"/>
      <c r="Q380" s="1"/>
      <c r="R380" s="1" t="s">
        <v>7964</v>
      </c>
      <c r="S380" s="1" t="s">
        <v>7965</v>
      </c>
      <c r="T380" s="1" t="s">
        <v>7893</v>
      </c>
      <c r="U380" s="1" t="s">
        <v>6096</v>
      </c>
      <c r="V380" s="1" t="s">
        <v>6184</v>
      </c>
      <c r="W380" s="1" t="s">
        <v>7894</v>
      </c>
    </row>
    <row r="381" spans="1:23" ht="60" customHeight="1">
      <c r="A381" s="1" t="s">
        <v>4950</v>
      </c>
      <c r="B381" s="1" t="s">
        <v>6196</v>
      </c>
      <c r="C381" s="1" t="s">
        <v>6197</v>
      </c>
      <c r="D381" s="1" t="s">
        <v>7966</v>
      </c>
      <c r="E381" s="1" t="s">
        <v>7967</v>
      </c>
      <c r="F381" s="1" t="s">
        <v>6163</v>
      </c>
      <c r="G381" s="1" t="s">
        <v>422</v>
      </c>
      <c r="H381" s="1" t="s">
        <v>6089</v>
      </c>
      <c r="I381" s="1"/>
      <c r="J381" s="1"/>
      <c r="K381" s="1" t="s">
        <v>6090</v>
      </c>
      <c r="L381" s="1" t="s">
        <v>7968</v>
      </c>
      <c r="M381" s="1" t="s">
        <v>7969</v>
      </c>
      <c r="N381" s="1"/>
      <c r="O381" s="1"/>
      <c r="P381" s="1"/>
      <c r="Q381" s="1"/>
      <c r="R381" s="1" t="s">
        <v>7970</v>
      </c>
      <c r="S381" s="1" t="s">
        <v>7971</v>
      </c>
      <c r="T381" s="1" t="s">
        <v>7893</v>
      </c>
      <c r="U381" s="1" t="s">
        <v>6096</v>
      </c>
      <c r="V381" s="1" t="s">
        <v>6168</v>
      </c>
      <c r="W381" s="1" t="s">
        <v>7894</v>
      </c>
    </row>
    <row r="382" spans="1:23" ht="72" customHeight="1">
      <c r="A382" s="1" t="s">
        <v>4950</v>
      </c>
      <c r="B382" s="1" t="s">
        <v>6200</v>
      </c>
      <c r="C382" s="1" t="s">
        <v>7972</v>
      </c>
      <c r="D382" s="1" t="s">
        <v>7973</v>
      </c>
      <c r="E382" s="1" t="s">
        <v>7974</v>
      </c>
      <c r="F382" s="1" t="s">
        <v>6163</v>
      </c>
      <c r="G382" s="1" t="s">
        <v>422</v>
      </c>
      <c r="H382" s="1" t="s">
        <v>6089</v>
      </c>
      <c r="I382" s="1"/>
      <c r="J382" s="1"/>
      <c r="K382" s="1" t="s">
        <v>6090</v>
      </c>
      <c r="L382" s="1" t="s">
        <v>7975</v>
      </c>
      <c r="M382" s="1" t="s">
        <v>7976</v>
      </c>
      <c r="N382" s="1"/>
      <c r="O382" s="1" t="s">
        <v>7974</v>
      </c>
      <c r="P382" s="1" t="s">
        <v>7977</v>
      </c>
      <c r="Q382" s="1" t="s">
        <v>6462</v>
      </c>
      <c r="R382" s="1" t="s">
        <v>7978</v>
      </c>
      <c r="S382" s="1" t="s">
        <v>7979</v>
      </c>
      <c r="T382" s="1" t="s">
        <v>7893</v>
      </c>
      <c r="U382" s="1" t="s">
        <v>6096</v>
      </c>
      <c r="V382" s="1" t="s">
        <v>6168</v>
      </c>
      <c r="W382" s="1" t="s">
        <v>7894</v>
      </c>
    </row>
    <row r="383" spans="1:23" ht="48" customHeight="1">
      <c r="A383" s="1" t="s">
        <v>4950</v>
      </c>
      <c r="B383" s="1" t="s">
        <v>5583</v>
      </c>
      <c r="C383" s="1" t="s">
        <v>4747</v>
      </c>
      <c r="D383" s="1" t="s">
        <v>4747</v>
      </c>
      <c r="E383" s="1" t="s">
        <v>4747</v>
      </c>
      <c r="F383" s="1" t="s">
        <v>6186</v>
      </c>
      <c r="G383" s="1" t="s">
        <v>422</v>
      </c>
      <c r="H383" s="1" t="s">
        <v>6089</v>
      </c>
      <c r="I383" s="1"/>
      <c r="J383" s="1"/>
      <c r="K383" s="1" t="s">
        <v>6090</v>
      </c>
      <c r="L383" s="1" t="s">
        <v>7980</v>
      </c>
      <c r="M383" s="1" t="s">
        <v>7981</v>
      </c>
      <c r="N383" s="1"/>
      <c r="O383" s="1"/>
      <c r="P383" s="1"/>
      <c r="Q383" s="1"/>
      <c r="R383" s="1"/>
      <c r="S383" s="1"/>
      <c r="T383" s="1"/>
      <c r="U383" s="1"/>
      <c r="V383" s="1"/>
      <c r="W383" s="1"/>
    </row>
    <row r="384" spans="1:23" ht="60" customHeight="1">
      <c r="A384" s="1" t="s">
        <v>4950</v>
      </c>
      <c r="B384" s="1" t="s">
        <v>6209</v>
      </c>
      <c r="C384" s="1" t="s">
        <v>7982</v>
      </c>
      <c r="D384" s="1" t="s">
        <v>7983</v>
      </c>
      <c r="E384" s="1" t="s">
        <v>7984</v>
      </c>
      <c r="F384" s="1" t="s">
        <v>6349</v>
      </c>
      <c r="G384" s="1" t="s">
        <v>422</v>
      </c>
      <c r="H384" s="1" t="s">
        <v>6089</v>
      </c>
      <c r="I384" s="1"/>
      <c r="J384" s="1"/>
      <c r="K384" s="1" t="s">
        <v>6090</v>
      </c>
      <c r="L384" s="1" t="s">
        <v>7985</v>
      </c>
      <c r="M384" s="1" t="s">
        <v>7986</v>
      </c>
      <c r="N384" s="1"/>
      <c r="O384" s="1"/>
      <c r="P384" s="1"/>
      <c r="Q384" s="1"/>
      <c r="R384" s="1" t="s">
        <v>7987</v>
      </c>
      <c r="S384" s="1" t="s">
        <v>6167</v>
      </c>
      <c r="T384" s="1" t="s">
        <v>7893</v>
      </c>
      <c r="U384" s="1" t="s">
        <v>6096</v>
      </c>
      <c r="V384" s="1" t="s">
        <v>7988</v>
      </c>
      <c r="W384" s="1" t="s">
        <v>7894</v>
      </c>
    </row>
    <row r="385" spans="1:23" ht="48" customHeight="1">
      <c r="A385" s="1" t="s">
        <v>4950</v>
      </c>
      <c r="B385" s="1" t="s">
        <v>6212</v>
      </c>
      <c r="C385" s="1" t="s">
        <v>7989</v>
      </c>
      <c r="D385" s="1" t="s">
        <v>7990</v>
      </c>
      <c r="E385" s="1" t="s">
        <v>7991</v>
      </c>
      <c r="F385" s="1" t="s">
        <v>6163</v>
      </c>
      <c r="G385" s="1" t="s">
        <v>422</v>
      </c>
      <c r="H385" s="1" t="s">
        <v>6089</v>
      </c>
      <c r="I385" s="1"/>
      <c r="J385" s="1"/>
      <c r="K385" s="1" t="s">
        <v>6090</v>
      </c>
      <c r="L385" s="1" t="s">
        <v>7992</v>
      </c>
      <c r="M385" s="1" t="s">
        <v>7993</v>
      </c>
      <c r="N385" s="1"/>
      <c r="O385" s="1"/>
      <c r="P385" s="1"/>
      <c r="Q385" s="1"/>
      <c r="R385" s="1" t="s">
        <v>7994</v>
      </c>
      <c r="S385" s="1" t="s">
        <v>6167</v>
      </c>
      <c r="T385" s="1" t="s">
        <v>7893</v>
      </c>
      <c r="U385" s="1" t="s">
        <v>6096</v>
      </c>
      <c r="V385" s="1" t="s">
        <v>6168</v>
      </c>
      <c r="W385" s="1" t="s">
        <v>7894</v>
      </c>
    </row>
    <row r="386" spans="1:23" ht="48" customHeight="1">
      <c r="A386" s="1" t="s">
        <v>4950</v>
      </c>
      <c r="B386" s="1" t="s">
        <v>6215</v>
      </c>
      <c r="C386" s="1"/>
      <c r="D386" s="1" t="s">
        <v>4747</v>
      </c>
      <c r="E386" s="1"/>
      <c r="F386" s="1" t="s">
        <v>6216</v>
      </c>
      <c r="G386" s="1"/>
      <c r="H386" s="1" t="s">
        <v>6089</v>
      </c>
      <c r="I386" s="1"/>
      <c r="J386" s="1"/>
      <c r="K386" s="1" t="s">
        <v>6090</v>
      </c>
      <c r="L386" s="1"/>
      <c r="M386" s="1" t="s">
        <v>7995</v>
      </c>
      <c r="N386" s="1"/>
      <c r="O386" s="1"/>
      <c r="P386" s="1"/>
      <c r="Q386" s="1"/>
      <c r="R386" s="1"/>
      <c r="S386" s="1"/>
      <c r="T386" s="1"/>
      <c r="U386" s="1"/>
      <c r="V386" s="1"/>
      <c r="W386" s="1"/>
    </row>
    <row r="387" spans="1:23" ht="48" customHeight="1">
      <c r="A387" s="1" t="s">
        <v>4950</v>
      </c>
      <c r="B387" s="1" t="s">
        <v>6218</v>
      </c>
      <c r="C387" s="1" t="s">
        <v>7996</v>
      </c>
      <c r="D387" s="1" t="s">
        <v>4747</v>
      </c>
      <c r="E387" s="1"/>
      <c r="F387" s="1" t="s">
        <v>6110</v>
      </c>
      <c r="G387" s="1" t="s">
        <v>422</v>
      </c>
      <c r="H387" s="1" t="s">
        <v>6089</v>
      </c>
      <c r="I387" s="1"/>
      <c r="J387" s="1"/>
      <c r="K387" s="1" t="s">
        <v>6090</v>
      </c>
      <c r="L387" s="1" t="s">
        <v>7997</v>
      </c>
      <c r="M387" s="1" t="s">
        <v>7998</v>
      </c>
      <c r="N387" s="1"/>
      <c r="O387" s="1"/>
      <c r="P387" s="1"/>
      <c r="Q387" s="1"/>
      <c r="R387" s="1"/>
      <c r="S387" s="1"/>
      <c r="T387" s="1"/>
      <c r="U387" s="1"/>
      <c r="V387" s="1"/>
      <c r="W387" s="1"/>
    </row>
    <row r="388" spans="1:23" ht="48" customHeight="1">
      <c r="A388" s="1" t="s">
        <v>4950</v>
      </c>
      <c r="B388" s="1" t="s">
        <v>6222</v>
      </c>
      <c r="C388" s="1" t="s">
        <v>7999</v>
      </c>
      <c r="D388" s="1" t="s">
        <v>8000</v>
      </c>
      <c r="E388" s="1"/>
      <c r="F388" s="1" t="s">
        <v>6110</v>
      </c>
      <c r="G388" s="1" t="s">
        <v>422</v>
      </c>
      <c r="H388" s="1" t="s">
        <v>6089</v>
      </c>
      <c r="I388" s="1"/>
      <c r="J388" s="1"/>
      <c r="K388" s="1" t="s">
        <v>6090</v>
      </c>
      <c r="L388" s="1" t="s">
        <v>8001</v>
      </c>
      <c r="M388" s="1" t="s">
        <v>8002</v>
      </c>
      <c r="N388" s="1"/>
      <c r="O388" s="1"/>
      <c r="P388" s="1"/>
      <c r="Q388" s="1"/>
      <c r="R388" s="1"/>
      <c r="S388" s="1"/>
      <c r="T388" s="1"/>
      <c r="U388" s="1"/>
      <c r="V388" s="1"/>
      <c r="W388" s="1"/>
    </row>
    <row r="389" spans="1:23" ht="48" customHeight="1">
      <c r="A389" s="1" t="s">
        <v>4950</v>
      </c>
      <c r="B389" s="1" t="s">
        <v>6227</v>
      </c>
      <c r="C389" s="1" t="s">
        <v>4747</v>
      </c>
      <c r="D389" s="1" t="s">
        <v>8003</v>
      </c>
      <c r="E389" s="1"/>
      <c r="F389" s="1" t="s">
        <v>6110</v>
      </c>
      <c r="G389" s="1" t="s">
        <v>422</v>
      </c>
      <c r="H389" s="1" t="s">
        <v>6089</v>
      </c>
      <c r="I389" s="1"/>
      <c r="J389" s="1"/>
      <c r="K389" s="1" t="s">
        <v>6090</v>
      </c>
      <c r="L389" s="1" t="s">
        <v>8004</v>
      </c>
      <c r="M389" s="1" t="s">
        <v>8005</v>
      </c>
      <c r="N389" s="1"/>
      <c r="O389" s="1"/>
      <c r="P389" s="1"/>
      <c r="Q389" s="1"/>
      <c r="R389" s="1"/>
      <c r="S389" s="1"/>
      <c r="T389" s="1"/>
      <c r="U389" s="1"/>
      <c r="V389" s="1"/>
      <c r="W389" s="1"/>
    </row>
    <row r="390" spans="1:23" ht="48" customHeight="1">
      <c r="A390" s="1" t="s">
        <v>4950</v>
      </c>
      <c r="B390" s="1" t="s">
        <v>6232</v>
      </c>
      <c r="C390" s="1" t="s">
        <v>4747</v>
      </c>
      <c r="D390" s="1" t="s">
        <v>8006</v>
      </c>
      <c r="E390" s="1"/>
      <c r="F390" s="1" t="s">
        <v>6110</v>
      </c>
      <c r="G390" s="1" t="s">
        <v>422</v>
      </c>
      <c r="H390" s="1" t="s">
        <v>6089</v>
      </c>
      <c r="I390" s="1"/>
      <c r="J390" s="1"/>
      <c r="K390" s="1" t="s">
        <v>6090</v>
      </c>
      <c r="L390" s="1" t="s">
        <v>8007</v>
      </c>
      <c r="M390" s="1" t="s">
        <v>8008</v>
      </c>
      <c r="N390" s="1"/>
      <c r="O390" s="1"/>
      <c r="P390" s="1"/>
      <c r="Q390" s="1"/>
      <c r="R390" s="1"/>
      <c r="S390" s="1"/>
      <c r="T390" s="1"/>
      <c r="U390" s="1"/>
      <c r="V390" s="1"/>
      <c r="W390" s="1"/>
    </row>
    <row r="391" spans="1:23" ht="84" customHeight="1">
      <c r="A391" s="1" t="s">
        <v>4950</v>
      </c>
      <c r="B391" s="1" t="s">
        <v>6236</v>
      </c>
      <c r="C391" s="1" t="s">
        <v>8009</v>
      </c>
      <c r="D391" s="1" t="s">
        <v>8010</v>
      </c>
      <c r="E391" s="1" t="s">
        <v>8011</v>
      </c>
      <c r="F391" s="1" t="s">
        <v>6323</v>
      </c>
      <c r="G391" s="1" t="s">
        <v>422</v>
      </c>
      <c r="H391" s="1" t="s">
        <v>6089</v>
      </c>
      <c r="I391" s="1"/>
      <c r="J391" s="1"/>
      <c r="K391" s="1" t="s">
        <v>6090</v>
      </c>
      <c r="L391" s="1" t="s">
        <v>8012</v>
      </c>
      <c r="M391" s="1" t="s">
        <v>8013</v>
      </c>
      <c r="N391" s="1"/>
      <c r="O391" s="1"/>
      <c r="P391" s="1"/>
      <c r="Q391" s="1"/>
      <c r="R391" s="1" t="s">
        <v>8014</v>
      </c>
      <c r="S391" s="1" t="s">
        <v>8015</v>
      </c>
      <c r="T391" s="1" t="s">
        <v>7893</v>
      </c>
      <c r="U391" s="1" t="s">
        <v>6096</v>
      </c>
      <c r="V391" s="1" t="s">
        <v>8016</v>
      </c>
      <c r="W391" s="1" t="s">
        <v>7894</v>
      </c>
    </row>
    <row r="392" spans="1:23" ht="48" customHeight="1">
      <c r="A392" s="1" t="s">
        <v>4950</v>
      </c>
      <c r="B392" s="1" t="s">
        <v>6245</v>
      </c>
      <c r="C392" s="1" t="s">
        <v>8017</v>
      </c>
      <c r="D392" s="1"/>
      <c r="E392" s="1"/>
      <c r="F392" s="1" t="s">
        <v>6216</v>
      </c>
      <c r="G392" s="1" t="s">
        <v>422</v>
      </c>
      <c r="H392" s="1"/>
      <c r="I392" s="1"/>
      <c r="J392" s="1"/>
      <c r="K392" s="1" t="s">
        <v>6090</v>
      </c>
      <c r="L392" s="1" t="s">
        <v>8018</v>
      </c>
      <c r="M392" s="1"/>
      <c r="N392" s="1"/>
      <c r="O392" s="1"/>
      <c r="P392" s="1"/>
      <c r="Q392" s="1"/>
      <c r="R392" s="1"/>
      <c r="S392" s="1"/>
      <c r="T392" s="1"/>
      <c r="U392" s="1"/>
      <c r="V392" s="1"/>
      <c r="W392" s="1"/>
    </row>
    <row r="393" spans="1:23" ht="48" customHeight="1">
      <c r="A393" s="1" t="s">
        <v>4950</v>
      </c>
      <c r="B393" s="1" t="s">
        <v>6248</v>
      </c>
      <c r="C393" s="1" t="s">
        <v>8019</v>
      </c>
      <c r="D393" s="1"/>
      <c r="E393" s="1"/>
      <c r="F393" s="1" t="s">
        <v>6216</v>
      </c>
      <c r="G393" s="1" t="s">
        <v>422</v>
      </c>
      <c r="H393" s="1"/>
      <c r="I393" s="1"/>
      <c r="J393" s="1"/>
      <c r="K393" s="1" t="s">
        <v>6090</v>
      </c>
      <c r="L393" s="1" t="s">
        <v>8020</v>
      </c>
      <c r="M393" s="1"/>
      <c r="N393" s="1"/>
      <c r="O393" s="1"/>
      <c r="P393" s="1"/>
      <c r="Q393" s="1"/>
      <c r="R393" s="1"/>
      <c r="S393" s="1"/>
      <c r="T393" s="1"/>
      <c r="U393" s="1"/>
      <c r="V393" s="1"/>
      <c r="W393" s="1"/>
    </row>
    <row r="394" spans="1:23" ht="48" customHeight="1">
      <c r="A394" s="1" t="s">
        <v>4973</v>
      </c>
      <c r="B394" s="1" t="s">
        <v>6083</v>
      </c>
      <c r="C394" s="1" t="s">
        <v>8021</v>
      </c>
      <c r="D394" s="1" t="s">
        <v>8022</v>
      </c>
      <c r="E394" s="1" t="s">
        <v>6771</v>
      </c>
      <c r="F394" s="1" t="s">
        <v>8023</v>
      </c>
      <c r="G394" s="1" t="s">
        <v>8024</v>
      </c>
      <c r="H394" s="1" t="s">
        <v>6089</v>
      </c>
      <c r="I394" s="1"/>
      <c r="J394" s="1"/>
      <c r="K394" s="1" t="s">
        <v>6090</v>
      </c>
      <c r="L394" s="1" t="s">
        <v>8025</v>
      </c>
      <c r="M394" s="1" t="s">
        <v>8026</v>
      </c>
      <c r="N394" s="1"/>
      <c r="O394" s="1" t="s">
        <v>8027</v>
      </c>
      <c r="P394" s="1" t="s">
        <v>8028</v>
      </c>
      <c r="Q394" s="1" t="s">
        <v>6462</v>
      </c>
      <c r="R394" s="1" t="s">
        <v>8029</v>
      </c>
      <c r="S394" s="1" t="s">
        <v>8030</v>
      </c>
      <c r="T394" s="1" t="s">
        <v>8031</v>
      </c>
      <c r="U394" s="1" t="s">
        <v>6096</v>
      </c>
      <c r="V394" s="1" t="s">
        <v>6097</v>
      </c>
      <c r="W394" s="1" t="s">
        <v>8032</v>
      </c>
    </row>
    <row r="395" spans="1:23" ht="48" customHeight="1">
      <c r="A395" s="1" t="s">
        <v>4973</v>
      </c>
      <c r="B395" s="1" t="s">
        <v>6099</v>
      </c>
      <c r="C395" s="1" t="s">
        <v>7895</v>
      </c>
      <c r="D395" s="1" t="s">
        <v>6102</v>
      </c>
      <c r="E395" s="1" t="s">
        <v>6102</v>
      </c>
      <c r="F395" s="1" t="s">
        <v>6087</v>
      </c>
      <c r="G395" s="1" t="s">
        <v>8024</v>
      </c>
      <c r="H395" s="1" t="s">
        <v>6089</v>
      </c>
      <c r="I395" s="1"/>
      <c r="J395" s="1"/>
      <c r="K395" s="1" t="s">
        <v>6090</v>
      </c>
      <c r="L395" s="1" t="s">
        <v>8033</v>
      </c>
      <c r="M395" s="1" t="s">
        <v>8034</v>
      </c>
      <c r="N395" s="1"/>
      <c r="O395" s="1"/>
      <c r="P395" s="1"/>
      <c r="Q395" s="1"/>
      <c r="R395" s="1" t="s">
        <v>8035</v>
      </c>
      <c r="S395" s="1" t="s">
        <v>8036</v>
      </c>
      <c r="T395" s="1" t="s">
        <v>8031</v>
      </c>
      <c r="U395" s="1" t="s">
        <v>6096</v>
      </c>
      <c r="V395" s="1" t="s">
        <v>6097</v>
      </c>
      <c r="W395" s="1" t="s">
        <v>8032</v>
      </c>
    </row>
    <row r="396" spans="1:23" ht="48" customHeight="1">
      <c r="A396" s="1" t="s">
        <v>4973</v>
      </c>
      <c r="B396" s="1" t="s">
        <v>6107</v>
      </c>
      <c r="C396" s="1" t="s">
        <v>8037</v>
      </c>
      <c r="D396" s="1" t="s">
        <v>8038</v>
      </c>
      <c r="E396" s="1"/>
      <c r="F396" s="1" t="s">
        <v>6110</v>
      </c>
      <c r="G396" s="1" t="s">
        <v>8024</v>
      </c>
      <c r="H396" s="1" t="s">
        <v>6089</v>
      </c>
      <c r="I396" s="1"/>
      <c r="J396" s="1"/>
      <c r="K396" s="1" t="s">
        <v>6090</v>
      </c>
      <c r="L396" s="1" t="s">
        <v>8039</v>
      </c>
      <c r="M396" s="1" t="s">
        <v>8040</v>
      </c>
      <c r="N396" s="1"/>
      <c r="O396" s="1"/>
      <c r="P396" s="1"/>
      <c r="Q396" s="1"/>
      <c r="R396" s="1"/>
      <c r="S396" s="1"/>
      <c r="T396" s="1"/>
      <c r="U396" s="1"/>
      <c r="V396" s="1"/>
      <c r="W396" s="1"/>
    </row>
    <row r="397" spans="1:23" ht="48" customHeight="1">
      <c r="A397" s="1" t="s">
        <v>4973</v>
      </c>
      <c r="B397" s="1" t="s">
        <v>6113</v>
      </c>
      <c r="C397" s="1" t="s">
        <v>8041</v>
      </c>
      <c r="D397" s="1" t="s">
        <v>8042</v>
      </c>
      <c r="E397" s="1"/>
      <c r="F397" s="1" t="s">
        <v>6110</v>
      </c>
      <c r="G397" s="1" t="s">
        <v>8024</v>
      </c>
      <c r="H397" s="1" t="s">
        <v>6089</v>
      </c>
      <c r="I397" s="1"/>
      <c r="J397" s="1"/>
      <c r="K397" s="1" t="s">
        <v>6090</v>
      </c>
      <c r="L397" s="1" t="s">
        <v>8043</v>
      </c>
      <c r="M397" s="1" t="s">
        <v>8044</v>
      </c>
      <c r="N397" s="1"/>
      <c r="O397" s="1"/>
      <c r="P397" s="1"/>
      <c r="Q397" s="1"/>
      <c r="R397" s="1"/>
      <c r="S397" s="1"/>
      <c r="T397" s="1"/>
      <c r="U397" s="1"/>
      <c r="V397" s="1"/>
      <c r="W397" s="1"/>
    </row>
    <row r="398" spans="1:23" ht="48" customHeight="1">
      <c r="A398" s="1" t="s">
        <v>4973</v>
      </c>
      <c r="B398" s="1" t="s">
        <v>6118</v>
      </c>
      <c r="C398" s="1" t="s">
        <v>8045</v>
      </c>
      <c r="D398" s="1" t="s">
        <v>8046</v>
      </c>
      <c r="E398" s="1" t="s">
        <v>8047</v>
      </c>
      <c r="F398" s="1" t="s">
        <v>6087</v>
      </c>
      <c r="G398" s="1" t="s">
        <v>8024</v>
      </c>
      <c r="H398" s="1" t="s">
        <v>6089</v>
      </c>
      <c r="I398" s="1"/>
      <c r="J398" s="1"/>
      <c r="K398" s="1" t="s">
        <v>6090</v>
      </c>
      <c r="L398" s="1" t="s">
        <v>8048</v>
      </c>
      <c r="M398" s="1" t="s">
        <v>8049</v>
      </c>
      <c r="N398" s="1"/>
      <c r="O398" s="1"/>
      <c r="P398" s="1"/>
      <c r="Q398" s="1"/>
      <c r="R398" s="1" t="s">
        <v>8050</v>
      </c>
      <c r="S398" s="1" t="s">
        <v>8051</v>
      </c>
      <c r="T398" s="1" t="s">
        <v>8031</v>
      </c>
      <c r="U398" s="1" t="s">
        <v>6096</v>
      </c>
      <c r="V398" s="1" t="s">
        <v>6097</v>
      </c>
      <c r="W398" s="1" t="s">
        <v>8032</v>
      </c>
    </row>
    <row r="399" spans="1:23" ht="48" customHeight="1">
      <c r="A399" s="1" t="s">
        <v>4973</v>
      </c>
      <c r="B399" s="1" t="s">
        <v>6126</v>
      </c>
      <c r="C399" s="1" t="s">
        <v>8052</v>
      </c>
      <c r="D399" s="1" t="s">
        <v>8053</v>
      </c>
      <c r="E399" s="1" t="s">
        <v>8054</v>
      </c>
      <c r="F399" s="1" t="s">
        <v>6087</v>
      </c>
      <c r="G399" s="1" t="s">
        <v>8024</v>
      </c>
      <c r="H399" s="1" t="s">
        <v>6089</v>
      </c>
      <c r="I399" s="1"/>
      <c r="J399" s="1"/>
      <c r="K399" s="1" t="s">
        <v>6090</v>
      </c>
      <c r="L399" s="1" t="s">
        <v>8055</v>
      </c>
      <c r="M399" s="1" t="s">
        <v>8056</v>
      </c>
      <c r="N399" s="1"/>
      <c r="O399" s="1"/>
      <c r="P399" s="1"/>
      <c r="Q399" s="1"/>
      <c r="R399" s="1" t="s">
        <v>8057</v>
      </c>
      <c r="S399" s="1" t="s">
        <v>8058</v>
      </c>
      <c r="T399" s="1" t="s">
        <v>8031</v>
      </c>
      <c r="U399" s="1" t="s">
        <v>6096</v>
      </c>
      <c r="V399" s="1" t="s">
        <v>6097</v>
      </c>
      <c r="W399" s="1" t="s">
        <v>8032</v>
      </c>
    </row>
    <row r="400" spans="1:23" ht="48" customHeight="1">
      <c r="A400" s="1" t="s">
        <v>4973</v>
      </c>
      <c r="B400" s="1" t="s">
        <v>6134</v>
      </c>
      <c r="C400" s="1" t="s">
        <v>6286</v>
      </c>
      <c r="D400" s="1" t="s">
        <v>6287</v>
      </c>
      <c r="E400" s="1" t="s">
        <v>8059</v>
      </c>
      <c r="F400" s="1" t="s">
        <v>6138</v>
      </c>
      <c r="G400" s="1" t="s">
        <v>8024</v>
      </c>
      <c r="H400" s="1" t="s">
        <v>6089</v>
      </c>
      <c r="I400" s="1" t="s">
        <v>5000</v>
      </c>
      <c r="J400" s="1" t="s">
        <v>4999</v>
      </c>
      <c r="K400" s="1" t="s">
        <v>6289</v>
      </c>
      <c r="L400" s="1" t="s">
        <v>8060</v>
      </c>
      <c r="M400" s="1" t="s">
        <v>8061</v>
      </c>
      <c r="N400" s="1" t="s">
        <v>8062</v>
      </c>
      <c r="O400" s="1"/>
      <c r="P400" s="1"/>
      <c r="Q400" s="1"/>
      <c r="R400" s="1" t="s">
        <v>8063</v>
      </c>
      <c r="S400" s="1" t="s">
        <v>8064</v>
      </c>
      <c r="T400" s="1" t="s">
        <v>8031</v>
      </c>
      <c r="U400" s="1" t="s">
        <v>6096</v>
      </c>
      <c r="V400" s="1" t="s">
        <v>6295</v>
      </c>
      <c r="W400" s="1" t="s">
        <v>8032</v>
      </c>
    </row>
    <row r="401" spans="1:23" ht="48" customHeight="1">
      <c r="A401" s="1" t="s">
        <v>4973</v>
      </c>
      <c r="B401" s="1" t="s">
        <v>6144</v>
      </c>
      <c r="C401" s="1" t="s">
        <v>8065</v>
      </c>
      <c r="D401" s="1" t="s">
        <v>4747</v>
      </c>
      <c r="E401" s="1" t="s">
        <v>8066</v>
      </c>
      <c r="F401" s="1" t="s">
        <v>6138</v>
      </c>
      <c r="G401" s="1" t="s">
        <v>8024</v>
      </c>
      <c r="H401" s="1" t="s">
        <v>6089</v>
      </c>
      <c r="I401" s="1"/>
      <c r="J401" s="1"/>
      <c r="K401" s="1" t="s">
        <v>6090</v>
      </c>
      <c r="L401" s="1" t="s">
        <v>8067</v>
      </c>
      <c r="M401" s="1" t="s">
        <v>8068</v>
      </c>
      <c r="N401" s="1"/>
      <c r="O401" s="1"/>
      <c r="P401" s="1"/>
      <c r="Q401" s="1"/>
      <c r="R401" s="1" t="s">
        <v>8069</v>
      </c>
      <c r="S401" s="1" t="s">
        <v>8064</v>
      </c>
      <c r="T401" s="1" t="s">
        <v>8031</v>
      </c>
      <c r="U401" s="1" t="s">
        <v>6096</v>
      </c>
      <c r="V401" s="1" t="s">
        <v>6295</v>
      </c>
      <c r="W401" s="1" t="s">
        <v>8032</v>
      </c>
    </row>
    <row r="402" spans="1:23" ht="60" customHeight="1">
      <c r="A402" s="1" t="s">
        <v>4973</v>
      </c>
      <c r="B402" s="1" t="s">
        <v>6149</v>
      </c>
      <c r="C402" s="1" t="s">
        <v>5727</v>
      </c>
      <c r="D402" s="1" t="s">
        <v>4747</v>
      </c>
      <c r="E402" s="1" t="s">
        <v>8070</v>
      </c>
      <c r="F402" s="1" t="s">
        <v>6138</v>
      </c>
      <c r="G402" s="1" t="s">
        <v>8024</v>
      </c>
      <c r="H402" s="1" t="s">
        <v>6089</v>
      </c>
      <c r="I402" s="1"/>
      <c r="J402" s="1"/>
      <c r="K402" s="1" t="s">
        <v>6090</v>
      </c>
      <c r="L402" s="1" t="s">
        <v>8071</v>
      </c>
      <c r="M402" s="1" t="s">
        <v>8072</v>
      </c>
      <c r="N402" s="1"/>
      <c r="O402" s="1"/>
      <c r="P402" s="1"/>
      <c r="Q402" s="1"/>
      <c r="R402" s="1" t="s">
        <v>8073</v>
      </c>
      <c r="S402" s="1" t="s">
        <v>8074</v>
      </c>
      <c r="T402" s="1" t="s">
        <v>8031</v>
      </c>
      <c r="U402" s="1" t="s">
        <v>6096</v>
      </c>
      <c r="V402" s="1" t="s">
        <v>6295</v>
      </c>
      <c r="W402" s="1" t="s">
        <v>8032</v>
      </c>
    </row>
    <row r="403" spans="1:23" ht="48" customHeight="1">
      <c r="A403" s="1" t="s">
        <v>4973</v>
      </c>
      <c r="B403" s="1" t="s">
        <v>6154</v>
      </c>
      <c r="C403" s="1" t="s">
        <v>8075</v>
      </c>
      <c r="D403" s="1" t="s">
        <v>6308</v>
      </c>
      <c r="E403" s="1" t="s">
        <v>6309</v>
      </c>
      <c r="F403" s="1" t="s">
        <v>6138</v>
      </c>
      <c r="G403" s="1" t="s">
        <v>8024</v>
      </c>
      <c r="H403" s="1" t="s">
        <v>6089</v>
      </c>
      <c r="I403" s="1"/>
      <c r="J403" s="1"/>
      <c r="K403" s="1" t="s">
        <v>6090</v>
      </c>
      <c r="L403" s="1" t="s">
        <v>8076</v>
      </c>
      <c r="M403" s="1" t="s">
        <v>8077</v>
      </c>
      <c r="N403" s="1"/>
      <c r="O403" s="1"/>
      <c r="P403" s="1"/>
      <c r="Q403" s="1"/>
      <c r="R403" s="1" t="s">
        <v>8078</v>
      </c>
      <c r="S403" s="1" t="s">
        <v>8064</v>
      </c>
      <c r="T403" s="1" t="s">
        <v>8031</v>
      </c>
      <c r="U403" s="1" t="s">
        <v>6096</v>
      </c>
      <c r="V403" s="1" t="s">
        <v>6295</v>
      </c>
      <c r="W403" s="1" t="s">
        <v>8032</v>
      </c>
    </row>
    <row r="404" spans="1:23" ht="48" customHeight="1">
      <c r="A404" s="1" t="s">
        <v>4973</v>
      </c>
      <c r="B404" s="1" t="s">
        <v>6159</v>
      </c>
      <c r="C404" s="1" t="s">
        <v>8079</v>
      </c>
      <c r="D404" s="1" t="s">
        <v>8080</v>
      </c>
      <c r="E404" s="1" t="s">
        <v>8081</v>
      </c>
      <c r="F404" s="1" t="s">
        <v>6163</v>
      </c>
      <c r="G404" s="1" t="s">
        <v>8024</v>
      </c>
      <c r="H404" s="1" t="s">
        <v>6089</v>
      </c>
      <c r="I404" s="1"/>
      <c r="J404" s="1"/>
      <c r="K404" s="1" t="s">
        <v>6090</v>
      </c>
      <c r="L404" s="1" t="s">
        <v>8082</v>
      </c>
      <c r="M404" s="1" t="s">
        <v>8083</v>
      </c>
      <c r="N404" s="1"/>
      <c r="O404" s="1"/>
      <c r="P404" s="1"/>
      <c r="Q404" s="1"/>
      <c r="R404" s="1" t="s">
        <v>8084</v>
      </c>
      <c r="S404" s="1" t="s">
        <v>7154</v>
      </c>
      <c r="T404" s="1" t="s">
        <v>8031</v>
      </c>
      <c r="U404" s="1" t="s">
        <v>6096</v>
      </c>
      <c r="V404" s="1" t="s">
        <v>6168</v>
      </c>
      <c r="W404" s="1" t="s">
        <v>8032</v>
      </c>
    </row>
    <row r="405" spans="1:23" ht="60" customHeight="1">
      <c r="A405" s="1" t="s">
        <v>4973</v>
      </c>
      <c r="B405" s="1" t="s">
        <v>6169</v>
      </c>
      <c r="C405" s="1" t="s">
        <v>8085</v>
      </c>
      <c r="D405" s="1" t="s">
        <v>8086</v>
      </c>
      <c r="E405" s="1" t="s">
        <v>8087</v>
      </c>
      <c r="F405" s="1" t="s">
        <v>6349</v>
      </c>
      <c r="G405" s="1" t="s">
        <v>8024</v>
      </c>
      <c r="H405" s="1" t="s">
        <v>6089</v>
      </c>
      <c r="I405" s="1"/>
      <c r="J405" s="1"/>
      <c r="K405" s="1" t="s">
        <v>6090</v>
      </c>
      <c r="L405" s="1" t="s">
        <v>8088</v>
      </c>
      <c r="M405" s="1" t="s">
        <v>8089</v>
      </c>
      <c r="N405" s="1"/>
      <c r="O405" s="1"/>
      <c r="P405" s="1"/>
      <c r="Q405" s="1"/>
      <c r="R405" s="1" t="s">
        <v>8090</v>
      </c>
      <c r="S405" s="1" t="s">
        <v>7154</v>
      </c>
      <c r="T405" s="1" t="s">
        <v>8031</v>
      </c>
      <c r="U405" s="1" t="s">
        <v>6096</v>
      </c>
      <c r="V405" s="1" t="s">
        <v>8091</v>
      </c>
      <c r="W405" s="1" t="s">
        <v>8032</v>
      </c>
    </row>
    <row r="406" spans="1:23" ht="48" customHeight="1">
      <c r="A406" s="1" t="s">
        <v>4973</v>
      </c>
      <c r="B406" s="1" t="s">
        <v>6176</v>
      </c>
      <c r="C406" s="1" t="s">
        <v>4747</v>
      </c>
      <c r="D406" s="1" t="s">
        <v>4747</v>
      </c>
      <c r="E406" s="1" t="s">
        <v>4747</v>
      </c>
      <c r="F406" s="1" t="s">
        <v>6186</v>
      </c>
      <c r="G406" s="1" t="s">
        <v>8024</v>
      </c>
      <c r="H406" s="1" t="s">
        <v>6089</v>
      </c>
      <c r="I406" s="1"/>
      <c r="J406" s="1"/>
      <c r="K406" s="1" t="s">
        <v>6090</v>
      </c>
      <c r="L406" s="1" t="s">
        <v>8092</v>
      </c>
      <c r="M406" s="1" t="s">
        <v>8093</v>
      </c>
      <c r="N406" s="1"/>
      <c r="O406" s="1"/>
      <c r="P406" s="1"/>
      <c r="Q406" s="1"/>
      <c r="R406" s="1"/>
      <c r="S406" s="1"/>
      <c r="T406" s="1"/>
      <c r="U406" s="1"/>
      <c r="V406" s="1"/>
      <c r="W406" s="1"/>
    </row>
    <row r="407" spans="1:23" ht="96" customHeight="1">
      <c r="A407" s="1" t="s">
        <v>4973</v>
      </c>
      <c r="B407" s="1" t="s">
        <v>6185</v>
      </c>
      <c r="C407" s="1" t="s">
        <v>4747</v>
      </c>
      <c r="D407" s="1" t="s">
        <v>4747</v>
      </c>
      <c r="E407" s="1" t="s">
        <v>8094</v>
      </c>
      <c r="F407" s="1" t="s">
        <v>6138</v>
      </c>
      <c r="G407" s="1" t="s">
        <v>8024</v>
      </c>
      <c r="H407" s="1" t="s">
        <v>6089</v>
      </c>
      <c r="I407" s="1"/>
      <c r="J407" s="1"/>
      <c r="K407" s="1" t="s">
        <v>6090</v>
      </c>
      <c r="L407" s="1" t="s">
        <v>8095</v>
      </c>
      <c r="M407" s="1" t="s">
        <v>8096</v>
      </c>
      <c r="N407" s="1"/>
      <c r="O407" s="1"/>
      <c r="P407" s="1"/>
      <c r="Q407" s="1"/>
      <c r="R407" s="1" t="s">
        <v>8097</v>
      </c>
      <c r="S407" s="1" t="s">
        <v>8098</v>
      </c>
      <c r="T407" s="1" t="s">
        <v>8099</v>
      </c>
      <c r="U407" s="1" t="s">
        <v>6096</v>
      </c>
      <c r="V407" s="1" t="s">
        <v>6184</v>
      </c>
      <c r="W407" s="1" t="s">
        <v>8100</v>
      </c>
    </row>
    <row r="408" spans="1:23" ht="96" customHeight="1">
      <c r="A408" s="1" t="s">
        <v>4973</v>
      </c>
      <c r="B408" s="1" t="s">
        <v>6189</v>
      </c>
      <c r="C408" s="1" t="s">
        <v>8101</v>
      </c>
      <c r="D408" s="1" t="s">
        <v>4747</v>
      </c>
      <c r="E408" s="1" t="s">
        <v>8102</v>
      </c>
      <c r="F408" s="1" t="s">
        <v>6138</v>
      </c>
      <c r="G408" s="1" t="s">
        <v>8024</v>
      </c>
      <c r="H408" s="1" t="s">
        <v>6089</v>
      </c>
      <c r="I408" s="1"/>
      <c r="J408" s="1"/>
      <c r="K408" s="1" t="s">
        <v>6090</v>
      </c>
      <c r="L408" s="1" t="s">
        <v>8103</v>
      </c>
      <c r="M408" s="1" t="s">
        <v>8104</v>
      </c>
      <c r="N408" s="1"/>
      <c r="O408" s="1"/>
      <c r="P408" s="1"/>
      <c r="Q408" s="1"/>
      <c r="R408" s="1" t="s">
        <v>8105</v>
      </c>
      <c r="S408" s="1" t="s">
        <v>8106</v>
      </c>
      <c r="T408" s="1" t="s">
        <v>8031</v>
      </c>
      <c r="U408" s="1" t="s">
        <v>6096</v>
      </c>
      <c r="V408" s="1" t="s">
        <v>6184</v>
      </c>
      <c r="W408" s="1" t="s">
        <v>8032</v>
      </c>
    </row>
    <row r="409" spans="1:23" ht="48" customHeight="1">
      <c r="A409" s="1" t="s">
        <v>4973</v>
      </c>
      <c r="B409" s="1" t="s">
        <v>6196</v>
      </c>
      <c r="C409" s="1" t="s">
        <v>6197</v>
      </c>
      <c r="D409" s="1" t="s">
        <v>4747</v>
      </c>
      <c r="E409" s="1"/>
      <c r="F409" s="1" t="s">
        <v>6110</v>
      </c>
      <c r="G409" s="1" t="s">
        <v>8024</v>
      </c>
      <c r="H409" s="1" t="s">
        <v>6089</v>
      </c>
      <c r="I409" s="1"/>
      <c r="J409" s="1"/>
      <c r="K409" s="1" t="s">
        <v>6090</v>
      </c>
      <c r="L409" s="1" t="s">
        <v>8107</v>
      </c>
      <c r="M409" s="1" t="s">
        <v>8108</v>
      </c>
      <c r="N409" s="1"/>
      <c r="O409" s="1"/>
      <c r="P409" s="1"/>
      <c r="Q409" s="1"/>
      <c r="R409" s="1"/>
      <c r="S409" s="1"/>
      <c r="T409" s="1"/>
      <c r="U409" s="1"/>
      <c r="V409" s="1"/>
      <c r="W409" s="1"/>
    </row>
    <row r="410" spans="1:23" ht="48" customHeight="1">
      <c r="A410" s="1" t="s">
        <v>4973</v>
      </c>
      <c r="B410" s="1" t="s">
        <v>6200</v>
      </c>
      <c r="C410" s="1" t="s">
        <v>8109</v>
      </c>
      <c r="D410" s="1" t="s">
        <v>8110</v>
      </c>
      <c r="E410" s="1" t="s">
        <v>8111</v>
      </c>
      <c r="F410" s="1" t="s">
        <v>6349</v>
      </c>
      <c r="G410" s="1" t="s">
        <v>8024</v>
      </c>
      <c r="H410" s="1" t="s">
        <v>6089</v>
      </c>
      <c r="I410" s="1"/>
      <c r="J410" s="1"/>
      <c r="K410" s="1" t="s">
        <v>6090</v>
      </c>
      <c r="L410" s="1" t="s">
        <v>8112</v>
      </c>
      <c r="M410" s="1" t="s">
        <v>8113</v>
      </c>
      <c r="N410" s="1"/>
      <c r="O410" s="1"/>
      <c r="P410" s="1"/>
      <c r="Q410" s="1"/>
      <c r="R410" s="1" t="s">
        <v>8114</v>
      </c>
      <c r="S410" s="1" t="s">
        <v>7006</v>
      </c>
      <c r="T410" s="1" t="s">
        <v>8031</v>
      </c>
      <c r="U410" s="1" t="s">
        <v>6096</v>
      </c>
      <c r="V410" s="1" t="s">
        <v>6502</v>
      </c>
      <c r="W410" s="1" t="s">
        <v>8032</v>
      </c>
    </row>
    <row r="411" spans="1:23" ht="48" customHeight="1">
      <c r="A411" s="1" t="s">
        <v>4973</v>
      </c>
      <c r="B411" s="1" t="s">
        <v>5583</v>
      </c>
      <c r="C411" s="1" t="s">
        <v>4747</v>
      </c>
      <c r="D411" s="1" t="s">
        <v>4747</v>
      </c>
      <c r="E411" s="1" t="s">
        <v>4747</v>
      </c>
      <c r="F411" s="1" t="s">
        <v>6186</v>
      </c>
      <c r="G411" s="1" t="s">
        <v>8024</v>
      </c>
      <c r="H411" s="1" t="s">
        <v>6089</v>
      </c>
      <c r="I411" s="1"/>
      <c r="J411" s="1"/>
      <c r="K411" s="1" t="s">
        <v>6090</v>
      </c>
      <c r="L411" s="1" t="s">
        <v>8115</v>
      </c>
      <c r="M411" s="1" t="s">
        <v>8116</v>
      </c>
      <c r="N411" s="1"/>
      <c r="O411" s="1"/>
      <c r="P411" s="1"/>
      <c r="Q411" s="1"/>
      <c r="R411" s="1"/>
      <c r="S411" s="1"/>
      <c r="T411" s="1"/>
      <c r="U411" s="1"/>
      <c r="V411" s="1"/>
      <c r="W411" s="1"/>
    </row>
    <row r="412" spans="1:23" ht="48" customHeight="1">
      <c r="A412" s="1" t="s">
        <v>4973</v>
      </c>
      <c r="B412" s="1" t="s">
        <v>6209</v>
      </c>
      <c r="C412" s="1" t="s">
        <v>8117</v>
      </c>
      <c r="D412" s="1" t="s">
        <v>6509</v>
      </c>
      <c r="E412" s="1" t="s">
        <v>8118</v>
      </c>
      <c r="F412" s="1" t="s">
        <v>6163</v>
      </c>
      <c r="G412" s="1" t="s">
        <v>8024</v>
      </c>
      <c r="H412" s="1" t="s">
        <v>6089</v>
      </c>
      <c r="I412" s="1"/>
      <c r="J412" s="1"/>
      <c r="K412" s="1" t="s">
        <v>6090</v>
      </c>
      <c r="L412" s="1" t="s">
        <v>8119</v>
      </c>
      <c r="M412" s="1" t="s">
        <v>8120</v>
      </c>
      <c r="N412" s="1"/>
      <c r="O412" s="1"/>
      <c r="P412" s="1"/>
      <c r="Q412" s="1"/>
      <c r="R412" s="1" t="s">
        <v>8121</v>
      </c>
      <c r="S412" s="1" t="s">
        <v>7006</v>
      </c>
      <c r="T412" s="1" t="s">
        <v>8031</v>
      </c>
      <c r="U412" s="1" t="s">
        <v>6096</v>
      </c>
      <c r="V412" s="1" t="s">
        <v>6168</v>
      </c>
      <c r="W412" s="1" t="s">
        <v>8032</v>
      </c>
    </row>
    <row r="413" spans="1:23" ht="48" customHeight="1">
      <c r="A413" s="1" t="s">
        <v>4973</v>
      </c>
      <c r="B413" s="1" t="s">
        <v>6212</v>
      </c>
      <c r="C413" s="1" t="s">
        <v>4747</v>
      </c>
      <c r="D413" s="1" t="s">
        <v>8122</v>
      </c>
      <c r="E413" s="1"/>
      <c r="F413" s="1" t="s">
        <v>6110</v>
      </c>
      <c r="G413" s="1" t="s">
        <v>8024</v>
      </c>
      <c r="H413" s="1" t="s">
        <v>6089</v>
      </c>
      <c r="I413" s="1"/>
      <c r="J413" s="1"/>
      <c r="K413" s="1" t="s">
        <v>6090</v>
      </c>
      <c r="L413" s="1" t="s">
        <v>8123</v>
      </c>
      <c r="M413" s="1" t="s">
        <v>8124</v>
      </c>
      <c r="N413" s="1"/>
      <c r="O413" s="1"/>
      <c r="P413" s="1"/>
      <c r="Q413" s="1"/>
      <c r="R413" s="1"/>
      <c r="S413" s="1"/>
      <c r="T413" s="1"/>
      <c r="U413" s="1"/>
      <c r="V413" s="1"/>
      <c r="W413" s="1"/>
    </row>
    <row r="414" spans="1:23" ht="48" customHeight="1">
      <c r="A414" s="1" t="s">
        <v>4973</v>
      </c>
      <c r="B414" s="1" t="s">
        <v>6215</v>
      </c>
      <c r="C414" s="1"/>
      <c r="D414" s="1" t="s">
        <v>4747</v>
      </c>
      <c r="E414" s="1"/>
      <c r="F414" s="1" t="s">
        <v>6216</v>
      </c>
      <c r="G414" s="1"/>
      <c r="H414" s="1" t="s">
        <v>6089</v>
      </c>
      <c r="I414" s="1"/>
      <c r="J414" s="1"/>
      <c r="K414" s="1" t="s">
        <v>6090</v>
      </c>
      <c r="L414" s="1"/>
      <c r="M414" s="1" t="s">
        <v>8125</v>
      </c>
      <c r="N414" s="1"/>
      <c r="O414" s="1"/>
      <c r="P414" s="1"/>
      <c r="Q414" s="1"/>
      <c r="R414" s="1"/>
      <c r="S414" s="1"/>
      <c r="T414" s="1"/>
      <c r="U414" s="1"/>
      <c r="V414" s="1"/>
      <c r="W414" s="1"/>
    </row>
    <row r="415" spans="1:23" ht="48" customHeight="1">
      <c r="A415" s="1" t="s">
        <v>4973</v>
      </c>
      <c r="B415" s="1" t="s">
        <v>6218</v>
      </c>
      <c r="C415" s="1" t="s">
        <v>8126</v>
      </c>
      <c r="D415" s="1" t="s">
        <v>8127</v>
      </c>
      <c r="E415" s="1"/>
      <c r="F415" s="1" t="s">
        <v>6110</v>
      </c>
      <c r="G415" s="1" t="s">
        <v>8024</v>
      </c>
      <c r="H415" s="1" t="s">
        <v>6089</v>
      </c>
      <c r="I415" s="1"/>
      <c r="J415" s="1"/>
      <c r="K415" s="1" t="s">
        <v>6090</v>
      </c>
      <c r="L415" s="1" t="s">
        <v>8128</v>
      </c>
      <c r="M415" s="1" t="s">
        <v>8129</v>
      </c>
      <c r="N415" s="1"/>
      <c r="O415" s="1"/>
      <c r="P415" s="1"/>
      <c r="Q415" s="1"/>
      <c r="R415" s="1"/>
      <c r="S415" s="1"/>
      <c r="T415" s="1"/>
      <c r="U415" s="1"/>
      <c r="V415" s="1"/>
      <c r="W415" s="1"/>
    </row>
    <row r="416" spans="1:23" ht="48" customHeight="1">
      <c r="A416" s="1" t="s">
        <v>4973</v>
      </c>
      <c r="B416" s="1" t="s">
        <v>6222</v>
      </c>
      <c r="C416" s="1" t="s">
        <v>8130</v>
      </c>
      <c r="D416" s="1" t="s">
        <v>4747</v>
      </c>
      <c r="E416" s="1"/>
      <c r="F416" s="1" t="s">
        <v>6110</v>
      </c>
      <c r="G416" s="1" t="s">
        <v>8024</v>
      </c>
      <c r="H416" s="1" t="s">
        <v>6089</v>
      </c>
      <c r="I416" s="1"/>
      <c r="J416" s="1"/>
      <c r="K416" s="1" t="s">
        <v>6090</v>
      </c>
      <c r="L416" s="1" t="s">
        <v>8131</v>
      </c>
      <c r="M416" s="1" t="s">
        <v>8132</v>
      </c>
      <c r="N416" s="1"/>
      <c r="O416" s="1"/>
      <c r="P416" s="1"/>
      <c r="Q416" s="1"/>
      <c r="R416" s="1"/>
      <c r="S416" s="1"/>
      <c r="T416" s="1"/>
      <c r="U416" s="1"/>
      <c r="V416" s="1"/>
      <c r="W416" s="1"/>
    </row>
    <row r="417" spans="1:23" ht="48" customHeight="1">
      <c r="A417" s="1" t="s">
        <v>4973</v>
      </c>
      <c r="B417" s="1" t="s">
        <v>6227</v>
      </c>
      <c r="C417" s="1" t="s">
        <v>4747</v>
      </c>
      <c r="D417" s="1" t="s">
        <v>4747</v>
      </c>
      <c r="E417" s="1" t="s">
        <v>4747</v>
      </c>
      <c r="F417" s="1" t="s">
        <v>6186</v>
      </c>
      <c r="G417" s="1" t="s">
        <v>8024</v>
      </c>
      <c r="H417" s="1" t="s">
        <v>6089</v>
      </c>
      <c r="I417" s="1"/>
      <c r="J417" s="1"/>
      <c r="K417" s="1" t="s">
        <v>6090</v>
      </c>
      <c r="L417" s="1" t="s">
        <v>8133</v>
      </c>
      <c r="M417" s="1" t="s">
        <v>8134</v>
      </c>
      <c r="N417" s="1"/>
      <c r="O417" s="1"/>
      <c r="P417" s="1"/>
      <c r="Q417" s="1"/>
      <c r="R417" s="1"/>
      <c r="S417" s="1"/>
      <c r="T417" s="1"/>
      <c r="U417" s="1"/>
      <c r="V417" s="1"/>
      <c r="W417" s="1"/>
    </row>
    <row r="418" spans="1:23" ht="48" customHeight="1">
      <c r="A418" s="1" t="s">
        <v>4973</v>
      </c>
      <c r="B418" s="1" t="s">
        <v>6232</v>
      </c>
      <c r="C418" s="1" t="s">
        <v>4747</v>
      </c>
      <c r="D418" s="1" t="s">
        <v>7310</v>
      </c>
      <c r="E418" s="1"/>
      <c r="F418" s="1" t="s">
        <v>6110</v>
      </c>
      <c r="G418" s="1" t="s">
        <v>8024</v>
      </c>
      <c r="H418" s="1" t="s">
        <v>6089</v>
      </c>
      <c r="I418" s="1"/>
      <c r="J418" s="1"/>
      <c r="K418" s="1" t="s">
        <v>6090</v>
      </c>
      <c r="L418" s="1" t="s">
        <v>8135</v>
      </c>
      <c r="M418" s="1" t="s">
        <v>8136</v>
      </c>
      <c r="N418" s="1"/>
      <c r="O418" s="1"/>
      <c r="P418" s="1"/>
      <c r="Q418" s="1"/>
      <c r="R418" s="1"/>
      <c r="S418" s="1"/>
      <c r="T418" s="1"/>
      <c r="U418" s="1"/>
      <c r="V418" s="1"/>
      <c r="W418" s="1"/>
    </row>
    <row r="419" spans="1:23" ht="48" customHeight="1">
      <c r="A419" s="1" t="s">
        <v>4973</v>
      </c>
      <c r="B419" s="1" t="s">
        <v>6236</v>
      </c>
      <c r="C419" s="1" t="s">
        <v>8137</v>
      </c>
      <c r="D419" s="1" t="s">
        <v>8138</v>
      </c>
      <c r="E419" s="1" t="s">
        <v>8139</v>
      </c>
      <c r="F419" s="1" t="s">
        <v>6163</v>
      </c>
      <c r="G419" s="1" t="s">
        <v>8024</v>
      </c>
      <c r="H419" s="1" t="s">
        <v>6089</v>
      </c>
      <c r="I419" s="1"/>
      <c r="J419" s="1"/>
      <c r="K419" s="1" t="s">
        <v>6090</v>
      </c>
      <c r="L419" s="1" t="s">
        <v>8140</v>
      </c>
      <c r="M419" s="1" t="s">
        <v>8141</v>
      </c>
      <c r="N419" s="1"/>
      <c r="O419" s="1"/>
      <c r="P419" s="1"/>
      <c r="Q419" s="1"/>
      <c r="R419" s="1" t="s">
        <v>8142</v>
      </c>
      <c r="S419" s="1" t="s">
        <v>8143</v>
      </c>
      <c r="T419" s="1" t="s">
        <v>8031</v>
      </c>
      <c r="U419" s="1" t="s">
        <v>6096</v>
      </c>
      <c r="V419" s="1" t="s">
        <v>6244</v>
      </c>
      <c r="W419" s="1" t="s">
        <v>8032</v>
      </c>
    </row>
    <row r="420" spans="1:23" ht="48" customHeight="1">
      <c r="A420" s="1" t="s">
        <v>4973</v>
      </c>
      <c r="B420" s="1" t="s">
        <v>6245</v>
      </c>
      <c r="C420" s="1" t="s">
        <v>8144</v>
      </c>
      <c r="D420" s="1"/>
      <c r="E420" s="1"/>
      <c r="F420" s="1" t="s">
        <v>6216</v>
      </c>
      <c r="G420" s="1" t="s">
        <v>8024</v>
      </c>
      <c r="H420" s="1"/>
      <c r="I420" s="1"/>
      <c r="J420" s="1"/>
      <c r="K420" s="1" t="s">
        <v>6090</v>
      </c>
      <c r="L420" s="1" t="s">
        <v>8145</v>
      </c>
      <c r="M420" s="1"/>
      <c r="N420" s="1"/>
      <c r="O420" s="1"/>
      <c r="P420" s="1"/>
      <c r="Q420" s="1"/>
      <c r="R420" s="1"/>
      <c r="S420" s="1"/>
      <c r="T420" s="1"/>
      <c r="U420" s="1"/>
      <c r="V420" s="1"/>
      <c r="W420" s="1"/>
    </row>
    <row r="421" spans="1:23" ht="48" customHeight="1">
      <c r="A421" s="1" t="s">
        <v>4973</v>
      </c>
      <c r="B421" s="1" t="s">
        <v>6248</v>
      </c>
      <c r="C421" s="1" t="s">
        <v>8146</v>
      </c>
      <c r="D421" s="1"/>
      <c r="E421" s="1"/>
      <c r="F421" s="1" t="s">
        <v>6216</v>
      </c>
      <c r="G421" s="1" t="s">
        <v>8024</v>
      </c>
      <c r="H421" s="1"/>
      <c r="I421" s="1"/>
      <c r="J421" s="1"/>
      <c r="K421" s="1" t="s">
        <v>6090</v>
      </c>
      <c r="L421" s="1" t="s">
        <v>8147</v>
      </c>
      <c r="M421" s="1"/>
      <c r="N421" s="1"/>
      <c r="O421" s="1"/>
      <c r="P421" s="1"/>
      <c r="Q421" s="1"/>
      <c r="R421" s="1"/>
      <c r="S421" s="1"/>
      <c r="T421" s="1"/>
      <c r="U421" s="1"/>
      <c r="V421" s="1"/>
      <c r="W421" s="1"/>
    </row>
    <row r="422" spans="1:23" ht="48" customHeight="1">
      <c r="A422" s="1" t="s">
        <v>5004</v>
      </c>
      <c r="B422" s="1" t="s">
        <v>6083</v>
      </c>
      <c r="C422" s="1" t="s">
        <v>8148</v>
      </c>
      <c r="D422" s="1" t="s">
        <v>8149</v>
      </c>
      <c r="E422" s="1" t="s">
        <v>8150</v>
      </c>
      <c r="F422" s="1" t="s">
        <v>6087</v>
      </c>
      <c r="G422" s="1" t="s">
        <v>8151</v>
      </c>
      <c r="H422" s="1" t="s">
        <v>6089</v>
      </c>
      <c r="I422" s="1"/>
      <c r="J422" s="1"/>
      <c r="K422" s="1" t="s">
        <v>6090</v>
      </c>
      <c r="L422" s="1" t="s">
        <v>8152</v>
      </c>
      <c r="M422" s="1" t="s">
        <v>8153</v>
      </c>
      <c r="N422" s="1"/>
      <c r="O422" s="1" t="s">
        <v>8154</v>
      </c>
      <c r="P422" s="1" t="s">
        <v>8155</v>
      </c>
      <c r="Q422" s="1" t="s">
        <v>6462</v>
      </c>
      <c r="R422" s="1" t="s">
        <v>8156</v>
      </c>
      <c r="S422" s="1" t="s">
        <v>8157</v>
      </c>
      <c r="T422" s="1" t="s">
        <v>8158</v>
      </c>
      <c r="U422" s="1" t="s">
        <v>6096</v>
      </c>
      <c r="V422" s="1" t="s">
        <v>6097</v>
      </c>
      <c r="W422" s="1" t="s">
        <v>8159</v>
      </c>
    </row>
    <row r="423" spans="1:23" ht="48" customHeight="1">
      <c r="A423" s="1" t="s">
        <v>5004</v>
      </c>
      <c r="B423" s="1" t="s">
        <v>6099</v>
      </c>
      <c r="C423" s="1" t="s">
        <v>8160</v>
      </c>
      <c r="D423" s="1" t="s">
        <v>6102</v>
      </c>
      <c r="E423" s="1" t="s">
        <v>6102</v>
      </c>
      <c r="F423" s="1" t="s">
        <v>6087</v>
      </c>
      <c r="G423" s="1" t="s">
        <v>8151</v>
      </c>
      <c r="H423" s="1" t="s">
        <v>6089</v>
      </c>
      <c r="I423" s="1"/>
      <c r="J423" s="1"/>
      <c r="K423" s="1" t="s">
        <v>6090</v>
      </c>
      <c r="L423" s="1" t="s">
        <v>8161</v>
      </c>
      <c r="M423" s="1" t="s">
        <v>8162</v>
      </c>
      <c r="N423" s="1"/>
      <c r="O423" s="1"/>
      <c r="P423" s="1"/>
      <c r="Q423" s="1"/>
      <c r="R423" s="1" t="s">
        <v>8163</v>
      </c>
      <c r="S423" s="1" t="s">
        <v>8164</v>
      </c>
      <c r="T423" s="1" t="s">
        <v>8158</v>
      </c>
      <c r="U423" s="1" t="s">
        <v>6096</v>
      </c>
      <c r="V423" s="1" t="s">
        <v>6097</v>
      </c>
      <c r="W423" s="1" t="s">
        <v>8159</v>
      </c>
    </row>
    <row r="424" spans="1:23" ht="48" customHeight="1">
      <c r="A424" s="1" t="s">
        <v>5004</v>
      </c>
      <c r="B424" s="1" t="s">
        <v>6107</v>
      </c>
      <c r="C424" s="1" t="s">
        <v>8165</v>
      </c>
      <c r="D424" s="1" t="s">
        <v>8166</v>
      </c>
      <c r="E424" s="1"/>
      <c r="F424" s="1" t="s">
        <v>6110</v>
      </c>
      <c r="G424" s="1" t="s">
        <v>8151</v>
      </c>
      <c r="H424" s="1" t="s">
        <v>6089</v>
      </c>
      <c r="I424" s="1"/>
      <c r="J424" s="1"/>
      <c r="K424" s="1" t="s">
        <v>6090</v>
      </c>
      <c r="L424" s="1" t="s">
        <v>8167</v>
      </c>
      <c r="M424" s="1" t="s">
        <v>8168</v>
      </c>
      <c r="N424" s="1"/>
      <c r="O424" s="1"/>
      <c r="P424" s="1"/>
      <c r="Q424" s="1"/>
      <c r="R424" s="1"/>
      <c r="S424" s="1"/>
      <c r="T424" s="1"/>
      <c r="U424" s="1"/>
      <c r="V424" s="1"/>
      <c r="W424" s="1"/>
    </row>
    <row r="425" spans="1:23" ht="48" customHeight="1">
      <c r="A425" s="1" t="s">
        <v>5004</v>
      </c>
      <c r="B425" s="1" t="s">
        <v>6113</v>
      </c>
      <c r="C425" s="1" t="s">
        <v>8169</v>
      </c>
      <c r="D425" s="1" t="s">
        <v>8170</v>
      </c>
      <c r="E425" s="1"/>
      <c r="F425" s="1" t="s">
        <v>6110</v>
      </c>
      <c r="G425" s="1" t="s">
        <v>8151</v>
      </c>
      <c r="H425" s="1" t="s">
        <v>6089</v>
      </c>
      <c r="I425" s="1"/>
      <c r="J425" s="1"/>
      <c r="K425" s="1" t="s">
        <v>6090</v>
      </c>
      <c r="L425" s="1" t="s">
        <v>8171</v>
      </c>
      <c r="M425" s="1" t="s">
        <v>8172</v>
      </c>
      <c r="N425" s="1"/>
      <c r="O425" s="1"/>
      <c r="P425" s="1"/>
      <c r="Q425" s="1"/>
      <c r="R425" s="1"/>
      <c r="S425" s="1"/>
      <c r="T425" s="1"/>
      <c r="U425" s="1"/>
      <c r="V425" s="1"/>
      <c r="W425" s="1"/>
    </row>
    <row r="426" spans="1:23" ht="48" customHeight="1">
      <c r="A426" s="1" t="s">
        <v>5004</v>
      </c>
      <c r="B426" s="1" t="s">
        <v>6118</v>
      </c>
      <c r="C426" s="1" t="s">
        <v>8173</v>
      </c>
      <c r="D426" s="1" t="s">
        <v>8174</v>
      </c>
      <c r="E426" s="1" t="s">
        <v>8175</v>
      </c>
      <c r="F426" s="1" t="s">
        <v>6087</v>
      </c>
      <c r="G426" s="1" t="s">
        <v>8151</v>
      </c>
      <c r="H426" s="1" t="s">
        <v>6089</v>
      </c>
      <c r="I426" s="1"/>
      <c r="J426" s="1"/>
      <c r="K426" s="1" t="s">
        <v>6090</v>
      </c>
      <c r="L426" s="1" t="s">
        <v>8176</v>
      </c>
      <c r="M426" s="1" t="s">
        <v>8177</v>
      </c>
      <c r="N426" s="1"/>
      <c r="O426" s="1"/>
      <c r="P426" s="1"/>
      <c r="Q426" s="1"/>
      <c r="R426" s="1" t="s">
        <v>8178</v>
      </c>
      <c r="S426" s="1" t="s">
        <v>8179</v>
      </c>
      <c r="T426" s="1" t="s">
        <v>8158</v>
      </c>
      <c r="U426" s="1" t="s">
        <v>6096</v>
      </c>
      <c r="V426" s="1" t="s">
        <v>6097</v>
      </c>
      <c r="W426" s="1" t="s">
        <v>8159</v>
      </c>
    </row>
    <row r="427" spans="1:23" ht="48" customHeight="1">
      <c r="A427" s="1" t="s">
        <v>5004</v>
      </c>
      <c r="B427" s="1" t="s">
        <v>6126</v>
      </c>
      <c r="C427" s="1" t="s">
        <v>8180</v>
      </c>
      <c r="D427" s="1" t="s">
        <v>8181</v>
      </c>
      <c r="E427" s="1" t="s">
        <v>6129</v>
      </c>
      <c r="F427" s="1" t="s">
        <v>6087</v>
      </c>
      <c r="G427" s="1" t="s">
        <v>8151</v>
      </c>
      <c r="H427" s="1" t="s">
        <v>6089</v>
      </c>
      <c r="I427" s="1"/>
      <c r="J427" s="1"/>
      <c r="K427" s="1" t="s">
        <v>6090</v>
      </c>
      <c r="L427" s="1" t="s">
        <v>8182</v>
      </c>
      <c r="M427" s="1" t="s">
        <v>8183</v>
      </c>
      <c r="N427" s="1"/>
      <c r="O427" s="1"/>
      <c r="P427" s="1"/>
      <c r="Q427" s="1"/>
      <c r="R427" s="1" t="s">
        <v>8184</v>
      </c>
      <c r="S427" s="1" t="s">
        <v>8185</v>
      </c>
      <c r="T427" s="1" t="s">
        <v>8158</v>
      </c>
      <c r="U427" s="1" t="s">
        <v>6096</v>
      </c>
      <c r="V427" s="1" t="s">
        <v>6097</v>
      </c>
      <c r="W427" s="1" t="s">
        <v>8159</v>
      </c>
    </row>
    <row r="428" spans="1:23" ht="48" customHeight="1">
      <c r="A428" s="1" t="s">
        <v>5004</v>
      </c>
      <c r="B428" s="1" t="s">
        <v>6134</v>
      </c>
      <c r="C428" s="1" t="s">
        <v>8186</v>
      </c>
      <c r="D428" s="1" t="s">
        <v>8187</v>
      </c>
      <c r="E428" s="1" t="s">
        <v>8188</v>
      </c>
      <c r="F428" s="1" t="s">
        <v>6138</v>
      </c>
      <c r="G428" s="1" t="s">
        <v>8151</v>
      </c>
      <c r="H428" s="1" t="s">
        <v>6089</v>
      </c>
      <c r="I428" s="1"/>
      <c r="J428" s="1"/>
      <c r="K428" s="1" t="s">
        <v>6090</v>
      </c>
      <c r="L428" s="1" t="s">
        <v>8189</v>
      </c>
      <c r="M428" s="1" t="s">
        <v>8190</v>
      </c>
      <c r="N428" s="1"/>
      <c r="O428" s="1"/>
      <c r="P428" s="1"/>
      <c r="Q428" s="1"/>
      <c r="R428" s="1" t="s">
        <v>8191</v>
      </c>
      <c r="S428" s="1" t="s">
        <v>8192</v>
      </c>
      <c r="T428" s="1" t="s">
        <v>8158</v>
      </c>
      <c r="U428" s="1" t="s">
        <v>6096</v>
      </c>
      <c r="V428" s="1" t="s">
        <v>6143</v>
      </c>
      <c r="W428" s="1" t="s">
        <v>8159</v>
      </c>
    </row>
    <row r="429" spans="1:23" ht="48" customHeight="1">
      <c r="A429" s="1" t="s">
        <v>5004</v>
      </c>
      <c r="B429" s="1" t="s">
        <v>6144</v>
      </c>
      <c r="C429" s="1" t="s">
        <v>8193</v>
      </c>
      <c r="D429" s="1" t="s">
        <v>4747</v>
      </c>
      <c r="E429" s="1" t="s">
        <v>8194</v>
      </c>
      <c r="F429" s="1" t="s">
        <v>6138</v>
      </c>
      <c r="G429" s="1" t="s">
        <v>8151</v>
      </c>
      <c r="H429" s="1" t="s">
        <v>6089</v>
      </c>
      <c r="I429" s="1"/>
      <c r="J429" s="1"/>
      <c r="K429" s="1" t="s">
        <v>6090</v>
      </c>
      <c r="L429" s="1" t="s">
        <v>8195</v>
      </c>
      <c r="M429" s="1" t="s">
        <v>8196</v>
      </c>
      <c r="N429" s="1"/>
      <c r="O429" s="1"/>
      <c r="P429" s="1"/>
      <c r="Q429" s="1"/>
      <c r="R429" s="1" t="s">
        <v>8191</v>
      </c>
      <c r="S429" s="1" t="s">
        <v>8192</v>
      </c>
      <c r="T429" s="1" t="s">
        <v>8158</v>
      </c>
      <c r="U429" s="1" t="s">
        <v>6096</v>
      </c>
      <c r="V429" s="1" t="s">
        <v>6143</v>
      </c>
      <c r="W429" s="1" t="s">
        <v>8159</v>
      </c>
    </row>
    <row r="430" spans="1:23" ht="48" customHeight="1">
      <c r="A430" s="1" t="s">
        <v>5004</v>
      </c>
      <c r="B430" s="1" t="s">
        <v>6149</v>
      </c>
      <c r="C430" s="1" t="s">
        <v>8197</v>
      </c>
      <c r="D430" s="1" t="s">
        <v>8198</v>
      </c>
      <c r="E430" s="1" t="s">
        <v>8199</v>
      </c>
      <c r="F430" s="1" t="s">
        <v>6138</v>
      </c>
      <c r="G430" s="1" t="s">
        <v>8151</v>
      </c>
      <c r="H430" s="1" t="s">
        <v>6089</v>
      </c>
      <c r="I430" s="1"/>
      <c r="J430" s="1"/>
      <c r="K430" s="1" t="s">
        <v>6090</v>
      </c>
      <c r="L430" s="1" t="s">
        <v>8200</v>
      </c>
      <c r="M430" s="1" t="s">
        <v>8201</v>
      </c>
      <c r="N430" s="1"/>
      <c r="O430" s="1"/>
      <c r="P430" s="1"/>
      <c r="Q430" s="1"/>
      <c r="R430" s="1" t="s">
        <v>8191</v>
      </c>
      <c r="S430" s="1" t="s">
        <v>8192</v>
      </c>
      <c r="T430" s="1" t="s">
        <v>8158</v>
      </c>
      <c r="U430" s="1" t="s">
        <v>6096</v>
      </c>
      <c r="V430" s="1" t="s">
        <v>6143</v>
      </c>
      <c r="W430" s="1" t="s">
        <v>8159</v>
      </c>
    </row>
    <row r="431" spans="1:23" ht="48" customHeight="1">
      <c r="A431" s="1" t="s">
        <v>5004</v>
      </c>
      <c r="B431" s="1" t="s">
        <v>6154</v>
      </c>
      <c r="C431" s="1" t="s">
        <v>8202</v>
      </c>
      <c r="D431" s="1" t="s">
        <v>8203</v>
      </c>
      <c r="E431" s="1" t="s">
        <v>8204</v>
      </c>
      <c r="F431" s="1" t="s">
        <v>6138</v>
      </c>
      <c r="G431" s="1" t="s">
        <v>8151</v>
      </c>
      <c r="H431" s="1" t="s">
        <v>6089</v>
      </c>
      <c r="I431" s="1"/>
      <c r="J431" s="1"/>
      <c r="K431" s="1" t="s">
        <v>6090</v>
      </c>
      <c r="L431" s="1" t="s">
        <v>8205</v>
      </c>
      <c r="M431" s="1" t="s">
        <v>8206</v>
      </c>
      <c r="N431" s="1"/>
      <c r="O431" s="1"/>
      <c r="P431" s="1"/>
      <c r="Q431" s="1"/>
      <c r="R431" s="1" t="s">
        <v>8191</v>
      </c>
      <c r="S431" s="1" t="s">
        <v>8192</v>
      </c>
      <c r="T431" s="1" t="s">
        <v>8158</v>
      </c>
      <c r="U431" s="1" t="s">
        <v>6096</v>
      </c>
      <c r="V431" s="1" t="s">
        <v>6143</v>
      </c>
      <c r="W431" s="1" t="s">
        <v>8159</v>
      </c>
    </row>
    <row r="432" spans="1:23" ht="48" customHeight="1">
      <c r="A432" s="1" t="s">
        <v>5004</v>
      </c>
      <c r="B432" s="1" t="s">
        <v>6159</v>
      </c>
      <c r="C432" s="1" t="s">
        <v>4747</v>
      </c>
      <c r="D432" s="1" t="s">
        <v>4747</v>
      </c>
      <c r="E432" s="1" t="s">
        <v>4747</v>
      </c>
      <c r="F432" s="1" t="s">
        <v>6186</v>
      </c>
      <c r="G432" s="1" t="s">
        <v>8151</v>
      </c>
      <c r="H432" s="1" t="s">
        <v>6089</v>
      </c>
      <c r="I432" s="1"/>
      <c r="J432" s="1"/>
      <c r="K432" s="1" t="s">
        <v>6090</v>
      </c>
      <c r="L432" s="1" t="s">
        <v>8207</v>
      </c>
      <c r="M432" s="1" t="s">
        <v>8208</v>
      </c>
      <c r="N432" s="1"/>
      <c r="O432" s="1"/>
      <c r="P432" s="1"/>
      <c r="Q432" s="1"/>
      <c r="R432" s="1"/>
      <c r="S432" s="1"/>
      <c r="T432" s="1"/>
      <c r="U432" s="1"/>
      <c r="V432" s="1"/>
      <c r="W432" s="1"/>
    </row>
    <row r="433" spans="1:23" ht="48" customHeight="1">
      <c r="A433" s="1" t="s">
        <v>5004</v>
      </c>
      <c r="B433" s="1" t="s">
        <v>6169</v>
      </c>
      <c r="C433" s="1" t="s">
        <v>4747</v>
      </c>
      <c r="D433" s="1" t="s">
        <v>4747</v>
      </c>
      <c r="E433" s="1" t="s">
        <v>4747</v>
      </c>
      <c r="F433" s="1" t="s">
        <v>6186</v>
      </c>
      <c r="G433" s="1" t="s">
        <v>8151</v>
      </c>
      <c r="H433" s="1" t="s">
        <v>6089</v>
      </c>
      <c r="I433" s="1"/>
      <c r="J433" s="1"/>
      <c r="K433" s="1" t="s">
        <v>6090</v>
      </c>
      <c r="L433" s="1" t="s">
        <v>8209</v>
      </c>
      <c r="M433" s="1" t="s">
        <v>8210</v>
      </c>
      <c r="N433" s="1"/>
      <c r="O433" s="1"/>
      <c r="P433" s="1"/>
      <c r="Q433" s="1"/>
      <c r="R433" s="1"/>
      <c r="S433" s="1"/>
      <c r="T433" s="1"/>
      <c r="U433" s="1"/>
      <c r="V433" s="1"/>
      <c r="W433" s="1"/>
    </row>
    <row r="434" spans="1:23" ht="48" customHeight="1">
      <c r="A434" s="1" t="s">
        <v>5004</v>
      </c>
      <c r="B434" s="1" t="s">
        <v>6176</v>
      </c>
      <c r="C434" s="1" t="s">
        <v>4747</v>
      </c>
      <c r="D434" s="1" t="s">
        <v>4747</v>
      </c>
      <c r="E434" s="1" t="s">
        <v>4747</v>
      </c>
      <c r="F434" s="1" t="s">
        <v>6186</v>
      </c>
      <c r="G434" s="1" t="s">
        <v>8151</v>
      </c>
      <c r="H434" s="1" t="s">
        <v>6089</v>
      </c>
      <c r="I434" s="1"/>
      <c r="J434" s="1"/>
      <c r="K434" s="1" t="s">
        <v>6090</v>
      </c>
      <c r="L434" s="1" t="s">
        <v>8211</v>
      </c>
      <c r="M434" s="1" t="s">
        <v>8212</v>
      </c>
      <c r="N434" s="1"/>
      <c r="O434" s="1"/>
      <c r="P434" s="1"/>
      <c r="Q434" s="1"/>
      <c r="R434" s="1"/>
      <c r="S434" s="1"/>
      <c r="T434" s="1"/>
      <c r="U434" s="1"/>
      <c r="V434" s="1"/>
      <c r="W434" s="1"/>
    </row>
    <row r="435" spans="1:23" ht="48" customHeight="1">
      <c r="A435" s="1" t="s">
        <v>5004</v>
      </c>
      <c r="B435" s="1" t="s">
        <v>6185</v>
      </c>
      <c r="C435" s="1" t="s">
        <v>4747</v>
      </c>
      <c r="D435" s="1" t="s">
        <v>4747</v>
      </c>
      <c r="E435" s="1" t="s">
        <v>4747</v>
      </c>
      <c r="F435" s="1" t="s">
        <v>6186</v>
      </c>
      <c r="G435" s="1" t="s">
        <v>8151</v>
      </c>
      <c r="H435" s="1" t="s">
        <v>6089</v>
      </c>
      <c r="I435" s="1"/>
      <c r="J435" s="1"/>
      <c r="K435" s="1" t="s">
        <v>6090</v>
      </c>
      <c r="L435" s="1" t="s">
        <v>8213</v>
      </c>
      <c r="M435" s="1" t="s">
        <v>8214</v>
      </c>
      <c r="N435" s="1"/>
      <c r="O435" s="1"/>
      <c r="P435" s="1"/>
      <c r="Q435" s="1"/>
      <c r="R435" s="1"/>
      <c r="S435" s="1"/>
      <c r="T435" s="1"/>
      <c r="U435" s="1"/>
      <c r="V435" s="1"/>
      <c r="W435" s="1"/>
    </row>
    <row r="436" spans="1:23" ht="96" customHeight="1">
      <c r="A436" s="1" t="s">
        <v>5004</v>
      </c>
      <c r="B436" s="1" t="s">
        <v>6189</v>
      </c>
      <c r="C436" s="1" t="s">
        <v>8215</v>
      </c>
      <c r="D436" s="1" t="s">
        <v>4747</v>
      </c>
      <c r="E436" s="1" t="s">
        <v>8216</v>
      </c>
      <c r="F436" s="1" t="s">
        <v>6138</v>
      </c>
      <c r="G436" s="1" t="s">
        <v>8151</v>
      </c>
      <c r="H436" s="1" t="s">
        <v>6089</v>
      </c>
      <c r="I436" s="1"/>
      <c r="J436" s="1"/>
      <c r="K436" s="1" t="s">
        <v>6090</v>
      </c>
      <c r="L436" s="1" t="s">
        <v>8217</v>
      </c>
      <c r="M436" s="1" t="s">
        <v>8218</v>
      </c>
      <c r="N436" s="1"/>
      <c r="O436" s="1"/>
      <c r="P436" s="1"/>
      <c r="Q436" s="1"/>
      <c r="R436" s="1" t="s">
        <v>8219</v>
      </c>
      <c r="S436" s="1" t="s">
        <v>8220</v>
      </c>
      <c r="T436" s="1" t="s">
        <v>8158</v>
      </c>
      <c r="U436" s="1" t="s">
        <v>6096</v>
      </c>
      <c r="V436" s="1" t="s">
        <v>6184</v>
      </c>
      <c r="W436" s="1" t="s">
        <v>8159</v>
      </c>
    </row>
    <row r="437" spans="1:23" ht="48" customHeight="1">
      <c r="A437" s="1" t="s">
        <v>5004</v>
      </c>
      <c r="B437" s="1" t="s">
        <v>6196</v>
      </c>
      <c r="C437" s="1" t="s">
        <v>6197</v>
      </c>
      <c r="D437" s="1" t="s">
        <v>4747</v>
      </c>
      <c r="E437" s="1"/>
      <c r="F437" s="1" t="s">
        <v>6110</v>
      </c>
      <c r="G437" s="1" t="s">
        <v>8151</v>
      </c>
      <c r="H437" s="1" t="s">
        <v>6089</v>
      </c>
      <c r="I437" s="1"/>
      <c r="J437" s="1"/>
      <c r="K437" s="1" t="s">
        <v>6090</v>
      </c>
      <c r="L437" s="1" t="s">
        <v>8221</v>
      </c>
      <c r="M437" s="1" t="s">
        <v>8222</v>
      </c>
      <c r="N437" s="1"/>
      <c r="O437" s="1"/>
      <c r="P437" s="1"/>
      <c r="Q437" s="1"/>
      <c r="R437" s="1"/>
      <c r="S437" s="1"/>
      <c r="T437" s="1"/>
      <c r="U437" s="1"/>
      <c r="V437" s="1"/>
      <c r="W437" s="1"/>
    </row>
    <row r="438" spans="1:23" ht="48" customHeight="1">
      <c r="A438" s="1" t="s">
        <v>5004</v>
      </c>
      <c r="B438" s="1" t="s">
        <v>6200</v>
      </c>
      <c r="C438" s="1" t="s">
        <v>4747</v>
      </c>
      <c r="D438" s="1" t="s">
        <v>4747</v>
      </c>
      <c r="E438" s="1" t="s">
        <v>4747</v>
      </c>
      <c r="F438" s="1" t="s">
        <v>6186</v>
      </c>
      <c r="G438" s="1" t="s">
        <v>8151</v>
      </c>
      <c r="H438" s="1" t="s">
        <v>6089</v>
      </c>
      <c r="I438" s="1"/>
      <c r="J438" s="1"/>
      <c r="K438" s="1" t="s">
        <v>6090</v>
      </c>
      <c r="L438" s="1" t="s">
        <v>8223</v>
      </c>
      <c r="M438" s="1" t="s">
        <v>8224</v>
      </c>
      <c r="N438" s="1"/>
      <c r="O438" s="1"/>
      <c r="P438" s="1"/>
      <c r="Q438" s="1"/>
      <c r="R438" s="1"/>
      <c r="S438" s="1"/>
      <c r="T438" s="1"/>
      <c r="U438" s="1"/>
      <c r="V438" s="1"/>
      <c r="W438" s="1"/>
    </row>
    <row r="439" spans="1:23" ht="96" customHeight="1">
      <c r="A439" s="1" t="s">
        <v>5004</v>
      </c>
      <c r="B439" s="1" t="s">
        <v>5583</v>
      </c>
      <c r="C439" s="1" t="s">
        <v>8225</v>
      </c>
      <c r="D439" s="1" t="s">
        <v>4747</v>
      </c>
      <c r="E439" s="1" t="s">
        <v>8226</v>
      </c>
      <c r="F439" s="1" t="s">
        <v>6138</v>
      </c>
      <c r="G439" s="1" t="s">
        <v>8151</v>
      </c>
      <c r="H439" s="1" t="s">
        <v>6089</v>
      </c>
      <c r="I439" s="1"/>
      <c r="J439" s="1"/>
      <c r="K439" s="1" t="s">
        <v>6090</v>
      </c>
      <c r="L439" s="1" t="s">
        <v>8227</v>
      </c>
      <c r="M439" s="1" t="s">
        <v>8228</v>
      </c>
      <c r="N439" s="1"/>
      <c r="O439" s="1"/>
      <c r="P439" s="1"/>
      <c r="Q439" s="1"/>
      <c r="R439" s="1" t="s">
        <v>8229</v>
      </c>
      <c r="S439" s="1" t="s">
        <v>8230</v>
      </c>
      <c r="T439" s="1" t="s">
        <v>8158</v>
      </c>
      <c r="U439" s="1" t="s">
        <v>6096</v>
      </c>
      <c r="V439" s="1" t="s">
        <v>6184</v>
      </c>
      <c r="W439" s="1" t="s">
        <v>8159</v>
      </c>
    </row>
    <row r="440" spans="1:23" ht="48" customHeight="1">
      <c r="A440" s="1" t="s">
        <v>5004</v>
      </c>
      <c r="B440" s="1" t="s">
        <v>6209</v>
      </c>
      <c r="C440" s="1" t="s">
        <v>4747</v>
      </c>
      <c r="D440" s="1" t="s">
        <v>4747</v>
      </c>
      <c r="E440" s="1" t="s">
        <v>4747</v>
      </c>
      <c r="F440" s="1" t="s">
        <v>6186</v>
      </c>
      <c r="G440" s="1" t="s">
        <v>8151</v>
      </c>
      <c r="H440" s="1" t="s">
        <v>6089</v>
      </c>
      <c r="I440" s="1"/>
      <c r="J440" s="1"/>
      <c r="K440" s="1" t="s">
        <v>6090</v>
      </c>
      <c r="L440" s="1" t="s">
        <v>8231</v>
      </c>
      <c r="M440" s="1" t="s">
        <v>8232</v>
      </c>
      <c r="N440" s="1"/>
      <c r="O440" s="1"/>
      <c r="P440" s="1"/>
      <c r="Q440" s="1"/>
      <c r="R440" s="1"/>
      <c r="S440" s="1"/>
      <c r="T440" s="1"/>
      <c r="U440" s="1"/>
      <c r="V440" s="1"/>
      <c r="W440" s="1"/>
    </row>
    <row r="441" spans="1:23" ht="48" customHeight="1">
      <c r="A441" s="1" t="s">
        <v>5004</v>
      </c>
      <c r="B441" s="1" t="s">
        <v>6212</v>
      </c>
      <c r="C441" s="1" t="s">
        <v>4747</v>
      </c>
      <c r="D441" s="1" t="s">
        <v>4747</v>
      </c>
      <c r="E441" s="1" t="s">
        <v>4747</v>
      </c>
      <c r="F441" s="1" t="s">
        <v>6186</v>
      </c>
      <c r="G441" s="1" t="s">
        <v>8151</v>
      </c>
      <c r="H441" s="1" t="s">
        <v>6089</v>
      </c>
      <c r="I441" s="1"/>
      <c r="J441" s="1"/>
      <c r="K441" s="1" t="s">
        <v>6090</v>
      </c>
      <c r="L441" s="1" t="s">
        <v>8233</v>
      </c>
      <c r="M441" s="1" t="s">
        <v>8234</v>
      </c>
      <c r="N441" s="1"/>
      <c r="O441" s="1"/>
      <c r="P441" s="1"/>
      <c r="Q441" s="1"/>
      <c r="R441" s="1"/>
      <c r="S441" s="1"/>
      <c r="T441" s="1"/>
      <c r="U441" s="1"/>
      <c r="V441" s="1"/>
      <c r="W441" s="1"/>
    </row>
    <row r="442" spans="1:23" ht="48" customHeight="1">
      <c r="A442" s="1" t="s">
        <v>5004</v>
      </c>
      <c r="B442" s="1" t="s">
        <v>6215</v>
      </c>
      <c r="C442" s="1"/>
      <c r="D442" s="1" t="s">
        <v>4747</v>
      </c>
      <c r="E442" s="1"/>
      <c r="F442" s="1" t="s">
        <v>6216</v>
      </c>
      <c r="G442" s="1"/>
      <c r="H442" s="1" t="s">
        <v>6089</v>
      </c>
      <c r="I442" s="1"/>
      <c r="J442" s="1"/>
      <c r="K442" s="1" t="s">
        <v>6090</v>
      </c>
      <c r="L442" s="1"/>
      <c r="M442" s="1" t="s">
        <v>8235</v>
      </c>
      <c r="N442" s="1"/>
      <c r="O442" s="1"/>
      <c r="P442" s="1"/>
      <c r="Q442" s="1"/>
      <c r="R442" s="1"/>
      <c r="S442" s="1"/>
      <c r="T442" s="1"/>
      <c r="U442" s="1"/>
      <c r="V442" s="1"/>
      <c r="W442" s="1"/>
    </row>
    <row r="443" spans="1:23" ht="48" customHeight="1">
      <c r="A443" s="1" t="s">
        <v>5004</v>
      </c>
      <c r="B443" s="1" t="s">
        <v>6218</v>
      </c>
      <c r="C443" s="1" t="s">
        <v>8236</v>
      </c>
      <c r="D443" s="1" t="s">
        <v>4747</v>
      </c>
      <c r="E443" s="1"/>
      <c r="F443" s="1" t="s">
        <v>6110</v>
      </c>
      <c r="G443" s="1" t="s">
        <v>8151</v>
      </c>
      <c r="H443" s="1" t="s">
        <v>6089</v>
      </c>
      <c r="I443" s="1"/>
      <c r="J443" s="1"/>
      <c r="K443" s="1" t="s">
        <v>6090</v>
      </c>
      <c r="L443" s="1" t="s">
        <v>8237</v>
      </c>
      <c r="M443" s="1" t="s">
        <v>8238</v>
      </c>
      <c r="N443" s="1"/>
      <c r="O443" s="1"/>
      <c r="P443" s="1"/>
      <c r="Q443" s="1"/>
      <c r="R443" s="1"/>
      <c r="S443" s="1"/>
      <c r="T443" s="1"/>
      <c r="U443" s="1"/>
      <c r="V443" s="1"/>
      <c r="W443" s="1"/>
    </row>
    <row r="444" spans="1:23" ht="48" customHeight="1">
      <c r="A444" s="1" t="s">
        <v>5004</v>
      </c>
      <c r="B444" s="1" t="s">
        <v>6222</v>
      </c>
      <c r="C444" s="1" t="s">
        <v>8239</v>
      </c>
      <c r="D444" s="1" t="s">
        <v>8240</v>
      </c>
      <c r="E444" s="1"/>
      <c r="F444" s="1" t="s">
        <v>6110</v>
      </c>
      <c r="G444" s="1" t="s">
        <v>8151</v>
      </c>
      <c r="H444" s="1" t="s">
        <v>6089</v>
      </c>
      <c r="I444" s="1"/>
      <c r="J444" s="1"/>
      <c r="K444" s="1" t="s">
        <v>6090</v>
      </c>
      <c r="L444" s="1" t="s">
        <v>8241</v>
      </c>
      <c r="M444" s="1" t="s">
        <v>8242</v>
      </c>
      <c r="N444" s="1"/>
      <c r="O444" s="1"/>
      <c r="P444" s="1"/>
      <c r="Q444" s="1"/>
      <c r="R444" s="1"/>
      <c r="S444" s="1"/>
      <c r="T444" s="1"/>
      <c r="U444" s="1"/>
      <c r="V444" s="1"/>
      <c r="W444" s="1"/>
    </row>
    <row r="445" spans="1:23" ht="48" customHeight="1">
      <c r="A445" s="1" t="s">
        <v>5004</v>
      </c>
      <c r="B445" s="1" t="s">
        <v>6227</v>
      </c>
      <c r="C445" s="1" t="s">
        <v>8243</v>
      </c>
      <c r="D445" s="1" t="s">
        <v>8244</v>
      </c>
      <c r="E445" s="1"/>
      <c r="F445" s="1" t="s">
        <v>6110</v>
      </c>
      <c r="G445" s="1" t="s">
        <v>8151</v>
      </c>
      <c r="H445" s="1" t="s">
        <v>6089</v>
      </c>
      <c r="I445" s="1"/>
      <c r="J445" s="1"/>
      <c r="K445" s="1" t="s">
        <v>6090</v>
      </c>
      <c r="L445" s="1" t="s">
        <v>8245</v>
      </c>
      <c r="M445" s="1" t="s">
        <v>8246</v>
      </c>
      <c r="N445" s="1"/>
      <c r="O445" s="1"/>
      <c r="P445" s="1"/>
      <c r="Q445" s="1"/>
      <c r="R445" s="1"/>
      <c r="S445" s="1"/>
      <c r="T445" s="1"/>
      <c r="U445" s="1"/>
      <c r="V445" s="1"/>
      <c r="W445" s="1"/>
    </row>
    <row r="446" spans="1:23" ht="48" customHeight="1">
      <c r="A446" s="1" t="s">
        <v>5004</v>
      </c>
      <c r="B446" s="1" t="s">
        <v>6232</v>
      </c>
      <c r="C446" s="1" t="s">
        <v>4747</v>
      </c>
      <c r="D446" s="1" t="s">
        <v>8247</v>
      </c>
      <c r="E446" s="1"/>
      <c r="F446" s="1" t="s">
        <v>6110</v>
      </c>
      <c r="G446" s="1" t="s">
        <v>8151</v>
      </c>
      <c r="H446" s="1" t="s">
        <v>6089</v>
      </c>
      <c r="I446" s="1"/>
      <c r="J446" s="1"/>
      <c r="K446" s="1" t="s">
        <v>6090</v>
      </c>
      <c r="L446" s="1" t="s">
        <v>8248</v>
      </c>
      <c r="M446" s="1" t="s">
        <v>8249</v>
      </c>
      <c r="N446" s="1"/>
      <c r="O446" s="1"/>
      <c r="P446" s="1"/>
      <c r="Q446" s="1"/>
      <c r="R446" s="1"/>
      <c r="S446" s="1"/>
      <c r="T446" s="1"/>
      <c r="U446" s="1"/>
      <c r="V446" s="1"/>
      <c r="W446" s="1"/>
    </row>
    <row r="447" spans="1:23" ht="72" customHeight="1">
      <c r="A447" s="1" t="s">
        <v>5004</v>
      </c>
      <c r="B447" s="1" t="s">
        <v>6236</v>
      </c>
      <c r="C447" s="1" t="s">
        <v>8250</v>
      </c>
      <c r="D447" s="1" t="s">
        <v>8251</v>
      </c>
      <c r="E447" s="1" t="s">
        <v>8252</v>
      </c>
      <c r="F447" s="1" t="s">
        <v>6323</v>
      </c>
      <c r="G447" s="1" t="s">
        <v>8151</v>
      </c>
      <c r="H447" s="1" t="s">
        <v>6089</v>
      </c>
      <c r="I447" s="1"/>
      <c r="J447" s="1"/>
      <c r="K447" s="1" t="s">
        <v>6090</v>
      </c>
      <c r="L447" s="1" t="s">
        <v>8253</v>
      </c>
      <c r="M447" s="1" t="s">
        <v>8254</v>
      </c>
      <c r="N447" s="1"/>
      <c r="O447" s="1"/>
      <c r="P447" s="1"/>
      <c r="Q447" s="1"/>
      <c r="R447" s="1" t="s">
        <v>8255</v>
      </c>
      <c r="S447" s="1" t="s">
        <v>8256</v>
      </c>
      <c r="T447" s="1" t="s">
        <v>8158</v>
      </c>
      <c r="U447" s="1" t="s">
        <v>6096</v>
      </c>
      <c r="V447" s="1" t="s">
        <v>8257</v>
      </c>
      <c r="W447" s="1" t="s">
        <v>8159</v>
      </c>
    </row>
    <row r="448" spans="1:23" ht="48" customHeight="1">
      <c r="A448" s="1" t="s">
        <v>5004</v>
      </c>
      <c r="B448" s="1" t="s">
        <v>6245</v>
      </c>
      <c r="C448" s="1" t="s">
        <v>8258</v>
      </c>
      <c r="D448" s="1"/>
      <c r="E448" s="1"/>
      <c r="F448" s="1" t="s">
        <v>6216</v>
      </c>
      <c r="G448" s="1" t="s">
        <v>8151</v>
      </c>
      <c r="H448" s="1"/>
      <c r="I448" s="1"/>
      <c r="J448" s="1"/>
      <c r="K448" s="1" t="s">
        <v>6090</v>
      </c>
      <c r="L448" s="1" t="s">
        <v>8259</v>
      </c>
      <c r="M448" s="1"/>
      <c r="N448" s="1"/>
      <c r="O448" s="1"/>
      <c r="P448" s="1"/>
      <c r="Q448" s="1"/>
      <c r="R448" s="1"/>
      <c r="S448" s="1"/>
      <c r="T448" s="1"/>
      <c r="U448" s="1"/>
      <c r="V448" s="1"/>
      <c r="W448" s="1"/>
    </row>
    <row r="449" spans="1:23" ht="48" customHeight="1">
      <c r="A449" s="1" t="s">
        <v>5004</v>
      </c>
      <c r="B449" s="1" t="s">
        <v>6248</v>
      </c>
      <c r="C449" s="1" t="s">
        <v>8260</v>
      </c>
      <c r="D449" s="1"/>
      <c r="E449" s="1"/>
      <c r="F449" s="1" t="s">
        <v>6216</v>
      </c>
      <c r="G449" s="1" t="s">
        <v>8151</v>
      </c>
      <c r="H449" s="1"/>
      <c r="I449" s="1"/>
      <c r="J449" s="1"/>
      <c r="K449" s="1" t="s">
        <v>6090</v>
      </c>
      <c r="L449" s="1" t="s">
        <v>8261</v>
      </c>
      <c r="M449" s="1"/>
      <c r="N449" s="1"/>
      <c r="O449" s="1"/>
      <c r="P449" s="1"/>
      <c r="Q449" s="1"/>
      <c r="R449" s="1"/>
      <c r="S449" s="1"/>
      <c r="T449" s="1"/>
      <c r="U449" s="1"/>
      <c r="V449" s="1"/>
      <c r="W449" s="1"/>
    </row>
    <row r="450" spans="1:23" ht="48" customHeight="1">
      <c r="A450" s="1" t="s">
        <v>5012</v>
      </c>
      <c r="B450" s="1" t="s">
        <v>6083</v>
      </c>
      <c r="C450" s="1" t="s">
        <v>8262</v>
      </c>
      <c r="D450" s="1" t="s">
        <v>8263</v>
      </c>
      <c r="E450" s="1" t="s">
        <v>7327</v>
      </c>
      <c r="F450" s="1" t="s">
        <v>6087</v>
      </c>
      <c r="G450" s="1" t="s">
        <v>8264</v>
      </c>
      <c r="H450" s="1" t="s">
        <v>6089</v>
      </c>
      <c r="I450" s="1"/>
      <c r="J450" s="1"/>
      <c r="K450" s="1" t="s">
        <v>6090</v>
      </c>
      <c r="L450" s="1" t="s">
        <v>8265</v>
      </c>
      <c r="M450" s="1" t="s">
        <v>8266</v>
      </c>
      <c r="N450" s="1"/>
      <c r="O450" s="1"/>
      <c r="P450" s="1"/>
      <c r="Q450" s="1"/>
      <c r="R450" s="1" t="s">
        <v>8267</v>
      </c>
      <c r="S450" s="1" t="s">
        <v>8268</v>
      </c>
      <c r="T450" s="1" t="s">
        <v>8269</v>
      </c>
      <c r="U450" s="1" t="s">
        <v>6096</v>
      </c>
      <c r="V450" s="1" t="s">
        <v>6097</v>
      </c>
      <c r="W450" s="1" t="s">
        <v>8270</v>
      </c>
    </row>
    <row r="451" spans="1:23" ht="48" customHeight="1">
      <c r="A451" s="1" t="s">
        <v>5012</v>
      </c>
      <c r="B451" s="1" t="s">
        <v>6099</v>
      </c>
      <c r="C451" s="1" t="s">
        <v>8271</v>
      </c>
      <c r="D451" s="1" t="s">
        <v>6102</v>
      </c>
      <c r="E451" s="1" t="s">
        <v>6102</v>
      </c>
      <c r="F451" s="1" t="s">
        <v>6087</v>
      </c>
      <c r="G451" s="1" t="s">
        <v>8264</v>
      </c>
      <c r="H451" s="1" t="s">
        <v>6089</v>
      </c>
      <c r="I451" s="1"/>
      <c r="J451" s="1"/>
      <c r="K451" s="1" t="s">
        <v>6090</v>
      </c>
      <c r="L451" s="1" t="s">
        <v>8272</v>
      </c>
      <c r="M451" s="1" t="s">
        <v>8273</v>
      </c>
      <c r="N451" s="1"/>
      <c r="O451" s="1"/>
      <c r="P451" s="1"/>
      <c r="Q451" s="1"/>
      <c r="R451" s="1" t="s">
        <v>8274</v>
      </c>
      <c r="S451" s="1" t="s">
        <v>8275</v>
      </c>
      <c r="T451" s="1" t="s">
        <v>8269</v>
      </c>
      <c r="U451" s="1" t="s">
        <v>6096</v>
      </c>
      <c r="V451" s="1" t="s">
        <v>6097</v>
      </c>
      <c r="W451" s="1" t="s">
        <v>8270</v>
      </c>
    </row>
    <row r="452" spans="1:23" ht="48" customHeight="1">
      <c r="A452" s="1" t="s">
        <v>5012</v>
      </c>
      <c r="B452" s="1" t="s">
        <v>6107</v>
      </c>
      <c r="C452" s="1" t="s">
        <v>8276</v>
      </c>
      <c r="D452" s="1" t="s">
        <v>8277</v>
      </c>
      <c r="E452" s="1"/>
      <c r="F452" s="1" t="s">
        <v>6110</v>
      </c>
      <c r="G452" s="1" t="s">
        <v>8264</v>
      </c>
      <c r="H452" s="1" t="s">
        <v>6089</v>
      </c>
      <c r="I452" s="1"/>
      <c r="J452" s="1"/>
      <c r="K452" s="1" t="s">
        <v>6090</v>
      </c>
      <c r="L452" s="1" t="s">
        <v>8278</v>
      </c>
      <c r="M452" s="1" t="s">
        <v>8279</v>
      </c>
      <c r="N452" s="1"/>
      <c r="O452" s="1"/>
      <c r="P452" s="1"/>
      <c r="Q452" s="1"/>
      <c r="R452" s="1"/>
      <c r="S452" s="1"/>
      <c r="T452" s="1"/>
      <c r="U452" s="1"/>
      <c r="V452" s="1"/>
      <c r="W452" s="1"/>
    </row>
    <row r="453" spans="1:23" ht="48" customHeight="1">
      <c r="A453" s="1" t="s">
        <v>5012</v>
      </c>
      <c r="B453" s="1" t="s">
        <v>6113</v>
      </c>
      <c r="C453" s="1" t="s">
        <v>8280</v>
      </c>
      <c r="D453" s="1" t="s">
        <v>8281</v>
      </c>
      <c r="E453" s="1"/>
      <c r="F453" s="1" t="s">
        <v>6110</v>
      </c>
      <c r="G453" s="1" t="s">
        <v>8264</v>
      </c>
      <c r="H453" s="1" t="s">
        <v>6089</v>
      </c>
      <c r="I453" s="1"/>
      <c r="J453" s="1"/>
      <c r="K453" s="1" t="s">
        <v>6090</v>
      </c>
      <c r="L453" s="1" t="s">
        <v>8282</v>
      </c>
      <c r="M453" s="1" t="s">
        <v>8283</v>
      </c>
      <c r="N453" s="1"/>
      <c r="O453" s="1"/>
      <c r="P453" s="1"/>
      <c r="Q453" s="1"/>
      <c r="R453" s="1"/>
      <c r="S453" s="1"/>
      <c r="T453" s="1"/>
      <c r="U453" s="1"/>
      <c r="V453" s="1"/>
      <c r="W453" s="1"/>
    </row>
    <row r="454" spans="1:23" ht="48" customHeight="1">
      <c r="A454" s="1" t="s">
        <v>5012</v>
      </c>
      <c r="B454" s="1" t="s">
        <v>6118</v>
      </c>
      <c r="C454" s="1" t="s">
        <v>8284</v>
      </c>
      <c r="D454" s="1" t="s">
        <v>8285</v>
      </c>
      <c r="E454" s="1" t="s">
        <v>8286</v>
      </c>
      <c r="F454" s="1" t="s">
        <v>6087</v>
      </c>
      <c r="G454" s="1" t="s">
        <v>8264</v>
      </c>
      <c r="H454" s="1" t="s">
        <v>6089</v>
      </c>
      <c r="I454" s="1"/>
      <c r="J454" s="1"/>
      <c r="K454" s="1" t="s">
        <v>6090</v>
      </c>
      <c r="L454" s="1" t="s">
        <v>8287</v>
      </c>
      <c r="M454" s="1" t="s">
        <v>8288</v>
      </c>
      <c r="N454" s="1"/>
      <c r="O454" s="1"/>
      <c r="P454" s="1"/>
      <c r="Q454" s="1"/>
      <c r="R454" s="1" t="s">
        <v>8289</v>
      </c>
      <c r="S454" s="1" t="s">
        <v>8290</v>
      </c>
      <c r="T454" s="1" t="s">
        <v>8269</v>
      </c>
      <c r="U454" s="1" t="s">
        <v>6096</v>
      </c>
      <c r="V454" s="1" t="s">
        <v>6097</v>
      </c>
      <c r="W454" s="1" t="s">
        <v>8270</v>
      </c>
    </row>
    <row r="455" spans="1:23" ht="48" customHeight="1">
      <c r="A455" s="1" t="s">
        <v>5012</v>
      </c>
      <c r="B455" s="1" t="s">
        <v>6126</v>
      </c>
      <c r="C455" s="1" t="s">
        <v>8291</v>
      </c>
      <c r="D455" s="1" t="s">
        <v>8292</v>
      </c>
      <c r="E455" s="1" t="s">
        <v>6129</v>
      </c>
      <c r="F455" s="1" t="s">
        <v>6087</v>
      </c>
      <c r="G455" s="1" t="s">
        <v>8264</v>
      </c>
      <c r="H455" s="1" t="s">
        <v>6089</v>
      </c>
      <c r="I455" s="1"/>
      <c r="J455" s="1"/>
      <c r="K455" s="1" t="s">
        <v>6090</v>
      </c>
      <c r="L455" s="1" t="s">
        <v>8293</v>
      </c>
      <c r="M455" s="1" t="s">
        <v>8294</v>
      </c>
      <c r="N455" s="1"/>
      <c r="O455" s="1"/>
      <c r="P455" s="1"/>
      <c r="Q455" s="1"/>
      <c r="R455" s="1" t="s">
        <v>8295</v>
      </c>
      <c r="S455" s="1" t="s">
        <v>8296</v>
      </c>
      <c r="T455" s="1" t="s">
        <v>8269</v>
      </c>
      <c r="U455" s="1" t="s">
        <v>6096</v>
      </c>
      <c r="V455" s="1" t="s">
        <v>6097</v>
      </c>
      <c r="W455" s="1" t="s">
        <v>8270</v>
      </c>
    </row>
    <row r="456" spans="1:23" ht="48" customHeight="1">
      <c r="A456" s="1" t="s">
        <v>5012</v>
      </c>
      <c r="B456" s="1" t="s">
        <v>6134</v>
      </c>
      <c r="C456" s="1" t="s">
        <v>8297</v>
      </c>
      <c r="D456" s="1" t="s">
        <v>7222</v>
      </c>
      <c r="E456" s="1" t="s">
        <v>8298</v>
      </c>
      <c r="F456" s="1" t="s">
        <v>6138</v>
      </c>
      <c r="G456" s="1" t="s">
        <v>8264</v>
      </c>
      <c r="H456" s="1" t="s">
        <v>6089</v>
      </c>
      <c r="I456" s="1" t="s">
        <v>5037</v>
      </c>
      <c r="J456" s="1" t="s">
        <v>5036</v>
      </c>
      <c r="K456" s="1" t="s">
        <v>6289</v>
      </c>
      <c r="L456" s="1" t="s">
        <v>8299</v>
      </c>
      <c r="M456" s="1" t="s">
        <v>8300</v>
      </c>
      <c r="N456" s="1" t="s">
        <v>8301</v>
      </c>
      <c r="O456" s="1"/>
      <c r="P456" s="1"/>
      <c r="Q456" s="1"/>
      <c r="R456" s="1" t="s">
        <v>8302</v>
      </c>
      <c r="S456" s="1" t="s">
        <v>8303</v>
      </c>
      <c r="T456" s="1" t="s">
        <v>8269</v>
      </c>
      <c r="U456" s="1" t="s">
        <v>6096</v>
      </c>
      <c r="V456" s="1" t="s">
        <v>6295</v>
      </c>
      <c r="W456" s="1" t="s">
        <v>8270</v>
      </c>
    </row>
    <row r="457" spans="1:23" ht="48" customHeight="1">
      <c r="A457" s="1" t="s">
        <v>5012</v>
      </c>
      <c r="B457" s="1" t="s">
        <v>6144</v>
      </c>
      <c r="C457" s="1" t="s">
        <v>8304</v>
      </c>
      <c r="D457" s="1" t="s">
        <v>4747</v>
      </c>
      <c r="E457" s="1" t="s">
        <v>8305</v>
      </c>
      <c r="F457" s="1" t="s">
        <v>6138</v>
      </c>
      <c r="G457" s="1" t="s">
        <v>8264</v>
      </c>
      <c r="H457" s="1" t="s">
        <v>6089</v>
      </c>
      <c r="I457" s="1"/>
      <c r="J457" s="1"/>
      <c r="K457" s="1" t="s">
        <v>6090</v>
      </c>
      <c r="L457" s="1" t="s">
        <v>8306</v>
      </c>
      <c r="M457" s="1" t="s">
        <v>8307</v>
      </c>
      <c r="N457" s="1"/>
      <c r="O457" s="1"/>
      <c r="P457" s="1"/>
      <c r="Q457" s="1"/>
      <c r="R457" s="1" t="s">
        <v>8308</v>
      </c>
      <c r="S457" s="1" t="s">
        <v>8303</v>
      </c>
      <c r="T457" s="1" t="s">
        <v>8269</v>
      </c>
      <c r="U457" s="1" t="s">
        <v>6096</v>
      </c>
      <c r="V457" s="1" t="s">
        <v>6295</v>
      </c>
      <c r="W457" s="1" t="s">
        <v>8270</v>
      </c>
    </row>
    <row r="458" spans="1:23" ht="60" customHeight="1">
      <c r="A458" s="1" t="s">
        <v>5012</v>
      </c>
      <c r="B458" s="1" t="s">
        <v>6149</v>
      </c>
      <c r="C458" s="1" t="s">
        <v>5734</v>
      </c>
      <c r="D458" s="1" t="s">
        <v>8309</v>
      </c>
      <c r="E458" s="1" t="s">
        <v>8310</v>
      </c>
      <c r="F458" s="1" t="s">
        <v>6138</v>
      </c>
      <c r="G458" s="1" t="s">
        <v>8264</v>
      </c>
      <c r="H458" s="1" t="s">
        <v>6089</v>
      </c>
      <c r="I458" s="1"/>
      <c r="J458" s="1"/>
      <c r="K458" s="1" t="s">
        <v>6090</v>
      </c>
      <c r="L458" s="1" t="s">
        <v>8311</v>
      </c>
      <c r="M458" s="1" t="s">
        <v>8312</v>
      </c>
      <c r="N458" s="1"/>
      <c r="O458" s="1"/>
      <c r="P458" s="1"/>
      <c r="Q458" s="1"/>
      <c r="R458" s="1" t="s">
        <v>8313</v>
      </c>
      <c r="S458" s="1" t="s">
        <v>8314</v>
      </c>
      <c r="T458" s="1" t="s">
        <v>8269</v>
      </c>
      <c r="U458" s="1" t="s">
        <v>6096</v>
      </c>
      <c r="V458" s="1" t="s">
        <v>6295</v>
      </c>
      <c r="W458" s="1" t="s">
        <v>8270</v>
      </c>
    </row>
    <row r="459" spans="1:23" ht="48" customHeight="1">
      <c r="A459" s="1" t="s">
        <v>5012</v>
      </c>
      <c r="B459" s="1" t="s">
        <v>6154</v>
      </c>
      <c r="C459" s="1" t="s">
        <v>8315</v>
      </c>
      <c r="D459" s="1" t="s">
        <v>6308</v>
      </c>
      <c r="E459" s="1" t="s">
        <v>7240</v>
      </c>
      <c r="F459" s="1" t="s">
        <v>6138</v>
      </c>
      <c r="G459" s="1" t="s">
        <v>8264</v>
      </c>
      <c r="H459" s="1" t="s">
        <v>6089</v>
      </c>
      <c r="I459" s="1"/>
      <c r="J459" s="1"/>
      <c r="K459" s="1" t="s">
        <v>6090</v>
      </c>
      <c r="L459" s="1" t="s">
        <v>8316</v>
      </c>
      <c r="M459" s="1" t="s">
        <v>8317</v>
      </c>
      <c r="N459" s="1"/>
      <c r="O459" s="1"/>
      <c r="P459" s="1"/>
      <c r="Q459" s="1"/>
      <c r="R459" s="1" t="s">
        <v>8318</v>
      </c>
      <c r="S459" s="1" t="s">
        <v>8303</v>
      </c>
      <c r="T459" s="1" t="s">
        <v>8269</v>
      </c>
      <c r="U459" s="1" t="s">
        <v>6096</v>
      </c>
      <c r="V459" s="1" t="s">
        <v>6295</v>
      </c>
      <c r="W459" s="1" t="s">
        <v>8270</v>
      </c>
    </row>
    <row r="460" spans="1:23" ht="48" customHeight="1">
      <c r="A460" s="1" t="s">
        <v>5012</v>
      </c>
      <c r="B460" s="1" t="s">
        <v>6159</v>
      </c>
      <c r="C460" s="1" t="s">
        <v>8319</v>
      </c>
      <c r="D460" s="1" t="s">
        <v>8320</v>
      </c>
      <c r="E460" s="1" t="s">
        <v>8321</v>
      </c>
      <c r="F460" s="1" t="s">
        <v>6163</v>
      </c>
      <c r="G460" s="1" t="s">
        <v>8264</v>
      </c>
      <c r="H460" s="1" t="s">
        <v>6089</v>
      </c>
      <c r="I460" s="1"/>
      <c r="J460" s="1"/>
      <c r="K460" s="1" t="s">
        <v>6090</v>
      </c>
      <c r="L460" s="1" t="s">
        <v>8322</v>
      </c>
      <c r="M460" s="1" t="s">
        <v>8323</v>
      </c>
      <c r="N460" s="1"/>
      <c r="O460" s="1"/>
      <c r="P460" s="1"/>
      <c r="Q460" s="1"/>
      <c r="R460" s="1" t="s">
        <v>8324</v>
      </c>
      <c r="S460" s="1" t="s">
        <v>7006</v>
      </c>
      <c r="T460" s="1" t="s">
        <v>8269</v>
      </c>
      <c r="U460" s="1" t="s">
        <v>6096</v>
      </c>
      <c r="V460" s="1" t="s">
        <v>6168</v>
      </c>
      <c r="W460" s="1" t="s">
        <v>8270</v>
      </c>
    </row>
    <row r="461" spans="1:23" ht="48" customHeight="1">
      <c r="A461" s="1" t="s">
        <v>5012</v>
      </c>
      <c r="B461" s="1" t="s">
        <v>6169</v>
      </c>
      <c r="C461" s="1" t="s">
        <v>5013</v>
      </c>
      <c r="D461" s="1" t="s">
        <v>4747</v>
      </c>
      <c r="E461" s="1" t="s">
        <v>8325</v>
      </c>
      <c r="F461" s="1" t="s">
        <v>6163</v>
      </c>
      <c r="G461" s="1" t="s">
        <v>8264</v>
      </c>
      <c r="H461" s="1" t="s">
        <v>6089</v>
      </c>
      <c r="I461" s="1"/>
      <c r="J461" s="1"/>
      <c r="K461" s="1" t="s">
        <v>6090</v>
      </c>
      <c r="L461" s="1" t="s">
        <v>8326</v>
      </c>
      <c r="M461" s="1" t="s">
        <v>8327</v>
      </c>
      <c r="N461" s="1"/>
      <c r="O461" s="1" t="s">
        <v>8328</v>
      </c>
      <c r="P461" s="1" t="s">
        <v>8329</v>
      </c>
      <c r="Q461" s="1" t="s">
        <v>6462</v>
      </c>
      <c r="R461" s="1" t="s">
        <v>8330</v>
      </c>
      <c r="S461" s="1" t="s">
        <v>7006</v>
      </c>
      <c r="T461" s="1" t="s">
        <v>8269</v>
      </c>
      <c r="U461" s="1" t="s">
        <v>6096</v>
      </c>
      <c r="V461" s="1" t="s">
        <v>6168</v>
      </c>
      <c r="W461" s="1" t="s">
        <v>8270</v>
      </c>
    </row>
    <row r="462" spans="1:23" ht="48" customHeight="1">
      <c r="A462" s="1" t="s">
        <v>5012</v>
      </c>
      <c r="B462" s="1" t="s">
        <v>6176</v>
      </c>
      <c r="C462" s="1" t="s">
        <v>4747</v>
      </c>
      <c r="D462" s="1" t="s">
        <v>4747</v>
      </c>
      <c r="E462" s="1" t="s">
        <v>4747</v>
      </c>
      <c r="F462" s="1" t="s">
        <v>6186</v>
      </c>
      <c r="G462" s="1" t="s">
        <v>8264</v>
      </c>
      <c r="H462" s="1" t="s">
        <v>6089</v>
      </c>
      <c r="I462" s="1"/>
      <c r="J462" s="1"/>
      <c r="K462" s="1" t="s">
        <v>6090</v>
      </c>
      <c r="L462" s="1" t="s">
        <v>8331</v>
      </c>
      <c r="M462" s="1" t="s">
        <v>8332</v>
      </c>
      <c r="N462" s="1"/>
      <c r="O462" s="1"/>
      <c r="P462" s="1"/>
      <c r="Q462" s="1"/>
      <c r="R462" s="1"/>
      <c r="S462" s="1"/>
      <c r="T462" s="1"/>
      <c r="U462" s="1"/>
      <c r="V462" s="1"/>
      <c r="W462" s="1"/>
    </row>
    <row r="463" spans="1:23" ht="48" customHeight="1">
      <c r="A463" s="1" t="s">
        <v>5012</v>
      </c>
      <c r="B463" s="1" t="s">
        <v>6185</v>
      </c>
      <c r="C463" s="1" t="s">
        <v>4747</v>
      </c>
      <c r="D463" s="1" t="s">
        <v>4747</v>
      </c>
      <c r="E463" s="1" t="s">
        <v>4747</v>
      </c>
      <c r="F463" s="1" t="s">
        <v>6186</v>
      </c>
      <c r="G463" s="1" t="s">
        <v>8264</v>
      </c>
      <c r="H463" s="1" t="s">
        <v>6089</v>
      </c>
      <c r="I463" s="1"/>
      <c r="J463" s="1"/>
      <c r="K463" s="1" t="s">
        <v>6090</v>
      </c>
      <c r="L463" s="1" t="s">
        <v>8333</v>
      </c>
      <c r="M463" s="1" t="s">
        <v>8334</v>
      </c>
      <c r="N463" s="1"/>
      <c r="O463" s="1"/>
      <c r="P463" s="1"/>
      <c r="Q463" s="1"/>
      <c r="R463" s="1"/>
      <c r="S463" s="1"/>
      <c r="T463" s="1"/>
      <c r="U463" s="1"/>
      <c r="V463" s="1"/>
      <c r="W463" s="1"/>
    </row>
    <row r="464" spans="1:23" ht="96" customHeight="1">
      <c r="A464" s="1" t="s">
        <v>5012</v>
      </c>
      <c r="B464" s="1" t="s">
        <v>6189</v>
      </c>
      <c r="C464" s="1" t="s">
        <v>8335</v>
      </c>
      <c r="D464" s="1" t="s">
        <v>4747</v>
      </c>
      <c r="E464" s="1" t="s">
        <v>8336</v>
      </c>
      <c r="F464" s="1" t="s">
        <v>6138</v>
      </c>
      <c r="G464" s="1" t="s">
        <v>8264</v>
      </c>
      <c r="H464" s="1" t="s">
        <v>6089</v>
      </c>
      <c r="I464" s="1"/>
      <c r="J464" s="1"/>
      <c r="K464" s="1" t="s">
        <v>6090</v>
      </c>
      <c r="L464" s="1" t="s">
        <v>8337</v>
      </c>
      <c r="M464" s="1" t="s">
        <v>8338</v>
      </c>
      <c r="N464" s="1"/>
      <c r="O464" s="1"/>
      <c r="P464" s="1"/>
      <c r="Q464" s="1"/>
      <c r="R464" s="1" t="s">
        <v>8339</v>
      </c>
      <c r="S464" s="1" t="s">
        <v>8340</v>
      </c>
      <c r="T464" s="1" t="s">
        <v>8269</v>
      </c>
      <c r="U464" s="1" t="s">
        <v>6096</v>
      </c>
      <c r="V464" s="1" t="s">
        <v>6184</v>
      </c>
      <c r="W464" s="1" t="s">
        <v>8270</v>
      </c>
    </row>
    <row r="465" spans="1:23" ht="60" customHeight="1">
      <c r="A465" s="1" t="s">
        <v>5012</v>
      </c>
      <c r="B465" s="1" t="s">
        <v>6196</v>
      </c>
      <c r="C465" s="1" t="s">
        <v>8341</v>
      </c>
      <c r="D465" s="1" t="s">
        <v>8342</v>
      </c>
      <c r="E465" s="1" t="s">
        <v>8343</v>
      </c>
      <c r="F465" s="1" t="s">
        <v>6349</v>
      </c>
      <c r="G465" s="1" t="s">
        <v>8264</v>
      </c>
      <c r="H465" s="1" t="s">
        <v>6089</v>
      </c>
      <c r="I465" s="1"/>
      <c r="J465" s="1"/>
      <c r="K465" s="1" t="s">
        <v>6090</v>
      </c>
      <c r="L465" s="1" t="s">
        <v>8344</v>
      </c>
      <c r="M465" s="1" t="s">
        <v>8345</v>
      </c>
      <c r="N465" s="1"/>
      <c r="O465" s="1"/>
      <c r="P465" s="1"/>
      <c r="Q465" s="1"/>
      <c r="R465" s="1" t="s">
        <v>8346</v>
      </c>
      <c r="S465" s="1" t="s">
        <v>7006</v>
      </c>
      <c r="T465" s="1" t="s">
        <v>8269</v>
      </c>
      <c r="U465" s="1" t="s">
        <v>6096</v>
      </c>
      <c r="V465" s="1" t="s">
        <v>8347</v>
      </c>
      <c r="W465" s="1" t="s">
        <v>8270</v>
      </c>
    </row>
    <row r="466" spans="1:23" ht="48" customHeight="1">
      <c r="A466" s="1" t="s">
        <v>5012</v>
      </c>
      <c r="B466" s="1" t="s">
        <v>6200</v>
      </c>
      <c r="C466" s="1" t="s">
        <v>8348</v>
      </c>
      <c r="D466" s="1" t="s">
        <v>8349</v>
      </c>
      <c r="E466" s="1" t="s">
        <v>8350</v>
      </c>
      <c r="F466" s="1" t="s">
        <v>6349</v>
      </c>
      <c r="G466" s="1" t="s">
        <v>8264</v>
      </c>
      <c r="H466" s="1" t="s">
        <v>6089</v>
      </c>
      <c r="I466" s="1"/>
      <c r="J466" s="1"/>
      <c r="K466" s="1" t="s">
        <v>6090</v>
      </c>
      <c r="L466" s="1" t="s">
        <v>8351</v>
      </c>
      <c r="M466" s="1" t="s">
        <v>8352</v>
      </c>
      <c r="N466" s="1"/>
      <c r="O466" s="1" t="s">
        <v>8353</v>
      </c>
      <c r="P466" s="1" t="s">
        <v>8354</v>
      </c>
      <c r="Q466" s="1" t="s">
        <v>6462</v>
      </c>
      <c r="R466" s="1" t="s">
        <v>8355</v>
      </c>
      <c r="S466" s="1" t="s">
        <v>6167</v>
      </c>
      <c r="T466" s="1" t="s">
        <v>8269</v>
      </c>
      <c r="U466" s="1" t="s">
        <v>6096</v>
      </c>
      <c r="V466" s="1" t="s">
        <v>8356</v>
      </c>
      <c r="W466" s="1" t="s">
        <v>8270</v>
      </c>
    </row>
    <row r="467" spans="1:23" ht="48" customHeight="1">
      <c r="A467" s="1" t="s">
        <v>5012</v>
      </c>
      <c r="B467" s="1" t="s">
        <v>5583</v>
      </c>
      <c r="C467" s="1" t="s">
        <v>4747</v>
      </c>
      <c r="D467" s="1" t="s">
        <v>4747</v>
      </c>
      <c r="E467" s="1" t="s">
        <v>4747</v>
      </c>
      <c r="F467" s="1" t="s">
        <v>6186</v>
      </c>
      <c r="G467" s="1" t="s">
        <v>8264</v>
      </c>
      <c r="H467" s="1" t="s">
        <v>6089</v>
      </c>
      <c r="I467" s="1"/>
      <c r="J467" s="1"/>
      <c r="K467" s="1" t="s">
        <v>6090</v>
      </c>
      <c r="L467" s="1" t="s">
        <v>8357</v>
      </c>
      <c r="M467" s="1" t="s">
        <v>8358</v>
      </c>
      <c r="N467" s="1"/>
      <c r="O467" s="1"/>
      <c r="P467" s="1"/>
      <c r="Q467" s="1"/>
      <c r="R467" s="1"/>
      <c r="S467" s="1"/>
      <c r="T467" s="1"/>
      <c r="U467" s="1"/>
      <c r="V467" s="1"/>
      <c r="W467" s="1"/>
    </row>
    <row r="468" spans="1:23" ht="48" customHeight="1">
      <c r="A468" s="1" t="s">
        <v>5012</v>
      </c>
      <c r="B468" s="1" t="s">
        <v>6209</v>
      </c>
      <c r="C468" s="1" t="s">
        <v>8359</v>
      </c>
      <c r="D468" s="1" t="s">
        <v>4747</v>
      </c>
      <c r="E468" s="1"/>
      <c r="F468" s="1" t="s">
        <v>6110</v>
      </c>
      <c r="G468" s="1" t="s">
        <v>8264</v>
      </c>
      <c r="H468" s="1" t="s">
        <v>6089</v>
      </c>
      <c r="I468" s="1"/>
      <c r="J468" s="1"/>
      <c r="K468" s="1" t="s">
        <v>6090</v>
      </c>
      <c r="L468" s="1" t="s">
        <v>8360</v>
      </c>
      <c r="M468" s="1" t="s">
        <v>8361</v>
      </c>
      <c r="N468" s="1"/>
      <c r="O468" s="1"/>
      <c r="P468" s="1"/>
      <c r="Q468" s="1"/>
      <c r="R468" s="1"/>
      <c r="S468" s="1"/>
      <c r="T468" s="1"/>
      <c r="U468" s="1"/>
      <c r="V468" s="1"/>
      <c r="W468" s="1"/>
    </row>
    <row r="469" spans="1:23" ht="48" customHeight="1">
      <c r="A469" s="1" t="s">
        <v>5012</v>
      </c>
      <c r="B469" s="1" t="s">
        <v>6212</v>
      </c>
      <c r="C469" s="1" t="s">
        <v>8362</v>
      </c>
      <c r="D469" s="1" t="s">
        <v>8363</v>
      </c>
      <c r="E469" s="1"/>
      <c r="F469" s="1" t="s">
        <v>6110</v>
      </c>
      <c r="G469" s="1" t="s">
        <v>8264</v>
      </c>
      <c r="H469" s="1" t="s">
        <v>6089</v>
      </c>
      <c r="I469" s="1"/>
      <c r="J469" s="1"/>
      <c r="K469" s="1" t="s">
        <v>6090</v>
      </c>
      <c r="L469" s="1" t="s">
        <v>8364</v>
      </c>
      <c r="M469" s="1" t="s">
        <v>8365</v>
      </c>
      <c r="N469" s="1"/>
      <c r="O469" s="1"/>
      <c r="P469" s="1"/>
      <c r="Q469" s="1"/>
      <c r="R469" s="1"/>
      <c r="S469" s="1"/>
      <c r="T469" s="1"/>
      <c r="U469" s="1"/>
      <c r="V469" s="1"/>
      <c r="W469" s="1"/>
    </row>
    <row r="470" spans="1:23" ht="48" customHeight="1">
      <c r="A470" s="1" t="s">
        <v>5012</v>
      </c>
      <c r="B470" s="1" t="s">
        <v>6215</v>
      </c>
      <c r="C470" s="1"/>
      <c r="D470" s="1" t="s">
        <v>4747</v>
      </c>
      <c r="E470" s="1"/>
      <c r="F470" s="1" t="s">
        <v>6216</v>
      </c>
      <c r="G470" s="1"/>
      <c r="H470" s="1" t="s">
        <v>6089</v>
      </c>
      <c r="I470" s="1"/>
      <c r="J470" s="1"/>
      <c r="K470" s="1" t="s">
        <v>6090</v>
      </c>
      <c r="L470" s="1"/>
      <c r="M470" s="1" t="s">
        <v>8366</v>
      </c>
      <c r="N470" s="1"/>
      <c r="O470" s="1"/>
      <c r="P470" s="1"/>
      <c r="Q470" s="1"/>
      <c r="R470" s="1"/>
      <c r="S470" s="1"/>
      <c r="T470" s="1"/>
      <c r="U470" s="1"/>
      <c r="V470" s="1"/>
      <c r="W470" s="1"/>
    </row>
    <row r="471" spans="1:23" ht="48" customHeight="1">
      <c r="A471" s="1" t="s">
        <v>5012</v>
      </c>
      <c r="B471" s="1" t="s">
        <v>6218</v>
      </c>
      <c r="C471" s="1" t="s">
        <v>4747</v>
      </c>
      <c r="D471" s="1" t="s">
        <v>4747</v>
      </c>
      <c r="E471" s="1" t="s">
        <v>4747</v>
      </c>
      <c r="F471" s="1" t="s">
        <v>6186</v>
      </c>
      <c r="G471" s="1" t="s">
        <v>8264</v>
      </c>
      <c r="H471" s="1" t="s">
        <v>6089</v>
      </c>
      <c r="I471" s="1"/>
      <c r="J471" s="1"/>
      <c r="K471" s="1" t="s">
        <v>6090</v>
      </c>
      <c r="L471" s="1" t="s">
        <v>8367</v>
      </c>
      <c r="M471" s="1" t="s">
        <v>8368</v>
      </c>
      <c r="N471" s="1"/>
      <c r="O471" s="1"/>
      <c r="P471" s="1"/>
      <c r="Q471" s="1"/>
      <c r="R471" s="1"/>
      <c r="S471" s="1"/>
      <c r="T471" s="1"/>
      <c r="U471" s="1"/>
      <c r="V471" s="1"/>
      <c r="W471" s="1"/>
    </row>
    <row r="472" spans="1:23" ht="48" customHeight="1">
      <c r="A472" s="1" t="s">
        <v>5012</v>
      </c>
      <c r="B472" s="1" t="s">
        <v>6222</v>
      </c>
      <c r="C472" s="1" t="s">
        <v>8369</v>
      </c>
      <c r="D472" s="1" t="s">
        <v>8370</v>
      </c>
      <c r="E472" s="1"/>
      <c r="F472" s="1" t="s">
        <v>6110</v>
      </c>
      <c r="G472" s="1" t="s">
        <v>8264</v>
      </c>
      <c r="H472" s="1" t="s">
        <v>6089</v>
      </c>
      <c r="I472" s="1"/>
      <c r="J472" s="1"/>
      <c r="K472" s="1" t="s">
        <v>6090</v>
      </c>
      <c r="L472" s="1" t="s">
        <v>8371</v>
      </c>
      <c r="M472" s="1" t="s">
        <v>8372</v>
      </c>
      <c r="N472" s="1"/>
      <c r="O472" s="1"/>
      <c r="P472" s="1"/>
      <c r="Q472" s="1"/>
      <c r="R472" s="1"/>
      <c r="S472" s="1"/>
      <c r="T472" s="1"/>
      <c r="U472" s="1"/>
      <c r="V472" s="1"/>
      <c r="W472" s="1"/>
    </row>
    <row r="473" spans="1:23" ht="48" customHeight="1">
      <c r="A473" s="1" t="s">
        <v>5012</v>
      </c>
      <c r="B473" s="1" t="s">
        <v>6227</v>
      </c>
      <c r="C473" s="1" t="s">
        <v>4747</v>
      </c>
      <c r="D473" s="1" t="s">
        <v>4747</v>
      </c>
      <c r="E473" s="1" t="s">
        <v>4747</v>
      </c>
      <c r="F473" s="1" t="s">
        <v>6186</v>
      </c>
      <c r="G473" s="1" t="s">
        <v>8264</v>
      </c>
      <c r="H473" s="1" t="s">
        <v>6089</v>
      </c>
      <c r="I473" s="1"/>
      <c r="J473" s="1"/>
      <c r="K473" s="1" t="s">
        <v>6090</v>
      </c>
      <c r="L473" s="1" t="s">
        <v>8373</v>
      </c>
      <c r="M473" s="1" t="s">
        <v>8374</v>
      </c>
      <c r="N473" s="1"/>
      <c r="O473" s="1"/>
      <c r="P473" s="1"/>
      <c r="Q473" s="1"/>
      <c r="R473" s="1"/>
      <c r="S473" s="1"/>
      <c r="T473" s="1"/>
      <c r="U473" s="1"/>
      <c r="V473" s="1"/>
      <c r="W473" s="1"/>
    </row>
    <row r="474" spans="1:23" ht="48" customHeight="1">
      <c r="A474" s="1" t="s">
        <v>5012</v>
      </c>
      <c r="B474" s="1" t="s">
        <v>6232</v>
      </c>
      <c r="C474" s="1" t="s">
        <v>4747</v>
      </c>
      <c r="D474" s="1" t="s">
        <v>8375</v>
      </c>
      <c r="E474" s="1"/>
      <c r="F474" s="1" t="s">
        <v>6110</v>
      </c>
      <c r="G474" s="1" t="s">
        <v>8264</v>
      </c>
      <c r="H474" s="1" t="s">
        <v>6089</v>
      </c>
      <c r="I474" s="1"/>
      <c r="J474" s="1"/>
      <c r="K474" s="1" t="s">
        <v>6090</v>
      </c>
      <c r="L474" s="1" t="s">
        <v>8376</v>
      </c>
      <c r="M474" s="1" t="s">
        <v>8377</v>
      </c>
      <c r="N474" s="1"/>
      <c r="O474" s="1"/>
      <c r="P474" s="1"/>
      <c r="Q474" s="1"/>
      <c r="R474" s="1"/>
      <c r="S474" s="1"/>
      <c r="T474" s="1"/>
      <c r="U474" s="1"/>
      <c r="V474" s="1"/>
      <c r="W474" s="1"/>
    </row>
    <row r="475" spans="1:23" ht="48" customHeight="1">
      <c r="A475" s="1" t="s">
        <v>5012</v>
      </c>
      <c r="B475" s="1" t="s">
        <v>6236</v>
      </c>
      <c r="C475" s="1" t="s">
        <v>8378</v>
      </c>
      <c r="D475" s="1" t="s">
        <v>8379</v>
      </c>
      <c r="E475" s="1" t="s">
        <v>8380</v>
      </c>
      <c r="F475" s="1" t="s">
        <v>6163</v>
      </c>
      <c r="G475" s="1" t="s">
        <v>8264</v>
      </c>
      <c r="H475" s="1" t="s">
        <v>6089</v>
      </c>
      <c r="I475" s="1"/>
      <c r="J475" s="1"/>
      <c r="K475" s="1" t="s">
        <v>6090</v>
      </c>
      <c r="L475" s="1" t="s">
        <v>8381</v>
      </c>
      <c r="M475" s="1" t="s">
        <v>8382</v>
      </c>
      <c r="N475" s="1"/>
      <c r="O475" s="1"/>
      <c r="P475" s="1"/>
      <c r="Q475" s="1"/>
      <c r="R475" s="1" t="s">
        <v>8383</v>
      </c>
      <c r="S475" s="1" t="s">
        <v>8384</v>
      </c>
      <c r="T475" s="1" t="s">
        <v>8269</v>
      </c>
      <c r="U475" s="1" t="s">
        <v>6096</v>
      </c>
      <c r="V475" s="1" t="s">
        <v>6244</v>
      </c>
      <c r="W475" s="1" t="s">
        <v>8270</v>
      </c>
    </row>
    <row r="476" spans="1:23" ht="48" customHeight="1">
      <c r="A476" s="1" t="s">
        <v>5012</v>
      </c>
      <c r="B476" s="1" t="s">
        <v>6245</v>
      </c>
      <c r="C476" s="1" t="s">
        <v>8385</v>
      </c>
      <c r="D476" s="1"/>
      <c r="E476" s="1"/>
      <c r="F476" s="1" t="s">
        <v>6216</v>
      </c>
      <c r="G476" s="1" t="s">
        <v>8264</v>
      </c>
      <c r="H476" s="1"/>
      <c r="I476" s="1"/>
      <c r="J476" s="1"/>
      <c r="K476" s="1" t="s">
        <v>6090</v>
      </c>
      <c r="L476" s="1" t="s">
        <v>8386</v>
      </c>
      <c r="M476" s="1"/>
      <c r="N476" s="1"/>
      <c r="O476" s="1"/>
      <c r="P476" s="1"/>
      <c r="Q476" s="1"/>
      <c r="R476" s="1"/>
      <c r="S476" s="1"/>
      <c r="T476" s="1"/>
      <c r="U476" s="1"/>
      <c r="V476" s="1"/>
      <c r="W476" s="1"/>
    </row>
    <row r="477" spans="1:23" ht="48" customHeight="1">
      <c r="A477" s="1" t="s">
        <v>5012</v>
      </c>
      <c r="B477" s="1" t="s">
        <v>6248</v>
      </c>
      <c r="C477" s="1" t="s">
        <v>8387</v>
      </c>
      <c r="D477" s="1"/>
      <c r="E477" s="1"/>
      <c r="F477" s="1" t="s">
        <v>6216</v>
      </c>
      <c r="G477" s="1" t="s">
        <v>8264</v>
      </c>
      <c r="H477" s="1"/>
      <c r="I477" s="1"/>
      <c r="J477" s="1"/>
      <c r="K477" s="1" t="s">
        <v>6090</v>
      </c>
      <c r="L477" s="1" t="s">
        <v>8388</v>
      </c>
      <c r="M477" s="1"/>
      <c r="N477" s="1"/>
      <c r="O477" s="1"/>
      <c r="P477" s="1"/>
      <c r="Q477" s="1"/>
      <c r="R477" s="1"/>
      <c r="S477" s="1"/>
      <c r="T477" s="1"/>
      <c r="U477" s="1"/>
      <c r="V477" s="1"/>
      <c r="W477" s="1"/>
    </row>
    <row r="478" spans="1:23" ht="48" customHeight="1">
      <c r="A478" s="1" t="s">
        <v>5041</v>
      </c>
      <c r="B478" s="1" t="s">
        <v>6083</v>
      </c>
      <c r="C478" s="1" t="s">
        <v>8389</v>
      </c>
      <c r="D478" s="1" t="s">
        <v>8390</v>
      </c>
      <c r="E478" s="1" t="s">
        <v>6771</v>
      </c>
      <c r="F478" s="1" t="s">
        <v>6772</v>
      </c>
      <c r="G478" s="1" t="s">
        <v>422</v>
      </c>
      <c r="H478" s="1" t="s">
        <v>6089</v>
      </c>
      <c r="I478" s="1"/>
      <c r="J478" s="1"/>
      <c r="K478" s="1" t="s">
        <v>6090</v>
      </c>
      <c r="L478" s="1" t="s">
        <v>8391</v>
      </c>
      <c r="M478" s="1" t="s">
        <v>8392</v>
      </c>
      <c r="N478" s="1"/>
      <c r="O478" s="1" t="s">
        <v>8393</v>
      </c>
      <c r="P478" s="1" t="s">
        <v>8394</v>
      </c>
      <c r="Q478" s="1" t="s">
        <v>6462</v>
      </c>
      <c r="R478" s="1" t="s">
        <v>8395</v>
      </c>
      <c r="S478" s="1" t="s">
        <v>8396</v>
      </c>
      <c r="T478" s="1" t="s">
        <v>8397</v>
      </c>
      <c r="U478" s="1" t="s">
        <v>6096</v>
      </c>
      <c r="V478" s="1" t="s">
        <v>6097</v>
      </c>
      <c r="W478" s="1" t="s">
        <v>8398</v>
      </c>
    </row>
    <row r="479" spans="1:23" ht="48" customHeight="1">
      <c r="A479" s="1" t="s">
        <v>5041</v>
      </c>
      <c r="B479" s="1" t="s">
        <v>6099</v>
      </c>
      <c r="C479" s="1" t="s">
        <v>8399</v>
      </c>
      <c r="D479" s="1" t="s">
        <v>6101</v>
      </c>
      <c r="E479" s="1" t="s">
        <v>6102</v>
      </c>
      <c r="F479" s="1" t="s">
        <v>6087</v>
      </c>
      <c r="G479" s="1" t="s">
        <v>422</v>
      </c>
      <c r="H479" s="1" t="s">
        <v>6089</v>
      </c>
      <c r="I479" s="1"/>
      <c r="J479" s="1"/>
      <c r="K479" s="1" t="s">
        <v>6090</v>
      </c>
      <c r="L479" s="1" t="s">
        <v>8400</v>
      </c>
      <c r="M479" s="1" t="s">
        <v>8401</v>
      </c>
      <c r="N479" s="1"/>
      <c r="O479" s="1"/>
      <c r="P479" s="1"/>
      <c r="Q479" s="1"/>
      <c r="R479" s="1" t="s">
        <v>8402</v>
      </c>
      <c r="S479" s="1" t="s">
        <v>8396</v>
      </c>
      <c r="T479" s="1" t="s">
        <v>8397</v>
      </c>
      <c r="U479" s="1" t="s">
        <v>6096</v>
      </c>
      <c r="V479" s="1" t="s">
        <v>6097</v>
      </c>
      <c r="W479" s="1" t="s">
        <v>8398</v>
      </c>
    </row>
    <row r="480" spans="1:23" ht="48" customHeight="1">
      <c r="A480" s="1" t="s">
        <v>5041</v>
      </c>
      <c r="B480" s="1" t="s">
        <v>6107</v>
      </c>
      <c r="C480" s="1" t="s">
        <v>8403</v>
      </c>
      <c r="D480" s="1" t="s">
        <v>8404</v>
      </c>
      <c r="E480" s="1"/>
      <c r="F480" s="1" t="s">
        <v>6110</v>
      </c>
      <c r="G480" s="1" t="s">
        <v>422</v>
      </c>
      <c r="H480" s="1" t="s">
        <v>6089</v>
      </c>
      <c r="I480" s="1"/>
      <c r="J480" s="1"/>
      <c r="K480" s="1" t="s">
        <v>6090</v>
      </c>
      <c r="L480" s="1" t="s">
        <v>8405</v>
      </c>
      <c r="M480" s="1" t="s">
        <v>8406</v>
      </c>
      <c r="N480" s="1"/>
      <c r="O480" s="1"/>
      <c r="P480" s="1"/>
      <c r="Q480" s="1"/>
      <c r="R480" s="1"/>
      <c r="S480" s="1"/>
      <c r="T480" s="1"/>
      <c r="U480" s="1"/>
      <c r="V480" s="1"/>
      <c r="W480" s="1"/>
    </row>
    <row r="481" spans="1:23" ht="48" customHeight="1">
      <c r="A481" s="1" t="s">
        <v>5041</v>
      </c>
      <c r="B481" s="1" t="s">
        <v>6113</v>
      </c>
      <c r="C481" s="1" t="s">
        <v>8407</v>
      </c>
      <c r="D481" s="1" t="s">
        <v>8408</v>
      </c>
      <c r="E481" s="1"/>
      <c r="F481" s="1" t="s">
        <v>6110</v>
      </c>
      <c r="G481" s="1" t="s">
        <v>422</v>
      </c>
      <c r="H481" s="1" t="s">
        <v>6089</v>
      </c>
      <c r="I481" s="1"/>
      <c r="J481" s="1"/>
      <c r="K481" s="1" t="s">
        <v>6090</v>
      </c>
      <c r="L481" s="1" t="s">
        <v>8409</v>
      </c>
      <c r="M481" s="1" t="s">
        <v>8410</v>
      </c>
      <c r="N481" s="1"/>
      <c r="O481" s="1"/>
      <c r="P481" s="1"/>
      <c r="Q481" s="1"/>
      <c r="R481" s="1"/>
      <c r="S481" s="1"/>
      <c r="T481" s="1"/>
      <c r="U481" s="1"/>
      <c r="V481" s="1"/>
      <c r="W481" s="1"/>
    </row>
    <row r="482" spans="1:23" ht="48" customHeight="1">
      <c r="A482" s="1" t="s">
        <v>5041</v>
      </c>
      <c r="B482" s="1" t="s">
        <v>6118</v>
      </c>
      <c r="C482" s="1" t="s">
        <v>8411</v>
      </c>
      <c r="D482" s="1" t="s">
        <v>8412</v>
      </c>
      <c r="E482" s="1" t="s">
        <v>8413</v>
      </c>
      <c r="F482" s="1" t="s">
        <v>6087</v>
      </c>
      <c r="G482" s="1" t="s">
        <v>422</v>
      </c>
      <c r="H482" s="1" t="s">
        <v>6089</v>
      </c>
      <c r="I482" s="1"/>
      <c r="J482" s="1"/>
      <c r="K482" s="1" t="s">
        <v>6090</v>
      </c>
      <c r="L482" s="1" t="s">
        <v>8414</v>
      </c>
      <c r="M482" s="1" t="s">
        <v>8415</v>
      </c>
      <c r="N482" s="1"/>
      <c r="O482" s="1"/>
      <c r="P482" s="1"/>
      <c r="Q482" s="1"/>
      <c r="R482" s="1" t="s">
        <v>8416</v>
      </c>
      <c r="S482" s="1" t="s">
        <v>8396</v>
      </c>
      <c r="T482" s="1" t="s">
        <v>8397</v>
      </c>
      <c r="U482" s="1" t="s">
        <v>6096</v>
      </c>
      <c r="V482" s="1" t="s">
        <v>6097</v>
      </c>
      <c r="W482" s="1" t="s">
        <v>8398</v>
      </c>
    </row>
    <row r="483" spans="1:23" ht="48" customHeight="1">
      <c r="A483" s="1" t="s">
        <v>5041</v>
      </c>
      <c r="B483" s="1" t="s">
        <v>6126</v>
      </c>
      <c r="C483" s="1" t="s">
        <v>8417</v>
      </c>
      <c r="D483" s="1" t="s">
        <v>8418</v>
      </c>
      <c r="E483" s="1" t="s">
        <v>8419</v>
      </c>
      <c r="F483" s="1" t="s">
        <v>6087</v>
      </c>
      <c r="G483" s="1" t="s">
        <v>422</v>
      </c>
      <c r="H483" s="1" t="s">
        <v>6089</v>
      </c>
      <c r="I483" s="1"/>
      <c r="J483" s="1"/>
      <c r="K483" s="1" t="s">
        <v>6090</v>
      </c>
      <c r="L483" s="1" t="s">
        <v>8420</v>
      </c>
      <c r="M483" s="1" t="s">
        <v>8421</v>
      </c>
      <c r="N483" s="1"/>
      <c r="O483" s="1"/>
      <c r="P483" s="1"/>
      <c r="Q483" s="1"/>
      <c r="R483" s="1" t="s">
        <v>8422</v>
      </c>
      <c r="S483" s="1" t="s">
        <v>8423</v>
      </c>
      <c r="T483" s="1" t="s">
        <v>8397</v>
      </c>
      <c r="U483" s="1" t="s">
        <v>6096</v>
      </c>
      <c r="V483" s="1" t="s">
        <v>6097</v>
      </c>
      <c r="W483" s="1" t="s">
        <v>8398</v>
      </c>
    </row>
    <row r="484" spans="1:23" ht="48" customHeight="1">
      <c r="A484" s="1" t="s">
        <v>5041</v>
      </c>
      <c r="B484" s="1" t="s">
        <v>6134</v>
      </c>
      <c r="C484" s="1" t="s">
        <v>8424</v>
      </c>
      <c r="D484" s="1" t="s">
        <v>8425</v>
      </c>
      <c r="E484" s="1" t="s">
        <v>8426</v>
      </c>
      <c r="F484" s="1" t="s">
        <v>6138</v>
      </c>
      <c r="G484" s="1" t="s">
        <v>422</v>
      </c>
      <c r="H484" s="1" t="s">
        <v>6089</v>
      </c>
      <c r="I484" s="1"/>
      <c r="J484" s="1"/>
      <c r="K484" s="1" t="s">
        <v>6090</v>
      </c>
      <c r="L484" s="1" t="s">
        <v>8427</v>
      </c>
      <c r="M484" s="1" t="s">
        <v>8428</v>
      </c>
      <c r="N484" s="1"/>
      <c r="O484" s="1" t="s">
        <v>8429</v>
      </c>
      <c r="P484" s="1" t="s">
        <v>8430</v>
      </c>
      <c r="Q484" s="1" t="s">
        <v>6462</v>
      </c>
      <c r="R484" s="1" t="s">
        <v>8431</v>
      </c>
      <c r="S484" s="1" t="s">
        <v>8432</v>
      </c>
      <c r="T484" s="1" t="s">
        <v>8397</v>
      </c>
      <c r="U484" s="1" t="s">
        <v>6096</v>
      </c>
      <c r="V484" s="1" t="s">
        <v>6143</v>
      </c>
      <c r="W484" s="1" t="s">
        <v>8398</v>
      </c>
    </row>
    <row r="485" spans="1:23" ht="60" customHeight="1">
      <c r="A485" s="1" t="s">
        <v>5041</v>
      </c>
      <c r="B485" s="1" t="s">
        <v>6144</v>
      </c>
      <c r="C485" s="1" t="s">
        <v>8433</v>
      </c>
      <c r="D485" s="1" t="s">
        <v>4747</v>
      </c>
      <c r="E485" s="1" t="s">
        <v>8434</v>
      </c>
      <c r="F485" s="1" t="s">
        <v>6138</v>
      </c>
      <c r="G485" s="1" t="s">
        <v>422</v>
      </c>
      <c r="H485" s="1" t="s">
        <v>6089</v>
      </c>
      <c r="I485" s="1"/>
      <c r="J485" s="1"/>
      <c r="K485" s="1" t="s">
        <v>6090</v>
      </c>
      <c r="L485" s="1" t="s">
        <v>8435</v>
      </c>
      <c r="M485" s="1" t="s">
        <v>8436</v>
      </c>
      <c r="N485" s="1"/>
      <c r="O485" s="1"/>
      <c r="P485" s="1"/>
      <c r="Q485" s="1"/>
      <c r="R485" s="1" t="s">
        <v>8431</v>
      </c>
      <c r="S485" s="1" t="s">
        <v>8432</v>
      </c>
      <c r="T485" s="1" t="s">
        <v>8397</v>
      </c>
      <c r="U485" s="1" t="s">
        <v>6096</v>
      </c>
      <c r="V485" s="1" t="s">
        <v>6143</v>
      </c>
      <c r="W485" s="1" t="s">
        <v>8398</v>
      </c>
    </row>
    <row r="486" spans="1:23" ht="48" customHeight="1">
      <c r="A486" s="1" t="s">
        <v>5041</v>
      </c>
      <c r="B486" s="1" t="s">
        <v>6149</v>
      </c>
      <c r="C486" s="1" t="s">
        <v>8437</v>
      </c>
      <c r="D486" s="1" t="s">
        <v>8438</v>
      </c>
      <c r="E486" s="1" t="s">
        <v>8439</v>
      </c>
      <c r="F486" s="1" t="s">
        <v>6138</v>
      </c>
      <c r="G486" s="1" t="s">
        <v>422</v>
      </c>
      <c r="H486" s="1" t="s">
        <v>6089</v>
      </c>
      <c r="I486" s="1"/>
      <c r="J486" s="1"/>
      <c r="K486" s="1" t="s">
        <v>6090</v>
      </c>
      <c r="L486" s="1" t="s">
        <v>8440</v>
      </c>
      <c r="M486" s="1" t="s">
        <v>8441</v>
      </c>
      <c r="N486" s="1"/>
      <c r="O486" s="1"/>
      <c r="P486" s="1"/>
      <c r="Q486" s="1"/>
      <c r="R486" s="1" t="s">
        <v>8431</v>
      </c>
      <c r="S486" s="1" t="s">
        <v>8432</v>
      </c>
      <c r="T486" s="1" t="s">
        <v>8397</v>
      </c>
      <c r="U486" s="1" t="s">
        <v>6096</v>
      </c>
      <c r="V486" s="1" t="s">
        <v>6143</v>
      </c>
      <c r="W486" s="1" t="s">
        <v>8398</v>
      </c>
    </row>
    <row r="487" spans="1:23" ht="48" customHeight="1">
      <c r="A487" s="1" t="s">
        <v>5041</v>
      </c>
      <c r="B487" s="1" t="s">
        <v>6154</v>
      </c>
      <c r="C487" s="1" t="s">
        <v>8442</v>
      </c>
      <c r="D487" s="1" t="s">
        <v>8443</v>
      </c>
      <c r="E487" s="1" t="s">
        <v>8444</v>
      </c>
      <c r="F487" s="1" t="s">
        <v>6138</v>
      </c>
      <c r="G487" s="1" t="s">
        <v>422</v>
      </c>
      <c r="H487" s="1" t="s">
        <v>6089</v>
      </c>
      <c r="I487" s="1"/>
      <c r="J487" s="1"/>
      <c r="K487" s="1" t="s">
        <v>6090</v>
      </c>
      <c r="L487" s="1" t="s">
        <v>8445</v>
      </c>
      <c r="M487" s="1" t="s">
        <v>8446</v>
      </c>
      <c r="N487" s="1"/>
      <c r="O487" s="1"/>
      <c r="P487" s="1"/>
      <c r="Q487" s="1"/>
      <c r="R487" s="1" t="s">
        <v>8431</v>
      </c>
      <c r="S487" s="1" t="s">
        <v>8432</v>
      </c>
      <c r="T487" s="1" t="s">
        <v>8397</v>
      </c>
      <c r="U487" s="1" t="s">
        <v>6096</v>
      </c>
      <c r="V487" s="1" t="s">
        <v>6143</v>
      </c>
      <c r="W487" s="1" t="s">
        <v>8398</v>
      </c>
    </row>
    <row r="488" spans="1:23" ht="48" customHeight="1">
      <c r="A488" s="1" t="s">
        <v>5041</v>
      </c>
      <c r="B488" s="1" t="s">
        <v>6159</v>
      </c>
      <c r="C488" s="1" t="s">
        <v>4747</v>
      </c>
      <c r="D488" s="1" t="s">
        <v>8447</v>
      </c>
      <c r="E488" s="1" t="s">
        <v>8448</v>
      </c>
      <c r="F488" s="1" t="s">
        <v>6163</v>
      </c>
      <c r="G488" s="1" t="s">
        <v>422</v>
      </c>
      <c r="H488" s="1" t="s">
        <v>6089</v>
      </c>
      <c r="I488" s="1"/>
      <c r="J488" s="1"/>
      <c r="K488" s="1" t="s">
        <v>6090</v>
      </c>
      <c r="L488" s="1" t="s">
        <v>8449</v>
      </c>
      <c r="M488" s="1" t="s">
        <v>8450</v>
      </c>
      <c r="N488" s="1"/>
      <c r="O488" s="1" t="s">
        <v>8448</v>
      </c>
      <c r="P488" s="1" t="s">
        <v>8451</v>
      </c>
      <c r="Q488" s="1" t="s">
        <v>6462</v>
      </c>
      <c r="R488" s="1" t="s">
        <v>8452</v>
      </c>
      <c r="S488" s="1" t="s">
        <v>8453</v>
      </c>
      <c r="T488" s="1" t="s">
        <v>8397</v>
      </c>
      <c r="U488" s="1" t="s">
        <v>6096</v>
      </c>
      <c r="V488" s="1" t="s">
        <v>6168</v>
      </c>
      <c r="W488" s="1" t="s">
        <v>8398</v>
      </c>
    </row>
    <row r="489" spans="1:23" ht="60" customHeight="1">
      <c r="A489" s="1" t="s">
        <v>5041</v>
      </c>
      <c r="B489" s="1" t="s">
        <v>6169</v>
      </c>
      <c r="C489" s="1" t="s">
        <v>5056</v>
      </c>
      <c r="D489" s="1" t="s">
        <v>4747</v>
      </c>
      <c r="E489" s="1" t="s">
        <v>8454</v>
      </c>
      <c r="F489" s="1" t="s">
        <v>6323</v>
      </c>
      <c r="G489" s="1" t="s">
        <v>422</v>
      </c>
      <c r="H489" s="1" t="s">
        <v>6089</v>
      </c>
      <c r="I489" s="1"/>
      <c r="J489" s="1"/>
      <c r="K489" s="1" t="s">
        <v>6090</v>
      </c>
      <c r="L489" s="1" t="s">
        <v>8455</v>
      </c>
      <c r="M489" s="1" t="s">
        <v>8456</v>
      </c>
      <c r="N489" s="1"/>
      <c r="O489" s="1" t="s">
        <v>8457</v>
      </c>
      <c r="P489" s="1" t="s">
        <v>8458</v>
      </c>
      <c r="Q489" s="1" t="s">
        <v>6462</v>
      </c>
      <c r="R489" s="1" t="s">
        <v>8459</v>
      </c>
      <c r="S489" s="1" t="s">
        <v>8460</v>
      </c>
      <c r="T489" s="1" t="s">
        <v>8397</v>
      </c>
      <c r="U489" s="1" t="s">
        <v>6096</v>
      </c>
      <c r="V489" s="1" t="s">
        <v>8461</v>
      </c>
      <c r="W489" s="1" t="s">
        <v>8398</v>
      </c>
    </row>
    <row r="490" spans="1:23" ht="48" customHeight="1">
      <c r="A490" s="1" t="s">
        <v>5041</v>
      </c>
      <c r="B490" s="1" t="s">
        <v>6176</v>
      </c>
      <c r="C490" s="1" t="s">
        <v>4747</v>
      </c>
      <c r="D490" s="1" t="s">
        <v>4747</v>
      </c>
      <c r="E490" s="1" t="s">
        <v>4747</v>
      </c>
      <c r="F490" s="1" t="s">
        <v>6186</v>
      </c>
      <c r="G490" s="1" t="s">
        <v>422</v>
      </c>
      <c r="H490" s="1" t="s">
        <v>6089</v>
      </c>
      <c r="I490" s="1"/>
      <c r="J490" s="1"/>
      <c r="K490" s="1" t="s">
        <v>6090</v>
      </c>
      <c r="L490" s="1" t="s">
        <v>8462</v>
      </c>
      <c r="M490" s="1" t="s">
        <v>8463</v>
      </c>
      <c r="N490" s="1"/>
      <c r="O490" s="1"/>
      <c r="P490" s="1"/>
      <c r="Q490" s="1"/>
      <c r="R490" s="1"/>
      <c r="S490" s="1"/>
      <c r="T490" s="1"/>
      <c r="U490" s="1"/>
      <c r="V490" s="1"/>
      <c r="W490" s="1"/>
    </row>
    <row r="491" spans="1:23" ht="96" customHeight="1">
      <c r="A491" s="1" t="s">
        <v>5041</v>
      </c>
      <c r="B491" s="1" t="s">
        <v>6185</v>
      </c>
      <c r="C491" s="1" t="s">
        <v>8464</v>
      </c>
      <c r="D491" s="1" t="s">
        <v>8465</v>
      </c>
      <c r="E491" s="1" t="s">
        <v>8466</v>
      </c>
      <c r="F491" s="1" t="s">
        <v>6138</v>
      </c>
      <c r="G491" s="1" t="s">
        <v>422</v>
      </c>
      <c r="H491" s="1" t="s">
        <v>6089</v>
      </c>
      <c r="I491" s="1"/>
      <c r="J491" s="1"/>
      <c r="K491" s="1" t="s">
        <v>6090</v>
      </c>
      <c r="L491" s="1" t="s">
        <v>8467</v>
      </c>
      <c r="M491" s="1" t="s">
        <v>8468</v>
      </c>
      <c r="N491" s="1"/>
      <c r="O491" s="1"/>
      <c r="P491" s="1"/>
      <c r="Q491" s="1"/>
      <c r="R491" s="1" t="s">
        <v>8469</v>
      </c>
      <c r="S491" s="1" t="s">
        <v>8470</v>
      </c>
      <c r="T491" s="1" t="s">
        <v>8397</v>
      </c>
      <c r="U491" s="1" t="s">
        <v>6096</v>
      </c>
      <c r="V491" s="1" t="s">
        <v>6184</v>
      </c>
      <c r="W491" s="1" t="s">
        <v>8398</v>
      </c>
    </row>
    <row r="492" spans="1:23" ht="96" customHeight="1">
      <c r="A492" s="1" t="s">
        <v>5041</v>
      </c>
      <c r="B492" s="1" t="s">
        <v>6189</v>
      </c>
      <c r="C492" s="1" t="s">
        <v>8471</v>
      </c>
      <c r="D492" s="1" t="s">
        <v>4747</v>
      </c>
      <c r="E492" s="1" t="s">
        <v>8472</v>
      </c>
      <c r="F492" s="1" t="s">
        <v>6138</v>
      </c>
      <c r="G492" s="1" t="s">
        <v>422</v>
      </c>
      <c r="H492" s="1" t="s">
        <v>6089</v>
      </c>
      <c r="I492" s="1"/>
      <c r="J492" s="1"/>
      <c r="K492" s="1" t="s">
        <v>6090</v>
      </c>
      <c r="L492" s="1" t="s">
        <v>8473</v>
      </c>
      <c r="M492" s="1" t="s">
        <v>8474</v>
      </c>
      <c r="N492" s="1"/>
      <c r="O492" s="1"/>
      <c r="P492" s="1"/>
      <c r="Q492" s="1"/>
      <c r="R492" s="1" t="s">
        <v>8475</v>
      </c>
      <c r="S492" s="1" t="s">
        <v>8476</v>
      </c>
      <c r="T492" s="1" t="s">
        <v>8397</v>
      </c>
      <c r="U492" s="1" t="s">
        <v>6096</v>
      </c>
      <c r="V492" s="1" t="s">
        <v>6184</v>
      </c>
      <c r="W492" s="1" t="s">
        <v>8398</v>
      </c>
    </row>
    <row r="493" spans="1:23" ht="48" customHeight="1">
      <c r="A493" s="1" t="s">
        <v>5041</v>
      </c>
      <c r="B493" s="1" t="s">
        <v>6196</v>
      </c>
      <c r="C493" s="1" t="s">
        <v>6197</v>
      </c>
      <c r="D493" s="1" t="s">
        <v>4747</v>
      </c>
      <c r="E493" s="1"/>
      <c r="F493" s="1" t="s">
        <v>6110</v>
      </c>
      <c r="G493" s="1" t="s">
        <v>422</v>
      </c>
      <c r="H493" s="1" t="s">
        <v>6089</v>
      </c>
      <c r="I493" s="1"/>
      <c r="J493" s="1"/>
      <c r="K493" s="1" t="s">
        <v>6090</v>
      </c>
      <c r="L493" s="1" t="s">
        <v>8477</v>
      </c>
      <c r="M493" s="1" t="s">
        <v>8478</v>
      </c>
      <c r="N493" s="1"/>
      <c r="O493" s="1"/>
      <c r="P493" s="1"/>
      <c r="Q493" s="1"/>
      <c r="R493" s="1"/>
      <c r="S493" s="1"/>
      <c r="T493" s="1"/>
      <c r="U493" s="1"/>
      <c r="V493" s="1"/>
      <c r="W493" s="1"/>
    </row>
    <row r="494" spans="1:23" ht="48" customHeight="1">
      <c r="A494" s="1" t="s">
        <v>5041</v>
      </c>
      <c r="B494" s="1" t="s">
        <v>6200</v>
      </c>
      <c r="C494" s="1" t="s">
        <v>4747</v>
      </c>
      <c r="D494" s="1" t="s">
        <v>4747</v>
      </c>
      <c r="E494" s="1" t="s">
        <v>8479</v>
      </c>
      <c r="F494" s="1" t="s">
        <v>6163</v>
      </c>
      <c r="G494" s="1" t="s">
        <v>422</v>
      </c>
      <c r="H494" s="1" t="s">
        <v>6089</v>
      </c>
      <c r="I494" s="1"/>
      <c r="J494" s="1"/>
      <c r="K494" s="1" t="s">
        <v>6090</v>
      </c>
      <c r="L494" s="1" t="s">
        <v>8480</v>
      </c>
      <c r="M494" s="1" t="s">
        <v>8481</v>
      </c>
      <c r="N494" s="1"/>
      <c r="O494" s="1" t="s">
        <v>8482</v>
      </c>
      <c r="P494" s="1" t="s">
        <v>8483</v>
      </c>
      <c r="Q494" s="1" t="s">
        <v>6462</v>
      </c>
      <c r="R494" s="1" t="s">
        <v>8484</v>
      </c>
      <c r="S494" s="1" t="s">
        <v>6738</v>
      </c>
      <c r="T494" s="1" t="s">
        <v>8397</v>
      </c>
      <c r="U494" s="1" t="s">
        <v>6096</v>
      </c>
      <c r="V494" s="1" t="s">
        <v>6168</v>
      </c>
      <c r="W494" s="1" t="s">
        <v>8398</v>
      </c>
    </row>
    <row r="495" spans="1:23" ht="96" customHeight="1">
      <c r="A495" s="1" t="s">
        <v>5041</v>
      </c>
      <c r="B495" s="1" t="s">
        <v>5583</v>
      </c>
      <c r="C495" s="1" t="s">
        <v>8485</v>
      </c>
      <c r="D495" s="1" t="s">
        <v>4747</v>
      </c>
      <c r="E495" s="1" t="s">
        <v>8486</v>
      </c>
      <c r="F495" s="1" t="s">
        <v>6138</v>
      </c>
      <c r="G495" s="1" t="s">
        <v>422</v>
      </c>
      <c r="H495" s="1" t="s">
        <v>6089</v>
      </c>
      <c r="I495" s="1"/>
      <c r="J495" s="1"/>
      <c r="K495" s="1" t="s">
        <v>6090</v>
      </c>
      <c r="L495" s="1" t="s">
        <v>8487</v>
      </c>
      <c r="M495" s="1" t="s">
        <v>8488</v>
      </c>
      <c r="N495" s="1"/>
      <c r="O495" s="1"/>
      <c r="P495" s="1"/>
      <c r="Q495" s="1"/>
      <c r="R495" s="1" t="s">
        <v>8489</v>
      </c>
      <c r="S495" s="1" t="s">
        <v>8490</v>
      </c>
      <c r="T495" s="1" t="s">
        <v>8397</v>
      </c>
      <c r="U495" s="1" t="s">
        <v>6096</v>
      </c>
      <c r="V495" s="1" t="s">
        <v>6184</v>
      </c>
      <c r="W495" s="1" t="s">
        <v>8398</v>
      </c>
    </row>
    <row r="496" spans="1:23" ht="48" customHeight="1">
      <c r="A496" s="1" t="s">
        <v>5041</v>
      </c>
      <c r="B496" s="1" t="s">
        <v>6209</v>
      </c>
      <c r="C496" s="1" t="s">
        <v>4747</v>
      </c>
      <c r="D496" s="1" t="s">
        <v>4747</v>
      </c>
      <c r="E496" s="1" t="s">
        <v>4747</v>
      </c>
      <c r="F496" s="1" t="s">
        <v>6186</v>
      </c>
      <c r="G496" s="1" t="s">
        <v>422</v>
      </c>
      <c r="H496" s="1" t="s">
        <v>6089</v>
      </c>
      <c r="I496" s="1"/>
      <c r="J496" s="1"/>
      <c r="K496" s="1" t="s">
        <v>6090</v>
      </c>
      <c r="L496" s="1" t="s">
        <v>8491</v>
      </c>
      <c r="M496" s="1" t="s">
        <v>8492</v>
      </c>
      <c r="N496" s="1"/>
      <c r="O496" s="1"/>
      <c r="P496" s="1"/>
      <c r="Q496" s="1"/>
      <c r="R496" s="1"/>
      <c r="S496" s="1"/>
      <c r="T496" s="1"/>
      <c r="U496" s="1"/>
      <c r="V496" s="1"/>
      <c r="W496" s="1"/>
    </row>
    <row r="497" spans="1:23" ht="48" customHeight="1">
      <c r="A497" s="1" t="s">
        <v>5041</v>
      </c>
      <c r="B497" s="1" t="s">
        <v>6212</v>
      </c>
      <c r="C497" s="1" t="s">
        <v>4747</v>
      </c>
      <c r="D497" s="1" t="s">
        <v>4747</v>
      </c>
      <c r="E497" s="1" t="s">
        <v>4747</v>
      </c>
      <c r="F497" s="1" t="s">
        <v>6186</v>
      </c>
      <c r="G497" s="1" t="s">
        <v>422</v>
      </c>
      <c r="H497" s="1" t="s">
        <v>6089</v>
      </c>
      <c r="I497" s="1"/>
      <c r="J497" s="1"/>
      <c r="K497" s="1" t="s">
        <v>6090</v>
      </c>
      <c r="L497" s="1" t="s">
        <v>8493</v>
      </c>
      <c r="M497" s="1" t="s">
        <v>8494</v>
      </c>
      <c r="N497" s="1"/>
      <c r="O497" s="1"/>
      <c r="P497" s="1"/>
      <c r="Q497" s="1"/>
      <c r="R497" s="1"/>
      <c r="S497" s="1"/>
      <c r="T497" s="1"/>
      <c r="U497" s="1"/>
      <c r="V497" s="1"/>
      <c r="W497" s="1"/>
    </row>
    <row r="498" spans="1:23" ht="48" customHeight="1">
      <c r="A498" s="1" t="s">
        <v>5041</v>
      </c>
      <c r="B498" s="1" t="s">
        <v>6215</v>
      </c>
      <c r="C498" s="1"/>
      <c r="D498" s="1" t="s">
        <v>4747</v>
      </c>
      <c r="E498" s="1"/>
      <c r="F498" s="1" t="s">
        <v>6216</v>
      </c>
      <c r="G498" s="1"/>
      <c r="H498" s="1" t="s">
        <v>6089</v>
      </c>
      <c r="I498" s="1"/>
      <c r="J498" s="1"/>
      <c r="K498" s="1" t="s">
        <v>6090</v>
      </c>
      <c r="L498" s="1"/>
      <c r="M498" s="1" t="s">
        <v>8495</v>
      </c>
      <c r="N498" s="1"/>
      <c r="O498" s="1"/>
      <c r="P498" s="1"/>
      <c r="Q498" s="1"/>
      <c r="R498" s="1"/>
      <c r="S498" s="1"/>
      <c r="T498" s="1"/>
      <c r="U498" s="1"/>
      <c r="V498" s="1"/>
      <c r="W498" s="1"/>
    </row>
    <row r="499" spans="1:23" ht="48" customHeight="1">
      <c r="A499" s="1" t="s">
        <v>5041</v>
      </c>
      <c r="B499" s="1" t="s">
        <v>6218</v>
      </c>
      <c r="C499" s="1" t="s">
        <v>8496</v>
      </c>
      <c r="D499" s="1" t="s">
        <v>4747</v>
      </c>
      <c r="E499" s="1"/>
      <c r="F499" s="1" t="s">
        <v>6110</v>
      </c>
      <c r="G499" s="1" t="s">
        <v>422</v>
      </c>
      <c r="H499" s="1" t="s">
        <v>6089</v>
      </c>
      <c r="I499" s="1"/>
      <c r="J499" s="1"/>
      <c r="K499" s="1" t="s">
        <v>6090</v>
      </c>
      <c r="L499" s="1" t="s">
        <v>8497</v>
      </c>
      <c r="M499" s="1" t="s">
        <v>8498</v>
      </c>
      <c r="N499" s="1"/>
      <c r="O499" s="1"/>
      <c r="P499" s="1"/>
      <c r="Q499" s="1"/>
      <c r="R499" s="1"/>
      <c r="S499" s="1"/>
      <c r="T499" s="1"/>
      <c r="U499" s="1"/>
      <c r="V499" s="1"/>
      <c r="W499" s="1"/>
    </row>
    <row r="500" spans="1:23" ht="48" customHeight="1">
      <c r="A500" s="1" t="s">
        <v>5041</v>
      </c>
      <c r="B500" s="1" t="s">
        <v>6222</v>
      </c>
      <c r="C500" s="1" t="s">
        <v>8499</v>
      </c>
      <c r="D500" s="1" t="s">
        <v>8500</v>
      </c>
      <c r="E500" s="1"/>
      <c r="F500" s="1" t="s">
        <v>6110</v>
      </c>
      <c r="G500" s="1" t="s">
        <v>422</v>
      </c>
      <c r="H500" s="1" t="s">
        <v>6089</v>
      </c>
      <c r="I500" s="1"/>
      <c r="J500" s="1"/>
      <c r="K500" s="1" t="s">
        <v>6090</v>
      </c>
      <c r="L500" s="1" t="s">
        <v>8501</v>
      </c>
      <c r="M500" s="1" t="s">
        <v>8502</v>
      </c>
      <c r="N500" s="1"/>
      <c r="O500" s="1"/>
      <c r="P500" s="1"/>
      <c r="Q500" s="1"/>
      <c r="R500" s="1"/>
      <c r="S500" s="1"/>
      <c r="T500" s="1"/>
      <c r="U500" s="1"/>
      <c r="V500" s="1"/>
      <c r="W500" s="1"/>
    </row>
    <row r="501" spans="1:23" ht="48" customHeight="1">
      <c r="A501" s="1" t="s">
        <v>5041</v>
      </c>
      <c r="B501" s="1" t="s">
        <v>6227</v>
      </c>
      <c r="C501" s="1" t="s">
        <v>8503</v>
      </c>
      <c r="D501" s="1" t="s">
        <v>4747</v>
      </c>
      <c r="E501" s="1"/>
      <c r="F501" s="1" t="s">
        <v>6110</v>
      </c>
      <c r="G501" s="1" t="s">
        <v>422</v>
      </c>
      <c r="H501" s="1" t="s">
        <v>6089</v>
      </c>
      <c r="I501" s="1"/>
      <c r="J501" s="1"/>
      <c r="K501" s="1" t="s">
        <v>6090</v>
      </c>
      <c r="L501" s="1" t="s">
        <v>8504</v>
      </c>
      <c r="M501" s="1" t="s">
        <v>8505</v>
      </c>
      <c r="N501" s="1"/>
      <c r="O501" s="1"/>
      <c r="P501" s="1"/>
      <c r="Q501" s="1"/>
      <c r="R501" s="1"/>
      <c r="S501" s="1"/>
      <c r="T501" s="1"/>
      <c r="U501" s="1"/>
      <c r="V501" s="1"/>
      <c r="W501" s="1"/>
    </row>
    <row r="502" spans="1:23" ht="48" customHeight="1">
      <c r="A502" s="1" t="s">
        <v>5041</v>
      </c>
      <c r="B502" s="1" t="s">
        <v>6232</v>
      </c>
      <c r="C502" s="1" t="s">
        <v>5741</v>
      </c>
      <c r="D502" s="1" t="s">
        <v>8506</v>
      </c>
      <c r="E502" s="1"/>
      <c r="F502" s="1" t="s">
        <v>6110</v>
      </c>
      <c r="G502" s="1" t="s">
        <v>422</v>
      </c>
      <c r="H502" s="1" t="s">
        <v>6089</v>
      </c>
      <c r="I502" s="1"/>
      <c r="J502" s="1"/>
      <c r="K502" s="1" t="s">
        <v>6090</v>
      </c>
      <c r="L502" s="1" t="s">
        <v>8507</v>
      </c>
      <c r="M502" s="1" t="s">
        <v>8508</v>
      </c>
      <c r="N502" s="1"/>
      <c r="O502" s="1"/>
      <c r="P502" s="1"/>
      <c r="Q502" s="1"/>
      <c r="R502" s="1"/>
      <c r="S502" s="1"/>
      <c r="T502" s="1"/>
      <c r="U502" s="1"/>
      <c r="V502" s="1"/>
      <c r="W502" s="1"/>
    </row>
    <row r="503" spans="1:23" ht="48" customHeight="1">
      <c r="A503" s="1" t="s">
        <v>5041</v>
      </c>
      <c r="B503" s="1" t="s">
        <v>6236</v>
      </c>
      <c r="C503" s="1" t="s">
        <v>8509</v>
      </c>
      <c r="D503" s="1" t="s">
        <v>8510</v>
      </c>
      <c r="E503" s="1" t="s">
        <v>8511</v>
      </c>
      <c r="F503" s="1" t="s">
        <v>6163</v>
      </c>
      <c r="G503" s="1" t="s">
        <v>422</v>
      </c>
      <c r="H503" s="1" t="s">
        <v>6089</v>
      </c>
      <c r="I503" s="1"/>
      <c r="J503" s="1"/>
      <c r="K503" s="1" t="s">
        <v>6090</v>
      </c>
      <c r="L503" s="1" t="s">
        <v>8512</v>
      </c>
      <c r="M503" s="1" t="s">
        <v>8513</v>
      </c>
      <c r="N503" s="1"/>
      <c r="O503" s="1"/>
      <c r="P503" s="1"/>
      <c r="Q503" s="1"/>
      <c r="R503" s="1" t="s">
        <v>8514</v>
      </c>
      <c r="S503" s="1" t="s">
        <v>8515</v>
      </c>
      <c r="T503" s="1" t="s">
        <v>8397</v>
      </c>
      <c r="U503" s="1" t="s">
        <v>6096</v>
      </c>
      <c r="V503" s="1" t="s">
        <v>6244</v>
      </c>
      <c r="W503" s="1" t="s">
        <v>8398</v>
      </c>
    </row>
    <row r="504" spans="1:23" ht="48" customHeight="1">
      <c r="A504" s="1" t="s">
        <v>5041</v>
      </c>
      <c r="B504" s="1" t="s">
        <v>6245</v>
      </c>
      <c r="C504" s="1" t="s">
        <v>8516</v>
      </c>
      <c r="D504" s="1"/>
      <c r="E504" s="1"/>
      <c r="F504" s="1" t="s">
        <v>6216</v>
      </c>
      <c r="G504" s="1" t="s">
        <v>422</v>
      </c>
      <c r="H504" s="1"/>
      <c r="I504" s="1"/>
      <c r="J504" s="1"/>
      <c r="K504" s="1" t="s">
        <v>6090</v>
      </c>
      <c r="L504" s="1" t="s">
        <v>8517</v>
      </c>
      <c r="M504" s="1"/>
      <c r="N504" s="1"/>
      <c r="O504" s="1"/>
      <c r="P504" s="1"/>
      <c r="Q504" s="1"/>
      <c r="R504" s="1"/>
      <c r="S504" s="1"/>
      <c r="T504" s="1"/>
      <c r="U504" s="1"/>
      <c r="V504" s="1"/>
      <c r="W504" s="1"/>
    </row>
    <row r="505" spans="1:23" ht="48" customHeight="1">
      <c r="A505" s="1" t="s">
        <v>5041</v>
      </c>
      <c r="B505" s="1" t="s">
        <v>6248</v>
      </c>
      <c r="C505" s="1" t="s">
        <v>8518</v>
      </c>
      <c r="D505" s="1"/>
      <c r="E505" s="1"/>
      <c r="F505" s="1" t="s">
        <v>6216</v>
      </c>
      <c r="G505" s="1" t="s">
        <v>422</v>
      </c>
      <c r="H505" s="1"/>
      <c r="I505" s="1"/>
      <c r="J505" s="1"/>
      <c r="K505" s="1" t="s">
        <v>6090</v>
      </c>
      <c r="L505" s="1" t="s">
        <v>8519</v>
      </c>
      <c r="M505" s="1"/>
      <c r="N505" s="1"/>
      <c r="O505" s="1"/>
      <c r="P505" s="1"/>
      <c r="Q505" s="1"/>
      <c r="R505" s="1"/>
      <c r="S505" s="1"/>
      <c r="T505" s="1"/>
      <c r="U505" s="1"/>
      <c r="V505" s="1"/>
      <c r="W505" s="1"/>
    </row>
    <row r="506" spans="1:23" ht="48" customHeight="1">
      <c r="A506" s="1" t="s">
        <v>5063</v>
      </c>
      <c r="B506" s="1" t="s">
        <v>6083</v>
      </c>
      <c r="C506" s="1" t="s">
        <v>8520</v>
      </c>
      <c r="D506" s="1" t="s">
        <v>8521</v>
      </c>
      <c r="E506" s="1" t="s">
        <v>6402</v>
      </c>
      <c r="F506" s="1" t="s">
        <v>6087</v>
      </c>
      <c r="G506" s="1" t="s">
        <v>8522</v>
      </c>
      <c r="H506" s="1" t="s">
        <v>6089</v>
      </c>
      <c r="I506" s="1"/>
      <c r="J506" s="1"/>
      <c r="K506" s="1" t="s">
        <v>6090</v>
      </c>
      <c r="L506" s="1" t="s">
        <v>8523</v>
      </c>
      <c r="M506" s="1" t="s">
        <v>8524</v>
      </c>
      <c r="N506" s="1"/>
      <c r="O506" s="1"/>
      <c r="P506" s="1"/>
      <c r="Q506" s="1"/>
      <c r="R506" s="1" t="s">
        <v>8525</v>
      </c>
      <c r="S506" s="1" t="s">
        <v>8526</v>
      </c>
      <c r="T506" s="1" t="s">
        <v>8527</v>
      </c>
      <c r="U506" s="1" t="s">
        <v>6096</v>
      </c>
      <c r="V506" s="1" t="s">
        <v>6097</v>
      </c>
      <c r="W506" s="1" t="s">
        <v>8528</v>
      </c>
    </row>
    <row r="507" spans="1:23" ht="48" customHeight="1">
      <c r="A507" s="1" t="s">
        <v>5063</v>
      </c>
      <c r="B507" s="1" t="s">
        <v>6099</v>
      </c>
      <c r="C507" s="1" t="s">
        <v>8529</v>
      </c>
      <c r="D507" s="1" t="s">
        <v>8530</v>
      </c>
      <c r="E507" s="1" t="s">
        <v>8530</v>
      </c>
      <c r="F507" s="1" t="s">
        <v>6087</v>
      </c>
      <c r="G507" s="1" t="s">
        <v>8522</v>
      </c>
      <c r="H507" s="1" t="s">
        <v>6089</v>
      </c>
      <c r="I507" s="1"/>
      <c r="J507" s="1"/>
      <c r="K507" s="1" t="s">
        <v>6090</v>
      </c>
      <c r="L507" s="1" t="s">
        <v>8531</v>
      </c>
      <c r="M507" s="1" t="s">
        <v>8532</v>
      </c>
      <c r="N507" s="1"/>
      <c r="O507" s="1"/>
      <c r="P507" s="1"/>
      <c r="Q507" s="1"/>
      <c r="R507" s="1" t="s">
        <v>8533</v>
      </c>
      <c r="S507" s="1" t="s">
        <v>8534</v>
      </c>
      <c r="T507" s="1" t="s">
        <v>8527</v>
      </c>
      <c r="U507" s="1" t="s">
        <v>6096</v>
      </c>
      <c r="V507" s="1" t="s">
        <v>6097</v>
      </c>
      <c r="W507" s="1" t="s">
        <v>8528</v>
      </c>
    </row>
    <row r="508" spans="1:23" ht="48" customHeight="1">
      <c r="A508" s="1" t="s">
        <v>5063</v>
      </c>
      <c r="B508" s="1" t="s">
        <v>6107</v>
      </c>
      <c r="C508" s="1" t="s">
        <v>8535</v>
      </c>
      <c r="D508" s="1" t="s">
        <v>8536</v>
      </c>
      <c r="E508" s="1"/>
      <c r="F508" s="1" t="s">
        <v>6110</v>
      </c>
      <c r="G508" s="1" t="s">
        <v>8522</v>
      </c>
      <c r="H508" s="1" t="s">
        <v>6089</v>
      </c>
      <c r="I508" s="1"/>
      <c r="J508" s="1"/>
      <c r="K508" s="1" t="s">
        <v>6090</v>
      </c>
      <c r="L508" s="1" t="s">
        <v>8537</v>
      </c>
      <c r="M508" s="1" t="s">
        <v>8538</v>
      </c>
      <c r="N508" s="1"/>
      <c r="O508" s="1"/>
      <c r="P508" s="1"/>
      <c r="Q508" s="1"/>
      <c r="R508" s="1"/>
      <c r="S508" s="1"/>
      <c r="T508" s="1"/>
      <c r="U508" s="1"/>
      <c r="V508" s="1"/>
      <c r="W508" s="1"/>
    </row>
    <row r="509" spans="1:23" ht="48" customHeight="1">
      <c r="A509" s="1" t="s">
        <v>5063</v>
      </c>
      <c r="B509" s="1" t="s">
        <v>6113</v>
      </c>
      <c r="C509" s="1" t="s">
        <v>8539</v>
      </c>
      <c r="D509" s="1" t="s">
        <v>8540</v>
      </c>
      <c r="E509" s="1"/>
      <c r="F509" s="1" t="s">
        <v>6110</v>
      </c>
      <c r="G509" s="1" t="s">
        <v>8522</v>
      </c>
      <c r="H509" s="1" t="s">
        <v>6089</v>
      </c>
      <c r="I509" s="1"/>
      <c r="J509" s="1"/>
      <c r="K509" s="1" t="s">
        <v>6090</v>
      </c>
      <c r="L509" s="1" t="s">
        <v>8541</v>
      </c>
      <c r="M509" s="1" t="s">
        <v>8542</v>
      </c>
      <c r="N509" s="1"/>
      <c r="O509" s="1"/>
      <c r="P509" s="1"/>
      <c r="Q509" s="1"/>
      <c r="R509" s="1"/>
      <c r="S509" s="1"/>
      <c r="T509" s="1"/>
      <c r="U509" s="1"/>
      <c r="V509" s="1"/>
      <c r="W509" s="1"/>
    </row>
    <row r="510" spans="1:23" ht="48" customHeight="1">
      <c r="A510" s="1" t="s">
        <v>5063</v>
      </c>
      <c r="B510" s="1" t="s">
        <v>6118</v>
      </c>
      <c r="C510" s="1" t="s">
        <v>8543</v>
      </c>
      <c r="D510" s="1" t="s">
        <v>8544</v>
      </c>
      <c r="E510" s="1" t="s">
        <v>8545</v>
      </c>
      <c r="F510" s="1" t="s">
        <v>6087</v>
      </c>
      <c r="G510" s="1" t="s">
        <v>8522</v>
      </c>
      <c r="H510" s="1" t="s">
        <v>6089</v>
      </c>
      <c r="I510" s="1"/>
      <c r="J510" s="1"/>
      <c r="K510" s="1" t="s">
        <v>6090</v>
      </c>
      <c r="L510" s="1" t="s">
        <v>8546</v>
      </c>
      <c r="M510" s="1" t="s">
        <v>8547</v>
      </c>
      <c r="N510" s="1"/>
      <c r="O510" s="1"/>
      <c r="P510" s="1"/>
      <c r="Q510" s="1"/>
      <c r="R510" s="1" t="s">
        <v>8548</v>
      </c>
      <c r="S510" s="1" t="s">
        <v>8549</v>
      </c>
      <c r="T510" s="1" t="s">
        <v>8527</v>
      </c>
      <c r="U510" s="1" t="s">
        <v>6096</v>
      </c>
      <c r="V510" s="1" t="s">
        <v>6097</v>
      </c>
      <c r="W510" s="1" t="s">
        <v>8528</v>
      </c>
    </row>
    <row r="511" spans="1:23" ht="48" customHeight="1">
      <c r="A511" s="1" t="s">
        <v>5063</v>
      </c>
      <c r="B511" s="1" t="s">
        <v>6126</v>
      </c>
      <c r="C511" s="1" t="s">
        <v>8550</v>
      </c>
      <c r="D511" s="1" t="s">
        <v>8551</v>
      </c>
      <c r="E511" s="1" t="s">
        <v>6129</v>
      </c>
      <c r="F511" s="1" t="s">
        <v>6087</v>
      </c>
      <c r="G511" s="1" t="s">
        <v>8522</v>
      </c>
      <c r="H511" s="1" t="s">
        <v>6089</v>
      </c>
      <c r="I511" s="1"/>
      <c r="J511" s="1"/>
      <c r="K511" s="1" t="s">
        <v>6090</v>
      </c>
      <c r="L511" s="1" t="s">
        <v>8552</v>
      </c>
      <c r="M511" s="1" t="s">
        <v>8553</v>
      </c>
      <c r="N511" s="1"/>
      <c r="O511" s="1"/>
      <c r="P511" s="1"/>
      <c r="Q511" s="1"/>
      <c r="R511" s="1" t="s">
        <v>8554</v>
      </c>
      <c r="S511" s="1" t="s">
        <v>8555</v>
      </c>
      <c r="T511" s="1" t="s">
        <v>8527</v>
      </c>
      <c r="U511" s="1" t="s">
        <v>6096</v>
      </c>
      <c r="V511" s="1" t="s">
        <v>6097</v>
      </c>
      <c r="W511" s="1" t="s">
        <v>8528</v>
      </c>
    </row>
    <row r="512" spans="1:23" ht="48" customHeight="1">
      <c r="A512" s="1" t="s">
        <v>5063</v>
      </c>
      <c r="B512" s="1" t="s">
        <v>6134</v>
      </c>
      <c r="C512" s="1" t="s">
        <v>8556</v>
      </c>
      <c r="D512" s="1" t="s">
        <v>8557</v>
      </c>
      <c r="E512" s="1" t="s">
        <v>8558</v>
      </c>
      <c r="F512" s="1" t="s">
        <v>6138</v>
      </c>
      <c r="G512" s="1" t="s">
        <v>8522</v>
      </c>
      <c r="H512" s="1" t="s">
        <v>6089</v>
      </c>
      <c r="I512" s="1"/>
      <c r="J512" s="1"/>
      <c r="K512" s="1" t="s">
        <v>6090</v>
      </c>
      <c r="L512" s="1" t="s">
        <v>8559</v>
      </c>
      <c r="M512" s="1" t="s">
        <v>8560</v>
      </c>
      <c r="N512" s="1"/>
      <c r="O512" s="1"/>
      <c r="P512" s="1"/>
      <c r="Q512" s="1"/>
      <c r="R512" s="1" t="s">
        <v>8561</v>
      </c>
      <c r="S512" s="1" t="s">
        <v>7107</v>
      </c>
      <c r="T512" s="1" t="s">
        <v>8527</v>
      </c>
      <c r="U512" s="1" t="s">
        <v>6096</v>
      </c>
      <c r="V512" s="1" t="s">
        <v>6143</v>
      </c>
      <c r="W512" s="1" t="s">
        <v>8528</v>
      </c>
    </row>
    <row r="513" spans="1:23" ht="48" customHeight="1">
      <c r="A513" s="1" t="s">
        <v>5063</v>
      </c>
      <c r="B513" s="1" t="s">
        <v>6144</v>
      </c>
      <c r="C513" s="1" t="s">
        <v>8562</v>
      </c>
      <c r="D513" s="1" t="s">
        <v>4747</v>
      </c>
      <c r="E513" s="1" t="s">
        <v>8563</v>
      </c>
      <c r="F513" s="1" t="s">
        <v>6138</v>
      </c>
      <c r="G513" s="1" t="s">
        <v>8522</v>
      </c>
      <c r="H513" s="1" t="s">
        <v>6089</v>
      </c>
      <c r="I513" s="1"/>
      <c r="J513" s="1"/>
      <c r="K513" s="1" t="s">
        <v>6090</v>
      </c>
      <c r="L513" s="1" t="s">
        <v>8564</v>
      </c>
      <c r="M513" s="1" t="s">
        <v>8565</v>
      </c>
      <c r="N513" s="1"/>
      <c r="O513" s="1"/>
      <c r="P513" s="1"/>
      <c r="Q513" s="1"/>
      <c r="R513" s="1" t="s">
        <v>8561</v>
      </c>
      <c r="S513" s="1" t="s">
        <v>7107</v>
      </c>
      <c r="T513" s="1" t="s">
        <v>8527</v>
      </c>
      <c r="U513" s="1" t="s">
        <v>6096</v>
      </c>
      <c r="V513" s="1" t="s">
        <v>6143</v>
      </c>
      <c r="W513" s="1" t="s">
        <v>8528</v>
      </c>
    </row>
    <row r="514" spans="1:23" ht="48" customHeight="1">
      <c r="A514" s="1" t="s">
        <v>5063</v>
      </c>
      <c r="B514" s="1" t="s">
        <v>6149</v>
      </c>
      <c r="C514" s="1" t="s">
        <v>8566</v>
      </c>
      <c r="D514" s="1" t="s">
        <v>8567</v>
      </c>
      <c r="E514" s="1" t="s">
        <v>8568</v>
      </c>
      <c r="F514" s="1" t="s">
        <v>6138</v>
      </c>
      <c r="G514" s="1" t="s">
        <v>8522</v>
      </c>
      <c r="H514" s="1" t="s">
        <v>6089</v>
      </c>
      <c r="I514" s="1"/>
      <c r="J514" s="1"/>
      <c r="K514" s="1" t="s">
        <v>6090</v>
      </c>
      <c r="L514" s="1" t="s">
        <v>8569</v>
      </c>
      <c r="M514" s="1" t="s">
        <v>8570</v>
      </c>
      <c r="N514" s="1"/>
      <c r="O514" s="1"/>
      <c r="P514" s="1"/>
      <c r="Q514" s="1"/>
      <c r="R514" s="1" t="s">
        <v>8561</v>
      </c>
      <c r="S514" s="1" t="s">
        <v>7107</v>
      </c>
      <c r="T514" s="1" t="s">
        <v>8527</v>
      </c>
      <c r="U514" s="1" t="s">
        <v>6096</v>
      </c>
      <c r="V514" s="1" t="s">
        <v>6143</v>
      </c>
      <c r="W514" s="1" t="s">
        <v>8528</v>
      </c>
    </row>
    <row r="515" spans="1:23" ht="48" customHeight="1">
      <c r="A515" s="1" t="s">
        <v>5063</v>
      </c>
      <c r="B515" s="1" t="s">
        <v>6154</v>
      </c>
      <c r="C515" s="1" t="s">
        <v>8571</v>
      </c>
      <c r="D515" s="1" t="s">
        <v>8572</v>
      </c>
      <c r="E515" s="1" t="s">
        <v>8573</v>
      </c>
      <c r="F515" s="1" t="s">
        <v>6138</v>
      </c>
      <c r="G515" s="1" t="s">
        <v>8522</v>
      </c>
      <c r="H515" s="1" t="s">
        <v>6089</v>
      </c>
      <c r="I515" s="1"/>
      <c r="J515" s="1"/>
      <c r="K515" s="1" t="s">
        <v>6090</v>
      </c>
      <c r="L515" s="1" t="s">
        <v>8574</v>
      </c>
      <c r="M515" s="1" t="s">
        <v>8575</v>
      </c>
      <c r="N515" s="1"/>
      <c r="O515" s="1"/>
      <c r="P515" s="1"/>
      <c r="Q515" s="1"/>
      <c r="R515" s="1" t="s">
        <v>8561</v>
      </c>
      <c r="S515" s="1" t="s">
        <v>7107</v>
      </c>
      <c r="T515" s="1" t="s">
        <v>8527</v>
      </c>
      <c r="U515" s="1" t="s">
        <v>6096</v>
      </c>
      <c r="V515" s="1" t="s">
        <v>6143</v>
      </c>
      <c r="W515" s="1" t="s">
        <v>8528</v>
      </c>
    </row>
    <row r="516" spans="1:23" ht="48" customHeight="1">
      <c r="A516" s="1" t="s">
        <v>5063</v>
      </c>
      <c r="B516" s="1" t="s">
        <v>6159</v>
      </c>
      <c r="C516" s="1" t="s">
        <v>8576</v>
      </c>
      <c r="D516" s="1" t="s">
        <v>6829</v>
      </c>
      <c r="E516" s="1" t="s">
        <v>8577</v>
      </c>
      <c r="F516" s="1" t="s">
        <v>6163</v>
      </c>
      <c r="G516" s="1" t="s">
        <v>8522</v>
      </c>
      <c r="H516" s="1" t="s">
        <v>6089</v>
      </c>
      <c r="I516" s="1"/>
      <c r="J516" s="1"/>
      <c r="K516" s="1" t="s">
        <v>6090</v>
      </c>
      <c r="L516" s="1" t="s">
        <v>8578</v>
      </c>
      <c r="M516" s="1" t="s">
        <v>8579</v>
      </c>
      <c r="N516" s="1"/>
      <c r="O516" s="1"/>
      <c r="P516" s="1"/>
      <c r="Q516" s="1"/>
      <c r="R516" s="1" t="s">
        <v>8580</v>
      </c>
      <c r="S516" s="1" t="s">
        <v>8581</v>
      </c>
      <c r="T516" s="1" t="s">
        <v>8527</v>
      </c>
      <c r="U516" s="1" t="s">
        <v>6096</v>
      </c>
      <c r="V516" s="1" t="s">
        <v>6168</v>
      </c>
      <c r="W516" s="1" t="s">
        <v>8528</v>
      </c>
    </row>
    <row r="517" spans="1:23" ht="48" customHeight="1">
      <c r="A517" s="1" t="s">
        <v>5063</v>
      </c>
      <c r="B517" s="1" t="s">
        <v>6169</v>
      </c>
      <c r="C517" s="1" t="s">
        <v>8582</v>
      </c>
      <c r="D517" s="1" t="s">
        <v>8583</v>
      </c>
      <c r="E517" s="1" t="s">
        <v>8584</v>
      </c>
      <c r="F517" s="1" t="s">
        <v>6163</v>
      </c>
      <c r="G517" s="1" t="s">
        <v>8522</v>
      </c>
      <c r="H517" s="1" t="s">
        <v>6089</v>
      </c>
      <c r="I517" s="1"/>
      <c r="J517" s="1"/>
      <c r="K517" s="1" t="s">
        <v>6090</v>
      </c>
      <c r="L517" s="1" t="s">
        <v>8585</v>
      </c>
      <c r="M517" s="1" t="s">
        <v>8586</v>
      </c>
      <c r="N517" s="1"/>
      <c r="O517" s="1"/>
      <c r="P517" s="1"/>
      <c r="Q517" s="1"/>
      <c r="R517" s="1" t="s">
        <v>8587</v>
      </c>
      <c r="S517" s="1" t="s">
        <v>8588</v>
      </c>
      <c r="T517" s="1" t="s">
        <v>8527</v>
      </c>
      <c r="U517" s="1" t="s">
        <v>6096</v>
      </c>
      <c r="V517" s="1" t="s">
        <v>6168</v>
      </c>
      <c r="W517" s="1" t="s">
        <v>8528</v>
      </c>
    </row>
    <row r="518" spans="1:23" ht="96" customHeight="1">
      <c r="A518" s="1" t="s">
        <v>5063</v>
      </c>
      <c r="B518" s="1" t="s">
        <v>6176</v>
      </c>
      <c r="C518" s="1" t="s">
        <v>8589</v>
      </c>
      <c r="D518" s="1" t="s">
        <v>4747</v>
      </c>
      <c r="E518" s="1" t="s">
        <v>8590</v>
      </c>
      <c r="F518" s="1" t="s">
        <v>6138</v>
      </c>
      <c r="G518" s="1" t="s">
        <v>8522</v>
      </c>
      <c r="H518" s="1" t="s">
        <v>6089</v>
      </c>
      <c r="I518" s="1"/>
      <c r="J518" s="1"/>
      <c r="K518" s="1" t="s">
        <v>6090</v>
      </c>
      <c r="L518" s="1" t="s">
        <v>8591</v>
      </c>
      <c r="M518" s="1" t="s">
        <v>8592</v>
      </c>
      <c r="N518" s="1"/>
      <c r="O518" s="1"/>
      <c r="P518" s="1"/>
      <c r="Q518" s="1"/>
      <c r="R518" s="1" t="s">
        <v>8593</v>
      </c>
      <c r="S518" s="1" t="s">
        <v>8594</v>
      </c>
      <c r="T518" s="1" t="s">
        <v>8527</v>
      </c>
      <c r="U518" s="1" t="s">
        <v>6096</v>
      </c>
      <c r="V518" s="1" t="s">
        <v>6184</v>
      </c>
      <c r="W518" s="1" t="s">
        <v>8528</v>
      </c>
    </row>
    <row r="519" spans="1:23" ht="96" customHeight="1">
      <c r="A519" s="1" t="s">
        <v>5063</v>
      </c>
      <c r="B519" s="1" t="s">
        <v>6185</v>
      </c>
      <c r="C519" s="1" t="s">
        <v>8595</v>
      </c>
      <c r="D519" s="1" t="s">
        <v>8596</v>
      </c>
      <c r="E519" s="1" t="s">
        <v>8597</v>
      </c>
      <c r="F519" s="1" t="s">
        <v>6138</v>
      </c>
      <c r="G519" s="1" t="s">
        <v>8522</v>
      </c>
      <c r="H519" s="1" t="s">
        <v>6089</v>
      </c>
      <c r="I519" s="1"/>
      <c r="J519" s="1"/>
      <c r="K519" s="1" t="s">
        <v>6090</v>
      </c>
      <c r="L519" s="1" t="s">
        <v>8598</v>
      </c>
      <c r="M519" s="1" t="s">
        <v>8599</v>
      </c>
      <c r="N519" s="1"/>
      <c r="O519" s="1"/>
      <c r="P519" s="1"/>
      <c r="Q519" s="1"/>
      <c r="R519" s="1" t="s">
        <v>8600</v>
      </c>
      <c r="S519" s="1" t="s">
        <v>8601</v>
      </c>
      <c r="T519" s="1" t="s">
        <v>8527</v>
      </c>
      <c r="U519" s="1" t="s">
        <v>6096</v>
      </c>
      <c r="V519" s="1" t="s">
        <v>6184</v>
      </c>
      <c r="W519" s="1" t="s">
        <v>8528</v>
      </c>
    </row>
    <row r="520" spans="1:23" ht="96" customHeight="1">
      <c r="A520" s="1" t="s">
        <v>5063</v>
      </c>
      <c r="B520" s="1" t="s">
        <v>6189</v>
      </c>
      <c r="C520" s="1" t="s">
        <v>8602</v>
      </c>
      <c r="D520" s="1" t="s">
        <v>4747</v>
      </c>
      <c r="E520" s="1" t="s">
        <v>8603</v>
      </c>
      <c r="F520" s="1" t="s">
        <v>6138</v>
      </c>
      <c r="G520" s="1" t="s">
        <v>8522</v>
      </c>
      <c r="H520" s="1" t="s">
        <v>6089</v>
      </c>
      <c r="I520" s="1"/>
      <c r="J520" s="1"/>
      <c r="K520" s="1" t="s">
        <v>6090</v>
      </c>
      <c r="L520" s="1" t="s">
        <v>8604</v>
      </c>
      <c r="M520" s="1" t="s">
        <v>8605</v>
      </c>
      <c r="N520" s="1"/>
      <c r="O520" s="1"/>
      <c r="P520" s="1"/>
      <c r="Q520" s="1"/>
      <c r="R520" s="1" t="s">
        <v>8606</v>
      </c>
      <c r="S520" s="1" t="s">
        <v>8607</v>
      </c>
      <c r="T520" s="1" t="s">
        <v>8527</v>
      </c>
      <c r="U520" s="1" t="s">
        <v>6096</v>
      </c>
      <c r="V520" s="1" t="s">
        <v>6184</v>
      </c>
      <c r="W520" s="1" t="s">
        <v>8528</v>
      </c>
    </row>
    <row r="521" spans="1:23" ht="48" customHeight="1">
      <c r="A521" s="1" t="s">
        <v>5063</v>
      </c>
      <c r="B521" s="1" t="s">
        <v>6196</v>
      </c>
      <c r="C521" s="1" t="s">
        <v>8608</v>
      </c>
      <c r="D521" s="1" t="s">
        <v>4747</v>
      </c>
      <c r="E521" s="1" t="s">
        <v>8609</v>
      </c>
      <c r="F521" s="1" t="s">
        <v>6163</v>
      </c>
      <c r="G521" s="1" t="s">
        <v>8522</v>
      </c>
      <c r="H521" s="1" t="s">
        <v>6089</v>
      </c>
      <c r="I521" s="1"/>
      <c r="J521" s="1"/>
      <c r="K521" s="1" t="s">
        <v>6090</v>
      </c>
      <c r="L521" s="1" t="s">
        <v>8610</v>
      </c>
      <c r="M521" s="1" t="s">
        <v>8611</v>
      </c>
      <c r="N521" s="1"/>
      <c r="O521" s="1"/>
      <c r="P521" s="1"/>
      <c r="Q521" s="1"/>
      <c r="R521" s="1" t="s">
        <v>8612</v>
      </c>
      <c r="S521" s="1" t="s">
        <v>8613</v>
      </c>
      <c r="T521" s="1" t="s">
        <v>8527</v>
      </c>
      <c r="U521" s="1" t="s">
        <v>6096</v>
      </c>
      <c r="V521" s="1" t="s">
        <v>6168</v>
      </c>
      <c r="W521" s="1" t="s">
        <v>8528</v>
      </c>
    </row>
    <row r="522" spans="1:23" ht="48" customHeight="1">
      <c r="A522" s="1" t="s">
        <v>5063</v>
      </c>
      <c r="B522" s="1" t="s">
        <v>6200</v>
      </c>
      <c r="C522" s="1" t="s">
        <v>8614</v>
      </c>
      <c r="D522" s="1" t="s">
        <v>8615</v>
      </c>
      <c r="E522" s="1" t="s">
        <v>8616</v>
      </c>
      <c r="F522" s="1" t="s">
        <v>6163</v>
      </c>
      <c r="G522" s="1" t="s">
        <v>8522</v>
      </c>
      <c r="H522" s="1" t="s">
        <v>6089</v>
      </c>
      <c r="I522" s="1"/>
      <c r="J522" s="1"/>
      <c r="K522" s="1" t="s">
        <v>6090</v>
      </c>
      <c r="L522" s="1" t="s">
        <v>8617</v>
      </c>
      <c r="M522" s="1" t="s">
        <v>8618</v>
      </c>
      <c r="N522" s="1"/>
      <c r="O522" s="1"/>
      <c r="P522" s="1"/>
      <c r="Q522" s="1"/>
      <c r="R522" s="1" t="s">
        <v>8619</v>
      </c>
      <c r="S522" s="1" t="s">
        <v>8620</v>
      </c>
      <c r="T522" s="1" t="s">
        <v>8527</v>
      </c>
      <c r="U522" s="1" t="s">
        <v>6096</v>
      </c>
      <c r="V522" s="1" t="s">
        <v>6168</v>
      </c>
      <c r="W522" s="1" t="s">
        <v>8528</v>
      </c>
    </row>
    <row r="523" spans="1:23" ht="96" customHeight="1">
      <c r="A523" s="1" t="s">
        <v>5063</v>
      </c>
      <c r="B523" s="1" t="s">
        <v>5583</v>
      </c>
      <c r="C523" s="1" t="s">
        <v>8621</v>
      </c>
      <c r="D523" s="1" t="s">
        <v>4747</v>
      </c>
      <c r="E523" s="1" t="s">
        <v>8622</v>
      </c>
      <c r="F523" s="1" t="s">
        <v>6138</v>
      </c>
      <c r="G523" s="1" t="s">
        <v>8522</v>
      </c>
      <c r="H523" s="1" t="s">
        <v>6089</v>
      </c>
      <c r="I523" s="1"/>
      <c r="J523" s="1"/>
      <c r="K523" s="1" t="s">
        <v>6090</v>
      </c>
      <c r="L523" s="1" t="s">
        <v>8623</v>
      </c>
      <c r="M523" s="1" t="s">
        <v>8624</v>
      </c>
      <c r="N523" s="1"/>
      <c r="O523" s="1"/>
      <c r="P523" s="1"/>
      <c r="Q523" s="1"/>
      <c r="R523" s="1" t="s">
        <v>8625</v>
      </c>
      <c r="S523" s="1" t="s">
        <v>8626</v>
      </c>
      <c r="T523" s="1" t="s">
        <v>8527</v>
      </c>
      <c r="U523" s="1" t="s">
        <v>6096</v>
      </c>
      <c r="V523" s="1" t="s">
        <v>6184</v>
      </c>
      <c r="W523" s="1" t="s">
        <v>8528</v>
      </c>
    </row>
    <row r="524" spans="1:23" ht="48" customHeight="1">
      <c r="A524" s="1" t="s">
        <v>5063</v>
      </c>
      <c r="B524" s="1" t="s">
        <v>6209</v>
      </c>
      <c r="C524" s="1" t="s">
        <v>8627</v>
      </c>
      <c r="D524" s="1" t="s">
        <v>4747</v>
      </c>
      <c r="E524" s="1"/>
      <c r="F524" s="1" t="s">
        <v>6110</v>
      </c>
      <c r="G524" s="1" t="s">
        <v>8522</v>
      </c>
      <c r="H524" s="1" t="s">
        <v>6089</v>
      </c>
      <c r="I524" s="1"/>
      <c r="J524" s="1"/>
      <c r="K524" s="1" t="s">
        <v>6090</v>
      </c>
      <c r="L524" s="1" t="s">
        <v>8628</v>
      </c>
      <c r="M524" s="1" t="s">
        <v>8629</v>
      </c>
      <c r="N524" s="1"/>
      <c r="O524" s="1"/>
      <c r="P524" s="1"/>
      <c r="Q524" s="1"/>
      <c r="R524" s="1"/>
      <c r="S524" s="1"/>
      <c r="T524" s="1"/>
      <c r="U524" s="1"/>
      <c r="V524" s="1"/>
      <c r="W524" s="1"/>
    </row>
    <row r="525" spans="1:23" ht="72" customHeight="1">
      <c r="A525" s="1" t="s">
        <v>5063</v>
      </c>
      <c r="B525" s="1" t="s">
        <v>6212</v>
      </c>
      <c r="C525" s="1" t="s">
        <v>8630</v>
      </c>
      <c r="D525" s="1" t="s">
        <v>4747</v>
      </c>
      <c r="E525" s="1" t="s">
        <v>8631</v>
      </c>
      <c r="F525" s="1" t="s">
        <v>6163</v>
      </c>
      <c r="G525" s="1" t="s">
        <v>8522</v>
      </c>
      <c r="H525" s="1" t="s">
        <v>6089</v>
      </c>
      <c r="I525" s="1"/>
      <c r="J525" s="1"/>
      <c r="K525" s="1" t="s">
        <v>6090</v>
      </c>
      <c r="L525" s="1" t="s">
        <v>8632</v>
      </c>
      <c r="M525" s="1" t="s">
        <v>8633</v>
      </c>
      <c r="N525" s="1"/>
      <c r="O525" s="1"/>
      <c r="P525" s="1"/>
      <c r="Q525" s="1"/>
      <c r="R525" s="1" t="s">
        <v>8634</v>
      </c>
      <c r="S525" s="1" t="s">
        <v>8635</v>
      </c>
      <c r="T525" s="1" t="s">
        <v>8527</v>
      </c>
      <c r="U525" s="1" t="s">
        <v>6096</v>
      </c>
      <c r="V525" s="1" t="s">
        <v>6168</v>
      </c>
      <c r="W525" s="1" t="s">
        <v>8528</v>
      </c>
    </row>
    <row r="526" spans="1:23" ht="48" customHeight="1">
      <c r="A526" s="1" t="s">
        <v>5063</v>
      </c>
      <c r="B526" s="1" t="s">
        <v>6215</v>
      </c>
      <c r="C526" s="1"/>
      <c r="D526" s="1" t="s">
        <v>4747</v>
      </c>
      <c r="E526" s="1"/>
      <c r="F526" s="1" t="s">
        <v>6216</v>
      </c>
      <c r="G526" s="1"/>
      <c r="H526" s="1" t="s">
        <v>6089</v>
      </c>
      <c r="I526" s="1"/>
      <c r="J526" s="1"/>
      <c r="K526" s="1" t="s">
        <v>6090</v>
      </c>
      <c r="L526" s="1"/>
      <c r="M526" s="1" t="s">
        <v>8636</v>
      </c>
      <c r="N526" s="1"/>
      <c r="O526" s="1"/>
      <c r="P526" s="1"/>
      <c r="Q526" s="1"/>
      <c r="R526" s="1"/>
      <c r="S526" s="1"/>
      <c r="T526" s="1"/>
      <c r="U526" s="1"/>
      <c r="V526" s="1"/>
      <c r="W526" s="1"/>
    </row>
    <row r="527" spans="1:23" ht="48" customHeight="1">
      <c r="A527" s="1" t="s">
        <v>5063</v>
      </c>
      <c r="B527" s="1" t="s">
        <v>6218</v>
      </c>
      <c r="C527" s="1" t="s">
        <v>8637</v>
      </c>
      <c r="D527" s="1" t="s">
        <v>4747</v>
      </c>
      <c r="E527" s="1"/>
      <c r="F527" s="1" t="s">
        <v>6110</v>
      </c>
      <c r="G527" s="1" t="s">
        <v>8522</v>
      </c>
      <c r="H527" s="1" t="s">
        <v>6089</v>
      </c>
      <c r="I527" s="1"/>
      <c r="J527" s="1"/>
      <c r="K527" s="1" t="s">
        <v>6090</v>
      </c>
      <c r="L527" s="1" t="s">
        <v>8638</v>
      </c>
      <c r="M527" s="1" t="s">
        <v>8639</v>
      </c>
      <c r="N527" s="1"/>
      <c r="O527" s="1"/>
      <c r="P527" s="1"/>
      <c r="Q527" s="1"/>
      <c r="R527" s="1"/>
      <c r="S527" s="1"/>
      <c r="T527" s="1"/>
      <c r="U527" s="1"/>
      <c r="V527" s="1"/>
      <c r="W527" s="1"/>
    </row>
    <row r="528" spans="1:23" ht="48" customHeight="1">
      <c r="A528" s="1" t="s">
        <v>5063</v>
      </c>
      <c r="B528" s="1" t="s">
        <v>6222</v>
      </c>
      <c r="C528" s="1" t="s">
        <v>8640</v>
      </c>
      <c r="D528" s="1" t="s">
        <v>8641</v>
      </c>
      <c r="E528" s="1"/>
      <c r="F528" s="1" t="s">
        <v>6110</v>
      </c>
      <c r="G528" s="1" t="s">
        <v>8522</v>
      </c>
      <c r="H528" s="1" t="s">
        <v>6089</v>
      </c>
      <c r="I528" s="1"/>
      <c r="J528" s="1"/>
      <c r="K528" s="1" t="s">
        <v>6090</v>
      </c>
      <c r="L528" s="1" t="s">
        <v>8642</v>
      </c>
      <c r="M528" s="1" t="s">
        <v>8643</v>
      </c>
      <c r="N528" s="1"/>
      <c r="O528" s="1"/>
      <c r="P528" s="1"/>
      <c r="Q528" s="1"/>
      <c r="R528" s="1"/>
      <c r="S528" s="1"/>
      <c r="T528" s="1"/>
      <c r="U528" s="1"/>
      <c r="V528" s="1"/>
      <c r="W528" s="1"/>
    </row>
    <row r="529" spans="1:23" ht="48" customHeight="1">
      <c r="A529" s="1" t="s">
        <v>5063</v>
      </c>
      <c r="B529" s="1" t="s">
        <v>6227</v>
      </c>
      <c r="C529" s="1" t="s">
        <v>8644</v>
      </c>
      <c r="D529" s="1" t="s">
        <v>8645</v>
      </c>
      <c r="E529" s="1"/>
      <c r="F529" s="1" t="s">
        <v>6110</v>
      </c>
      <c r="G529" s="1" t="s">
        <v>8522</v>
      </c>
      <c r="H529" s="1" t="s">
        <v>6089</v>
      </c>
      <c r="I529" s="1"/>
      <c r="J529" s="1"/>
      <c r="K529" s="1" t="s">
        <v>6090</v>
      </c>
      <c r="L529" s="1" t="s">
        <v>8646</v>
      </c>
      <c r="M529" s="1" t="s">
        <v>8647</v>
      </c>
      <c r="N529" s="1"/>
      <c r="O529" s="1"/>
      <c r="P529" s="1"/>
      <c r="Q529" s="1"/>
      <c r="R529" s="1"/>
      <c r="S529" s="1"/>
      <c r="T529" s="1"/>
      <c r="U529" s="1"/>
      <c r="V529" s="1"/>
      <c r="W529" s="1"/>
    </row>
    <row r="530" spans="1:23" ht="48" customHeight="1">
      <c r="A530" s="1" t="s">
        <v>5063</v>
      </c>
      <c r="B530" s="1" t="s">
        <v>6232</v>
      </c>
      <c r="C530" s="1" t="s">
        <v>4747</v>
      </c>
      <c r="D530" s="1" t="s">
        <v>4747</v>
      </c>
      <c r="E530" s="1" t="s">
        <v>4747</v>
      </c>
      <c r="F530" s="1" t="s">
        <v>6186</v>
      </c>
      <c r="G530" s="1" t="s">
        <v>8522</v>
      </c>
      <c r="H530" s="1" t="s">
        <v>6089</v>
      </c>
      <c r="I530" s="1"/>
      <c r="J530" s="1"/>
      <c r="K530" s="1" t="s">
        <v>6090</v>
      </c>
      <c r="L530" s="1" t="s">
        <v>8648</v>
      </c>
      <c r="M530" s="1" t="s">
        <v>8649</v>
      </c>
      <c r="N530" s="1"/>
      <c r="O530" s="1"/>
      <c r="P530" s="1"/>
      <c r="Q530" s="1"/>
      <c r="R530" s="1"/>
      <c r="S530" s="1"/>
      <c r="T530" s="1"/>
      <c r="U530" s="1"/>
      <c r="V530" s="1"/>
      <c r="W530" s="1"/>
    </row>
    <row r="531" spans="1:23" ht="72" customHeight="1">
      <c r="A531" s="1" t="s">
        <v>5063</v>
      </c>
      <c r="B531" s="1" t="s">
        <v>6236</v>
      </c>
      <c r="C531" s="1" t="s">
        <v>8650</v>
      </c>
      <c r="D531" s="1" t="s">
        <v>8651</v>
      </c>
      <c r="E531" s="1" t="s">
        <v>8652</v>
      </c>
      <c r="F531" s="1" t="s">
        <v>6163</v>
      </c>
      <c r="G531" s="1" t="s">
        <v>8522</v>
      </c>
      <c r="H531" s="1" t="s">
        <v>6089</v>
      </c>
      <c r="I531" s="1"/>
      <c r="J531" s="1"/>
      <c r="K531" s="1" t="s">
        <v>6090</v>
      </c>
      <c r="L531" s="1" t="s">
        <v>8653</v>
      </c>
      <c r="M531" s="1" t="s">
        <v>8654</v>
      </c>
      <c r="N531" s="1"/>
      <c r="O531" s="1"/>
      <c r="P531" s="1"/>
      <c r="Q531" s="1"/>
      <c r="R531" s="1" t="s">
        <v>8655</v>
      </c>
      <c r="S531" s="1" t="s">
        <v>8656</v>
      </c>
      <c r="T531" s="1" t="s">
        <v>8527</v>
      </c>
      <c r="U531" s="1" t="s">
        <v>6096</v>
      </c>
      <c r="V531" s="1" t="s">
        <v>6244</v>
      </c>
      <c r="W531" s="1" t="s">
        <v>8528</v>
      </c>
    </row>
    <row r="532" spans="1:23" ht="48" customHeight="1">
      <c r="A532" s="1" t="s">
        <v>5063</v>
      </c>
      <c r="B532" s="1" t="s">
        <v>6245</v>
      </c>
      <c r="C532" s="1" t="s">
        <v>8657</v>
      </c>
      <c r="D532" s="1"/>
      <c r="E532" s="1"/>
      <c r="F532" s="1" t="s">
        <v>6216</v>
      </c>
      <c r="G532" s="1" t="s">
        <v>8522</v>
      </c>
      <c r="H532" s="1"/>
      <c r="I532" s="1"/>
      <c r="J532" s="1"/>
      <c r="K532" s="1" t="s">
        <v>6090</v>
      </c>
      <c r="L532" s="1" t="s">
        <v>8658</v>
      </c>
      <c r="M532" s="1"/>
      <c r="N532" s="1"/>
      <c r="O532" s="1"/>
      <c r="P532" s="1"/>
      <c r="Q532" s="1"/>
      <c r="R532" s="1"/>
      <c r="S532" s="1"/>
      <c r="T532" s="1"/>
      <c r="U532" s="1"/>
      <c r="V532" s="1"/>
      <c r="W532" s="1"/>
    </row>
    <row r="533" spans="1:23" ht="48" customHeight="1">
      <c r="A533" s="1" t="s">
        <v>5063</v>
      </c>
      <c r="B533" s="1" t="s">
        <v>6248</v>
      </c>
      <c r="C533" s="1" t="s">
        <v>8659</v>
      </c>
      <c r="D533" s="1"/>
      <c r="E533" s="1"/>
      <c r="F533" s="1" t="s">
        <v>6216</v>
      </c>
      <c r="G533" s="1" t="s">
        <v>8522</v>
      </c>
      <c r="H533" s="1"/>
      <c r="I533" s="1"/>
      <c r="J533" s="1"/>
      <c r="K533" s="1" t="s">
        <v>6090</v>
      </c>
      <c r="L533" s="1" t="s">
        <v>8660</v>
      </c>
      <c r="M533" s="1"/>
      <c r="N533" s="1"/>
      <c r="O533" s="1"/>
      <c r="P533" s="1"/>
      <c r="Q533" s="1"/>
      <c r="R533" s="1"/>
      <c r="S533" s="1"/>
      <c r="T533" s="1"/>
      <c r="U533" s="1"/>
      <c r="V533" s="1"/>
      <c r="W533" s="1"/>
    </row>
    <row r="534" spans="1:23" ht="48" customHeight="1">
      <c r="A534" s="1" t="s">
        <v>5745</v>
      </c>
      <c r="B534" s="1" t="s">
        <v>6083</v>
      </c>
      <c r="C534" s="1" t="s">
        <v>8661</v>
      </c>
      <c r="D534" s="1" t="s">
        <v>8662</v>
      </c>
      <c r="E534" s="1" t="s">
        <v>8150</v>
      </c>
      <c r="F534" s="1" t="s">
        <v>6087</v>
      </c>
      <c r="G534" s="1" t="s">
        <v>8663</v>
      </c>
      <c r="H534" s="1" t="s">
        <v>6089</v>
      </c>
      <c r="I534" s="1"/>
      <c r="J534" s="1"/>
      <c r="K534" s="1" t="s">
        <v>6090</v>
      </c>
      <c r="L534" s="1" t="s">
        <v>8664</v>
      </c>
      <c r="M534" s="1" t="s">
        <v>8665</v>
      </c>
      <c r="N534" s="1"/>
      <c r="O534" s="1"/>
      <c r="P534" s="1"/>
      <c r="Q534" s="1"/>
      <c r="R534" s="1" t="s">
        <v>8666</v>
      </c>
      <c r="S534" s="1" t="s">
        <v>8667</v>
      </c>
      <c r="T534" s="1" t="s">
        <v>8668</v>
      </c>
      <c r="U534" s="1" t="s">
        <v>6096</v>
      </c>
      <c r="V534" s="1" t="s">
        <v>6097</v>
      </c>
      <c r="W534" s="1" t="s">
        <v>8669</v>
      </c>
    </row>
    <row r="535" spans="1:23" ht="48" customHeight="1">
      <c r="A535" s="1" t="s">
        <v>5745</v>
      </c>
      <c r="B535" s="1" t="s">
        <v>6099</v>
      </c>
      <c r="C535" s="1" t="s">
        <v>8670</v>
      </c>
      <c r="D535" s="1" t="s">
        <v>6101</v>
      </c>
      <c r="E535" s="1" t="s">
        <v>6102</v>
      </c>
      <c r="F535" s="1" t="s">
        <v>6087</v>
      </c>
      <c r="G535" s="1" t="s">
        <v>8663</v>
      </c>
      <c r="H535" s="1" t="s">
        <v>6089</v>
      </c>
      <c r="I535" s="1"/>
      <c r="J535" s="1"/>
      <c r="K535" s="1" t="s">
        <v>6090</v>
      </c>
      <c r="L535" s="1" t="s">
        <v>8671</v>
      </c>
      <c r="M535" s="1" t="s">
        <v>8672</v>
      </c>
      <c r="N535" s="1"/>
      <c r="O535" s="1"/>
      <c r="P535" s="1"/>
      <c r="Q535" s="1"/>
      <c r="R535" s="1" t="s">
        <v>8673</v>
      </c>
      <c r="S535" s="1" t="s">
        <v>8674</v>
      </c>
      <c r="T535" s="1" t="s">
        <v>8668</v>
      </c>
      <c r="U535" s="1" t="s">
        <v>6096</v>
      </c>
      <c r="V535" s="1" t="s">
        <v>6097</v>
      </c>
      <c r="W535" s="1" t="s">
        <v>8669</v>
      </c>
    </row>
    <row r="536" spans="1:23" ht="48" customHeight="1">
      <c r="A536" s="1" t="s">
        <v>5745</v>
      </c>
      <c r="B536" s="1" t="s">
        <v>6107</v>
      </c>
      <c r="C536" s="1" t="s">
        <v>8675</v>
      </c>
      <c r="D536" s="1" t="s">
        <v>8676</v>
      </c>
      <c r="E536" s="1"/>
      <c r="F536" s="1" t="s">
        <v>6110</v>
      </c>
      <c r="G536" s="1" t="s">
        <v>8663</v>
      </c>
      <c r="H536" s="1" t="s">
        <v>6089</v>
      </c>
      <c r="I536" s="1"/>
      <c r="J536" s="1"/>
      <c r="K536" s="1" t="s">
        <v>6090</v>
      </c>
      <c r="L536" s="1" t="s">
        <v>8677</v>
      </c>
      <c r="M536" s="1" t="s">
        <v>8678</v>
      </c>
      <c r="N536" s="1"/>
      <c r="O536" s="1"/>
      <c r="P536" s="1"/>
      <c r="Q536" s="1"/>
      <c r="R536" s="1"/>
      <c r="S536" s="1"/>
      <c r="T536" s="1"/>
      <c r="U536" s="1"/>
      <c r="V536" s="1"/>
      <c r="W536" s="1"/>
    </row>
    <row r="537" spans="1:23" ht="48" customHeight="1">
      <c r="A537" s="1" t="s">
        <v>5745</v>
      </c>
      <c r="B537" s="1" t="s">
        <v>6113</v>
      </c>
      <c r="C537" s="1" t="s">
        <v>8679</v>
      </c>
      <c r="D537" s="1" t="s">
        <v>8680</v>
      </c>
      <c r="E537" s="1"/>
      <c r="F537" s="1" t="s">
        <v>6110</v>
      </c>
      <c r="G537" s="1" t="s">
        <v>8663</v>
      </c>
      <c r="H537" s="1" t="s">
        <v>6089</v>
      </c>
      <c r="I537" s="1"/>
      <c r="J537" s="1"/>
      <c r="K537" s="1" t="s">
        <v>6090</v>
      </c>
      <c r="L537" s="1" t="s">
        <v>8681</v>
      </c>
      <c r="M537" s="1" t="s">
        <v>8682</v>
      </c>
      <c r="N537" s="1"/>
      <c r="O537" s="1"/>
      <c r="P537" s="1"/>
      <c r="Q537" s="1"/>
      <c r="R537" s="1"/>
      <c r="S537" s="1"/>
      <c r="T537" s="1"/>
      <c r="U537" s="1"/>
      <c r="V537" s="1"/>
      <c r="W537" s="1"/>
    </row>
    <row r="538" spans="1:23" ht="48" customHeight="1">
      <c r="A538" s="1" t="s">
        <v>5745</v>
      </c>
      <c r="B538" s="1" t="s">
        <v>6118</v>
      </c>
      <c r="C538" s="1" t="s">
        <v>8683</v>
      </c>
      <c r="D538" s="1" t="s">
        <v>8684</v>
      </c>
      <c r="E538" s="1" t="s">
        <v>8685</v>
      </c>
      <c r="F538" s="1" t="s">
        <v>6087</v>
      </c>
      <c r="G538" s="1" t="s">
        <v>8663</v>
      </c>
      <c r="H538" s="1" t="s">
        <v>6089</v>
      </c>
      <c r="I538" s="1"/>
      <c r="J538" s="1"/>
      <c r="K538" s="1" t="s">
        <v>6090</v>
      </c>
      <c r="L538" s="1" t="s">
        <v>8686</v>
      </c>
      <c r="M538" s="1" t="s">
        <v>8687</v>
      </c>
      <c r="N538" s="1"/>
      <c r="O538" s="1"/>
      <c r="P538" s="1"/>
      <c r="Q538" s="1"/>
      <c r="R538" s="1" t="s">
        <v>8688</v>
      </c>
      <c r="S538" s="1" t="s">
        <v>8689</v>
      </c>
      <c r="T538" s="1" t="s">
        <v>8668</v>
      </c>
      <c r="U538" s="1" t="s">
        <v>6096</v>
      </c>
      <c r="V538" s="1" t="s">
        <v>6097</v>
      </c>
      <c r="W538" s="1" t="s">
        <v>8669</v>
      </c>
    </row>
    <row r="539" spans="1:23" ht="48" customHeight="1">
      <c r="A539" s="1" t="s">
        <v>5745</v>
      </c>
      <c r="B539" s="1" t="s">
        <v>6126</v>
      </c>
      <c r="C539" s="1" t="s">
        <v>8690</v>
      </c>
      <c r="D539" s="1" t="s">
        <v>8691</v>
      </c>
      <c r="E539" s="1" t="s">
        <v>6129</v>
      </c>
      <c r="F539" s="1" t="s">
        <v>6087</v>
      </c>
      <c r="G539" s="1" t="s">
        <v>8663</v>
      </c>
      <c r="H539" s="1" t="s">
        <v>6089</v>
      </c>
      <c r="I539" s="1"/>
      <c r="J539" s="1"/>
      <c r="K539" s="1" t="s">
        <v>6090</v>
      </c>
      <c r="L539" s="1" t="s">
        <v>8692</v>
      </c>
      <c r="M539" s="1" t="s">
        <v>8693</v>
      </c>
      <c r="N539" s="1"/>
      <c r="O539" s="1"/>
      <c r="P539" s="1"/>
      <c r="Q539" s="1"/>
      <c r="R539" s="1" t="s">
        <v>8694</v>
      </c>
      <c r="S539" s="1" t="s">
        <v>8695</v>
      </c>
      <c r="T539" s="1" t="s">
        <v>8668</v>
      </c>
      <c r="U539" s="1" t="s">
        <v>6096</v>
      </c>
      <c r="V539" s="1" t="s">
        <v>6097</v>
      </c>
      <c r="W539" s="1" t="s">
        <v>8669</v>
      </c>
    </row>
    <row r="540" spans="1:23" ht="48" customHeight="1">
      <c r="A540" s="1" t="s">
        <v>5745</v>
      </c>
      <c r="B540" s="1" t="s">
        <v>6134</v>
      </c>
      <c r="C540" s="1" t="s">
        <v>8696</v>
      </c>
      <c r="D540" s="1" t="s">
        <v>8697</v>
      </c>
      <c r="E540" s="1" t="s">
        <v>8698</v>
      </c>
      <c r="F540" s="1" t="s">
        <v>6138</v>
      </c>
      <c r="G540" s="1" t="s">
        <v>8663</v>
      </c>
      <c r="H540" s="1" t="s">
        <v>6089</v>
      </c>
      <c r="I540" s="1"/>
      <c r="J540" s="1"/>
      <c r="K540" s="1" t="s">
        <v>6090</v>
      </c>
      <c r="L540" s="1" t="s">
        <v>8699</v>
      </c>
      <c r="M540" s="1" t="s">
        <v>8700</v>
      </c>
      <c r="N540" s="1"/>
      <c r="O540" s="1"/>
      <c r="P540" s="1"/>
      <c r="Q540" s="1"/>
      <c r="R540" s="1" t="s">
        <v>8701</v>
      </c>
      <c r="S540" s="1" t="s">
        <v>8702</v>
      </c>
      <c r="T540" s="1" t="s">
        <v>8668</v>
      </c>
      <c r="U540" s="1" t="s">
        <v>6096</v>
      </c>
      <c r="V540" s="1" t="s">
        <v>6143</v>
      </c>
      <c r="W540" s="1" t="s">
        <v>8669</v>
      </c>
    </row>
    <row r="541" spans="1:23" ht="48" customHeight="1">
      <c r="A541" s="1" t="s">
        <v>5745</v>
      </c>
      <c r="B541" s="1" t="s">
        <v>6144</v>
      </c>
      <c r="C541" s="1" t="s">
        <v>8703</v>
      </c>
      <c r="D541" s="1" t="s">
        <v>4747</v>
      </c>
      <c r="E541" s="1" t="s">
        <v>8704</v>
      </c>
      <c r="F541" s="1" t="s">
        <v>6138</v>
      </c>
      <c r="G541" s="1" t="s">
        <v>8663</v>
      </c>
      <c r="H541" s="1" t="s">
        <v>6089</v>
      </c>
      <c r="I541" s="1"/>
      <c r="J541" s="1"/>
      <c r="K541" s="1" t="s">
        <v>6090</v>
      </c>
      <c r="L541" s="1" t="s">
        <v>8705</v>
      </c>
      <c r="M541" s="1" t="s">
        <v>8706</v>
      </c>
      <c r="N541" s="1"/>
      <c r="O541" s="1"/>
      <c r="P541" s="1"/>
      <c r="Q541" s="1"/>
      <c r="R541" s="1" t="s">
        <v>8701</v>
      </c>
      <c r="S541" s="1" t="s">
        <v>8702</v>
      </c>
      <c r="T541" s="1" t="s">
        <v>8668</v>
      </c>
      <c r="U541" s="1" t="s">
        <v>6096</v>
      </c>
      <c r="V541" s="1" t="s">
        <v>6143</v>
      </c>
      <c r="W541" s="1" t="s">
        <v>8669</v>
      </c>
    </row>
    <row r="542" spans="1:23" ht="48" customHeight="1">
      <c r="A542" s="1" t="s">
        <v>5745</v>
      </c>
      <c r="B542" s="1" t="s">
        <v>6149</v>
      </c>
      <c r="C542" s="1" t="s">
        <v>8707</v>
      </c>
      <c r="D542" s="1" t="s">
        <v>8708</v>
      </c>
      <c r="E542" s="1" t="s">
        <v>8709</v>
      </c>
      <c r="F542" s="1" t="s">
        <v>6138</v>
      </c>
      <c r="G542" s="1" t="s">
        <v>8663</v>
      </c>
      <c r="H542" s="1" t="s">
        <v>6089</v>
      </c>
      <c r="I542" s="1"/>
      <c r="J542" s="1"/>
      <c r="K542" s="1" t="s">
        <v>6090</v>
      </c>
      <c r="L542" s="1" t="s">
        <v>8710</v>
      </c>
      <c r="M542" s="1" t="s">
        <v>8711</v>
      </c>
      <c r="N542" s="1"/>
      <c r="O542" s="1"/>
      <c r="P542" s="1"/>
      <c r="Q542" s="1"/>
      <c r="R542" s="1" t="s">
        <v>8701</v>
      </c>
      <c r="S542" s="1" t="s">
        <v>8702</v>
      </c>
      <c r="T542" s="1" t="s">
        <v>8668</v>
      </c>
      <c r="U542" s="1" t="s">
        <v>6096</v>
      </c>
      <c r="V542" s="1" t="s">
        <v>6143</v>
      </c>
      <c r="W542" s="1" t="s">
        <v>8669</v>
      </c>
    </row>
    <row r="543" spans="1:23" ht="48" customHeight="1">
      <c r="A543" s="1" t="s">
        <v>5745</v>
      </c>
      <c r="B543" s="1" t="s">
        <v>6154</v>
      </c>
      <c r="C543" s="1" t="s">
        <v>8712</v>
      </c>
      <c r="D543" s="1" t="s">
        <v>8713</v>
      </c>
      <c r="E543" s="1" t="s">
        <v>8714</v>
      </c>
      <c r="F543" s="1" t="s">
        <v>6138</v>
      </c>
      <c r="G543" s="1" t="s">
        <v>8663</v>
      </c>
      <c r="H543" s="1" t="s">
        <v>6089</v>
      </c>
      <c r="I543" s="1"/>
      <c r="J543" s="1"/>
      <c r="K543" s="1" t="s">
        <v>6090</v>
      </c>
      <c r="L543" s="1" t="s">
        <v>8715</v>
      </c>
      <c r="M543" s="1" t="s">
        <v>8716</v>
      </c>
      <c r="N543" s="1"/>
      <c r="O543" s="1"/>
      <c r="P543" s="1"/>
      <c r="Q543" s="1"/>
      <c r="R543" s="1" t="s">
        <v>8701</v>
      </c>
      <c r="S543" s="1" t="s">
        <v>8702</v>
      </c>
      <c r="T543" s="1" t="s">
        <v>8668</v>
      </c>
      <c r="U543" s="1" t="s">
        <v>6096</v>
      </c>
      <c r="V543" s="1" t="s">
        <v>6143</v>
      </c>
      <c r="W543" s="1" t="s">
        <v>8669</v>
      </c>
    </row>
    <row r="544" spans="1:23" ht="48" customHeight="1">
      <c r="A544" s="1" t="s">
        <v>5745</v>
      </c>
      <c r="B544" s="1" t="s">
        <v>6159</v>
      </c>
      <c r="C544" s="1" t="s">
        <v>4747</v>
      </c>
      <c r="D544" s="1" t="s">
        <v>4747</v>
      </c>
      <c r="E544" s="1" t="s">
        <v>4747</v>
      </c>
      <c r="F544" s="1" t="s">
        <v>6186</v>
      </c>
      <c r="G544" s="1" t="s">
        <v>8663</v>
      </c>
      <c r="H544" s="1" t="s">
        <v>6089</v>
      </c>
      <c r="I544" s="1"/>
      <c r="J544" s="1"/>
      <c r="K544" s="1" t="s">
        <v>6090</v>
      </c>
      <c r="L544" s="1" t="s">
        <v>8717</v>
      </c>
      <c r="M544" s="1" t="s">
        <v>8718</v>
      </c>
      <c r="N544" s="1"/>
      <c r="O544" s="1"/>
      <c r="P544" s="1"/>
      <c r="Q544" s="1"/>
      <c r="R544" s="1"/>
      <c r="S544" s="1"/>
      <c r="T544" s="1"/>
      <c r="U544" s="1"/>
      <c r="V544" s="1"/>
      <c r="W544" s="1"/>
    </row>
    <row r="545" spans="1:23" ht="48" customHeight="1">
      <c r="A545" s="1" t="s">
        <v>5745</v>
      </c>
      <c r="B545" s="1" t="s">
        <v>6169</v>
      </c>
      <c r="C545" s="1" t="s">
        <v>4747</v>
      </c>
      <c r="D545" s="1" t="s">
        <v>4747</v>
      </c>
      <c r="E545" s="1" t="s">
        <v>4747</v>
      </c>
      <c r="F545" s="1" t="s">
        <v>6186</v>
      </c>
      <c r="G545" s="1" t="s">
        <v>8663</v>
      </c>
      <c r="H545" s="1" t="s">
        <v>6089</v>
      </c>
      <c r="I545" s="1"/>
      <c r="J545" s="1"/>
      <c r="K545" s="1" t="s">
        <v>6090</v>
      </c>
      <c r="L545" s="1" t="s">
        <v>8719</v>
      </c>
      <c r="M545" s="1" t="s">
        <v>8720</v>
      </c>
      <c r="N545" s="1"/>
      <c r="O545" s="1"/>
      <c r="P545" s="1"/>
      <c r="Q545" s="1"/>
      <c r="R545" s="1"/>
      <c r="S545" s="1"/>
      <c r="T545" s="1"/>
      <c r="U545" s="1"/>
      <c r="V545" s="1"/>
      <c r="W545" s="1"/>
    </row>
    <row r="546" spans="1:23" ht="96" customHeight="1">
      <c r="A546" s="1" t="s">
        <v>5745</v>
      </c>
      <c r="B546" s="1" t="s">
        <v>6176</v>
      </c>
      <c r="C546" s="1" t="s">
        <v>8721</v>
      </c>
      <c r="D546" s="1" t="s">
        <v>4747</v>
      </c>
      <c r="E546" s="1" t="s">
        <v>8722</v>
      </c>
      <c r="F546" s="1" t="s">
        <v>6138</v>
      </c>
      <c r="G546" s="1" t="s">
        <v>8663</v>
      </c>
      <c r="H546" s="1" t="s">
        <v>6089</v>
      </c>
      <c r="I546" s="1"/>
      <c r="J546" s="1"/>
      <c r="K546" s="1" t="s">
        <v>6090</v>
      </c>
      <c r="L546" s="1" t="s">
        <v>8723</v>
      </c>
      <c r="M546" s="1" t="s">
        <v>8724</v>
      </c>
      <c r="N546" s="1"/>
      <c r="O546" s="1"/>
      <c r="P546" s="1"/>
      <c r="Q546" s="1"/>
      <c r="R546" s="1" t="s">
        <v>8725</v>
      </c>
      <c r="S546" s="1" t="s">
        <v>8726</v>
      </c>
      <c r="T546" s="1" t="s">
        <v>8668</v>
      </c>
      <c r="U546" s="1" t="s">
        <v>6096</v>
      </c>
      <c r="V546" s="1" t="s">
        <v>6184</v>
      </c>
      <c r="W546" s="1" t="s">
        <v>8669</v>
      </c>
    </row>
    <row r="547" spans="1:23" ht="48" customHeight="1">
      <c r="A547" s="1" t="s">
        <v>5745</v>
      </c>
      <c r="B547" s="1" t="s">
        <v>6185</v>
      </c>
      <c r="C547" s="1" t="s">
        <v>4747</v>
      </c>
      <c r="D547" s="1" t="s">
        <v>4747</v>
      </c>
      <c r="E547" s="1" t="s">
        <v>4747</v>
      </c>
      <c r="F547" s="1" t="s">
        <v>6186</v>
      </c>
      <c r="G547" s="1" t="s">
        <v>8663</v>
      </c>
      <c r="H547" s="1" t="s">
        <v>6089</v>
      </c>
      <c r="I547" s="1"/>
      <c r="J547" s="1"/>
      <c r="K547" s="1" t="s">
        <v>6090</v>
      </c>
      <c r="L547" s="1" t="s">
        <v>8727</v>
      </c>
      <c r="M547" s="1" t="s">
        <v>8728</v>
      </c>
      <c r="N547" s="1"/>
      <c r="O547" s="1"/>
      <c r="P547" s="1"/>
      <c r="Q547" s="1"/>
      <c r="R547" s="1"/>
      <c r="S547" s="1"/>
      <c r="T547" s="1"/>
      <c r="U547" s="1"/>
      <c r="V547" s="1"/>
      <c r="W547" s="1"/>
    </row>
    <row r="548" spans="1:23" ht="96" customHeight="1">
      <c r="A548" s="1" t="s">
        <v>5745</v>
      </c>
      <c r="B548" s="1" t="s">
        <v>6189</v>
      </c>
      <c r="C548" s="1" t="s">
        <v>8729</v>
      </c>
      <c r="D548" s="1" t="s">
        <v>8730</v>
      </c>
      <c r="E548" s="1" t="s">
        <v>8731</v>
      </c>
      <c r="F548" s="1" t="s">
        <v>6138</v>
      </c>
      <c r="G548" s="1" t="s">
        <v>8663</v>
      </c>
      <c r="H548" s="1" t="s">
        <v>6089</v>
      </c>
      <c r="I548" s="1"/>
      <c r="J548" s="1"/>
      <c r="K548" s="1" t="s">
        <v>6090</v>
      </c>
      <c r="L548" s="1" t="s">
        <v>8732</v>
      </c>
      <c r="M548" s="1" t="s">
        <v>8733</v>
      </c>
      <c r="N548" s="1"/>
      <c r="O548" s="1"/>
      <c r="P548" s="1"/>
      <c r="Q548" s="1"/>
      <c r="R548" s="1" t="s">
        <v>8734</v>
      </c>
      <c r="S548" s="1" t="s">
        <v>8735</v>
      </c>
      <c r="T548" s="1" t="s">
        <v>8668</v>
      </c>
      <c r="U548" s="1" t="s">
        <v>6096</v>
      </c>
      <c r="V548" s="1" t="s">
        <v>6184</v>
      </c>
      <c r="W548" s="1" t="s">
        <v>8669</v>
      </c>
    </row>
    <row r="549" spans="1:23" ht="48" customHeight="1">
      <c r="A549" s="1" t="s">
        <v>5745</v>
      </c>
      <c r="B549" s="1" t="s">
        <v>6196</v>
      </c>
      <c r="C549" s="1" t="s">
        <v>6197</v>
      </c>
      <c r="D549" s="1" t="s">
        <v>4747</v>
      </c>
      <c r="E549" s="1"/>
      <c r="F549" s="1" t="s">
        <v>6110</v>
      </c>
      <c r="G549" s="1" t="s">
        <v>8663</v>
      </c>
      <c r="H549" s="1" t="s">
        <v>6089</v>
      </c>
      <c r="I549" s="1"/>
      <c r="J549" s="1"/>
      <c r="K549" s="1" t="s">
        <v>6090</v>
      </c>
      <c r="L549" s="1" t="s">
        <v>8736</v>
      </c>
      <c r="M549" s="1" t="s">
        <v>8737</v>
      </c>
      <c r="N549" s="1"/>
      <c r="O549" s="1"/>
      <c r="P549" s="1"/>
      <c r="Q549" s="1"/>
      <c r="R549" s="1"/>
      <c r="S549" s="1"/>
      <c r="T549" s="1"/>
      <c r="U549" s="1"/>
      <c r="V549" s="1"/>
      <c r="W549" s="1"/>
    </row>
    <row r="550" spans="1:23" ht="48" customHeight="1">
      <c r="A550" s="1" t="s">
        <v>5745</v>
      </c>
      <c r="B550" s="1" t="s">
        <v>6200</v>
      </c>
      <c r="C550" s="1" t="s">
        <v>4747</v>
      </c>
      <c r="D550" s="1" t="s">
        <v>4747</v>
      </c>
      <c r="E550" s="1" t="s">
        <v>4747</v>
      </c>
      <c r="F550" s="1" t="s">
        <v>6186</v>
      </c>
      <c r="G550" s="1" t="s">
        <v>8663</v>
      </c>
      <c r="H550" s="1" t="s">
        <v>6089</v>
      </c>
      <c r="I550" s="1"/>
      <c r="J550" s="1"/>
      <c r="K550" s="1" t="s">
        <v>6090</v>
      </c>
      <c r="L550" s="1" t="s">
        <v>8738</v>
      </c>
      <c r="M550" s="1" t="s">
        <v>8739</v>
      </c>
      <c r="N550" s="1"/>
      <c r="O550" s="1"/>
      <c r="P550" s="1"/>
      <c r="Q550" s="1"/>
      <c r="R550" s="1"/>
      <c r="S550" s="1"/>
      <c r="T550" s="1"/>
      <c r="U550" s="1"/>
      <c r="V550" s="1"/>
      <c r="W550" s="1"/>
    </row>
    <row r="551" spans="1:23" ht="96" customHeight="1">
      <c r="A551" s="1" t="s">
        <v>5745</v>
      </c>
      <c r="B551" s="1" t="s">
        <v>5583</v>
      </c>
      <c r="C551" s="1" t="s">
        <v>8740</v>
      </c>
      <c r="D551" s="1" t="s">
        <v>8741</v>
      </c>
      <c r="E551" s="1" t="s">
        <v>8742</v>
      </c>
      <c r="F551" s="1" t="s">
        <v>6138</v>
      </c>
      <c r="G551" s="1" t="s">
        <v>8663</v>
      </c>
      <c r="H551" s="1" t="s">
        <v>6089</v>
      </c>
      <c r="I551" s="1"/>
      <c r="J551" s="1"/>
      <c r="K551" s="1" t="s">
        <v>6090</v>
      </c>
      <c r="L551" s="1" t="s">
        <v>8743</v>
      </c>
      <c r="M551" s="1" t="s">
        <v>8744</v>
      </c>
      <c r="N551" s="1"/>
      <c r="O551" s="1"/>
      <c r="P551" s="1"/>
      <c r="Q551" s="1"/>
      <c r="R551" s="1" t="s">
        <v>8745</v>
      </c>
      <c r="S551" s="1" t="s">
        <v>8746</v>
      </c>
      <c r="T551" s="1" t="s">
        <v>8668</v>
      </c>
      <c r="U551" s="1" t="s">
        <v>6096</v>
      </c>
      <c r="V551" s="1" t="s">
        <v>6184</v>
      </c>
      <c r="W551" s="1" t="s">
        <v>8669</v>
      </c>
    </row>
    <row r="552" spans="1:23" ht="48" customHeight="1">
      <c r="A552" s="1" t="s">
        <v>5745</v>
      </c>
      <c r="B552" s="1" t="s">
        <v>6209</v>
      </c>
      <c r="C552" s="1" t="s">
        <v>4747</v>
      </c>
      <c r="D552" s="1" t="s">
        <v>4747</v>
      </c>
      <c r="E552" s="1" t="s">
        <v>4747</v>
      </c>
      <c r="F552" s="1" t="s">
        <v>6186</v>
      </c>
      <c r="G552" s="1" t="s">
        <v>8663</v>
      </c>
      <c r="H552" s="1" t="s">
        <v>6089</v>
      </c>
      <c r="I552" s="1"/>
      <c r="J552" s="1"/>
      <c r="K552" s="1" t="s">
        <v>6090</v>
      </c>
      <c r="L552" s="1" t="s">
        <v>8747</v>
      </c>
      <c r="M552" s="1" t="s">
        <v>8748</v>
      </c>
      <c r="N552" s="1"/>
      <c r="O552" s="1"/>
      <c r="P552" s="1"/>
      <c r="Q552" s="1"/>
      <c r="R552" s="1"/>
      <c r="S552" s="1"/>
      <c r="T552" s="1"/>
      <c r="U552" s="1"/>
      <c r="V552" s="1"/>
      <c r="W552" s="1"/>
    </row>
    <row r="553" spans="1:23" ht="48" customHeight="1">
      <c r="A553" s="1" t="s">
        <v>5745</v>
      </c>
      <c r="B553" s="1" t="s">
        <v>6212</v>
      </c>
      <c r="C553" s="1" t="s">
        <v>4747</v>
      </c>
      <c r="D553" s="1" t="s">
        <v>4747</v>
      </c>
      <c r="E553" s="1" t="s">
        <v>4747</v>
      </c>
      <c r="F553" s="1" t="s">
        <v>6186</v>
      </c>
      <c r="G553" s="1" t="s">
        <v>8663</v>
      </c>
      <c r="H553" s="1" t="s">
        <v>6089</v>
      </c>
      <c r="I553" s="1"/>
      <c r="J553" s="1"/>
      <c r="K553" s="1" t="s">
        <v>6090</v>
      </c>
      <c r="L553" s="1" t="s">
        <v>8749</v>
      </c>
      <c r="M553" s="1" t="s">
        <v>8750</v>
      </c>
      <c r="N553" s="1"/>
      <c r="O553" s="1"/>
      <c r="P553" s="1"/>
      <c r="Q553" s="1"/>
      <c r="R553" s="1"/>
      <c r="S553" s="1"/>
      <c r="T553" s="1"/>
      <c r="U553" s="1"/>
      <c r="V553" s="1"/>
      <c r="W553" s="1"/>
    </row>
    <row r="554" spans="1:23" ht="48" customHeight="1">
      <c r="A554" s="1" t="s">
        <v>5745</v>
      </c>
      <c r="B554" s="1" t="s">
        <v>6215</v>
      </c>
      <c r="C554" s="1"/>
      <c r="D554" s="1" t="s">
        <v>4747</v>
      </c>
      <c r="E554" s="1"/>
      <c r="F554" s="1" t="s">
        <v>6216</v>
      </c>
      <c r="G554" s="1"/>
      <c r="H554" s="1" t="s">
        <v>6089</v>
      </c>
      <c r="I554" s="1"/>
      <c r="J554" s="1"/>
      <c r="K554" s="1" t="s">
        <v>6090</v>
      </c>
      <c r="L554" s="1"/>
      <c r="M554" s="1" t="s">
        <v>8751</v>
      </c>
      <c r="N554" s="1"/>
      <c r="O554" s="1"/>
      <c r="P554" s="1"/>
      <c r="Q554" s="1"/>
      <c r="R554" s="1"/>
      <c r="S554" s="1"/>
      <c r="T554" s="1"/>
      <c r="U554" s="1"/>
      <c r="V554" s="1"/>
      <c r="W554" s="1"/>
    </row>
    <row r="555" spans="1:23" ht="60" customHeight="1">
      <c r="A555" s="1" t="s">
        <v>5745</v>
      </c>
      <c r="B555" s="1" t="s">
        <v>6218</v>
      </c>
      <c r="C555" s="1" t="s">
        <v>8752</v>
      </c>
      <c r="D555" s="1" t="s">
        <v>4747</v>
      </c>
      <c r="E555" s="1" t="s">
        <v>8753</v>
      </c>
      <c r="F555" s="1" t="s">
        <v>6349</v>
      </c>
      <c r="G555" s="1" t="s">
        <v>8663</v>
      </c>
      <c r="H555" s="1" t="s">
        <v>6089</v>
      </c>
      <c r="I555" s="1"/>
      <c r="J555" s="1"/>
      <c r="K555" s="1" t="s">
        <v>6090</v>
      </c>
      <c r="L555" s="1" t="s">
        <v>8754</v>
      </c>
      <c r="M555" s="1" t="s">
        <v>8755</v>
      </c>
      <c r="N555" s="1"/>
      <c r="O555" s="1"/>
      <c r="P555" s="1"/>
      <c r="Q555" s="1"/>
      <c r="R555" s="1" t="s">
        <v>8756</v>
      </c>
      <c r="S555" s="1" t="s">
        <v>6319</v>
      </c>
      <c r="T555" s="1" t="s">
        <v>8668</v>
      </c>
      <c r="U555" s="1" t="s">
        <v>6096</v>
      </c>
      <c r="V555" s="1" t="s">
        <v>8757</v>
      </c>
      <c r="W555" s="1" t="s">
        <v>8669</v>
      </c>
    </row>
    <row r="556" spans="1:23" ht="48" customHeight="1">
      <c r="A556" s="1" t="s">
        <v>5745</v>
      </c>
      <c r="B556" s="1" t="s">
        <v>6222</v>
      </c>
      <c r="C556" s="1" t="s">
        <v>8758</v>
      </c>
      <c r="D556" s="1" t="s">
        <v>8759</v>
      </c>
      <c r="E556" s="1"/>
      <c r="F556" s="1" t="s">
        <v>6110</v>
      </c>
      <c r="G556" s="1" t="s">
        <v>8663</v>
      </c>
      <c r="H556" s="1" t="s">
        <v>6089</v>
      </c>
      <c r="I556" s="1"/>
      <c r="J556" s="1"/>
      <c r="K556" s="1" t="s">
        <v>6090</v>
      </c>
      <c r="L556" s="1" t="s">
        <v>8760</v>
      </c>
      <c r="M556" s="1" t="s">
        <v>8761</v>
      </c>
      <c r="N556" s="1"/>
      <c r="O556" s="1"/>
      <c r="P556" s="1"/>
      <c r="Q556" s="1"/>
      <c r="R556" s="1"/>
      <c r="S556" s="1"/>
      <c r="T556" s="1"/>
      <c r="U556" s="1"/>
      <c r="V556" s="1"/>
      <c r="W556" s="1"/>
    </row>
    <row r="557" spans="1:23" ht="48" customHeight="1">
      <c r="A557" s="1" t="s">
        <v>5745</v>
      </c>
      <c r="B557" s="1" t="s">
        <v>6227</v>
      </c>
      <c r="C557" s="1" t="s">
        <v>8762</v>
      </c>
      <c r="D557" s="1" t="s">
        <v>8763</v>
      </c>
      <c r="E557" s="1"/>
      <c r="F557" s="1" t="s">
        <v>6110</v>
      </c>
      <c r="G557" s="1" t="s">
        <v>8663</v>
      </c>
      <c r="H557" s="1" t="s">
        <v>6089</v>
      </c>
      <c r="I557" s="1"/>
      <c r="J557" s="1"/>
      <c r="K557" s="1" t="s">
        <v>6090</v>
      </c>
      <c r="L557" s="1" t="s">
        <v>8764</v>
      </c>
      <c r="M557" s="1" t="s">
        <v>8765</v>
      </c>
      <c r="N557" s="1"/>
      <c r="O557" s="1"/>
      <c r="P557" s="1"/>
      <c r="Q557" s="1"/>
      <c r="R557" s="1"/>
      <c r="S557" s="1"/>
      <c r="T557" s="1"/>
      <c r="U557" s="1"/>
      <c r="V557" s="1"/>
      <c r="W557" s="1"/>
    </row>
    <row r="558" spans="1:23" ht="48" customHeight="1">
      <c r="A558" s="1" t="s">
        <v>5745</v>
      </c>
      <c r="B558" s="1" t="s">
        <v>6232</v>
      </c>
      <c r="C558" s="1" t="s">
        <v>4747</v>
      </c>
      <c r="D558" s="1" t="s">
        <v>4747</v>
      </c>
      <c r="E558" s="1" t="s">
        <v>4747</v>
      </c>
      <c r="F558" s="1" t="s">
        <v>6186</v>
      </c>
      <c r="G558" s="1" t="s">
        <v>8663</v>
      </c>
      <c r="H558" s="1" t="s">
        <v>6089</v>
      </c>
      <c r="I558" s="1"/>
      <c r="J558" s="1"/>
      <c r="K558" s="1" t="s">
        <v>6090</v>
      </c>
      <c r="L558" s="1" t="s">
        <v>8766</v>
      </c>
      <c r="M558" s="1" t="s">
        <v>8767</v>
      </c>
      <c r="N558" s="1"/>
      <c r="O558" s="1"/>
      <c r="P558" s="1"/>
      <c r="Q558" s="1"/>
      <c r="R558" s="1"/>
      <c r="S558" s="1"/>
      <c r="T558" s="1"/>
      <c r="U558" s="1"/>
      <c r="V558" s="1"/>
      <c r="W558" s="1"/>
    </row>
    <row r="559" spans="1:23" ht="72" customHeight="1">
      <c r="A559" s="1" t="s">
        <v>5745</v>
      </c>
      <c r="B559" s="1" t="s">
        <v>6236</v>
      </c>
      <c r="C559" s="1" t="s">
        <v>8768</v>
      </c>
      <c r="D559" s="1" t="s">
        <v>8769</v>
      </c>
      <c r="E559" s="1" t="s">
        <v>8770</v>
      </c>
      <c r="F559" s="1" t="s">
        <v>6163</v>
      </c>
      <c r="G559" s="1" t="s">
        <v>8663</v>
      </c>
      <c r="H559" s="1" t="s">
        <v>6089</v>
      </c>
      <c r="I559" s="1"/>
      <c r="J559" s="1"/>
      <c r="K559" s="1" t="s">
        <v>6090</v>
      </c>
      <c r="L559" s="1" t="s">
        <v>8771</v>
      </c>
      <c r="M559" s="1" t="s">
        <v>8772</v>
      </c>
      <c r="N559" s="1"/>
      <c r="O559" s="1"/>
      <c r="P559" s="1"/>
      <c r="Q559" s="1"/>
      <c r="R559" s="1" t="s">
        <v>8773</v>
      </c>
      <c r="S559" s="1" t="s">
        <v>8774</v>
      </c>
      <c r="T559" s="1" t="s">
        <v>8668</v>
      </c>
      <c r="U559" s="1" t="s">
        <v>6096</v>
      </c>
      <c r="V559" s="1" t="s">
        <v>6244</v>
      </c>
      <c r="W559" s="1" t="s">
        <v>8669</v>
      </c>
    </row>
    <row r="560" spans="1:23" ht="48" customHeight="1">
      <c r="A560" s="1" t="s">
        <v>5745</v>
      </c>
      <c r="B560" s="1" t="s">
        <v>6245</v>
      </c>
      <c r="C560" s="1" t="s">
        <v>8775</v>
      </c>
      <c r="D560" s="1"/>
      <c r="E560" s="1"/>
      <c r="F560" s="1" t="s">
        <v>6216</v>
      </c>
      <c r="G560" s="1" t="s">
        <v>8663</v>
      </c>
      <c r="H560" s="1"/>
      <c r="I560" s="1"/>
      <c r="J560" s="1"/>
      <c r="K560" s="1" t="s">
        <v>6090</v>
      </c>
      <c r="L560" s="1" t="s">
        <v>8776</v>
      </c>
      <c r="M560" s="1"/>
      <c r="N560" s="1"/>
      <c r="O560" s="1"/>
      <c r="P560" s="1"/>
      <c r="Q560" s="1"/>
      <c r="R560" s="1"/>
      <c r="S560" s="1"/>
      <c r="T560" s="1"/>
      <c r="U560" s="1"/>
      <c r="V560" s="1"/>
      <c r="W560" s="1"/>
    </row>
    <row r="561" spans="1:23" ht="48" customHeight="1">
      <c r="A561" s="1" t="s">
        <v>5745</v>
      </c>
      <c r="B561" s="1" t="s">
        <v>6248</v>
      </c>
      <c r="C561" s="1" t="s">
        <v>8777</v>
      </c>
      <c r="D561" s="1"/>
      <c r="E561" s="1"/>
      <c r="F561" s="1" t="s">
        <v>6216</v>
      </c>
      <c r="G561" s="1" t="s">
        <v>8663</v>
      </c>
      <c r="H561" s="1"/>
      <c r="I561" s="1"/>
      <c r="J561" s="1"/>
      <c r="K561" s="1" t="s">
        <v>6090</v>
      </c>
      <c r="L561" s="1" t="s">
        <v>8778</v>
      </c>
      <c r="M561" s="1"/>
      <c r="N561" s="1"/>
      <c r="O561" s="1"/>
      <c r="P561" s="1"/>
      <c r="Q561" s="1"/>
      <c r="R561" s="1"/>
      <c r="S561" s="1"/>
      <c r="T561" s="1"/>
      <c r="U561" s="1"/>
      <c r="V561" s="1"/>
      <c r="W561" s="1"/>
    </row>
    <row r="562" spans="1:23" ht="48" customHeight="1">
      <c r="A562" s="1" t="s">
        <v>5079</v>
      </c>
      <c r="B562" s="1" t="s">
        <v>6083</v>
      </c>
      <c r="C562" s="1" t="s">
        <v>8779</v>
      </c>
      <c r="D562" s="1" t="s">
        <v>8780</v>
      </c>
      <c r="E562" s="1" t="s">
        <v>6086</v>
      </c>
      <c r="F562" s="1" t="s">
        <v>6087</v>
      </c>
      <c r="G562" s="1" t="s">
        <v>8781</v>
      </c>
      <c r="H562" s="1" t="s">
        <v>6089</v>
      </c>
      <c r="I562" s="1"/>
      <c r="J562" s="1"/>
      <c r="K562" s="1" t="s">
        <v>6090</v>
      </c>
      <c r="L562" s="1" t="s">
        <v>8782</v>
      </c>
      <c r="M562" s="1" t="s">
        <v>8783</v>
      </c>
      <c r="N562" s="1"/>
      <c r="O562" s="1"/>
      <c r="P562" s="1"/>
      <c r="Q562" s="1"/>
      <c r="R562" s="1" t="s">
        <v>8784</v>
      </c>
      <c r="S562" s="1" t="s">
        <v>8785</v>
      </c>
      <c r="T562" s="1" t="s">
        <v>8786</v>
      </c>
      <c r="U562" s="1" t="s">
        <v>6096</v>
      </c>
      <c r="V562" s="1" t="s">
        <v>6097</v>
      </c>
      <c r="W562" s="1" t="s">
        <v>8787</v>
      </c>
    </row>
    <row r="563" spans="1:23" ht="48" customHeight="1">
      <c r="A563" s="1" t="s">
        <v>5079</v>
      </c>
      <c r="B563" s="1" t="s">
        <v>6099</v>
      </c>
      <c r="C563" s="1" t="s">
        <v>8788</v>
      </c>
      <c r="D563" s="1" t="s">
        <v>6102</v>
      </c>
      <c r="E563" s="1" t="s">
        <v>6102</v>
      </c>
      <c r="F563" s="1" t="s">
        <v>6087</v>
      </c>
      <c r="G563" s="1" t="s">
        <v>8781</v>
      </c>
      <c r="H563" s="1" t="s">
        <v>6089</v>
      </c>
      <c r="I563" s="1"/>
      <c r="J563" s="1"/>
      <c r="K563" s="1" t="s">
        <v>6090</v>
      </c>
      <c r="L563" s="1" t="s">
        <v>8789</v>
      </c>
      <c r="M563" s="1" t="s">
        <v>8790</v>
      </c>
      <c r="N563" s="1"/>
      <c r="O563" s="1"/>
      <c r="P563" s="1"/>
      <c r="Q563" s="1"/>
      <c r="R563" s="1" t="s">
        <v>8791</v>
      </c>
      <c r="S563" s="1" t="s">
        <v>8792</v>
      </c>
      <c r="T563" s="1" t="s">
        <v>8786</v>
      </c>
      <c r="U563" s="1" t="s">
        <v>6096</v>
      </c>
      <c r="V563" s="1" t="s">
        <v>6097</v>
      </c>
      <c r="W563" s="1" t="s">
        <v>8787</v>
      </c>
    </row>
    <row r="564" spans="1:23" ht="48" customHeight="1">
      <c r="A564" s="1" t="s">
        <v>5079</v>
      </c>
      <c r="B564" s="1" t="s">
        <v>6107</v>
      </c>
      <c r="C564" s="1" t="s">
        <v>8793</v>
      </c>
      <c r="D564" s="1" t="s">
        <v>8794</v>
      </c>
      <c r="E564" s="1"/>
      <c r="F564" s="1" t="s">
        <v>6110</v>
      </c>
      <c r="G564" s="1" t="s">
        <v>8781</v>
      </c>
      <c r="H564" s="1" t="s">
        <v>6089</v>
      </c>
      <c r="I564" s="1"/>
      <c r="J564" s="1"/>
      <c r="K564" s="1" t="s">
        <v>6090</v>
      </c>
      <c r="L564" s="1" t="s">
        <v>8795</v>
      </c>
      <c r="M564" s="1" t="s">
        <v>8796</v>
      </c>
      <c r="N564" s="1"/>
      <c r="O564" s="1"/>
      <c r="P564" s="1"/>
      <c r="Q564" s="1"/>
      <c r="R564" s="1"/>
      <c r="S564" s="1"/>
      <c r="T564" s="1"/>
      <c r="U564" s="1"/>
      <c r="V564" s="1"/>
      <c r="W564" s="1"/>
    </row>
    <row r="565" spans="1:23" ht="48" customHeight="1">
      <c r="A565" s="1" t="s">
        <v>5079</v>
      </c>
      <c r="B565" s="1" t="s">
        <v>6113</v>
      </c>
      <c r="C565" s="1" t="s">
        <v>8797</v>
      </c>
      <c r="D565" s="1" t="s">
        <v>8798</v>
      </c>
      <c r="E565" s="1"/>
      <c r="F565" s="1" t="s">
        <v>6110</v>
      </c>
      <c r="G565" s="1" t="s">
        <v>8781</v>
      </c>
      <c r="H565" s="1" t="s">
        <v>6089</v>
      </c>
      <c r="I565" s="1"/>
      <c r="J565" s="1"/>
      <c r="K565" s="1" t="s">
        <v>6090</v>
      </c>
      <c r="L565" s="1" t="s">
        <v>8799</v>
      </c>
      <c r="M565" s="1" t="s">
        <v>8800</v>
      </c>
      <c r="N565" s="1"/>
      <c r="O565" s="1"/>
      <c r="P565" s="1"/>
      <c r="Q565" s="1"/>
      <c r="R565" s="1"/>
      <c r="S565" s="1"/>
      <c r="T565" s="1"/>
      <c r="U565" s="1"/>
      <c r="V565" s="1"/>
      <c r="W565" s="1"/>
    </row>
    <row r="566" spans="1:23" ht="48" customHeight="1">
      <c r="A566" s="1" t="s">
        <v>5079</v>
      </c>
      <c r="B566" s="1" t="s">
        <v>6118</v>
      </c>
      <c r="C566" s="1" t="s">
        <v>8801</v>
      </c>
      <c r="D566" s="1" t="s">
        <v>8802</v>
      </c>
      <c r="E566" s="1" t="s">
        <v>8803</v>
      </c>
      <c r="F566" s="1" t="s">
        <v>6087</v>
      </c>
      <c r="G566" s="1" t="s">
        <v>8781</v>
      </c>
      <c r="H566" s="1" t="s">
        <v>6089</v>
      </c>
      <c r="I566" s="1"/>
      <c r="J566" s="1"/>
      <c r="K566" s="1" t="s">
        <v>6090</v>
      </c>
      <c r="L566" s="1" t="s">
        <v>8804</v>
      </c>
      <c r="M566" s="1" t="s">
        <v>8805</v>
      </c>
      <c r="N566" s="1"/>
      <c r="O566" s="1"/>
      <c r="P566" s="1"/>
      <c r="Q566" s="1"/>
      <c r="R566" s="1" t="s">
        <v>8806</v>
      </c>
      <c r="S566" s="1" t="s">
        <v>8807</v>
      </c>
      <c r="T566" s="1" t="s">
        <v>8786</v>
      </c>
      <c r="U566" s="1" t="s">
        <v>6096</v>
      </c>
      <c r="V566" s="1" t="s">
        <v>6097</v>
      </c>
      <c r="W566" s="1" t="s">
        <v>8787</v>
      </c>
    </row>
    <row r="567" spans="1:23" ht="48" customHeight="1">
      <c r="A567" s="1" t="s">
        <v>5079</v>
      </c>
      <c r="B567" s="1" t="s">
        <v>6126</v>
      </c>
      <c r="C567" s="1" t="s">
        <v>8808</v>
      </c>
      <c r="D567" s="1" t="s">
        <v>8809</v>
      </c>
      <c r="E567" s="1" t="s">
        <v>8810</v>
      </c>
      <c r="F567" s="1" t="s">
        <v>6087</v>
      </c>
      <c r="G567" s="1" t="s">
        <v>8781</v>
      </c>
      <c r="H567" s="1" t="s">
        <v>6089</v>
      </c>
      <c r="I567" s="1"/>
      <c r="J567" s="1"/>
      <c r="K567" s="1" t="s">
        <v>6090</v>
      </c>
      <c r="L567" s="1" t="s">
        <v>8811</v>
      </c>
      <c r="M567" s="1" t="s">
        <v>8812</v>
      </c>
      <c r="N567" s="1"/>
      <c r="O567" s="1"/>
      <c r="P567" s="1"/>
      <c r="Q567" s="1"/>
      <c r="R567" s="1" t="s">
        <v>8813</v>
      </c>
      <c r="S567" s="1" t="s">
        <v>8814</v>
      </c>
      <c r="T567" s="1" t="s">
        <v>8786</v>
      </c>
      <c r="U567" s="1" t="s">
        <v>6096</v>
      </c>
      <c r="V567" s="1" t="s">
        <v>6097</v>
      </c>
      <c r="W567" s="1" t="s">
        <v>8787</v>
      </c>
    </row>
    <row r="568" spans="1:23" ht="84" customHeight="1">
      <c r="A568" s="1" t="s">
        <v>5079</v>
      </c>
      <c r="B568" s="1" t="s">
        <v>6134</v>
      </c>
      <c r="C568" s="1" t="s">
        <v>8815</v>
      </c>
      <c r="D568" s="1" t="s">
        <v>6136</v>
      </c>
      <c r="E568" s="1" t="s">
        <v>8816</v>
      </c>
      <c r="F568" s="1" t="s">
        <v>6138</v>
      </c>
      <c r="G568" s="1" t="s">
        <v>8781</v>
      </c>
      <c r="H568" s="1" t="s">
        <v>6089</v>
      </c>
      <c r="I568" s="1"/>
      <c r="J568" s="1"/>
      <c r="K568" s="1" t="s">
        <v>6090</v>
      </c>
      <c r="L568" s="1" t="s">
        <v>8817</v>
      </c>
      <c r="M568" s="1" t="s">
        <v>8818</v>
      </c>
      <c r="N568" s="1"/>
      <c r="O568" s="1"/>
      <c r="P568" s="1"/>
      <c r="Q568" s="1"/>
      <c r="R568" s="1" t="s">
        <v>8819</v>
      </c>
      <c r="S568" s="1" t="s">
        <v>8820</v>
      </c>
      <c r="T568" s="1" t="s">
        <v>8786</v>
      </c>
      <c r="U568" s="1" t="s">
        <v>6096</v>
      </c>
      <c r="V568" s="1" t="s">
        <v>6143</v>
      </c>
      <c r="W568" s="1" t="s">
        <v>8787</v>
      </c>
    </row>
    <row r="569" spans="1:23" ht="48" customHeight="1">
      <c r="A569" s="1" t="s">
        <v>5079</v>
      </c>
      <c r="B569" s="1" t="s">
        <v>6144</v>
      </c>
      <c r="C569" s="1" t="s">
        <v>8821</v>
      </c>
      <c r="D569" s="1" t="s">
        <v>4747</v>
      </c>
      <c r="E569" s="1" t="s">
        <v>8822</v>
      </c>
      <c r="F569" s="1" t="s">
        <v>6138</v>
      </c>
      <c r="G569" s="1" t="s">
        <v>8781</v>
      </c>
      <c r="H569" s="1" t="s">
        <v>6089</v>
      </c>
      <c r="I569" s="1"/>
      <c r="J569" s="1"/>
      <c r="K569" s="1" t="s">
        <v>6090</v>
      </c>
      <c r="L569" s="1" t="s">
        <v>8823</v>
      </c>
      <c r="M569" s="1" t="s">
        <v>8824</v>
      </c>
      <c r="N569" s="1"/>
      <c r="O569" s="1"/>
      <c r="P569" s="1"/>
      <c r="Q569" s="1"/>
      <c r="R569" s="1" t="s">
        <v>8819</v>
      </c>
      <c r="S569" s="1" t="s">
        <v>8820</v>
      </c>
      <c r="T569" s="1" t="s">
        <v>8786</v>
      </c>
      <c r="U569" s="1" t="s">
        <v>6096</v>
      </c>
      <c r="V569" s="1" t="s">
        <v>6143</v>
      </c>
      <c r="W569" s="1" t="s">
        <v>8787</v>
      </c>
    </row>
    <row r="570" spans="1:23" ht="60" customHeight="1">
      <c r="A570" s="1" t="s">
        <v>5079</v>
      </c>
      <c r="B570" s="1" t="s">
        <v>6149</v>
      </c>
      <c r="C570" s="1" t="s">
        <v>8825</v>
      </c>
      <c r="D570" s="1" t="s">
        <v>8826</v>
      </c>
      <c r="E570" s="1" t="s">
        <v>8827</v>
      </c>
      <c r="F570" s="1" t="s">
        <v>6138</v>
      </c>
      <c r="G570" s="1" t="s">
        <v>8781</v>
      </c>
      <c r="H570" s="1" t="s">
        <v>6089</v>
      </c>
      <c r="I570" s="1"/>
      <c r="J570" s="1"/>
      <c r="K570" s="1" t="s">
        <v>6090</v>
      </c>
      <c r="L570" s="1" t="s">
        <v>8828</v>
      </c>
      <c r="M570" s="1" t="s">
        <v>8829</v>
      </c>
      <c r="N570" s="1"/>
      <c r="O570" s="1"/>
      <c r="P570" s="1"/>
      <c r="Q570" s="1"/>
      <c r="R570" s="1" t="s">
        <v>8819</v>
      </c>
      <c r="S570" s="1" t="s">
        <v>8820</v>
      </c>
      <c r="T570" s="1" t="s">
        <v>8786</v>
      </c>
      <c r="U570" s="1" t="s">
        <v>6096</v>
      </c>
      <c r="V570" s="1" t="s">
        <v>6143</v>
      </c>
      <c r="W570" s="1" t="s">
        <v>8787</v>
      </c>
    </row>
    <row r="571" spans="1:23" ht="48" customHeight="1">
      <c r="A571" s="1" t="s">
        <v>5079</v>
      </c>
      <c r="B571" s="1" t="s">
        <v>6154</v>
      </c>
      <c r="C571" s="1" t="s">
        <v>8830</v>
      </c>
      <c r="D571" s="1" t="s">
        <v>8831</v>
      </c>
      <c r="E571" s="1" t="s">
        <v>8832</v>
      </c>
      <c r="F571" s="1" t="s">
        <v>6138</v>
      </c>
      <c r="G571" s="1" t="s">
        <v>8781</v>
      </c>
      <c r="H571" s="1" t="s">
        <v>6089</v>
      </c>
      <c r="I571" s="1"/>
      <c r="J571" s="1"/>
      <c r="K571" s="1" t="s">
        <v>6090</v>
      </c>
      <c r="L571" s="1" t="s">
        <v>8833</v>
      </c>
      <c r="M571" s="1" t="s">
        <v>8834</v>
      </c>
      <c r="N571" s="1"/>
      <c r="O571" s="1"/>
      <c r="P571" s="1"/>
      <c r="Q571" s="1"/>
      <c r="R571" s="1" t="s">
        <v>8819</v>
      </c>
      <c r="S571" s="1" t="s">
        <v>8820</v>
      </c>
      <c r="T571" s="1" t="s">
        <v>8786</v>
      </c>
      <c r="U571" s="1" t="s">
        <v>6096</v>
      </c>
      <c r="V571" s="1" t="s">
        <v>6143</v>
      </c>
      <c r="W571" s="1" t="s">
        <v>8787</v>
      </c>
    </row>
    <row r="572" spans="1:23" ht="48" customHeight="1">
      <c r="A572" s="1" t="s">
        <v>5079</v>
      </c>
      <c r="B572" s="1" t="s">
        <v>6159</v>
      </c>
      <c r="C572" s="1" t="s">
        <v>8835</v>
      </c>
      <c r="D572" s="1" t="s">
        <v>8836</v>
      </c>
      <c r="E572" s="1" t="s">
        <v>8837</v>
      </c>
      <c r="F572" s="1" t="s">
        <v>6163</v>
      </c>
      <c r="G572" s="1" t="s">
        <v>8781</v>
      </c>
      <c r="H572" s="1" t="s">
        <v>6089</v>
      </c>
      <c r="I572" s="1"/>
      <c r="J572" s="1"/>
      <c r="K572" s="1" t="s">
        <v>6090</v>
      </c>
      <c r="L572" s="1" t="s">
        <v>8838</v>
      </c>
      <c r="M572" s="1" t="s">
        <v>8839</v>
      </c>
      <c r="N572" s="1"/>
      <c r="O572" s="1"/>
      <c r="P572" s="1"/>
      <c r="Q572" s="1"/>
      <c r="R572" s="1" t="s">
        <v>8840</v>
      </c>
      <c r="S572" s="1" t="s">
        <v>7277</v>
      </c>
      <c r="T572" s="1" t="s">
        <v>8786</v>
      </c>
      <c r="U572" s="1" t="s">
        <v>6096</v>
      </c>
      <c r="V572" s="1" t="s">
        <v>6168</v>
      </c>
      <c r="W572" s="1" t="s">
        <v>8787</v>
      </c>
    </row>
    <row r="573" spans="1:23" ht="72" customHeight="1">
      <c r="A573" s="1" t="s">
        <v>5079</v>
      </c>
      <c r="B573" s="1" t="s">
        <v>6169</v>
      </c>
      <c r="C573" s="1" t="s">
        <v>5080</v>
      </c>
      <c r="D573" s="1" t="s">
        <v>4747</v>
      </c>
      <c r="E573" s="1" t="s">
        <v>8841</v>
      </c>
      <c r="F573" s="1" t="s">
        <v>6349</v>
      </c>
      <c r="G573" s="1" t="s">
        <v>8781</v>
      </c>
      <c r="H573" s="1" t="s">
        <v>6089</v>
      </c>
      <c r="I573" s="1"/>
      <c r="J573" s="1"/>
      <c r="K573" s="1" t="s">
        <v>6090</v>
      </c>
      <c r="L573" s="1" t="s">
        <v>8842</v>
      </c>
      <c r="M573" s="1" t="s">
        <v>8843</v>
      </c>
      <c r="N573" s="1"/>
      <c r="O573" s="1" t="s">
        <v>8844</v>
      </c>
      <c r="P573" s="1" t="s">
        <v>8845</v>
      </c>
      <c r="Q573" s="1" t="s">
        <v>6462</v>
      </c>
      <c r="R573" s="1" t="s">
        <v>8846</v>
      </c>
      <c r="S573" s="1" t="s">
        <v>7277</v>
      </c>
      <c r="T573" s="1" t="s">
        <v>8786</v>
      </c>
      <c r="U573" s="1" t="s">
        <v>6096</v>
      </c>
      <c r="V573" s="1" t="s">
        <v>8847</v>
      </c>
      <c r="W573" s="1" t="s">
        <v>8787</v>
      </c>
    </row>
    <row r="574" spans="1:23" ht="96" customHeight="1">
      <c r="A574" s="1" t="s">
        <v>5079</v>
      </c>
      <c r="B574" s="1" t="s">
        <v>6176</v>
      </c>
      <c r="C574" s="1" t="s">
        <v>8848</v>
      </c>
      <c r="D574" s="1" t="s">
        <v>8849</v>
      </c>
      <c r="E574" s="1" t="s">
        <v>8850</v>
      </c>
      <c r="F574" s="1" t="s">
        <v>6138</v>
      </c>
      <c r="G574" s="1" t="s">
        <v>8781</v>
      </c>
      <c r="H574" s="1" t="s">
        <v>6089</v>
      </c>
      <c r="I574" s="1"/>
      <c r="J574" s="1"/>
      <c r="K574" s="1" t="s">
        <v>6090</v>
      </c>
      <c r="L574" s="1" t="s">
        <v>8851</v>
      </c>
      <c r="M574" s="1" t="s">
        <v>8852</v>
      </c>
      <c r="N574" s="1"/>
      <c r="O574" s="1"/>
      <c r="P574" s="1"/>
      <c r="Q574" s="1"/>
      <c r="R574" s="1" t="s">
        <v>8853</v>
      </c>
      <c r="S574" s="1" t="s">
        <v>8854</v>
      </c>
      <c r="T574" s="1" t="s">
        <v>8786</v>
      </c>
      <c r="U574" s="1" t="s">
        <v>6096</v>
      </c>
      <c r="V574" s="1" t="s">
        <v>6184</v>
      </c>
      <c r="W574" s="1" t="s">
        <v>8787</v>
      </c>
    </row>
    <row r="575" spans="1:23" ht="96" customHeight="1">
      <c r="A575" s="1" t="s">
        <v>5079</v>
      </c>
      <c r="B575" s="1" t="s">
        <v>6185</v>
      </c>
      <c r="C575" s="1" t="s">
        <v>8855</v>
      </c>
      <c r="D575" s="1" t="s">
        <v>8856</v>
      </c>
      <c r="E575" s="1" t="s">
        <v>8857</v>
      </c>
      <c r="F575" s="1" t="s">
        <v>6138</v>
      </c>
      <c r="G575" s="1" t="s">
        <v>8781</v>
      </c>
      <c r="H575" s="1" t="s">
        <v>6089</v>
      </c>
      <c r="I575" s="1"/>
      <c r="J575" s="1"/>
      <c r="K575" s="1" t="s">
        <v>6090</v>
      </c>
      <c r="L575" s="1" t="s">
        <v>8858</v>
      </c>
      <c r="M575" s="1" t="s">
        <v>8859</v>
      </c>
      <c r="N575" s="1"/>
      <c r="O575" s="1"/>
      <c r="P575" s="1"/>
      <c r="Q575" s="1"/>
      <c r="R575" s="1" t="s">
        <v>8860</v>
      </c>
      <c r="S575" s="1" t="s">
        <v>8861</v>
      </c>
      <c r="T575" s="1" t="s">
        <v>8786</v>
      </c>
      <c r="U575" s="1" t="s">
        <v>6096</v>
      </c>
      <c r="V575" s="1" t="s">
        <v>6184</v>
      </c>
      <c r="W575" s="1" t="s">
        <v>8787</v>
      </c>
    </row>
    <row r="576" spans="1:23" ht="96" customHeight="1">
      <c r="A576" s="1" t="s">
        <v>5079</v>
      </c>
      <c r="B576" s="1" t="s">
        <v>6189</v>
      </c>
      <c r="C576" s="1" t="s">
        <v>8862</v>
      </c>
      <c r="D576" s="1" t="s">
        <v>8863</v>
      </c>
      <c r="E576" s="1" t="s">
        <v>8864</v>
      </c>
      <c r="F576" s="1" t="s">
        <v>6138</v>
      </c>
      <c r="G576" s="1" t="s">
        <v>8781</v>
      </c>
      <c r="H576" s="1" t="s">
        <v>6089</v>
      </c>
      <c r="I576" s="1"/>
      <c r="J576" s="1"/>
      <c r="K576" s="1" t="s">
        <v>6090</v>
      </c>
      <c r="L576" s="1" t="s">
        <v>8865</v>
      </c>
      <c r="M576" s="1" t="s">
        <v>8866</v>
      </c>
      <c r="N576" s="1"/>
      <c r="O576" s="1"/>
      <c r="P576" s="1"/>
      <c r="Q576" s="1"/>
      <c r="R576" s="1" t="s">
        <v>8867</v>
      </c>
      <c r="S576" s="1" t="s">
        <v>8868</v>
      </c>
      <c r="T576" s="1" t="s">
        <v>8786</v>
      </c>
      <c r="U576" s="1" t="s">
        <v>6096</v>
      </c>
      <c r="V576" s="1" t="s">
        <v>6184</v>
      </c>
      <c r="W576" s="1" t="s">
        <v>8787</v>
      </c>
    </row>
    <row r="577" spans="1:23" ht="48" customHeight="1">
      <c r="A577" s="1" t="s">
        <v>5079</v>
      </c>
      <c r="B577" s="1" t="s">
        <v>6196</v>
      </c>
      <c r="C577" s="1" t="s">
        <v>6197</v>
      </c>
      <c r="D577" s="1" t="s">
        <v>4747</v>
      </c>
      <c r="E577" s="1"/>
      <c r="F577" s="1" t="s">
        <v>6110</v>
      </c>
      <c r="G577" s="1" t="s">
        <v>8781</v>
      </c>
      <c r="H577" s="1" t="s">
        <v>6089</v>
      </c>
      <c r="I577" s="1"/>
      <c r="J577" s="1"/>
      <c r="K577" s="1" t="s">
        <v>6090</v>
      </c>
      <c r="L577" s="1" t="s">
        <v>8869</v>
      </c>
      <c r="M577" s="1" t="s">
        <v>8870</v>
      </c>
      <c r="N577" s="1"/>
      <c r="O577" s="1"/>
      <c r="P577" s="1"/>
      <c r="Q577" s="1"/>
      <c r="R577" s="1"/>
      <c r="S577" s="1"/>
      <c r="T577" s="1"/>
      <c r="U577" s="1"/>
      <c r="V577" s="1"/>
      <c r="W577" s="1"/>
    </row>
    <row r="578" spans="1:23" ht="72" customHeight="1">
      <c r="A578" s="1" t="s">
        <v>5079</v>
      </c>
      <c r="B578" s="1" t="s">
        <v>6200</v>
      </c>
      <c r="C578" s="1" t="s">
        <v>8871</v>
      </c>
      <c r="D578" s="1" t="s">
        <v>8872</v>
      </c>
      <c r="E578" s="1" t="s">
        <v>8873</v>
      </c>
      <c r="F578" s="1" t="s">
        <v>6349</v>
      </c>
      <c r="G578" s="1" t="s">
        <v>8781</v>
      </c>
      <c r="H578" s="1" t="s">
        <v>6089</v>
      </c>
      <c r="I578" s="1"/>
      <c r="J578" s="1"/>
      <c r="K578" s="1" t="s">
        <v>6090</v>
      </c>
      <c r="L578" s="1" t="s">
        <v>8874</v>
      </c>
      <c r="M578" s="1" t="s">
        <v>8875</v>
      </c>
      <c r="N578" s="1"/>
      <c r="O578" s="1"/>
      <c r="P578" s="1"/>
      <c r="Q578" s="1"/>
      <c r="R578" s="1" t="s">
        <v>8876</v>
      </c>
      <c r="S578" s="1" t="s">
        <v>8877</v>
      </c>
      <c r="T578" s="1" t="s">
        <v>8786</v>
      </c>
      <c r="U578" s="1" t="s">
        <v>6096</v>
      </c>
      <c r="V578" s="1" t="s">
        <v>8878</v>
      </c>
      <c r="W578" s="1" t="s">
        <v>8787</v>
      </c>
    </row>
    <row r="579" spans="1:23" ht="48" customHeight="1">
      <c r="A579" s="1" t="s">
        <v>5079</v>
      </c>
      <c r="B579" s="1" t="s">
        <v>5583</v>
      </c>
      <c r="C579" s="1" t="s">
        <v>4747</v>
      </c>
      <c r="D579" s="1" t="s">
        <v>4747</v>
      </c>
      <c r="E579" s="1" t="s">
        <v>4747</v>
      </c>
      <c r="F579" s="1" t="s">
        <v>6186</v>
      </c>
      <c r="G579" s="1" t="s">
        <v>8781</v>
      </c>
      <c r="H579" s="1" t="s">
        <v>6089</v>
      </c>
      <c r="I579" s="1"/>
      <c r="J579" s="1"/>
      <c r="K579" s="1" t="s">
        <v>6090</v>
      </c>
      <c r="L579" s="1" t="s">
        <v>8879</v>
      </c>
      <c r="M579" s="1" t="s">
        <v>8880</v>
      </c>
      <c r="N579" s="1"/>
      <c r="O579" s="1"/>
      <c r="P579" s="1"/>
      <c r="Q579" s="1"/>
      <c r="R579" s="1"/>
      <c r="S579" s="1"/>
      <c r="T579" s="1"/>
      <c r="U579" s="1"/>
      <c r="V579" s="1"/>
      <c r="W579" s="1"/>
    </row>
    <row r="580" spans="1:23" ht="48" customHeight="1">
      <c r="A580" s="1" t="s">
        <v>5079</v>
      </c>
      <c r="B580" s="1" t="s">
        <v>6209</v>
      </c>
      <c r="C580" s="1" t="s">
        <v>4747</v>
      </c>
      <c r="D580" s="1" t="s">
        <v>4747</v>
      </c>
      <c r="E580" s="1" t="s">
        <v>4747</v>
      </c>
      <c r="F580" s="1" t="s">
        <v>6186</v>
      </c>
      <c r="G580" s="1" t="s">
        <v>8781</v>
      </c>
      <c r="H580" s="1" t="s">
        <v>6089</v>
      </c>
      <c r="I580" s="1"/>
      <c r="J580" s="1"/>
      <c r="K580" s="1" t="s">
        <v>6090</v>
      </c>
      <c r="L580" s="1" t="s">
        <v>8881</v>
      </c>
      <c r="M580" s="1" t="s">
        <v>8882</v>
      </c>
      <c r="N580" s="1"/>
      <c r="O580" s="1"/>
      <c r="P580" s="1"/>
      <c r="Q580" s="1"/>
      <c r="R580" s="1"/>
      <c r="S580" s="1"/>
      <c r="T580" s="1"/>
      <c r="U580" s="1"/>
      <c r="V580" s="1"/>
      <c r="W580" s="1"/>
    </row>
    <row r="581" spans="1:23" ht="48" customHeight="1">
      <c r="A581" s="1" t="s">
        <v>5079</v>
      </c>
      <c r="B581" s="1" t="s">
        <v>6212</v>
      </c>
      <c r="C581" s="1" t="s">
        <v>4747</v>
      </c>
      <c r="D581" s="1" t="s">
        <v>4747</v>
      </c>
      <c r="E581" s="1" t="s">
        <v>4747</v>
      </c>
      <c r="F581" s="1" t="s">
        <v>6186</v>
      </c>
      <c r="G581" s="1" t="s">
        <v>8781</v>
      </c>
      <c r="H581" s="1" t="s">
        <v>6089</v>
      </c>
      <c r="I581" s="1"/>
      <c r="J581" s="1"/>
      <c r="K581" s="1" t="s">
        <v>6090</v>
      </c>
      <c r="L581" s="1" t="s">
        <v>8883</v>
      </c>
      <c r="M581" s="1" t="s">
        <v>8884</v>
      </c>
      <c r="N581" s="1"/>
      <c r="O581" s="1"/>
      <c r="P581" s="1"/>
      <c r="Q581" s="1"/>
      <c r="R581" s="1"/>
      <c r="S581" s="1"/>
      <c r="T581" s="1"/>
      <c r="U581" s="1"/>
      <c r="V581" s="1"/>
      <c r="W581" s="1"/>
    </row>
    <row r="582" spans="1:23" ht="48" customHeight="1">
      <c r="A582" s="1" t="s">
        <v>5079</v>
      </c>
      <c r="B582" s="1" t="s">
        <v>6215</v>
      </c>
      <c r="C582" s="1"/>
      <c r="D582" s="1" t="s">
        <v>4747</v>
      </c>
      <c r="E582" s="1"/>
      <c r="F582" s="1" t="s">
        <v>6216</v>
      </c>
      <c r="G582" s="1"/>
      <c r="H582" s="1" t="s">
        <v>6089</v>
      </c>
      <c r="I582" s="1"/>
      <c r="J582" s="1"/>
      <c r="K582" s="1" t="s">
        <v>6090</v>
      </c>
      <c r="L582" s="1"/>
      <c r="M582" s="1" t="s">
        <v>8885</v>
      </c>
      <c r="N582" s="1"/>
      <c r="O582" s="1"/>
      <c r="P582" s="1"/>
      <c r="Q582" s="1"/>
      <c r="R582" s="1"/>
      <c r="S582" s="1"/>
      <c r="T582" s="1"/>
      <c r="U582" s="1"/>
      <c r="V582" s="1"/>
      <c r="W582" s="1"/>
    </row>
    <row r="583" spans="1:23" ht="48" customHeight="1">
      <c r="A583" s="1" t="s">
        <v>5079</v>
      </c>
      <c r="B583" s="1" t="s">
        <v>6218</v>
      </c>
      <c r="C583" s="1" t="s">
        <v>8886</v>
      </c>
      <c r="D583" s="1" t="s">
        <v>4747</v>
      </c>
      <c r="E583" s="1"/>
      <c r="F583" s="1" t="s">
        <v>6110</v>
      </c>
      <c r="G583" s="1" t="s">
        <v>8781</v>
      </c>
      <c r="H583" s="1" t="s">
        <v>6089</v>
      </c>
      <c r="I583" s="1"/>
      <c r="J583" s="1"/>
      <c r="K583" s="1" t="s">
        <v>6090</v>
      </c>
      <c r="L583" s="1" t="s">
        <v>8887</v>
      </c>
      <c r="M583" s="1" t="s">
        <v>8888</v>
      </c>
      <c r="N583" s="1"/>
      <c r="O583" s="1"/>
      <c r="P583" s="1"/>
      <c r="Q583" s="1"/>
      <c r="R583" s="1"/>
      <c r="S583" s="1"/>
      <c r="T583" s="1"/>
      <c r="U583" s="1"/>
      <c r="V583" s="1"/>
      <c r="W583" s="1"/>
    </row>
    <row r="584" spans="1:23" ht="48" customHeight="1">
      <c r="A584" s="1" t="s">
        <v>5079</v>
      </c>
      <c r="B584" s="1" t="s">
        <v>6222</v>
      </c>
      <c r="C584" s="1" t="s">
        <v>8889</v>
      </c>
      <c r="D584" s="1" t="s">
        <v>8890</v>
      </c>
      <c r="E584" s="1"/>
      <c r="F584" s="1" t="s">
        <v>6110</v>
      </c>
      <c r="G584" s="1" t="s">
        <v>8781</v>
      </c>
      <c r="H584" s="1" t="s">
        <v>6089</v>
      </c>
      <c r="I584" s="1"/>
      <c r="J584" s="1"/>
      <c r="K584" s="1" t="s">
        <v>6090</v>
      </c>
      <c r="L584" s="1" t="s">
        <v>8891</v>
      </c>
      <c r="M584" s="1" t="s">
        <v>8892</v>
      </c>
      <c r="N584" s="1"/>
      <c r="O584" s="1"/>
      <c r="P584" s="1"/>
      <c r="Q584" s="1"/>
      <c r="R584" s="1"/>
      <c r="S584" s="1"/>
      <c r="T584" s="1"/>
      <c r="U584" s="1"/>
      <c r="V584" s="1"/>
      <c r="W584" s="1"/>
    </row>
    <row r="585" spans="1:23" ht="48" customHeight="1">
      <c r="A585" s="1" t="s">
        <v>5079</v>
      </c>
      <c r="B585" s="1" t="s">
        <v>6227</v>
      </c>
      <c r="C585" s="1" t="s">
        <v>8893</v>
      </c>
      <c r="D585" s="1" t="s">
        <v>6891</v>
      </c>
      <c r="E585" s="1"/>
      <c r="F585" s="1" t="s">
        <v>6110</v>
      </c>
      <c r="G585" s="1" t="s">
        <v>8781</v>
      </c>
      <c r="H585" s="1" t="s">
        <v>6089</v>
      </c>
      <c r="I585" s="1"/>
      <c r="J585" s="1"/>
      <c r="K585" s="1" t="s">
        <v>6090</v>
      </c>
      <c r="L585" s="1" t="s">
        <v>8894</v>
      </c>
      <c r="M585" s="1" t="s">
        <v>8895</v>
      </c>
      <c r="N585" s="1"/>
      <c r="O585" s="1"/>
      <c r="P585" s="1"/>
      <c r="Q585" s="1"/>
      <c r="R585" s="1"/>
      <c r="S585" s="1"/>
      <c r="T585" s="1"/>
      <c r="U585" s="1"/>
      <c r="V585" s="1"/>
      <c r="W585" s="1"/>
    </row>
    <row r="586" spans="1:23" ht="48" customHeight="1">
      <c r="A586" s="1" t="s">
        <v>5079</v>
      </c>
      <c r="B586" s="1" t="s">
        <v>6232</v>
      </c>
      <c r="C586" s="1" t="s">
        <v>4747</v>
      </c>
      <c r="D586" s="1" t="s">
        <v>4747</v>
      </c>
      <c r="E586" s="1" t="s">
        <v>4747</v>
      </c>
      <c r="F586" s="1" t="s">
        <v>6186</v>
      </c>
      <c r="G586" s="1" t="s">
        <v>8781</v>
      </c>
      <c r="H586" s="1" t="s">
        <v>6089</v>
      </c>
      <c r="I586" s="1"/>
      <c r="J586" s="1"/>
      <c r="K586" s="1" t="s">
        <v>6090</v>
      </c>
      <c r="L586" s="1" t="s">
        <v>8896</v>
      </c>
      <c r="M586" s="1" t="s">
        <v>8897</v>
      </c>
      <c r="N586" s="1"/>
      <c r="O586" s="1"/>
      <c r="P586" s="1"/>
      <c r="Q586" s="1"/>
      <c r="R586" s="1"/>
      <c r="S586" s="1"/>
      <c r="T586" s="1"/>
      <c r="U586" s="1"/>
      <c r="V586" s="1"/>
      <c r="W586" s="1"/>
    </row>
    <row r="587" spans="1:23" ht="60" customHeight="1">
      <c r="A587" s="1" t="s">
        <v>5079</v>
      </c>
      <c r="B587" s="1" t="s">
        <v>6236</v>
      </c>
      <c r="C587" s="1" t="s">
        <v>8898</v>
      </c>
      <c r="D587" s="1" t="s">
        <v>8899</v>
      </c>
      <c r="E587" s="1" t="s">
        <v>8900</v>
      </c>
      <c r="F587" s="1" t="s">
        <v>6163</v>
      </c>
      <c r="G587" s="1" t="s">
        <v>8781</v>
      </c>
      <c r="H587" s="1" t="s">
        <v>6089</v>
      </c>
      <c r="I587" s="1"/>
      <c r="J587" s="1"/>
      <c r="K587" s="1" t="s">
        <v>6090</v>
      </c>
      <c r="L587" s="1" t="s">
        <v>8901</v>
      </c>
      <c r="M587" s="1" t="s">
        <v>8902</v>
      </c>
      <c r="N587" s="1"/>
      <c r="O587" s="1"/>
      <c r="P587" s="1"/>
      <c r="Q587" s="1"/>
      <c r="R587" s="1" t="s">
        <v>8903</v>
      </c>
      <c r="S587" s="1" t="s">
        <v>8904</v>
      </c>
      <c r="T587" s="1" t="s">
        <v>8786</v>
      </c>
      <c r="U587" s="1" t="s">
        <v>6096</v>
      </c>
      <c r="V587" s="1" t="s">
        <v>6244</v>
      </c>
      <c r="W587" s="1" t="s">
        <v>8787</v>
      </c>
    </row>
    <row r="588" spans="1:23" ht="48" customHeight="1">
      <c r="A588" s="1" t="s">
        <v>5079</v>
      </c>
      <c r="B588" s="1" t="s">
        <v>6245</v>
      </c>
      <c r="C588" s="1" t="s">
        <v>8905</v>
      </c>
      <c r="D588" s="1"/>
      <c r="E588" s="1"/>
      <c r="F588" s="1" t="s">
        <v>6216</v>
      </c>
      <c r="G588" s="1" t="s">
        <v>8781</v>
      </c>
      <c r="H588" s="1"/>
      <c r="I588" s="1"/>
      <c r="J588" s="1"/>
      <c r="K588" s="1" t="s">
        <v>6090</v>
      </c>
      <c r="L588" s="1" t="s">
        <v>8906</v>
      </c>
      <c r="M588" s="1"/>
      <c r="N588" s="1"/>
      <c r="O588" s="1"/>
      <c r="P588" s="1"/>
      <c r="Q588" s="1"/>
      <c r="R588" s="1"/>
      <c r="S588" s="1"/>
      <c r="T588" s="1"/>
      <c r="U588" s="1"/>
      <c r="V588" s="1"/>
      <c r="W588" s="1"/>
    </row>
    <row r="589" spans="1:23" ht="48" customHeight="1">
      <c r="A589" s="1" t="s">
        <v>5079</v>
      </c>
      <c r="B589" s="1" t="s">
        <v>6248</v>
      </c>
      <c r="C589" s="1" t="s">
        <v>8907</v>
      </c>
      <c r="D589" s="1"/>
      <c r="E589" s="1"/>
      <c r="F589" s="1" t="s">
        <v>6216</v>
      </c>
      <c r="G589" s="1" t="s">
        <v>8781</v>
      </c>
      <c r="H589" s="1"/>
      <c r="I589" s="1"/>
      <c r="J589" s="1"/>
      <c r="K589" s="1" t="s">
        <v>6090</v>
      </c>
      <c r="L589" s="1" t="s">
        <v>8908</v>
      </c>
      <c r="M589" s="1"/>
      <c r="N589" s="1"/>
      <c r="O589" s="1"/>
      <c r="P589" s="1"/>
      <c r="Q589" s="1"/>
      <c r="R589" s="1"/>
      <c r="S589" s="1"/>
      <c r="T589" s="1"/>
      <c r="U589" s="1"/>
      <c r="V589" s="1"/>
      <c r="W589" s="1"/>
    </row>
    <row r="590" spans="1:23" ht="48" customHeight="1">
      <c r="A590" s="1" t="s">
        <v>5087</v>
      </c>
      <c r="B590" s="1" t="s">
        <v>6083</v>
      </c>
      <c r="C590" s="1" t="s">
        <v>8909</v>
      </c>
      <c r="D590" s="1" t="s">
        <v>8910</v>
      </c>
      <c r="E590" s="1" t="s">
        <v>6086</v>
      </c>
      <c r="F590" s="1" t="s">
        <v>6087</v>
      </c>
      <c r="G590" s="1" t="s">
        <v>8911</v>
      </c>
      <c r="H590" s="1" t="s">
        <v>6089</v>
      </c>
      <c r="I590" s="1"/>
      <c r="J590" s="1"/>
      <c r="K590" s="1" t="s">
        <v>6090</v>
      </c>
      <c r="L590" s="1" t="s">
        <v>8912</v>
      </c>
      <c r="M590" s="1" t="s">
        <v>8913</v>
      </c>
      <c r="N590" s="1"/>
      <c r="O590" s="1"/>
      <c r="P590" s="1"/>
      <c r="Q590" s="1"/>
      <c r="R590" s="1" t="s">
        <v>8914</v>
      </c>
      <c r="S590" s="1" t="s">
        <v>8915</v>
      </c>
      <c r="T590" s="1" t="s">
        <v>8916</v>
      </c>
      <c r="U590" s="1" t="s">
        <v>6096</v>
      </c>
      <c r="V590" s="1" t="s">
        <v>6097</v>
      </c>
      <c r="W590" s="1" t="s">
        <v>8917</v>
      </c>
    </row>
    <row r="591" spans="1:23" ht="48" customHeight="1">
      <c r="A591" s="1" t="s">
        <v>5087</v>
      </c>
      <c r="B591" s="1" t="s">
        <v>6099</v>
      </c>
      <c r="C591" s="1" t="s">
        <v>8399</v>
      </c>
      <c r="D591" s="1" t="s">
        <v>6101</v>
      </c>
      <c r="E591" s="1" t="s">
        <v>6102</v>
      </c>
      <c r="F591" s="1" t="s">
        <v>6087</v>
      </c>
      <c r="G591" s="1" t="s">
        <v>8911</v>
      </c>
      <c r="H591" s="1" t="s">
        <v>6089</v>
      </c>
      <c r="I591" s="1"/>
      <c r="J591" s="1"/>
      <c r="K591" s="1" t="s">
        <v>6090</v>
      </c>
      <c r="L591" s="1" t="s">
        <v>8918</v>
      </c>
      <c r="M591" s="1" t="s">
        <v>8919</v>
      </c>
      <c r="N591" s="1"/>
      <c r="O591" s="1"/>
      <c r="P591" s="1"/>
      <c r="Q591" s="1"/>
      <c r="R591" s="1" t="s">
        <v>8920</v>
      </c>
      <c r="S591" s="1" t="s">
        <v>8921</v>
      </c>
      <c r="T591" s="1" t="s">
        <v>8916</v>
      </c>
      <c r="U591" s="1" t="s">
        <v>6096</v>
      </c>
      <c r="V591" s="1" t="s">
        <v>6097</v>
      </c>
      <c r="W591" s="1" t="s">
        <v>8917</v>
      </c>
    </row>
    <row r="592" spans="1:23" ht="48" customHeight="1">
      <c r="A592" s="1" t="s">
        <v>5087</v>
      </c>
      <c r="B592" s="1" t="s">
        <v>6107</v>
      </c>
      <c r="C592" s="1" t="s">
        <v>8922</v>
      </c>
      <c r="D592" s="1" t="s">
        <v>8923</v>
      </c>
      <c r="E592" s="1"/>
      <c r="F592" s="1" t="s">
        <v>6110</v>
      </c>
      <c r="G592" s="1" t="s">
        <v>8911</v>
      </c>
      <c r="H592" s="1" t="s">
        <v>6089</v>
      </c>
      <c r="I592" s="1"/>
      <c r="J592" s="1"/>
      <c r="K592" s="1" t="s">
        <v>6090</v>
      </c>
      <c r="L592" s="1" t="s">
        <v>8924</v>
      </c>
      <c r="M592" s="1" t="s">
        <v>8925</v>
      </c>
      <c r="N592" s="1"/>
      <c r="O592" s="1"/>
      <c r="P592" s="1"/>
      <c r="Q592" s="1"/>
      <c r="R592" s="1"/>
      <c r="S592" s="1"/>
      <c r="T592" s="1"/>
      <c r="U592" s="1"/>
      <c r="V592" s="1"/>
      <c r="W592" s="1"/>
    </row>
    <row r="593" spans="1:23" ht="48" customHeight="1">
      <c r="A593" s="1" t="s">
        <v>5087</v>
      </c>
      <c r="B593" s="1" t="s">
        <v>6113</v>
      </c>
      <c r="C593" s="1" t="s">
        <v>8926</v>
      </c>
      <c r="D593" s="1" t="s">
        <v>8927</v>
      </c>
      <c r="E593" s="1"/>
      <c r="F593" s="1" t="s">
        <v>6110</v>
      </c>
      <c r="G593" s="1" t="s">
        <v>8911</v>
      </c>
      <c r="H593" s="1" t="s">
        <v>6089</v>
      </c>
      <c r="I593" s="1"/>
      <c r="J593" s="1"/>
      <c r="K593" s="1" t="s">
        <v>6090</v>
      </c>
      <c r="L593" s="1" t="s">
        <v>8928</v>
      </c>
      <c r="M593" s="1" t="s">
        <v>8929</v>
      </c>
      <c r="N593" s="1"/>
      <c r="O593" s="1"/>
      <c r="P593" s="1"/>
      <c r="Q593" s="1"/>
      <c r="R593" s="1"/>
      <c r="S593" s="1"/>
      <c r="T593" s="1"/>
      <c r="U593" s="1"/>
      <c r="V593" s="1"/>
      <c r="W593" s="1"/>
    </row>
    <row r="594" spans="1:23" ht="48" customHeight="1">
      <c r="A594" s="1" t="s">
        <v>5087</v>
      </c>
      <c r="B594" s="1" t="s">
        <v>6118</v>
      </c>
      <c r="C594" s="1" t="s">
        <v>8930</v>
      </c>
      <c r="D594" s="1" t="s">
        <v>8931</v>
      </c>
      <c r="E594" s="1" t="s">
        <v>8932</v>
      </c>
      <c r="F594" s="1" t="s">
        <v>6087</v>
      </c>
      <c r="G594" s="1" t="s">
        <v>8911</v>
      </c>
      <c r="H594" s="1" t="s">
        <v>6089</v>
      </c>
      <c r="I594" s="1"/>
      <c r="J594" s="1"/>
      <c r="K594" s="1" t="s">
        <v>6090</v>
      </c>
      <c r="L594" s="1" t="s">
        <v>8933</v>
      </c>
      <c r="M594" s="1" t="s">
        <v>8934</v>
      </c>
      <c r="N594" s="1"/>
      <c r="O594" s="1"/>
      <c r="P594" s="1"/>
      <c r="Q594" s="1"/>
      <c r="R594" s="1" t="s">
        <v>8935</v>
      </c>
      <c r="S594" s="1" t="s">
        <v>8936</v>
      </c>
      <c r="T594" s="1" t="s">
        <v>8916</v>
      </c>
      <c r="U594" s="1" t="s">
        <v>6096</v>
      </c>
      <c r="V594" s="1" t="s">
        <v>6097</v>
      </c>
      <c r="W594" s="1" t="s">
        <v>8917</v>
      </c>
    </row>
    <row r="595" spans="1:23" ht="48" customHeight="1">
      <c r="A595" s="1" t="s">
        <v>5087</v>
      </c>
      <c r="B595" s="1" t="s">
        <v>6126</v>
      </c>
      <c r="C595" s="1" t="s">
        <v>8937</v>
      </c>
      <c r="D595" s="1" t="s">
        <v>8938</v>
      </c>
      <c r="E595" s="1" t="s">
        <v>8419</v>
      </c>
      <c r="F595" s="1" t="s">
        <v>6087</v>
      </c>
      <c r="G595" s="1" t="s">
        <v>8911</v>
      </c>
      <c r="H595" s="1" t="s">
        <v>6089</v>
      </c>
      <c r="I595" s="1"/>
      <c r="J595" s="1"/>
      <c r="K595" s="1" t="s">
        <v>6090</v>
      </c>
      <c r="L595" s="1" t="s">
        <v>8939</v>
      </c>
      <c r="M595" s="1" t="s">
        <v>8940</v>
      </c>
      <c r="N595" s="1"/>
      <c r="O595" s="1"/>
      <c r="P595" s="1"/>
      <c r="Q595" s="1"/>
      <c r="R595" s="1" t="s">
        <v>8941</v>
      </c>
      <c r="S595" s="1" t="s">
        <v>8942</v>
      </c>
      <c r="T595" s="1" t="s">
        <v>8916</v>
      </c>
      <c r="U595" s="1" t="s">
        <v>6096</v>
      </c>
      <c r="V595" s="1" t="s">
        <v>6097</v>
      </c>
      <c r="W595" s="1" t="s">
        <v>8917</v>
      </c>
    </row>
    <row r="596" spans="1:23" ht="48" customHeight="1">
      <c r="A596" s="1" t="s">
        <v>5087</v>
      </c>
      <c r="B596" s="1" t="s">
        <v>6134</v>
      </c>
      <c r="C596" s="1" t="s">
        <v>8943</v>
      </c>
      <c r="D596" s="1" t="s">
        <v>8944</v>
      </c>
      <c r="E596" s="1" t="s">
        <v>8945</v>
      </c>
      <c r="F596" s="1" t="s">
        <v>6138</v>
      </c>
      <c r="G596" s="1" t="s">
        <v>8911</v>
      </c>
      <c r="H596" s="1" t="s">
        <v>6089</v>
      </c>
      <c r="I596" s="1"/>
      <c r="J596" s="1"/>
      <c r="K596" s="1" t="s">
        <v>6090</v>
      </c>
      <c r="L596" s="1" t="s">
        <v>8946</v>
      </c>
      <c r="M596" s="1" t="s">
        <v>8947</v>
      </c>
      <c r="N596" s="1"/>
      <c r="O596" s="1"/>
      <c r="P596" s="1"/>
      <c r="Q596" s="1"/>
      <c r="R596" s="1" t="s">
        <v>8948</v>
      </c>
      <c r="S596" s="1" t="s">
        <v>8949</v>
      </c>
      <c r="T596" s="1" t="s">
        <v>8916</v>
      </c>
      <c r="U596" s="1" t="s">
        <v>6096</v>
      </c>
      <c r="V596" s="1" t="s">
        <v>6143</v>
      </c>
      <c r="W596" s="1" t="s">
        <v>8917</v>
      </c>
    </row>
    <row r="597" spans="1:23" ht="48" customHeight="1">
      <c r="A597" s="1" t="s">
        <v>5087</v>
      </c>
      <c r="B597" s="1" t="s">
        <v>6144</v>
      </c>
      <c r="C597" s="1" t="s">
        <v>8950</v>
      </c>
      <c r="D597" s="1" t="s">
        <v>4747</v>
      </c>
      <c r="E597" s="1" t="s">
        <v>8951</v>
      </c>
      <c r="F597" s="1" t="s">
        <v>6138</v>
      </c>
      <c r="G597" s="1" t="s">
        <v>8911</v>
      </c>
      <c r="H597" s="1" t="s">
        <v>6089</v>
      </c>
      <c r="I597" s="1"/>
      <c r="J597" s="1"/>
      <c r="K597" s="1" t="s">
        <v>6090</v>
      </c>
      <c r="L597" s="1" t="s">
        <v>8952</v>
      </c>
      <c r="M597" s="1" t="s">
        <v>8953</v>
      </c>
      <c r="N597" s="1"/>
      <c r="O597" s="1"/>
      <c r="P597" s="1"/>
      <c r="Q597" s="1"/>
      <c r="R597" s="1" t="s">
        <v>8948</v>
      </c>
      <c r="S597" s="1" t="s">
        <v>8949</v>
      </c>
      <c r="T597" s="1" t="s">
        <v>8916</v>
      </c>
      <c r="U597" s="1" t="s">
        <v>6096</v>
      </c>
      <c r="V597" s="1" t="s">
        <v>6143</v>
      </c>
      <c r="W597" s="1" t="s">
        <v>8917</v>
      </c>
    </row>
    <row r="598" spans="1:23" ht="48" customHeight="1">
      <c r="A598" s="1" t="s">
        <v>5087</v>
      </c>
      <c r="B598" s="1" t="s">
        <v>6149</v>
      </c>
      <c r="C598" s="1" t="s">
        <v>8954</v>
      </c>
      <c r="D598" s="1" t="s">
        <v>4747</v>
      </c>
      <c r="E598" s="1" t="s">
        <v>8955</v>
      </c>
      <c r="F598" s="1" t="s">
        <v>6138</v>
      </c>
      <c r="G598" s="1" t="s">
        <v>8911</v>
      </c>
      <c r="H598" s="1" t="s">
        <v>6089</v>
      </c>
      <c r="I598" s="1"/>
      <c r="J598" s="1"/>
      <c r="K598" s="1" t="s">
        <v>6090</v>
      </c>
      <c r="L598" s="1" t="s">
        <v>8956</v>
      </c>
      <c r="M598" s="1" t="s">
        <v>8957</v>
      </c>
      <c r="N598" s="1"/>
      <c r="O598" s="1"/>
      <c r="P598" s="1"/>
      <c r="Q598" s="1"/>
      <c r="R598" s="1" t="s">
        <v>8948</v>
      </c>
      <c r="S598" s="1" t="s">
        <v>8949</v>
      </c>
      <c r="T598" s="1" t="s">
        <v>8916</v>
      </c>
      <c r="U598" s="1" t="s">
        <v>6096</v>
      </c>
      <c r="V598" s="1" t="s">
        <v>6143</v>
      </c>
      <c r="W598" s="1" t="s">
        <v>8917</v>
      </c>
    </row>
    <row r="599" spans="1:23" ht="48" customHeight="1">
      <c r="A599" s="1" t="s">
        <v>5087</v>
      </c>
      <c r="B599" s="1" t="s">
        <v>6154</v>
      </c>
      <c r="C599" s="1" t="s">
        <v>8958</v>
      </c>
      <c r="D599" s="1" t="s">
        <v>8959</v>
      </c>
      <c r="E599" s="1" t="s">
        <v>8960</v>
      </c>
      <c r="F599" s="1" t="s">
        <v>6138</v>
      </c>
      <c r="G599" s="1" t="s">
        <v>8911</v>
      </c>
      <c r="H599" s="1" t="s">
        <v>6089</v>
      </c>
      <c r="I599" s="1"/>
      <c r="J599" s="1"/>
      <c r="K599" s="1" t="s">
        <v>6090</v>
      </c>
      <c r="L599" s="1" t="s">
        <v>8961</v>
      </c>
      <c r="M599" s="1" t="s">
        <v>8962</v>
      </c>
      <c r="N599" s="1"/>
      <c r="O599" s="1"/>
      <c r="P599" s="1"/>
      <c r="Q599" s="1"/>
      <c r="R599" s="1" t="s">
        <v>8948</v>
      </c>
      <c r="S599" s="1" t="s">
        <v>8949</v>
      </c>
      <c r="T599" s="1" t="s">
        <v>8916</v>
      </c>
      <c r="U599" s="1" t="s">
        <v>6096</v>
      </c>
      <c r="V599" s="1" t="s">
        <v>6143</v>
      </c>
      <c r="W599" s="1" t="s">
        <v>8917</v>
      </c>
    </row>
    <row r="600" spans="1:23" ht="60" customHeight="1">
      <c r="A600" s="1" t="s">
        <v>5087</v>
      </c>
      <c r="B600" s="1" t="s">
        <v>6159</v>
      </c>
      <c r="C600" s="1" t="s">
        <v>4747</v>
      </c>
      <c r="D600" s="1" t="s">
        <v>8963</v>
      </c>
      <c r="E600" s="1" t="s">
        <v>8964</v>
      </c>
      <c r="F600" s="1" t="s">
        <v>6349</v>
      </c>
      <c r="G600" s="1" t="s">
        <v>8911</v>
      </c>
      <c r="H600" s="1" t="s">
        <v>6089</v>
      </c>
      <c r="I600" s="1"/>
      <c r="J600" s="1"/>
      <c r="K600" s="1" t="s">
        <v>6090</v>
      </c>
      <c r="L600" s="1" t="s">
        <v>8965</v>
      </c>
      <c r="M600" s="1" t="s">
        <v>8966</v>
      </c>
      <c r="N600" s="1"/>
      <c r="O600" s="1"/>
      <c r="P600" s="1"/>
      <c r="Q600" s="1"/>
      <c r="R600" s="1" t="s">
        <v>8967</v>
      </c>
      <c r="S600" s="1" t="s">
        <v>7015</v>
      </c>
      <c r="T600" s="1" t="s">
        <v>8916</v>
      </c>
      <c r="U600" s="1" t="s">
        <v>6096</v>
      </c>
      <c r="V600" s="1" t="s">
        <v>8968</v>
      </c>
      <c r="W600" s="1" t="s">
        <v>8917</v>
      </c>
    </row>
    <row r="601" spans="1:23" ht="48" customHeight="1">
      <c r="A601" s="1" t="s">
        <v>5087</v>
      </c>
      <c r="B601" s="1" t="s">
        <v>6169</v>
      </c>
      <c r="C601" s="1" t="s">
        <v>4747</v>
      </c>
      <c r="D601" s="1" t="s">
        <v>4747</v>
      </c>
      <c r="E601" s="1" t="s">
        <v>4747</v>
      </c>
      <c r="F601" s="1" t="s">
        <v>6186</v>
      </c>
      <c r="G601" s="1" t="s">
        <v>8911</v>
      </c>
      <c r="H601" s="1" t="s">
        <v>6089</v>
      </c>
      <c r="I601" s="1"/>
      <c r="J601" s="1"/>
      <c r="K601" s="1" t="s">
        <v>6090</v>
      </c>
      <c r="L601" s="1" t="s">
        <v>8969</v>
      </c>
      <c r="M601" s="1" t="s">
        <v>8970</v>
      </c>
      <c r="N601" s="1"/>
      <c r="O601" s="1"/>
      <c r="P601" s="1"/>
      <c r="Q601" s="1"/>
      <c r="R601" s="1"/>
      <c r="S601" s="1"/>
      <c r="T601" s="1"/>
      <c r="U601" s="1"/>
      <c r="V601" s="1"/>
      <c r="W601" s="1"/>
    </row>
    <row r="602" spans="1:23" ht="48" customHeight="1">
      <c r="A602" s="1" t="s">
        <v>5087</v>
      </c>
      <c r="B602" s="1" t="s">
        <v>6176</v>
      </c>
      <c r="C602" s="1" t="s">
        <v>4747</v>
      </c>
      <c r="D602" s="1" t="s">
        <v>4747</v>
      </c>
      <c r="E602" s="1" t="s">
        <v>4747</v>
      </c>
      <c r="F602" s="1" t="s">
        <v>6186</v>
      </c>
      <c r="G602" s="1" t="s">
        <v>8911</v>
      </c>
      <c r="H602" s="1" t="s">
        <v>6089</v>
      </c>
      <c r="I602" s="1"/>
      <c r="J602" s="1"/>
      <c r="K602" s="1" t="s">
        <v>6090</v>
      </c>
      <c r="L602" s="1" t="s">
        <v>8971</v>
      </c>
      <c r="M602" s="1" t="s">
        <v>8972</v>
      </c>
      <c r="N602" s="1"/>
      <c r="O602" s="1"/>
      <c r="P602" s="1"/>
      <c r="Q602" s="1"/>
      <c r="R602" s="1"/>
      <c r="S602" s="1"/>
      <c r="T602" s="1"/>
      <c r="U602" s="1"/>
      <c r="V602" s="1"/>
      <c r="W602" s="1"/>
    </row>
    <row r="603" spans="1:23" ht="48" customHeight="1">
      <c r="A603" s="1" t="s">
        <v>5087</v>
      </c>
      <c r="B603" s="1" t="s">
        <v>6185</v>
      </c>
      <c r="C603" s="1" t="s">
        <v>4747</v>
      </c>
      <c r="D603" s="1" t="s">
        <v>4747</v>
      </c>
      <c r="E603" s="1" t="s">
        <v>4747</v>
      </c>
      <c r="F603" s="1" t="s">
        <v>6186</v>
      </c>
      <c r="G603" s="1" t="s">
        <v>8911</v>
      </c>
      <c r="H603" s="1" t="s">
        <v>6089</v>
      </c>
      <c r="I603" s="1"/>
      <c r="J603" s="1"/>
      <c r="K603" s="1" t="s">
        <v>6090</v>
      </c>
      <c r="L603" s="1" t="s">
        <v>8973</v>
      </c>
      <c r="M603" s="1" t="s">
        <v>8974</v>
      </c>
      <c r="N603" s="1"/>
      <c r="O603" s="1"/>
      <c r="P603" s="1"/>
      <c r="Q603" s="1"/>
      <c r="R603" s="1"/>
      <c r="S603" s="1"/>
      <c r="T603" s="1"/>
      <c r="U603" s="1"/>
      <c r="V603" s="1"/>
      <c r="W603" s="1"/>
    </row>
    <row r="604" spans="1:23" ht="96" customHeight="1">
      <c r="A604" s="1" t="s">
        <v>5087</v>
      </c>
      <c r="B604" s="1" t="s">
        <v>6189</v>
      </c>
      <c r="C604" s="1" t="s">
        <v>8975</v>
      </c>
      <c r="D604" s="1" t="s">
        <v>4747</v>
      </c>
      <c r="E604" s="1" t="s">
        <v>8976</v>
      </c>
      <c r="F604" s="1" t="s">
        <v>6138</v>
      </c>
      <c r="G604" s="1" t="s">
        <v>8911</v>
      </c>
      <c r="H604" s="1" t="s">
        <v>6089</v>
      </c>
      <c r="I604" s="1"/>
      <c r="J604" s="1"/>
      <c r="K604" s="1" t="s">
        <v>6090</v>
      </c>
      <c r="L604" s="1" t="s">
        <v>8977</v>
      </c>
      <c r="M604" s="1" t="s">
        <v>8978</v>
      </c>
      <c r="N604" s="1"/>
      <c r="O604" s="1"/>
      <c r="P604" s="1"/>
      <c r="Q604" s="1"/>
      <c r="R604" s="1" t="s">
        <v>8979</v>
      </c>
      <c r="S604" s="1" t="s">
        <v>8980</v>
      </c>
      <c r="T604" s="1" t="s">
        <v>8916</v>
      </c>
      <c r="U604" s="1" t="s">
        <v>6096</v>
      </c>
      <c r="V604" s="1" t="s">
        <v>6184</v>
      </c>
      <c r="W604" s="1" t="s">
        <v>8917</v>
      </c>
    </row>
    <row r="605" spans="1:23" ht="48" customHeight="1">
      <c r="A605" s="1" t="s">
        <v>5087</v>
      </c>
      <c r="B605" s="1" t="s">
        <v>6196</v>
      </c>
      <c r="C605" s="1" t="s">
        <v>6197</v>
      </c>
      <c r="D605" s="1" t="s">
        <v>4747</v>
      </c>
      <c r="E605" s="1"/>
      <c r="F605" s="1" t="s">
        <v>6110</v>
      </c>
      <c r="G605" s="1" t="s">
        <v>8911</v>
      </c>
      <c r="H605" s="1" t="s">
        <v>6089</v>
      </c>
      <c r="I605" s="1"/>
      <c r="J605" s="1"/>
      <c r="K605" s="1" t="s">
        <v>6090</v>
      </c>
      <c r="L605" s="1" t="s">
        <v>8981</v>
      </c>
      <c r="M605" s="1" t="s">
        <v>8982</v>
      </c>
      <c r="N605" s="1"/>
      <c r="O605" s="1"/>
      <c r="P605" s="1"/>
      <c r="Q605" s="1"/>
      <c r="R605" s="1"/>
      <c r="S605" s="1"/>
      <c r="T605" s="1"/>
      <c r="U605" s="1"/>
      <c r="V605" s="1"/>
      <c r="W605" s="1"/>
    </row>
    <row r="606" spans="1:23" ht="48" customHeight="1">
      <c r="A606" s="1" t="s">
        <v>5087</v>
      </c>
      <c r="B606" s="1" t="s">
        <v>6200</v>
      </c>
      <c r="C606" s="1" t="s">
        <v>4747</v>
      </c>
      <c r="D606" s="1" t="s">
        <v>4747</v>
      </c>
      <c r="E606" s="1" t="s">
        <v>4747</v>
      </c>
      <c r="F606" s="1" t="s">
        <v>6186</v>
      </c>
      <c r="G606" s="1" t="s">
        <v>8911</v>
      </c>
      <c r="H606" s="1" t="s">
        <v>6089</v>
      </c>
      <c r="I606" s="1"/>
      <c r="J606" s="1"/>
      <c r="K606" s="1" t="s">
        <v>6090</v>
      </c>
      <c r="L606" s="1" t="s">
        <v>8983</v>
      </c>
      <c r="M606" s="1" t="s">
        <v>8984</v>
      </c>
      <c r="N606" s="1"/>
      <c r="O606" s="1"/>
      <c r="P606" s="1"/>
      <c r="Q606" s="1"/>
      <c r="R606" s="1"/>
      <c r="S606" s="1"/>
      <c r="T606" s="1"/>
      <c r="U606" s="1"/>
      <c r="V606" s="1"/>
      <c r="W606" s="1"/>
    </row>
    <row r="607" spans="1:23" ht="48" customHeight="1">
      <c r="A607" s="1" t="s">
        <v>5087</v>
      </c>
      <c r="B607" s="1" t="s">
        <v>5583</v>
      </c>
      <c r="C607" s="1" t="s">
        <v>4747</v>
      </c>
      <c r="D607" s="1" t="s">
        <v>4747</v>
      </c>
      <c r="E607" s="1" t="s">
        <v>4747</v>
      </c>
      <c r="F607" s="1" t="s">
        <v>6186</v>
      </c>
      <c r="G607" s="1" t="s">
        <v>8911</v>
      </c>
      <c r="H607" s="1" t="s">
        <v>6089</v>
      </c>
      <c r="I607" s="1"/>
      <c r="J607" s="1"/>
      <c r="K607" s="1" t="s">
        <v>6090</v>
      </c>
      <c r="L607" s="1" t="s">
        <v>8985</v>
      </c>
      <c r="M607" s="1" t="s">
        <v>8986</v>
      </c>
      <c r="N607" s="1"/>
      <c r="O607" s="1"/>
      <c r="P607" s="1"/>
      <c r="Q607" s="1"/>
      <c r="R607" s="1"/>
      <c r="S607" s="1"/>
      <c r="T607" s="1"/>
      <c r="U607" s="1"/>
      <c r="V607" s="1"/>
      <c r="W607" s="1"/>
    </row>
    <row r="608" spans="1:23" ht="48" customHeight="1">
      <c r="A608" s="1" t="s">
        <v>5087</v>
      </c>
      <c r="B608" s="1" t="s">
        <v>6209</v>
      </c>
      <c r="C608" s="1" t="s">
        <v>4747</v>
      </c>
      <c r="D608" s="1" t="s">
        <v>4747</v>
      </c>
      <c r="E608" s="1" t="s">
        <v>4747</v>
      </c>
      <c r="F608" s="1" t="s">
        <v>6186</v>
      </c>
      <c r="G608" s="1" t="s">
        <v>8911</v>
      </c>
      <c r="H608" s="1" t="s">
        <v>6089</v>
      </c>
      <c r="I608" s="1"/>
      <c r="J608" s="1"/>
      <c r="K608" s="1" t="s">
        <v>6090</v>
      </c>
      <c r="L608" s="1" t="s">
        <v>8987</v>
      </c>
      <c r="M608" s="1" t="s">
        <v>8988</v>
      </c>
      <c r="N608" s="1"/>
      <c r="O608" s="1"/>
      <c r="P608" s="1"/>
      <c r="Q608" s="1"/>
      <c r="R608" s="1"/>
      <c r="S608" s="1"/>
      <c r="T608" s="1"/>
      <c r="U608" s="1"/>
      <c r="V608" s="1"/>
      <c r="W608" s="1"/>
    </row>
    <row r="609" spans="1:23" ht="48" customHeight="1">
      <c r="A609" s="1" t="s">
        <v>5087</v>
      </c>
      <c r="B609" s="1" t="s">
        <v>6212</v>
      </c>
      <c r="C609" s="1" t="s">
        <v>4747</v>
      </c>
      <c r="D609" s="1" t="s">
        <v>8989</v>
      </c>
      <c r="E609" s="1"/>
      <c r="F609" s="1" t="s">
        <v>6110</v>
      </c>
      <c r="G609" s="1" t="s">
        <v>8911</v>
      </c>
      <c r="H609" s="1" t="s">
        <v>6089</v>
      </c>
      <c r="I609" s="1"/>
      <c r="J609" s="1"/>
      <c r="K609" s="1" t="s">
        <v>6090</v>
      </c>
      <c r="L609" s="1" t="s">
        <v>8990</v>
      </c>
      <c r="M609" s="1" t="s">
        <v>8991</v>
      </c>
      <c r="N609" s="1"/>
      <c r="O609" s="1"/>
      <c r="P609" s="1"/>
      <c r="Q609" s="1"/>
      <c r="R609" s="1"/>
      <c r="S609" s="1"/>
      <c r="T609" s="1"/>
      <c r="U609" s="1"/>
      <c r="V609" s="1"/>
      <c r="W609" s="1"/>
    </row>
    <row r="610" spans="1:23" ht="48" customHeight="1">
      <c r="A610" s="1" t="s">
        <v>5087</v>
      </c>
      <c r="B610" s="1" t="s">
        <v>6215</v>
      </c>
      <c r="C610" s="1"/>
      <c r="D610" s="1" t="s">
        <v>4747</v>
      </c>
      <c r="E610" s="1"/>
      <c r="F610" s="1" t="s">
        <v>6216</v>
      </c>
      <c r="G610" s="1"/>
      <c r="H610" s="1" t="s">
        <v>6089</v>
      </c>
      <c r="I610" s="1"/>
      <c r="J610" s="1"/>
      <c r="K610" s="1" t="s">
        <v>6090</v>
      </c>
      <c r="L610" s="1"/>
      <c r="M610" s="1" t="s">
        <v>8992</v>
      </c>
      <c r="N610" s="1"/>
      <c r="O610" s="1"/>
      <c r="P610" s="1"/>
      <c r="Q610" s="1"/>
      <c r="R610" s="1"/>
      <c r="S610" s="1"/>
      <c r="T610" s="1"/>
      <c r="U610" s="1"/>
      <c r="V610" s="1"/>
      <c r="W610" s="1"/>
    </row>
    <row r="611" spans="1:23" ht="48" customHeight="1">
      <c r="A611" s="1" t="s">
        <v>5087</v>
      </c>
      <c r="B611" s="1" t="s">
        <v>6218</v>
      </c>
      <c r="C611" s="1" t="s">
        <v>8993</v>
      </c>
      <c r="D611" s="1" t="s">
        <v>4747</v>
      </c>
      <c r="E611" s="1"/>
      <c r="F611" s="1" t="s">
        <v>6110</v>
      </c>
      <c r="G611" s="1" t="s">
        <v>8911</v>
      </c>
      <c r="H611" s="1" t="s">
        <v>6089</v>
      </c>
      <c r="I611" s="1"/>
      <c r="J611" s="1"/>
      <c r="K611" s="1" t="s">
        <v>6090</v>
      </c>
      <c r="L611" s="1" t="s">
        <v>8994</v>
      </c>
      <c r="M611" s="1" t="s">
        <v>8995</v>
      </c>
      <c r="N611" s="1"/>
      <c r="O611" s="1"/>
      <c r="P611" s="1"/>
      <c r="Q611" s="1"/>
      <c r="R611" s="1"/>
      <c r="S611" s="1"/>
      <c r="T611" s="1"/>
      <c r="U611" s="1"/>
      <c r="V611" s="1"/>
      <c r="W611" s="1"/>
    </row>
    <row r="612" spans="1:23" ht="48" customHeight="1">
      <c r="A612" s="1" t="s">
        <v>5087</v>
      </c>
      <c r="B612" s="1" t="s">
        <v>6222</v>
      </c>
      <c r="C612" s="1" t="s">
        <v>8996</v>
      </c>
      <c r="D612" s="1" t="s">
        <v>8997</v>
      </c>
      <c r="E612" s="1"/>
      <c r="F612" s="1" t="s">
        <v>6110</v>
      </c>
      <c r="G612" s="1" t="s">
        <v>8911</v>
      </c>
      <c r="H612" s="1" t="s">
        <v>6089</v>
      </c>
      <c r="I612" s="1"/>
      <c r="J612" s="1"/>
      <c r="K612" s="1" t="s">
        <v>6090</v>
      </c>
      <c r="L612" s="1" t="s">
        <v>8998</v>
      </c>
      <c r="M612" s="1" t="s">
        <v>8999</v>
      </c>
      <c r="N612" s="1"/>
      <c r="O612" s="1"/>
      <c r="P612" s="1"/>
      <c r="Q612" s="1"/>
      <c r="R612" s="1"/>
      <c r="S612" s="1"/>
      <c r="T612" s="1"/>
      <c r="U612" s="1"/>
      <c r="V612" s="1"/>
      <c r="W612" s="1"/>
    </row>
    <row r="613" spans="1:23" ht="48" customHeight="1">
      <c r="A613" s="1" t="s">
        <v>5087</v>
      </c>
      <c r="B613" s="1" t="s">
        <v>6227</v>
      </c>
      <c r="C613" s="1" t="s">
        <v>9000</v>
      </c>
      <c r="D613" s="1" t="s">
        <v>9001</v>
      </c>
      <c r="E613" s="1"/>
      <c r="F613" s="1" t="s">
        <v>6110</v>
      </c>
      <c r="G613" s="1" t="s">
        <v>8911</v>
      </c>
      <c r="H613" s="1" t="s">
        <v>6089</v>
      </c>
      <c r="I613" s="1"/>
      <c r="J613" s="1"/>
      <c r="K613" s="1" t="s">
        <v>6090</v>
      </c>
      <c r="L613" s="1" t="s">
        <v>9002</v>
      </c>
      <c r="M613" s="1" t="s">
        <v>9003</v>
      </c>
      <c r="N613" s="1"/>
      <c r="O613" s="1"/>
      <c r="P613" s="1"/>
      <c r="Q613" s="1"/>
      <c r="R613" s="1"/>
      <c r="S613" s="1"/>
      <c r="T613" s="1"/>
      <c r="U613" s="1"/>
      <c r="V613" s="1"/>
      <c r="W613" s="1"/>
    </row>
    <row r="614" spans="1:23" ht="48" customHeight="1">
      <c r="A614" s="1" t="s">
        <v>5087</v>
      </c>
      <c r="B614" s="1" t="s">
        <v>6232</v>
      </c>
      <c r="C614" s="1" t="s">
        <v>4747</v>
      </c>
      <c r="D614" s="1" t="s">
        <v>9004</v>
      </c>
      <c r="E614" s="1"/>
      <c r="F614" s="1" t="s">
        <v>6110</v>
      </c>
      <c r="G614" s="1" t="s">
        <v>8911</v>
      </c>
      <c r="H614" s="1" t="s">
        <v>6089</v>
      </c>
      <c r="I614" s="1"/>
      <c r="J614" s="1"/>
      <c r="K614" s="1" t="s">
        <v>6090</v>
      </c>
      <c r="L614" s="1" t="s">
        <v>9005</v>
      </c>
      <c r="M614" s="1" t="s">
        <v>9006</v>
      </c>
      <c r="N614" s="1"/>
      <c r="O614" s="1"/>
      <c r="P614" s="1"/>
      <c r="Q614" s="1"/>
      <c r="R614" s="1"/>
      <c r="S614" s="1"/>
      <c r="T614" s="1"/>
      <c r="U614" s="1"/>
      <c r="V614" s="1"/>
      <c r="W614" s="1"/>
    </row>
    <row r="615" spans="1:23" ht="60" customHeight="1">
      <c r="A615" s="1" t="s">
        <v>5087</v>
      </c>
      <c r="B615" s="1" t="s">
        <v>6236</v>
      </c>
      <c r="C615" s="1" t="s">
        <v>9007</v>
      </c>
      <c r="D615" s="1" t="s">
        <v>9008</v>
      </c>
      <c r="E615" s="1" t="s">
        <v>9009</v>
      </c>
      <c r="F615" s="1" t="s">
        <v>6163</v>
      </c>
      <c r="G615" s="1" t="s">
        <v>8911</v>
      </c>
      <c r="H615" s="1" t="s">
        <v>6089</v>
      </c>
      <c r="I615" s="1"/>
      <c r="J615" s="1"/>
      <c r="K615" s="1" t="s">
        <v>6090</v>
      </c>
      <c r="L615" s="1" t="s">
        <v>9010</v>
      </c>
      <c r="M615" s="1" t="s">
        <v>9011</v>
      </c>
      <c r="N615" s="1"/>
      <c r="O615" s="1"/>
      <c r="P615" s="1"/>
      <c r="Q615" s="1"/>
      <c r="R615" s="1" t="s">
        <v>9012</v>
      </c>
      <c r="S615" s="1" t="s">
        <v>9013</v>
      </c>
      <c r="T615" s="1" t="s">
        <v>8916</v>
      </c>
      <c r="U615" s="1" t="s">
        <v>6096</v>
      </c>
      <c r="V615" s="1" t="s">
        <v>6244</v>
      </c>
      <c r="W615" s="1" t="s">
        <v>8917</v>
      </c>
    </row>
    <row r="616" spans="1:23" ht="48" customHeight="1">
      <c r="A616" s="1" t="s">
        <v>5087</v>
      </c>
      <c r="B616" s="1" t="s">
        <v>6245</v>
      </c>
      <c r="C616" s="1" t="s">
        <v>9014</v>
      </c>
      <c r="D616" s="1"/>
      <c r="E616" s="1"/>
      <c r="F616" s="1" t="s">
        <v>6216</v>
      </c>
      <c r="G616" s="1" t="s">
        <v>8911</v>
      </c>
      <c r="H616" s="1"/>
      <c r="I616" s="1"/>
      <c r="J616" s="1"/>
      <c r="K616" s="1" t="s">
        <v>6090</v>
      </c>
      <c r="L616" s="1" t="s">
        <v>9015</v>
      </c>
      <c r="M616" s="1"/>
      <c r="N616" s="1"/>
      <c r="O616" s="1"/>
      <c r="P616" s="1"/>
      <c r="Q616" s="1"/>
      <c r="R616" s="1"/>
      <c r="S616" s="1"/>
      <c r="T616" s="1"/>
      <c r="U616" s="1"/>
      <c r="V616" s="1"/>
      <c r="W616" s="1"/>
    </row>
    <row r="617" spans="1:23" ht="48" customHeight="1">
      <c r="A617" s="1" t="s">
        <v>5087</v>
      </c>
      <c r="B617" s="1" t="s">
        <v>6248</v>
      </c>
      <c r="C617" s="1" t="s">
        <v>9016</v>
      </c>
      <c r="D617" s="1"/>
      <c r="E617" s="1"/>
      <c r="F617" s="1" t="s">
        <v>6216</v>
      </c>
      <c r="G617" s="1" t="s">
        <v>8911</v>
      </c>
      <c r="H617" s="1"/>
      <c r="I617" s="1"/>
      <c r="J617" s="1"/>
      <c r="K617" s="1" t="s">
        <v>6090</v>
      </c>
      <c r="L617" s="1" t="s">
        <v>9017</v>
      </c>
      <c r="M617" s="1"/>
      <c r="N617" s="1"/>
      <c r="O617" s="1"/>
      <c r="P617" s="1"/>
      <c r="Q617" s="1"/>
      <c r="R617" s="1"/>
      <c r="S617" s="1"/>
      <c r="T617" s="1"/>
      <c r="U617" s="1"/>
      <c r="V617" s="1"/>
      <c r="W617" s="1"/>
    </row>
    <row r="618" spans="1:23" ht="48" customHeight="1">
      <c r="A618" s="1" t="s">
        <v>5749</v>
      </c>
      <c r="B618" s="1" t="s">
        <v>6083</v>
      </c>
      <c r="C618" s="1" t="s">
        <v>9018</v>
      </c>
      <c r="D618" s="1" t="s">
        <v>9019</v>
      </c>
      <c r="E618" s="1" t="s">
        <v>6086</v>
      </c>
      <c r="F618" s="1" t="s">
        <v>6087</v>
      </c>
      <c r="G618" s="1" t="s">
        <v>9020</v>
      </c>
      <c r="H618" s="1" t="s">
        <v>6089</v>
      </c>
      <c r="I618" s="1"/>
      <c r="J618" s="1"/>
      <c r="K618" s="1" t="s">
        <v>6090</v>
      </c>
      <c r="L618" s="1" t="s">
        <v>9021</v>
      </c>
      <c r="M618" s="1" t="s">
        <v>9022</v>
      </c>
      <c r="N618" s="1"/>
      <c r="O618" s="1"/>
      <c r="P618" s="1"/>
      <c r="Q618" s="1"/>
      <c r="R618" s="1" t="s">
        <v>9023</v>
      </c>
      <c r="S618" s="1" t="s">
        <v>9024</v>
      </c>
      <c r="T618" s="1" t="s">
        <v>9025</v>
      </c>
      <c r="U618" s="1" t="s">
        <v>6096</v>
      </c>
      <c r="V618" s="1" t="s">
        <v>6097</v>
      </c>
      <c r="W618" s="1" t="s">
        <v>9026</v>
      </c>
    </row>
    <row r="619" spans="1:23" ht="48" customHeight="1">
      <c r="A619" s="1" t="s">
        <v>5749</v>
      </c>
      <c r="B619" s="1" t="s">
        <v>6099</v>
      </c>
      <c r="C619" s="1" t="s">
        <v>9027</v>
      </c>
      <c r="D619" s="1" t="s">
        <v>9028</v>
      </c>
      <c r="E619" s="1" t="s">
        <v>6102</v>
      </c>
      <c r="F619" s="1" t="s">
        <v>6087</v>
      </c>
      <c r="G619" s="1" t="s">
        <v>9020</v>
      </c>
      <c r="H619" s="1" t="s">
        <v>6089</v>
      </c>
      <c r="I619" s="1"/>
      <c r="J619" s="1"/>
      <c r="K619" s="1" t="s">
        <v>6090</v>
      </c>
      <c r="L619" s="1" t="s">
        <v>9029</v>
      </c>
      <c r="M619" s="1" t="s">
        <v>9030</v>
      </c>
      <c r="N619" s="1"/>
      <c r="O619" s="1"/>
      <c r="P619" s="1"/>
      <c r="Q619" s="1"/>
      <c r="R619" s="1" t="s">
        <v>9031</v>
      </c>
      <c r="S619" s="1" t="s">
        <v>9032</v>
      </c>
      <c r="T619" s="1" t="s">
        <v>9025</v>
      </c>
      <c r="U619" s="1" t="s">
        <v>6096</v>
      </c>
      <c r="V619" s="1" t="s">
        <v>6097</v>
      </c>
      <c r="W619" s="1" t="s">
        <v>9026</v>
      </c>
    </row>
    <row r="620" spans="1:23" ht="48" customHeight="1">
      <c r="A620" s="1" t="s">
        <v>5749</v>
      </c>
      <c r="B620" s="1" t="s">
        <v>6107</v>
      </c>
      <c r="C620" s="1" t="s">
        <v>9033</v>
      </c>
      <c r="D620" s="1" t="s">
        <v>9034</v>
      </c>
      <c r="E620" s="1"/>
      <c r="F620" s="1" t="s">
        <v>6110</v>
      </c>
      <c r="G620" s="1" t="s">
        <v>9020</v>
      </c>
      <c r="H620" s="1" t="s">
        <v>6089</v>
      </c>
      <c r="I620" s="1"/>
      <c r="J620" s="1"/>
      <c r="K620" s="1" t="s">
        <v>6090</v>
      </c>
      <c r="L620" s="1" t="s">
        <v>9035</v>
      </c>
      <c r="M620" s="1" t="s">
        <v>9036</v>
      </c>
      <c r="N620" s="1"/>
      <c r="O620" s="1"/>
      <c r="P620" s="1"/>
      <c r="Q620" s="1"/>
      <c r="R620" s="1"/>
      <c r="S620" s="1"/>
      <c r="T620" s="1"/>
      <c r="U620" s="1"/>
      <c r="V620" s="1"/>
      <c r="W620" s="1"/>
    </row>
    <row r="621" spans="1:23" ht="48" customHeight="1">
      <c r="A621" s="1" t="s">
        <v>5749</v>
      </c>
      <c r="B621" s="1" t="s">
        <v>6113</v>
      </c>
      <c r="C621" s="1" t="s">
        <v>9037</v>
      </c>
      <c r="D621" s="1" t="s">
        <v>9038</v>
      </c>
      <c r="E621" s="1"/>
      <c r="F621" s="1" t="s">
        <v>6110</v>
      </c>
      <c r="G621" s="1" t="s">
        <v>9020</v>
      </c>
      <c r="H621" s="1" t="s">
        <v>6089</v>
      </c>
      <c r="I621" s="1"/>
      <c r="J621" s="1"/>
      <c r="K621" s="1" t="s">
        <v>6090</v>
      </c>
      <c r="L621" s="1" t="s">
        <v>9039</v>
      </c>
      <c r="M621" s="1" t="s">
        <v>9040</v>
      </c>
      <c r="N621" s="1"/>
      <c r="O621" s="1"/>
      <c r="P621" s="1"/>
      <c r="Q621" s="1"/>
      <c r="R621" s="1"/>
      <c r="S621" s="1"/>
      <c r="T621" s="1"/>
      <c r="U621" s="1"/>
      <c r="V621" s="1"/>
      <c r="W621" s="1"/>
    </row>
    <row r="622" spans="1:23" ht="48" customHeight="1">
      <c r="A622" s="1" t="s">
        <v>5749</v>
      </c>
      <c r="B622" s="1" t="s">
        <v>6118</v>
      </c>
      <c r="C622" s="1" t="s">
        <v>9041</v>
      </c>
      <c r="D622" s="1" t="s">
        <v>9042</v>
      </c>
      <c r="E622" s="1" t="s">
        <v>9043</v>
      </c>
      <c r="F622" s="1" t="s">
        <v>6087</v>
      </c>
      <c r="G622" s="1" t="s">
        <v>9020</v>
      </c>
      <c r="H622" s="1" t="s">
        <v>6089</v>
      </c>
      <c r="I622" s="1"/>
      <c r="J622" s="1"/>
      <c r="K622" s="1" t="s">
        <v>6090</v>
      </c>
      <c r="L622" s="1" t="s">
        <v>9044</v>
      </c>
      <c r="M622" s="1" t="s">
        <v>9045</v>
      </c>
      <c r="N622" s="1"/>
      <c r="O622" s="1"/>
      <c r="P622" s="1"/>
      <c r="Q622" s="1"/>
      <c r="R622" s="1" t="s">
        <v>9046</v>
      </c>
      <c r="S622" s="1" t="s">
        <v>9047</v>
      </c>
      <c r="T622" s="1" t="s">
        <v>9025</v>
      </c>
      <c r="U622" s="1" t="s">
        <v>6096</v>
      </c>
      <c r="V622" s="1" t="s">
        <v>6097</v>
      </c>
      <c r="W622" s="1" t="s">
        <v>9026</v>
      </c>
    </row>
    <row r="623" spans="1:23" ht="48" customHeight="1">
      <c r="A623" s="1" t="s">
        <v>5749</v>
      </c>
      <c r="B623" s="1" t="s">
        <v>6126</v>
      </c>
      <c r="C623" s="1" t="s">
        <v>9048</v>
      </c>
      <c r="D623" s="1" t="s">
        <v>6801</v>
      </c>
      <c r="E623" s="1" t="s">
        <v>7357</v>
      </c>
      <c r="F623" s="1" t="s">
        <v>6087</v>
      </c>
      <c r="G623" s="1" t="s">
        <v>9020</v>
      </c>
      <c r="H623" s="1" t="s">
        <v>6089</v>
      </c>
      <c r="I623" s="1"/>
      <c r="J623" s="1"/>
      <c r="K623" s="1" t="s">
        <v>6090</v>
      </c>
      <c r="L623" s="1" t="s">
        <v>9049</v>
      </c>
      <c r="M623" s="1" t="s">
        <v>9050</v>
      </c>
      <c r="N623" s="1"/>
      <c r="O623" s="1"/>
      <c r="P623" s="1"/>
      <c r="Q623" s="1"/>
      <c r="R623" s="1" t="s">
        <v>9051</v>
      </c>
      <c r="S623" s="1" t="s">
        <v>9052</v>
      </c>
      <c r="T623" s="1" t="s">
        <v>9025</v>
      </c>
      <c r="U623" s="1" t="s">
        <v>6096</v>
      </c>
      <c r="V623" s="1" t="s">
        <v>6097</v>
      </c>
      <c r="W623" s="1" t="s">
        <v>9026</v>
      </c>
    </row>
    <row r="624" spans="1:23" ht="48" customHeight="1">
      <c r="A624" s="1" t="s">
        <v>5749</v>
      </c>
      <c r="B624" s="1" t="s">
        <v>6134</v>
      </c>
      <c r="C624" s="1" t="s">
        <v>6286</v>
      </c>
      <c r="D624" s="1" t="s">
        <v>6287</v>
      </c>
      <c r="E624" s="1" t="s">
        <v>9053</v>
      </c>
      <c r="F624" s="1" t="s">
        <v>6138</v>
      </c>
      <c r="G624" s="1" t="s">
        <v>9020</v>
      </c>
      <c r="H624" s="1" t="s">
        <v>6089</v>
      </c>
      <c r="I624" s="1"/>
      <c r="J624" s="1"/>
      <c r="K624" s="1" t="s">
        <v>6090</v>
      </c>
      <c r="L624" s="1" t="s">
        <v>9054</v>
      </c>
      <c r="M624" s="1" t="s">
        <v>9055</v>
      </c>
      <c r="N624" s="1"/>
      <c r="O624" s="1"/>
      <c r="P624" s="1"/>
      <c r="Q624" s="1"/>
      <c r="R624" s="1" t="s">
        <v>9056</v>
      </c>
      <c r="S624" s="1" t="s">
        <v>9057</v>
      </c>
      <c r="T624" s="1" t="s">
        <v>9025</v>
      </c>
      <c r="U624" s="1" t="s">
        <v>6096</v>
      </c>
      <c r="V624" s="1" t="s">
        <v>6295</v>
      </c>
      <c r="W624" s="1" t="s">
        <v>9026</v>
      </c>
    </row>
    <row r="625" spans="1:23" ht="60" customHeight="1">
      <c r="A625" s="1" t="s">
        <v>5749</v>
      </c>
      <c r="B625" s="1" t="s">
        <v>6144</v>
      </c>
      <c r="C625" s="1" t="s">
        <v>4747</v>
      </c>
      <c r="D625" s="1" t="s">
        <v>9058</v>
      </c>
      <c r="E625" s="1" t="s">
        <v>9059</v>
      </c>
      <c r="F625" s="1" t="s">
        <v>6138</v>
      </c>
      <c r="G625" s="1" t="s">
        <v>9020</v>
      </c>
      <c r="H625" s="1" t="s">
        <v>6089</v>
      </c>
      <c r="I625" s="1"/>
      <c r="J625" s="1"/>
      <c r="K625" s="1" t="s">
        <v>6090</v>
      </c>
      <c r="L625" s="1" t="s">
        <v>9060</v>
      </c>
      <c r="M625" s="1" t="s">
        <v>9061</v>
      </c>
      <c r="N625" s="1"/>
      <c r="O625" s="1"/>
      <c r="P625" s="1"/>
      <c r="Q625" s="1"/>
      <c r="R625" s="1" t="s">
        <v>9062</v>
      </c>
      <c r="S625" s="1" t="s">
        <v>9063</v>
      </c>
      <c r="T625" s="1" t="s">
        <v>9025</v>
      </c>
      <c r="U625" s="1" t="s">
        <v>6096</v>
      </c>
      <c r="V625" s="1" t="s">
        <v>6295</v>
      </c>
      <c r="W625" s="1" t="s">
        <v>9026</v>
      </c>
    </row>
    <row r="626" spans="1:23" ht="60" customHeight="1">
      <c r="A626" s="1" t="s">
        <v>5749</v>
      </c>
      <c r="B626" s="1" t="s">
        <v>6149</v>
      </c>
      <c r="C626" s="1" t="s">
        <v>4747</v>
      </c>
      <c r="D626" s="1" t="s">
        <v>4747</v>
      </c>
      <c r="E626" s="1" t="s">
        <v>9064</v>
      </c>
      <c r="F626" s="1" t="s">
        <v>6138</v>
      </c>
      <c r="G626" s="1" t="s">
        <v>9020</v>
      </c>
      <c r="H626" s="1" t="s">
        <v>6089</v>
      </c>
      <c r="I626" s="1"/>
      <c r="J626" s="1"/>
      <c r="K626" s="1" t="s">
        <v>6090</v>
      </c>
      <c r="L626" s="1" t="s">
        <v>9065</v>
      </c>
      <c r="M626" s="1" t="s">
        <v>9066</v>
      </c>
      <c r="N626" s="1"/>
      <c r="O626" s="1"/>
      <c r="P626" s="1"/>
      <c r="Q626" s="1"/>
      <c r="R626" s="1" t="s">
        <v>9067</v>
      </c>
      <c r="S626" s="1" t="s">
        <v>9068</v>
      </c>
      <c r="T626" s="1" t="s">
        <v>9025</v>
      </c>
      <c r="U626" s="1" t="s">
        <v>6096</v>
      </c>
      <c r="V626" s="1" t="s">
        <v>6295</v>
      </c>
      <c r="W626" s="1" t="s">
        <v>9026</v>
      </c>
    </row>
    <row r="627" spans="1:23" ht="48" customHeight="1">
      <c r="A627" s="1" t="s">
        <v>5749</v>
      </c>
      <c r="B627" s="1" t="s">
        <v>6154</v>
      </c>
      <c r="C627" s="1" t="s">
        <v>6452</v>
      </c>
      <c r="D627" s="1" t="s">
        <v>6308</v>
      </c>
      <c r="E627" s="1" t="s">
        <v>9069</v>
      </c>
      <c r="F627" s="1" t="s">
        <v>6138</v>
      </c>
      <c r="G627" s="1" t="s">
        <v>9020</v>
      </c>
      <c r="H627" s="1" t="s">
        <v>6089</v>
      </c>
      <c r="I627" s="1"/>
      <c r="J627" s="1"/>
      <c r="K627" s="1" t="s">
        <v>6090</v>
      </c>
      <c r="L627" s="1" t="s">
        <v>9070</v>
      </c>
      <c r="M627" s="1" t="s">
        <v>9071</v>
      </c>
      <c r="N627" s="1"/>
      <c r="O627" s="1"/>
      <c r="P627" s="1"/>
      <c r="Q627" s="1"/>
      <c r="R627" s="1" t="s">
        <v>9072</v>
      </c>
      <c r="S627" s="1" t="s">
        <v>9057</v>
      </c>
      <c r="T627" s="1" t="s">
        <v>9025</v>
      </c>
      <c r="U627" s="1" t="s">
        <v>6096</v>
      </c>
      <c r="V627" s="1" t="s">
        <v>6295</v>
      </c>
      <c r="W627" s="1" t="s">
        <v>9026</v>
      </c>
    </row>
    <row r="628" spans="1:23" ht="48" customHeight="1">
      <c r="A628" s="1" t="s">
        <v>5749</v>
      </c>
      <c r="B628" s="1" t="s">
        <v>6159</v>
      </c>
      <c r="C628" s="1" t="s">
        <v>9073</v>
      </c>
      <c r="D628" s="1" t="s">
        <v>9074</v>
      </c>
      <c r="E628" s="1" t="s">
        <v>9075</v>
      </c>
      <c r="F628" s="1" t="s">
        <v>6163</v>
      </c>
      <c r="G628" s="1" t="s">
        <v>9020</v>
      </c>
      <c r="H628" s="1" t="s">
        <v>6089</v>
      </c>
      <c r="I628" s="1"/>
      <c r="J628" s="1"/>
      <c r="K628" s="1" t="s">
        <v>6090</v>
      </c>
      <c r="L628" s="1" t="s">
        <v>9076</v>
      </c>
      <c r="M628" s="1" t="s">
        <v>9077</v>
      </c>
      <c r="N628" s="1"/>
      <c r="O628" s="1"/>
      <c r="P628" s="1"/>
      <c r="Q628" s="1"/>
      <c r="R628" s="1" t="s">
        <v>9078</v>
      </c>
      <c r="S628" s="1" t="s">
        <v>9079</v>
      </c>
      <c r="T628" s="1" t="s">
        <v>9025</v>
      </c>
      <c r="U628" s="1" t="s">
        <v>6096</v>
      </c>
      <c r="V628" s="1" t="s">
        <v>6168</v>
      </c>
      <c r="W628" s="1" t="s">
        <v>9026</v>
      </c>
    </row>
    <row r="629" spans="1:23" ht="48" customHeight="1">
      <c r="A629" s="1" t="s">
        <v>5749</v>
      </c>
      <c r="B629" s="1" t="s">
        <v>6169</v>
      </c>
      <c r="C629" s="1" t="s">
        <v>9080</v>
      </c>
      <c r="D629" s="1" t="s">
        <v>9081</v>
      </c>
      <c r="E629" s="1" t="s">
        <v>9082</v>
      </c>
      <c r="F629" s="1" t="s">
        <v>6163</v>
      </c>
      <c r="G629" s="1" t="s">
        <v>9020</v>
      </c>
      <c r="H629" s="1" t="s">
        <v>6089</v>
      </c>
      <c r="I629" s="1"/>
      <c r="J629" s="1"/>
      <c r="K629" s="1" t="s">
        <v>6090</v>
      </c>
      <c r="L629" s="1" t="s">
        <v>9083</v>
      </c>
      <c r="M629" s="1" t="s">
        <v>9084</v>
      </c>
      <c r="N629" s="1"/>
      <c r="O629" s="1"/>
      <c r="P629" s="1"/>
      <c r="Q629" s="1"/>
      <c r="R629" s="1" t="s">
        <v>9085</v>
      </c>
      <c r="S629" s="1" t="s">
        <v>9079</v>
      </c>
      <c r="T629" s="1" t="s">
        <v>9025</v>
      </c>
      <c r="U629" s="1" t="s">
        <v>6096</v>
      </c>
      <c r="V629" s="1" t="s">
        <v>6168</v>
      </c>
      <c r="W629" s="1" t="s">
        <v>9026</v>
      </c>
    </row>
    <row r="630" spans="1:23" ht="96" customHeight="1">
      <c r="A630" s="1" t="s">
        <v>5749</v>
      </c>
      <c r="B630" s="1" t="s">
        <v>6176</v>
      </c>
      <c r="C630" s="1" t="s">
        <v>9086</v>
      </c>
      <c r="D630" s="1" t="s">
        <v>4747</v>
      </c>
      <c r="E630" s="1" t="s">
        <v>9087</v>
      </c>
      <c r="F630" s="1" t="s">
        <v>6138</v>
      </c>
      <c r="G630" s="1" t="s">
        <v>9020</v>
      </c>
      <c r="H630" s="1" t="s">
        <v>6089</v>
      </c>
      <c r="I630" s="1"/>
      <c r="J630" s="1"/>
      <c r="K630" s="1" t="s">
        <v>6090</v>
      </c>
      <c r="L630" s="1" t="s">
        <v>9088</v>
      </c>
      <c r="M630" s="1" t="s">
        <v>9089</v>
      </c>
      <c r="N630" s="1"/>
      <c r="O630" s="1"/>
      <c r="P630" s="1"/>
      <c r="Q630" s="1"/>
      <c r="R630" s="1" t="s">
        <v>9090</v>
      </c>
      <c r="S630" s="1" t="s">
        <v>7127</v>
      </c>
      <c r="T630" s="1" t="s">
        <v>9025</v>
      </c>
      <c r="U630" s="1" t="s">
        <v>6096</v>
      </c>
      <c r="V630" s="1" t="s">
        <v>6184</v>
      </c>
      <c r="W630" s="1" t="s">
        <v>9026</v>
      </c>
    </row>
    <row r="631" spans="1:23" ht="96" customHeight="1">
      <c r="A631" s="1" t="s">
        <v>5749</v>
      </c>
      <c r="B631" s="1" t="s">
        <v>6185</v>
      </c>
      <c r="C631" s="1" t="s">
        <v>7553</v>
      </c>
      <c r="D631" s="1" t="s">
        <v>4747</v>
      </c>
      <c r="E631" s="1" t="s">
        <v>9091</v>
      </c>
      <c r="F631" s="1" t="s">
        <v>6138</v>
      </c>
      <c r="G631" s="1" t="s">
        <v>9020</v>
      </c>
      <c r="H631" s="1" t="s">
        <v>6089</v>
      </c>
      <c r="I631" s="1"/>
      <c r="J631" s="1"/>
      <c r="K631" s="1" t="s">
        <v>6090</v>
      </c>
      <c r="L631" s="1" t="s">
        <v>9092</v>
      </c>
      <c r="M631" s="1" t="s">
        <v>9093</v>
      </c>
      <c r="N631" s="1"/>
      <c r="O631" s="1"/>
      <c r="P631" s="1"/>
      <c r="Q631" s="1"/>
      <c r="R631" s="1" t="s">
        <v>9094</v>
      </c>
      <c r="S631" s="1" t="s">
        <v>9095</v>
      </c>
      <c r="T631" s="1" t="s">
        <v>9025</v>
      </c>
      <c r="U631" s="1" t="s">
        <v>6096</v>
      </c>
      <c r="V631" s="1" t="s">
        <v>6184</v>
      </c>
      <c r="W631" s="1" t="s">
        <v>9026</v>
      </c>
    </row>
    <row r="632" spans="1:23" ht="96" customHeight="1">
      <c r="A632" s="1" t="s">
        <v>5749</v>
      </c>
      <c r="B632" s="1" t="s">
        <v>6189</v>
      </c>
      <c r="C632" s="1" t="s">
        <v>9096</v>
      </c>
      <c r="D632" s="1" t="s">
        <v>4747</v>
      </c>
      <c r="E632" s="1" t="s">
        <v>9097</v>
      </c>
      <c r="F632" s="1" t="s">
        <v>6138</v>
      </c>
      <c r="G632" s="1" t="s">
        <v>9020</v>
      </c>
      <c r="H632" s="1" t="s">
        <v>6089</v>
      </c>
      <c r="I632" s="1"/>
      <c r="J632" s="1"/>
      <c r="K632" s="1" t="s">
        <v>6090</v>
      </c>
      <c r="L632" s="1" t="s">
        <v>9098</v>
      </c>
      <c r="M632" s="1" t="s">
        <v>9099</v>
      </c>
      <c r="N632" s="1"/>
      <c r="O632" s="1"/>
      <c r="P632" s="1"/>
      <c r="Q632" s="1"/>
      <c r="R632" s="1" t="s">
        <v>9100</v>
      </c>
      <c r="S632" s="1" t="s">
        <v>9101</v>
      </c>
      <c r="T632" s="1" t="s">
        <v>9025</v>
      </c>
      <c r="U632" s="1" t="s">
        <v>6096</v>
      </c>
      <c r="V632" s="1" t="s">
        <v>6184</v>
      </c>
      <c r="W632" s="1" t="s">
        <v>9026</v>
      </c>
    </row>
    <row r="633" spans="1:23" ht="48" customHeight="1">
      <c r="A633" s="1" t="s">
        <v>5749</v>
      </c>
      <c r="B633" s="1" t="s">
        <v>6196</v>
      </c>
      <c r="C633" s="1" t="s">
        <v>6197</v>
      </c>
      <c r="D633" s="1" t="s">
        <v>4747</v>
      </c>
      <c r="E633" s="1"/>
      <c r="F633" s="1" t="s">
        <v>6110</v>
      </c>
      <c r="G633" s="1" t="s">
        <v>9020</v>
      </c>
      <c r="H633" s="1" t="s">
        <v>6089</v>
      </c>
      <c r="I633" s="1"/>
      <c r="J633" s="1"/>
      <c r="K633" s="1" t="s">
        <v>6090</v>
      </c>
      <c r="L633" s="1" t="s">
        <v>9102</v>
      </c>
      <c r="M633" s="1" t="s">
        <v>9103</v>
      </c>
      <c r="N633" s="1"/>
      <c r="O633" s="1"/>
      <c r="P633" s="1"/>
      <c r="Q633" s="1"/>
      <c r="R633" s="1"/>
      <c r="S633" s="1"/>
      <c r="T633" s="1"/>
      <c r="U633" s="1"/>
      <c r="V633" s="1"/>
      <c r="W633" s="1"/>
    </row>
    <row r="634" spans="1:23" ht="72" customHeight="1">
      <c r="A634" s="1" t="s">
        <v>5749</v>
      </c>
      <c r="B634" s="1" t="s">
        <v>6200</v>
      </c>
      <c r="C634" s="1" t="s">
        <v>7706</v>
      </c>
      <c r="D634" s="1" t="s">
        <v>9104</v>
      </c>
      <c r="E634" s="1" t="s">
        <v>9105</v>
      </c>
      <c r="F634" s="1" t="s">
        <v>6349</v>
      </c>
      <c r="G634" s="1" t="s">
        <v>9020</v>
      </c>
      <c r="H634" s="1" t="s">
        <v>6089</v>
      </c>
      <c r="I634" s="1"/>
      <c r="J634" s="1"/>
      <c r="K634" s="1" t="s">
        <v>6090</v>
      </c>
      <c r="L634" s="1" t="s">
        <v>9106</v>
      </c>
      <c r="M634" s="1" t="s">
        <v>9107</v>
      </c>
      <c r="N634" s="1"/>
      <c r="O634" s="1"/>
      <c r="P634" s="1"/>
      <c r="Q634" s="1"/>
      <c r="R634" s="1" t="s">
        <v>9108</v>
      </c>
      <c r="S634" s="1" t="s">
        <v>6167</v>
      </c>
      <c r="T634" s="1" t="s">
        <v>9025</v>
      </c>
      <c r="U634" s="1" t="s">
        <v>6096</v>
      </c>
      <c r="V634" s="1" t="s">
        <v>9109</v>
      </c>
      <c r="W634" s="1" t="s">
        <v>9026</v>
      </c>
    </row>
    <row r="635" spans="1:23" ht="48" customHeight="1">
      <c r="A635" s="1" t="s">
        <v>5749</v>
      </c>
      <c r="B635" s="1" t="s">
        <v>5583</v>
      </c>
      <c r="C635" s="1" t="s">
        <v>4747</v>
      </c>
      <c r="D635" s="1" t="s">
        <v>4747</v>
      </c>
      <c r="E635" s="1" t="s">
        <v>4747</v>
      </c>
      <c r="F635" s="1" t="s">
        <v>6186</v>
      </c>
      <c r="G635" s="1" t="s">
        <v>9020</v>
      </c>
      <c r="H635" s="1" t="s">
        <v>6089</v>
      </c>
      <c r="I635" s="1"/>
      <c r="J635" s="1"/>
      <c r="K635" s="1" t="s">
        <v>6090</v>
      </c>
      <c r="L635" s="1" t="s">
        <v>9110</v>
      </c>
      <c r="M635" s="1" t="s">
        <v>9111</v>
      </c>
      <c r="N635" s="1"/>
      <c r="O635" s="1"/>
      <c r="P635" s="1"/>
      <c r="Q635" s="1"/>
      <c r="R635" s="1"/>
      <c r="S635" s="1"/>
      <c r="T635" s="1"/>
      <c r="U635" s="1"/>
      <c r="V635" s="1"/>
      <c r="W635" s="1"/>
    </row>
    <row r="636" spans="1:23" ht="48" customHeight="1">
      <c r="A636" s="1" t="s">
        <v>5749</v>
      </c>
      <c r="B636" s="1" t="s">
        <v>6209</v>
      </c>
      <c r="C636" s="1" t="s">
        <v>9112</v>
      </c>
      <c r="D636" s="1" t="s">
        <v>4747</v>
      </c>
      <c r="E636" s="1" t="s">
        <v>9113</v>
      </c>
      <c r="F636" s="1" t="s">
        <v>6163</v>
      </c>
      <c r="G636" s="1" t="s">
        <v>9020</v>
      </c>
      <c r="H636" s="1" t="s">
        <v>6089</v>
      </c>
      <c r="I636" s="1"/>
      <c r="J636" s="1"/>
      <c r="K636" s="1" t="s">
        <v>6090</v>
      </c>
      <c r="L636" s="1" t="s">
        <v>9114</v>
      </c>
      <c r="M636" s="1" t="s">
        <v>9115</v>
      </c>
      <c r="N636" s="1"/>
      <c r="O636" s="1"/>
      <c r="P636" s="1"/>
      <c r="Q636" s="1"/>
      <c r="R636" s="1" t="s">
        <v>9116</v>
      </c>
      <c r="S636" s="1" t="s">
        <v>9117</v>
      </c>
      <c r="T636" s="1" t="s">
        <v>9025</v>
      </c>
      <c r="U636" s="1" t="s">
        <v>6096</v>
      </c>
      <c r="V636" s="1" t="s">
        <v>6168</v>
      </c>
      <c r="W636" s="1" t="s">
        <v>9026</v>
      </c>
    </row>
    <row r="637" spans="1:23" ht="48" customHeight="1">
      <c r="A637" s="1" t="s">
        <v>5749</v>
      </c>
      <c r="B637" s="1" t="s">
        <v>6212</v>
      </c>
      <c r="C637" s="1" t="s">
        <v>9118</v>
      </c>
      <c r="D637" s="1" t="s">
        <v>9119</v>
      </c>
      <c r="E637" s="1" t="s">
        <v>9120</v>
      </c>
      <c r="F637" s="1" t="s">
        <v>6163</v>
      </c>
      <c r="G637" s="1" t="s">
        <v>9020</v>
      </c>
      <c r="H637" s="1" t="s">
        <v>6089</v>
      </c>
      <c r="I637" s="1"/>
      <c r="J637" s="1"/>
      <c r="K637" s="1" t="s">
        <v>6090</v>
      </c>
      <c r="L637" s="1" t="s">
        <v>9121</v>
      </c>
      <c r="M637" s="1" t="s">
        <v>9122</v>
      </c>
      <c r="N637" s="1"/>
      <c r="O637" s="1"/>
      <c r="P637" s="1"/>
      <c r="Q637" s="1"/>
      <c r="R637" s="1" t="s">
        <v>9123</v>
      </c>
      <c r="S637" s="1" t="s">
        <v>9117</v>
      </c>
      <c r="T637" s="1" t="s">
        <v>9025</v>
      </c>
      <c r="U637" s="1" t="s">
        <v>6096</v>
      </c>
      <c r="V637" s="1" t="s">
        <v>6168</v>
      </c>
      <c r="W637" s="1" t="s">
        <v>9026</v>
      </c>
    </row>
    <row r="638" spans="1:23" ht="48" customHeight="1">
      <c r="A638" s="1" t="s">
        <v>5749</v>
      </c>
      <c r="B638" s="1" t="s">
        <v>6215</v>
      </c>
      <c r="C638" s="1"/>
      <c r="D638" s="1" t="s">
        <v>4747</v>
      </c>
      <c r="E638" s="1"/>
      <c r="F638" s="1" t="s">
        <v>6216</v>
      </c>
      <c r="G638" s="1"/>
      <c r="H638" s="1" t="s">
        <v>6089</v>
      </c>
      <c r="I638" s="1"/>
      <c r="J638" s="1"/>
      <c r="K638" s="1" t="s">
        <v>6090</v>
      </c>
      <c r="L638" s="1"/>
      <c r="M638" s="1" t="s">
        <v>9124</v>
      </c>
      <c r="N638" s="1"/>
      <c r="O638" s="1"/>
      <c r="P638" s="1"/>
      <c r="Q638" s="1"/>
      <c r="R638" s="1"/>
      <c r="S638" s="1"/>
      <c r="T638" s="1"/>
      <c r="U638" s="1"/>
      <c r="V638" s="1"/>
      <c r="W638" s="1"/>
    </row>
    <row r="639" spans="1:23" ht="48" customHeight="1">
      <c r="A639" s="1" t="s">
        <v>5749</v>
      </c>
      <c r="B639" s="1" t="s">
        <v>6218</v>
      </c>
      <c r="C639" s="1" t="s">
        <v>9125</v>
      </c>
      <c r="D639" s="1" t="s">
        <v>9126</v>
      </c>
      <c r="E639" s="1"/>
      <c r="F639" s="1" t="s">
        <v>6110</v>
      </c>
      <c r="G639" s="1" t="s">
        <v>9020</v>
      </c>
      <c r="H639" s="1" t="s">
        <v>6089</v>
      </c>
      <c r="I639" s="1"/>
      <c r="J639" s="1"/>
      <c r="K639" s="1" t="s">
        <v>6090</v>
      </c>
      <c r="L639" s="1" t="s">
        <v>9127</v>
      </c>
      <c r="M639" s="1" t="s">
        <v>9128</v>
      </c>
      <c r="N639" s="1"/>
      <c r="O639" s="1"/>
      <c r="P639" s="1"/>
      <c r="Q639" s="1"/>
      <c r="R639" s="1"/>
      <c r="S639" s="1"/>
      <c r="T639" s="1"/>
      <c r="U639" s="1"/>
      <c r="V639" s="1"/>
      <c r="W639" s="1"/>
    </row>
    <row r="640" spans="1:23" ht="48" customHeight="1">
      <c r="A640" s="1" t="s">
        <v>5749</v>
      </c>
      <c r="B640" s="1" t="s">
        <v>6222</v>
      </c>
      <c r="C640" s="1" t="s">
        <v>4747</v>
      </c>
      <c r="D640" s="1" t="s">
        <v>4747</v>
      </c>
      <c r="E640" s="1" t="s">
        <v>4747</v>
      </c>
      <c r="F640" s="1" t="s">
        <v>6186</v>
      </c>
      <c r="G640" s="1" t="s">
        <v>9020</v>
      </c>
      <c r="H640" s="1" t="s">
        <v>6089</v>
      </c>
      <c r="I640" s="1"/>
      <c r="J640" s="1"/>
      <c r="K640" s="1" t="s">
        <v>6090</v>
      </c>
      <c r="L640" s="1" t="s">
        <v>9129</v>
      </c>
      <c r="M640" s="1" t="s">
        <v>9130</v>
      </c>
      <c r="N640" s="1"/>
      <c r="O640" s="1"/>
      <c r="P640" s="1"/>
      <c r="Q640" s="1"/>
      <c r="R640" s="1"/>
      <c r="S640" s="1"/>
      <c r="T640" s="1"/>
      <c r="U640" s="1"/>
      <c r="V640" s="1"/>
      <c r="W640" s="1"/>
    </row>
    <row r="641" spans="1:23" ht="48" customHeight="1">
      <c r="A641" s="1" t="s">
        <v>5749</v>
      </c>
      <c r="B641" s="1" t="s">
        <v>6227</v>
      </c>
      <c r="C641" s="1" t="s">
        <v>6522</v>
      </c>
      <c r="D641" s="1" t="s">
        <v>4747</v>
      </c>
      <c r="E641" s="1"/>
      <c r="F641" s="1" t="s">
        <v>6110</v>
      </c>
      <c r="G641" s="1" t="s">
        <v>9020</v>
      </c>
      <c r="H641" s="1" t="s">
        <v>6089</v>
      </c>
      <c r="I641" s="1"/>
      <c r="J641" s="1"/>
      <c r="K641" s="1" t="s">
        <v>6090</v>
      </c>
      <c r="L641" s="1" t="s">
        <v>9131</v>
      </c>
      <c r="M641" s="1" t="s">
        <v>9132</v>
      </c>
      <c r="N641" s="1"/>
      <c r="O641" s="1"/>
      <c r="P641" s="1"/>
      <c r="Q641" s="1"/>
      <c r="R641" s="1"/>
      <c r="S641" s="1"/>
      <c r="T641" s="1"/>
      <c r="U641" s="1"/>
      <c r="V641" s="1"/>
      <c r="W641" s="1"/>
    </row>
    <row r="642" spans="1:23" ht="48" customHeight="1">
      <c r="A642" s="1" t="s">
        <v>5749</v>
      </c>
      <c r="B642" s="1" t="s">
        <v>6232</v>
      </c>
      <c r="C642" s="1" t="s">
        <v>4747</v>
      </c>
      <c r="D642" s="1" t="s">
        <v>9133</v>
      </c>
      <c r="E642" s="1"/>
      <c r="F642" s="1" t="s">
        <v>6110</v>
      </c>
      <c r="G642" s="1" t="s">
        <v>9020</v>
      </c>
      <c r="H642" s="1" t="s">
        <v>6089</v>
      </c>
      <c r="I642" s="1"/>
      <c r="J642" s="1"/>
      <c r="K642" s="1" t="s">
        <v>6090</v>
      </c>
      <c r="L642" s="1" t="s">
        <v>9134</v>
      </c>
      <c r="M642" s="1" t="s">
        <v>9135</v>
      </c>
      <c r="N642" s="1"/>
      <c r="O642" s="1"/>
      <c r="P642" s="1"/>
      <c r="Q642" s="1"/>
      <c r="R642" s="1"/>
      <c r="S642" s="1"/>
      <c r="T642" s="1"/>
      <c r="U642" s="1"/>
      <c r="V642" s="1"/>
      <c r="W642" s="1"/>
    </row>
    <row r="643" spans="1:23" ht="72" customHeight="1">
      <c r="A643" s="1" t="s">
        <v>5749</v>
      </c>
      <c r="B643" s="1" t="s">
        <v>6236</v>
      </c>
      <c r="C643" s="1" t="s">
        <v>9136</v>
      </c>
      <c r="D643" s="1" t="s">
        <v>9137</v>
      </c>
      <c r="E643" s="1" t="s">
        <v>9138</v>
      </c>
      <c r="F643" s="1" t="s">
        <v>6163</v>
      </c>
      <c r="G643" s="1" t="s">
        <v>9020</v>
      </c>
      <c r="H643" s="1" t="s">
        <v>6089</v>
      </c>
      <c r="I643" s="1"/>
      <c r="J643" s="1"/>
      <c r="K643" s="1" t="s">
        <v>6090</v>
      </c>
      <c r="L643" s="1" t="s">
        <v>9139</v>
      </c>
      <c r="M643" s="1" t="s">
        <v>9140</v>
      </c>
      <c r="N643" s="1"/>
      <c r="O643" s="1"/>
      <c r="P643" s="1"/>
      <c r="Q643" s="1"/>
      <c r="R643" s="1" t="s">
        <v>9141</v>
      </c>
      <c r="S643" s="1" t="s">
        <v>9142</v>
      </c>
      <c r="T643" s="1" t="s">
        <v>9025</v>
      </c>
      <c r="U643" s="1" t="s">
        <v>6096</v>
      </c>
      <c r="V643" s="1" t="s">
        <v>6244</v>
      </c>
      <c r="W643" s="1" t="s">
        <v>9026</v>
      </c>
    </row>
    <row r="644" spans="1:23" ht="48" customHeight="1">
      <c r="A644" s="1" t="s">
        <v>5749</v>
      </c>
      <c r="B644" s="1" t="s">
        <v>6245</v>
      </c>
      <c r="C644" s="1" t="s">
        <v>9143</v>
      </c>
      <c r="D644" s="1"/>
      <c r="E644" s="1"/>
      <c r="F644" s="1" t="s">
        <v>6216</v>
      </c>
      <c r="G644" s="1" t="s">
        <v>9020</v>
      </c>
      <c r="H644" s="1"/>
      <c r="I644" s="1"/>
      <c r="J644" s="1"/>
      <c r="K644" s="1" t="s">
        <v>6090</v>
      </c>
      <c r="L644" s="1" t="s">
        <v>9144</v>
      </c>
      <c r="M644" s="1"/>
      <c r="N644" s="1"/>
      <c r="O644" s="1"/>
      <c r="P644" s="1"/>
      <c r="Q644" s="1"/>
      <c r="R644" s="1"/>
      <c r="S644" s="1"/>
      <c r="T644" s="1"/>
      <c r="U644" s="1"/>
      <c r="V644" s="1"/>
      <c r="W644" s="1"/>
    </row>
    <row r="645" spans="1:23" ht="48" customHeight="1">
      <c r="A645" s="1" t="s">
        <v>5749</v>
      </c>
      <c r="B645" s="1" t="s">
        <v>6248</v>
      </c>
      <c r="C645" s="1" t="s">
        <v>9145</v>
      </c>
      <c r="D645" s="1"/>
      <c r="E645" s="1"/>
      <c r="F645" s="1" t="s">
        <v>6216</v>
      </c>
      <c r="G645" s="1" t="s">
        <v>9020</v>
      </c>
      <c r="H645" s="1"/>
      <c r="I645" s="1"/>
      <c r="J645" s="1"/>
      <c r="K645" s="1" t="s">
        <v>6090</v>
      </c>
      <c r="L645" s="1" t="s">
        <v>9146</v>
      </c>
      <c r="M645" s="1"/>
      <c r="N645" s="1"/>
      <c r="O645" s="1"/>
      <c r="P645" s="1"/>
      <c r="Q645" s="1"/>
      <c r="R645" s="1"/>
      <c r="S645" s="1"/>
      <c r="T645" s="1"/>
      <c r="U645" s="1"/>
      <c r="V645" s="1"/>
      <c r="W645" s="1"/>
    </row>
    <row r="646" spans="1:23" ht="48" customHeight="1">
      <c r="A646" s="1" t="s">
        <v>5094</v>
      </c>
      <c r="B646" s="1" t="s">
        <v>6083</v>
      </c>
      <c r="C646" s="1" t="s">
        <v>9147</v>
      </c>
      <c r="D646" s="1" t="s">
        <v>9148</v>
      </c>
      <c r="E646" s="1" t="s">
        <v>8150</v>
      </c>
      <c r="F646" s="1" t="s">
        <v>6087</v>
      </c>
      <c r="G646" s="1" t="s">
        <v>9149</v>
      </c>
      <c r="H646" s="1" t="s">
        <v>6089</v>
      </c>
      <c r="I646" s="1"/>
      <c r="J646" s="1"/>
      <c r="K646" s="1" t="s">
        <v>6090</v>
      </c>
      <c r="L646" s="1" t="s">
        <v>9150</v>
      </c>
      <c r="M646" s="1" t="s">
        <v>9151</v>
      </c>
      <c r="N646" s="1"/>
      <c r="O646" s="1"/>
      <c r="P646" s="1"/>
      <c r="Q646" s="1"/>
      <c r="R646" s="1" t="s">
        <v>9152</v>
      </c>
      <c r="S646" s="1" t="s">
        <v>9153</v>
      </c>
      <c r="T646" s="1" t="s">
        <v>9154</v>
      </c>
      <c r="U646" s="1" t="s">
        <v>6096</v>
      </c>
      <c r="V646" s="1" t="s">
        <v>6097</v>
      </c>
      <c r="W646" s="1" t="s">
        <v>9155</v>
      </c>
    </row>
    <row r="647" spans="1:23" ht="48" customHeight="1">
      <c r="A647" s="1" t="s">
        <v>5094</v>
      </c>
      <c r="B647" s="1" t="s">
        <v>6099</v>
      </c>
      <c r="C647" s="1" t="s">
        <v>7058</v>
      </c>
      <c r="D647" s="1" t="s">
        <v>7060</v>
      </c>
      <c r="E647" s="1" t="s">
        <v>7060</v>
      </c>
      <c r="F647" s="1" t="s">
        <v>6087</v>
      </c>
      <c r="G647" s="1" t="s">
        <v>9149</v>
      </c>
      <c r="H647" s="1" t="s">
        <v>6089</v>
      </c>
      <c r="I647" s="1"/>
      <c r="J647" s="1"/>
      <c r="K647" s="1" t="s">
        <v>6090</v>
      </c>
      <c r="L647" s="1" t="s">
        <v>9156</v>
      </c>
      <c r="M647" s="1" t="s">
        <v>9157</v>
      </c>
      <c r="N647" s="1"/>
      <c r="O647" s="1"/>
      <c r="P647" s="1"/>
      <c r="Q647" s="1"/>
      <c r="R647" s="1" t="s">
        <v>9158</v>
      </c>
      <c r="S647" s="1" t="s">
        <v>9159</v>
      </c>
      <c r="T647" s="1" t="s">
        <v>9154</v>
      </c>
      <c r="U647" s="1" t="s">
        <v>6096</v>
      </c>
      <c r="V647" s="1" t="s">
        <v>6097</v>
      </c>
      <c r="W647" s="1" t="s">
        <v>9155</v>
      </c>
    </row>
    <row r="648" spans="1:23" ht="48" customHeight="1">
      <c r="A648" s="1" t="s">
        <v>5094</v>
      </c>
      <c r="B648" s="1" t="s">
        <v>6107</v>
      </c>
      <c r="C648" s="1" t="s">
        <v>9160</v>
      </c>
      <c r="D648" s="1" t="s">
        <v>9161</v>
      </c>
      <c r="E648" s="1"/>
      <c r="F648" s="1" t="s">
        <v>6110</v>
      </c>
      <c r="G648" s="1" t="s">
        <v>9149</v>
      </c>
      <c r="H648" s="1" t="s">
        <v>6089</v>
      </c>
      <c r="I648" s="1"/>
      <c r="J648" s="1"/>
      <c r="K648" s="1" t="s">
        <v>6090</v>
      </c>
      <c r="L648" s="1" t="s">
        <v>9162</v>
      </c>
      <c r="M648" s="1" t="s">
        <v>9163</v>
      </c>
      <c r="N648" s="1"/>
      <c r="O648" s="1"/>
      <c r="P648" s="1"/>
      <c r="Q648" s="1"/>
      <c r="R648" s="1"/>
      <c r="S648" s="1"/>
      <c r="T648" s="1"/>
      <c r="U648" s="1"/>
      <c r="V648" s="1"/>
      <c r="W648" s="1"/>
    </row>
    <row r="649" spans="1:23" ht="48" customHeight="1">
      <c r="A649" s="1" t="s">
        <v>5094</v>
      </c>
      <c r="B649" s="1" t="s">
        <v>6113</v>
      </c>
      <c r="C649" s="1" t="s">
        <v>9164</v>
      </c>
      <c r="D649" s="1" t="s">
        <v>9165</v>
      </c>
      <c r="E649" s="1"/>
      <c r="F649" s="1" t="s">
        <v>6110</v>
      </c>
      <c r="G649" s="1" t="s">
        <v>9149</v>
      </c>
      <c r="H649" s="1" t="s">
        <v>6089</v>
      </c>
      <c r="I649" s="1"/>
      <c r="J649" s="1"/>
      <c r="K649" s="1" t="s">
        <v>6090</v>
      </c>
      <c r="L649" s="1" t="s">
        <v>9166</v>
      </c>
      <c r="M649" s="1" t="s">
        <v>9167</v>
      </c>
      <c r="N649" s="1"/>
      <c r="O649" s="1"/>
      <c r="P649" s="1"/>
      <c r="Q649" s="1"/>
      <c r="R649" s="1"/>
      <c r="S649" s="1"/>
      <c r="T649" s="1"/>
      <c r="U649" s="1"/>
      <c r="V649" s="1"/>
      <c r="W649" s="1"/>
    </row>
    <row r="650" spans="1:23" ht="48" customHeight="1">
      <c r="A650" s="1" t="s">
        <v>5094</v>
      </c>
      <c r="B650" s="1" t="s">
        <v>6118</v>
      </c>
      <c r="C650" s="1" t="s">
        <v>9168</v>
      </c>
      <c r="D650" s="1" t="s">
        <v>9169</v>
      </c>
      <c r="E650" s="1" t="s">
        <v>9170</v>
      </c>
      <c r="F650" s="1" t="s">
        <v>6087</v>
      </c>
      <c r="G650" s="1" t="s">
        <v>9149</v>
      </c>
      <c r="H650" s="1" t="s">
        <v>6089</v>
      </c>
      <c r="I650" s="1"/>
      <c r="J650" s="1"/>
      <c r="K650" s="1" t="s">
        <v>6090</v>
      </c>
      <c r="L650" s="1" t="s">
        <v>9171</v>
      </c>
      <c r="M650" s="1" t="s">
        <v>9172</v>
      </c>
      <c r="N650" s="1"/>
      <c r="O650" s="1"/>
      <c r="P650" s="1"/>
      <c r="Q650" s="1"/>
      <c r="R650" s="1" t="s">
        <v>9173</v>
      </c>
      <c r="S650" s="1" t="s">
        <v>9174</v>
      </c>
      <c r="T650" s="1" t="s">
        <v>9154</v>
      </c>
      <c r="U650" s="1" t="s">
        <v>6096</v>
      </c>
      <c r="V650" s="1" t="s">
        <v>6097</v>
      </c>
      <c r="W650" s="1" t="s">
        <v>9155</v>
      </c>
    </row>
    <row r="651" spans="1:23" ht="48" customHeight="1">
      <c r="A651" s="1" t="s">
        <v>5094</v>
      </c>
      <c r="B651" s="1" t="s">
        <v>6126</v>
      </c>
      <c r="C651" s="1" t="s">
        <v>9175</v>
      </c>
      <c r="D651" s="1" t="s">
        <v>9176</v>
      </c>
      <c r="E651" s="1" t="s">
        <v>6129</v>
      </c>
      <c r="F651" s="1" t="s">
        <v>6087</v>
      </c>
      <c r="G651" s="1" t="s">
        <v>9149</v>
      </c>
      <c r="H651" s="1" t="s">
        <v>6089</v>
      </c>
      <c r="I651" s="1"/>
      <c r="J651" s="1"/>
      <c r="K651" s="1" t="s">
        <v>6090</v>
      </c>
      <c r="L651" s="1" t="s">
        <v>9177</v>
      </c>
      <c r="M651" s="1" t="s">
        <v>9178</v>
      </c>
      <c r="N651" s="1"/>
      <c r="O651" s="1"/>
      <c r="P651" s="1"/>
      <c r="Q651" s="1"/>
      <c r="R651" s="1" t="s">
        <v>9179</v>
      </c>
      <c r="S651" s="1" t="s">
        <v>9180</v>
      </c>
      <c r="T651" s="1" t="s">
        <v>9154</v>
      </c>
      <c r="U651" s="1" t="s">
        <v>6096</v>
      </c>
      <c r="V651" s="1" t="s">
        <v>6097</v>
      </c>
      <c r="W651" s="1" t="s">
        <v>9155</v>
      </c>
    </row>
    <row r="652" spans="1:23" ht="60" customHeight="1">
      <c r="A652" s="1" t="s">
        <v>5094</v>
      </c>
      <c r="B652" s="1" t="s">
        <v>6134</v>
      </c>
      <c r="C652" s="1" t="s">
        <v>9181</v>
      </c>
      <c r="D652" s="1" t="s">
        <v>6287</v>
      </c>
      <c r="E652" s="1" t="s">
        <v>9182</v>
      </c>
      <c r="F652" s="1" t="s">
        <v>6138</v>
      </c>
      <c r="G652" s="1" t="s">
        <v>9149</v>
      </c>
      <c r="H652" s="1" t="s">
        <v>6089</v>
      </c>
      <c r="I652" s="1" t="s">
        <v>5112</v>
      </c>
      <c r="J652" s="1" t="s">
        <v>5111</v>
      </c>
      <c r="K652" s="1" t="s">
        <v>6289</v>
      </c>
      <c r="L652" s="1" t="s">
        <v>9183</v>
      </c>
      <c r="M652" s="1" t="s">
        <v>9184</v>
      </c>
      <c r="N652" s="1" t="s">
        <v>9185</v>
      </c>
      <c r="O652" s="1"/>
      <c r="P652" s="1"/>
      <c r="Q652" s="1"/>
      <c r="R652" s="1" t="s">
        <v>9186</v>
      </c>
      <c r="S652" s="1" t="s">
        <v>9187</v>
      </c>
      <c r="T652" s="1" t="s">
        <v>9154</v>
      </c>
      <c r="U652" s="1" t="s">
        <v>6096</v>
      </c>
      <c r="V652" s="1" t="s">
        <v>6295</v>
      </c>
      <c r="W652" s="1" t="s">
        <v>9155</v>
      </c>
    </row>
    <row r="653" spans="1:23" ht="60" customHeight="1">
      <c r="A653" s="1" t="s">
        <v>5094</v>
      </c>
      <c r="B653" s="1" t="s">
        <v>6144</v>
      </c>
      <c r="C653" s="1" t="s">
        <v>9188</v>
      </c>
      <c r="D653" s="1" t="s">
        <v>9189</v>
      </c>
      <c r="E653" s="1" t="s">
        <v>9190</v>
      </c>
      <c r="F653" s="1" t="s">
        <v>6138</v>
      </c>
      <c r="G653" s="1" t="s">
        <v>9149</v>
      </c>
      <c r="H653" s="1" t="s">
        <v>6089</v>
      </c>
      <c r="I653" s="1"/>
      <c r="J653" s="1"/>
      <c r="K653" s="1" t="s">
        <v>6090</v>
      </c>
      <c r="L653" s="1" t="s">
        <v>9191</v>
      </c>
      <c r="M653" s="1" t="s">
        <v>9192</v>
      </c>
      <c r="N653" s="1"/>
      <c r="O653" s="1"/>
      <c r="P653" s="1"/>
      <c r="Q653" s="1"/>
      <c r="R653" s="1" t="s">
        <v>9193</v>
      </c>
      <c r="S653" s="1" t="s">
        <v>9194</v>
      </c>
      <c r="T653" s="1" t="s">
        <v>9154</v>
      </c>
      <c r="U653" s="1" t="s">
        <v>6096</v>
      </c>
      <c r="V653" s="1" t="s">
        <v>6295</v>
      </c>
      <c r="W653" s="1" t="s">
        <v>9155</v>
      </c>
    </row>
    <row r="654" spans="1:23" ht="60" customHeight="1">
      <c r="A654" s="1" t="s">
        <v>5094</v>
      </c>
      <c r="B654" s="1" t="s">
        <v>6149</v>
      </c>
      <c r="C654" s="1" t="s">
        <v>5756</v>
      </c>
      <c r="D654" s="1" t="s">
        <v>4747</v>
      </c>
      <c r="E654" s="1" t="s">
        <v>9195</v>
      </c>
      <c r="F654" s="1" t="s">
        <v>6138</v>
      </c>
      <c r="G654" s="1" t="s">
        <v>9149</v>
      </c>
      <c r="H654" s="1" t="s">
        <v>6089</v>
      </c>
      <c r="I654" s="1"/>
      <c r="J654" s="1"/>
      <c r="K654" s="1" t="s">
        <v>6090</v>
      </c>
      <c r="L654" s="1" t="s">
        <v>9196</v>
      </c>
      <c r="M654" s="1" t="s">
        <v>9197</v>
      </c>
      <c r="N654" s="1"/>
      <c r="O654" s="1"/>
      <c r="P654" s="1"/>
      <c r="Q654" s="1"/>
      <c r="R654" s="1" t="s">
        <v>9198</v>
      </c>
      <c r="S654" s="1" t="s">
        <v>9194</v>
      </c>
      <c r="T654" s="1" t="s">
        <v>9154</v>
      </c>
      <c r="U654" s="1" t="s">
        <v>6096</v>
      </c>
      <c r="V654" s="1" t="s">
        <v>6295</v>
      </c>
      <c r="W654" s="1" t="s">
        <v>9155</v>
      </c>
    </row>
    <row r="655" spans="1:23" ht="60" customHeight="1">
      <c r="A655" s="1" t="s">
        <v>5094</v>
      </c>
      <c r="B655" s="1" t="s">
        <v>6154</v>
      </c>
      <c r="C655" s="1" t="s">
        <v>9199</v>
      </c>
      <c r="D655" s="1" t="s">
        <v>6308</v>
      </c>
      <c r="E655" s="1" t="s">
        <v>9200</v>
      </c>
      <c r="F655" s="1" t="s">
        <v>6138</v>
      </c>
      <c r="G655" s="1" t="s">
        <v>9149</v>
      </c>
      <c r="H655" s="1" t="s">
        <v>6089</v>
      </c>
      <c r="I655" s="1"/>
      <c r="J655" s="1"/>
      <c r="K655" s="1" t="s">
        <v>6090</v>
      </c>
      <c r="L655" s="1" t="s">
        <v>9201</v>
      </c>
      <c r="M655" s="1" t="s">
        <v>9202</v>
      </c>
      <c r="N655" s="1"/>
      <c r="O655" s="1"/>
      <c r="P655" s="1"/>
      <c r="Q655" s="1"/>
      <c r="R655" s="1" t="s">
        <v>9203</v>
      </c>
      <c r="S655" s="1" t="s">
        <v>9187</v>
      </c>
      <c r="T655" s="1" t="s">
        <v>9154</v>
      </c>
      <c r="U655" s="1" t="s">
        <v>6096</v>
      </c>
      <c r="V655" s="1" t="s">
        <v>6295</v>
      </c>
      <c r="W655" s="1" t="s">
        <v>9155</v>
      </c>
    </row>
    <row r="656" spans="1:23" ht="48" customHeight="1">
      <c r="A656" s="1" t="s">
        <v>5094</v>
      </c>
      <c r="B656" s="1" t="s">
        <v>6159</v>
      </c>
      <c r="C656" s="1" t="s">
        <v>9204</v>
      </c>
      <c r="D656" s="1" t="s">
        <v>9205</v>
      </c>
      <c r="E656" s="1" t="s">
        <v>9206</v>
      </c>
      <c r="F656" s="1" t="s">
        <v>6163</v>
      </c>
      <c r="G656" s="1" t="s">
        <v>9149</v>
      </c>
      <c r="H656" s="1" t="s">
        <v>6089</v>
      </c>
      <c r="I656" s="1"/>
      <c r="J656" s="1"/>
      <c r="K656" s="1" t="s">
        <v>6090</v>
      </c>
      <c r="L656" s="1" t="s">
        <v>9207</v>
      </c>
      <c r="M656" s="1" t="s">
        <v>9208</v>
      </c>
      <c r="N656" s="1"/>
      <c r="O656" s="1"/>
      <c r="P656" s="1"/>
      <c r="Q656" s="1"/>
      <c r="R656" s="1" t="s">
        <v>9209</v>
      </c>
      <c r="S656" s="1" t="s">
        <v>9210</v>
      </c>
      <c r="T656" s="1" t="s">
        <v>9154</v>
      </c>
      <c r="U656" s="1" t="s">
        <v>6096</v>
      </c>
      <c r="V656" s="1" t="s">
        <v>6168</v>
      </c>
      <c r="W656" s="1" t="s">
        <v>9155</v>
      </c>
    </row>
    <row r="657" spans="1:23" ht="48" customHeight="1">
      <c r="A657" s="1" t="s">
        <v>5094</v>
      </c>
      <c r="B657" s="1" t="s">
        <v>6169</v>
      </c>
      <c r="C657" s="1" t="s">
        <v>5095</v>
      </c>
      <c r="D657" s="1" t="s">
        <v>4747</v>
      </c>
      <c r="E657" s="1" t="s">
        <v>9211</v>
      </c>
      <c r="F657" s="1" t="s">
        <v>6323</v>
      </c>
      <c r="G657" s="1" t="s">
        <v>9149</v>
      </c>
      <c r="H657" s="1" t="s">
        <v>6089</v>
      </c>
      <c r="I657" s="1"/>
      <c r="J657" s="1"/>
      <c r="K657" s="1" t="s">
        <v>6090</v>
      </c>
      <c r="L657" s="1" t="s">
        <v>9212</v>
      </c>
      <c r="M657" s="1" t="s">
        <v>9213</v>
      </c>
      <c r="N657" s="1"/>
      <c r="O657" s="1" t="s">
        <v>9214</v>
      </c>
      <c r="P657" s="1" t="s">
        <v>9215</v>
      </c>
      <c r="Q657" s="1" t="s">
        <v>6462</v>
      </c>
      <c r="R657" s="1" t="s">
        <v>9216</v>
      </c>
      <c r="S657" s="1" t="s">
        <v>9210</v>
      </c>
      <c r="T657" s="1" t="s">
        <v>9154</v>
      </c>
      <c r="U657" s="1" t="s">
        <v>6096</v>
      </c>
      <c r="V657" s="1" t="s">
        <v>6168</v>
      </c>
      <c r="W657" s="1" t="s">
        <v>9155</v>
      </c>
    </row>
    <row r="658" spans="1:23" ht="96" customHeight="1">
      <c r="A658" s="1" t="s">
        <v>5094</v>
      </c>
      <c r="B658" s="1" t="s">
        <v>6176</v>
      </c>
      <c r="C658" s="1" t="s">
        <v>9217</v>
      </c>
      <c r="D658" s="1" t="s">
        <v>4747</v>
      </c>
      <c r="E658" s="1" t="s">
        <v>9218</v>
      </c>
      <c r="F658" s="1" t="s">
        <v>6138</v>
      </c>
      <c r="G658" s="1" t="s">
        <v>9149</v>
      </c>
      <c r="H658" s="1" t="s">
        <v>6089</v>
      </c>
      <c r="I658" s="1"/>
      <c r="J658" s="1"/>
      <c r="K658" s="1" t="s">
        <v>6090</v>
      </c>
      <c r="L658" s="1" t="s">
        <v>9219</v>
      </c>
      <c r="M658" s="1" t="s">
        <v>9220</v>
      </c>
      <c r="N658" s="1"/>
      <c r="O658" s="1"/>
      <c r="P658" s="1"/>
      <c r="Q658" s="1"/>
      <c r="R658" s="1" t="s">
        <v>9221</v>
      </c>
      <c r="S658" s="1" t="s">
        <v>9222</v>
      </c>
      <c r="T658" s="1" t="s">
        <v>9154</v>
      </c>
      <c r="U658" s="1" t="s">
        <v>6096</v>
      </c>
      <c r="V658" s="1" t="s">
        <v>6184</v>
      </c>
      <c r="W658" s="1" t="s">
        <v>9155</v>
      </c>
    </row>
    <row r="659" spans="1:23" ht="96" customHeight="1">
      <c r="A659" s="1" t="s">
        <v>5094</v>
      </c>
      <c r="B659" s="1" t="s">
        <v>6185</v>
      </c>
      <c r="C659" s="1" t="s">
        <v>9223</v>
      </c>
      <c r="D659" s="1" t="s">
        <v>9224</v>
      </c>
      <c r="E659" s="1" t="s">
        <v>9225</v>
      </c>
      <c r="F659" s="1" t="s">
        <v>6138</v>
      </c>
      <c r="G659" s="1" t="s">
        <v>9149</v>
      </c>
      <c r="H659" s="1" t="s">
        <v>6089</v>
      </c>
      <c r="I659" s="1"/>
      <c r="J659" s="1"/>
      <c r="K659" s="1" t="s">
        <v>6090</v>
      </c>
      <c r="L659" s="1" t="s">
        <v>9226</v>
      </c>
      <c r="M659" s="1" t="s">
        <v>9227</v>
      </c>
      <c r="N659" s="1"/>
      <c r="O659" s="1"/>
      <c r="P659" s="1"/>
      <c r="Q659" s="1"/>
      <c r="R659" s="1" t="s">
        <v>9228</v>
      </c>
      <c r="S659" s="1" t="s">
        <v>9229</v>
      </c>
      <c r="T659" s="1" t="s">
        <v>9154</v>
      </c>
      <c r="U659" s="1" t="s">
        <v>6096</v>
      </c>
      <c r="V659" s="1" t="s">
        <v>6184</v>
      </c>
      <c r="W659" s="1" t="s">
        <v>9155</v>
      </c>
    </row>
    <row r="660" spans="1:23" ht="96" customHeight="1">
      <c r="A660" s="1" t="s">
        <v>5094</v>
      </c>
      <c r="B660" s="1" t="s">
        <v>6189</v>
      </c>
      <c r="C660" s="1" t="s">
        <v>9230</v>
      </c>
      <c r="D660" s="1" t="s">
        <v>4747</v>
      </c>
      <c r="E660" s="1" t="s">
        <v>9231</v>
      </c>
      <c r="F660" s="1" t="s">
        <v>6138</v>
      </c>
      <c r="G660" s="1" t="s">
        <v>9149</v>
      </c>
      <c r="H660" s="1" t="s">
        <v>6089</v>
      </c>
      <c r="I660" s="1"/>
      <c r="J660" s="1"/>
      <c r="K660" s="1" t="s">
        <v>6090</v>
      </c>
      <c r="L660" s="1" t="s">
        <v>9232</v>
      </c>
      <c r="M660" s="1" t="s">
        <v>9233</v>
      </c>
      <c r="N660" s="1"/>
      <c r="O660" s="1"/>
      <c r="P660" s="1"/>
      <c r="Q660" s="1"/>
      <c r="R660" s="1" t="s">
        <v>9234</v>
      </c>
      <c r="S660" s="1" t="s">
        <v>9235</v>
      </c>
      <c r="T660" s="1" t="s">
        <v>9154</v>
      </c>
      <c r="U660" s="1" t="s">
        <v>6096</v>
      </c>
      <c r="V660" s="1" t="s">
        <v>6184</v>
      </c>
      <c r="W660" s="1" t="s">
        <v>9155</v>
      </c>
    </row>
    <row r="661" spans="1:23" ht="60" customHeight="1">
      <c r="A661" s="1" t="s">
        <v>5094</v>
      </c>
      <c r="B661" s="1" t="s">
        <v>6196</v>
      </c>
      <c r="C661" s="1" t="s">
        <v>9236</v>
      </c>
      <c r="D661" s="1" t="s">
        <v>4747</v>
      </c>
      <c r="E661" s="1" t="s">
        <v>9237</v>
      </c>
      <c r="F661" s="1" t="s">
        <v>6349</v>
      </c>
      <c r="G661" s="1" t="s">
        <v>9149</v>
      </c>
      <c r="H661" s="1" t="s">
        <v>6089</v>
      </c>
      <c r="I661" s="1"/>
      <c r="J661" s="1"/>
      <c r="K661" s="1" t="s">
        <v>6090</v>
      </c>
      <c r="L661" s="1" t="s">
        <v>9238</v>
      </c>
      <c r="M661" s="1" t="s">
        <v>9239</v>
      </c>
      <c r="N661" s="1"/>
      <c r="O661" s="1"/>
      <c r="P661" s="1"/>
      <c r="Q661" s="1"/>
      <c r="R661" s="1" t="s">
        <v>9240</v>
      </c>
      <c r="S661" s="1" t="s">
        <v>9241</v>
      </c>
      <c r="T661" s="1" t="s">
        <v>9154</v>
      </c>
      <c r="U661" s="1" t="s">
        <v>6096</v>
      </c>
      <c r="V661" s="1" t="s">
        <v>9242</v>
      </c>
      <c r="W661" s="1" t="s">
        <v>9155</v>
      </c>
    </row>
    <row r="662" spans="1:23" ht="60" customHeight="1">
      <c r="A662" s="1" t="s">
        <v>5094</v>
      </c>
      <c r="B662" s="1" t="s">
        <v>6200</v>
      </c>
      <c r="C662" s="1" t="s">
        <v>9243</v>
      </c>
      <c r="D662" s="1" t="s">
        <v>9244</v>
      </c>
      <c r="E662" s="1" t="s">
        <v>9245</v>
      </c>
      <c r="F662" s="1" t="s">
        <v>6349</v>
      </c>
      <c r="G662" s="1" t="s">
        <v>9149</v>
      </c>
      <c r="H662" s="1" t="s">
        <v>6089</v>
      </c>
      <c r="I662" s="1"/>
      <c r="J662" s="1"/>
      <c r="K662" s="1" t="s">
        <v>6090</v>
      </c>
      <c r="L662" s="1" t="s">
        <v>9246</v>
      </c>
      <c r="M662" s="1" t="s">
        <v>9247</v>
      </c>
      <c r="N662" s="1"/>
      <c r="O662" s="1"/>
      <c r="P662" s="1"/>
      <c r="Q662" s="1"/>
      <c r="R662" s="1" t="s">
        <v>9248</v>
      </c>
      <c r="S662" s="1" t="s">
        <v>9249</v>
      </c>
      <c r="T662" s="1" t="s">
        <v>9154</v>
      </c>
      <c r="U662" s="1" t="s">
        <v>6096</v>
      </c>
      <c r="V662" s="1" t="s">
        <v>9250</v>
      </c>
      <c r="W662" s="1" t="s">
        <v>9155</v>
      </c>
    </row>
    <row r="663" spans="1:23" ht="96" customHeight="1">
      <c r="A663" s="1" t="s">
        <v>5094</v>
      </c>
      <c r="B663" s="1" t="s">
        <v>5583</v>
      </c>
      <c r="C663" s="1" t="s">
        <v>9251</v>
      </c>
      <c r="D663" s="1" t="s">
        <v>4747</v>
      </c>
      <c r="E663" s="1" t="s">
        <v>9252</v>
      </c>
      <c r="F663" s="1" t="s">
        <v>6138</v>
      </c>
      <c r="G663" s="1" t="s">
        <v>9149</v>
      </c>
      <c r="H663" s="1" t="s">
        <v>6089</v>
      </c>
      <c r="I663" s="1"/>
      <c r="J663" s="1"/>
      <c r="K663" s="1" t="s">
        <v>6090</v>
      </c>
      <c r="L663" s="1" t="s">
        <v>9253</v>
      </c>
      <c r="M663" s="1" t="s">
        <v>9254</v>
      </c>
      <c r="N663" s="1"/>
      <c r="O663" s="1"/>
      <c r="P663" s="1"/>
      <c r="Q663" s="1"/>
      <c r="R663" s="1" t="s">
        <v>9255</v>
      </c>
      <c r="S663" s="1" t="s">
        <v>9256</v>
      </c>
      <c r="T663" s="1" t="s">
        <v>9154</v>
      </c>
      <c r="U663" s="1" t="s">
        <v>6096</v>
      </c>
      <c r="V663" s="1" t="s">
        <v>6184</v>
      </c>
      <c r="W663" s="1" t="s">
        <v>9155</v>
      </c>
    </row>
    <row r="664" spans="1:23" ht="72" customHeight="1">
      <c r="A664" s="1" t="s">
        <v>5094</v>
      </c>
      <c r="B664" s="1" t="s">
        <v>6209</v>
      </c>
      <c r="C664" s="1" t="s">
        <v>9257</v>
      </c>
      <c r="D664" s="1" t="s">
        <v>4747</v>
      </c>
      <c r="E664" s="1" t="s">
        <v>9258</v>
      </c>
      <c r="F664" s="1" t="s">
        <v>6349</v>
      </c>
      <c r="G664" s="1" t="s">
        <v>9149</v>
      </c>
      <c r="H664" s="1" t="s">
        <v>6089</v>
      </c>
      <c r="I664" s="1"/>
      <c r="J664" s="1"/>
      <c r="K664" s="1" t="s">
        <v>6090</v>
      </c>
      <c r="L664" s="1" t="s">
        <v>9259</v>
      </c>
      <c r="M664" s="1" t="s">
        <v>9260</v>
      </c>
      <c r="N664" s="1"/>
      <c r="O664" s="1"/>
      <c r="P664" s="1"/>
      <c r="Q664" s="1"/>
      <c r="R664" s="1" t="s">
        <v>9261</v>
      </c>
      <c r="S664" s="1" t="s">
        <v>9262</v>
      </c>
      <c r="T664" s="1" t="s">
        <v>9154</v>
      </c>
      <c r="U664" s="1" t="s">
        <v>6096</v>
      </c>
      <c r="V664" s="1" t="s">
        <v>9263</v>
      </c>
      <c r="W664" s="1" t="s">
        <v>9155</v>
      </c>
    </row>
    <row r="665" spans="1:23" ht="48" customHeight="1">
      <c r="A665" s="1" t="s">
        <v>5094</v>
      </c>
      <c r="B665" s="1" t="s">
        <v>6212</v>
      </c>
      <c r="C665" s="1" t="s">
        <v>9264</v>
      </c>
      <c r="D665" s="1" t="s">
        <v>9265</v>
      </c>
      <c r="E665" s="1" t="s">
        <v>9266</v>
      </c>
      <c r="F665" s="1" t="s">
        <v>6163</v>
      </c>
      <c r="G665" s="1" t="s">
        <v>9149</v>
      </c>
      <c r="H665" s="1" t="s">
        <v>6089</v>
      </c>
      <c r="I665" s="1"/>
      <c r="J665" s="1"/>
      <c r="K665" s="1" t="s">
        <v>6090</v>
      </c>
      <c r="L665" s="1" t="s">
        <v>9267</v>
      </c>
      <c r="M665" s="1" t="s">
        <v>9268</v>
      </c>
      <c r="N665" s="1"/>
      <c r="O665" s="1"/>
      <c r="P665" s="1"/>
      <c r="Q665" s="1"/>
      <c r="R665" s="1" t="s">
        <v>9269</v>
      </c>
      <c r="S665" s="1" t="s">
        <v>9270</v>
      </c>
      <c r="T665" s="1" t="s">
        <v>9154</v>
      </c>
      <c r="U665" s="1" t="s">
        <v>6096</v>
      </c>
      <c r="V665" s="1" t="s">
        <v>6168</v>
      </c>
      <c r="W665" s="1" t="s">
        <v>9155</v>
      </c>
    </row>
    <row r="666" spans="1:23" ht="48" customHeight="1">
      <c r="A666" s="1" t="s">
        <v>5094</v>
      </c>
      <c r="B666" s="1" t="s">
        <v>6215</v>
      </c>
      <c r="C666" s="1"/>
      <c r="D666" s="1" t="s">
        <v>4747</v>
      </c>
      <c r="E666" s="1"/>
      <c r="F666" s="1" t="s">
        <v>6216</v>
      </c>
      <c r="G666" s="1"/>
      <c r="H666" s="1" t="s">
        <v>6089</v>
      </c>
      <c r="I666" s="1"/>
      <c r="J666" s="1"/>
      <c r="K666" s="1" t="s">
        <v>6090</v>
      </c>
      <c r="L666" s="1"/>
      <c r="M666" s="1" t="s">
        <v>9271</v>
      </c>
      <c r="N666" s="1"/>
      <c r="O666" s="1"/>
      <c r="P666" s="1"/>
      <c r="Q666" s="1"/>
      <c r="R666" s="1"/>
      <c r="S666" s="1"/>
      <c r="T666" s="1"/>
      <c r="U666" s="1"/>
      <c r="V666" s="1"/>
      <c r="W666" s="1"/>
    </row>
    <row r="667" spans="1:23" ht="48" customHeight="1">
      <c r="A667" s="1" t="s">
        <v>5094</v>
      </c>
      <c r="B667" s="1" t="s">
        <v>6218</v>
      </c>
      <c r="C667" s="1" t="s">
        <v>9272</v>
      </c>
      <c r="D667" s="1" t="s">
        <v>4747</v>
      </c>
      <c r="E667" s="1"/>
      <c r="F667" s="1" t="s">
        <v>6110</v>
      </c>
      <c r="G667" s="1" t="s">
        <v>9149</v>
      </c>
      <c r="H667" s="1" t="s">
        <v>6089</v>
      </c>
      <c r="I667" s="1"/>
      <c r="J667" s="1"/>
      <c r="K667" s="1" t="s">
        <v>6090</v>
      </c>
      <c r="L667" s="1" t="s">
        <v>9273</v>
      </c>
      <c r="M667" s="1" t="s">
        <v>9274</v>
      </c>
      <c r="N667" s="1"/>
      <c r="O667" s="1"/>
      <c r="P667" s="1"/>
      <c r="Q667" s="1"/>
      <c r="R667" s="1"/>
      <c r="S667" s="1"/>
      <c r="T667" s="1"/>
      <c r="U667" s="1"/>
      <c r="V667" s="1"/>
      <c r="W667" s="1"/>
    </row>
    <row r="668" spans="1:23" ht="48" customHeight="1">
      <c r="A668" s="1" t="s">
        <v>5094</v>
      </c>
      <c r="B668" s="1" t="s">
        <v>6222</v>
      </c>
      <c r="C668" s="1" t="s">
        <v>9275</v>
      </c>
      <c r="D668" s="1" t="s">
        <v>9276</v>
      </c>
      <c r="E668" s="1"/>
      <c r="F668" s="1" t="s">
        <v>6110</v>
      </c>
      <c r="G668" s="1" t="s">
        <v>9149</v>
      </c>
      <c r="H668" s="1" t="s">
        <v>6089</v>
      </c>
      <c r="I668" s="1"/>
      <c r="J668" s="1"/>
      <c r="K668" s="1" t="s">
        <v>6090</v>
      </c>
      <c r="L668" s="1" t="s">
        <v>9277</v>
      </c>
      <c r="M668" s="1" t="s">
        <v>9278</v>
      </c>
      <c r="N668" s="1"/>
      <c r="O668" s="1"/>
      <c r="P668" s="1"/>
      <c r="Q668" s="1"/>
      <c r="R668" s="1"/>
      <c r="S668" s="1"/>
      <c r="T668" s="1"/>
      <c r="U668" s="1"/>
      <c r="V668" s="1"/>
      <c r="W668" s="1"/>
    </row>
    <row r="669" spans="1:23" ht="48" customHeight="1">
      <c r="A669" s="1" t="s">
        <v>5094</v>
      </c>
      <c r="B669" s="1" t="s">
        <v>6227</v>
      </c>
      <c r="C669" s="1" t="s">
        <v>9279</v>
      </c>
      <c r="D669" s="1" t="s">
        <v>4747</v>
      </c>
      <c r="E669" s="1"/>
      <c r="F669" s="1" t="s">
        <v>6110</v>
      </c>
      <c r="G669" s="1" t="s">
        <v>9149</v>
      </c>
      <c r="H669" s="1" t="s">
        <v>6089</v>
      </c>
      <c r="I669" s="1"/>
      <c r="J669" s="1"/>
      <c r="K669" s="1" t="s">
        <v>6090</v>
      </c>
      <c r="L669" s="1" t="s">
        <v>9280</v>
      </c>
      <c r="M669" s="1" t="s">
        <v>9281</v>
      </c>
      <c r="N669" s="1"/>
      <c r="O669" s="1"/>
      <c r="P669" s="1"/>
      <c r="Q669" s="1"/>
      <c r="R669" s="1"/>
      <c r="S669" s="1"/>
      <c r="T669" s="1"/>
      <c r="U669" s="1"/>
      <c r="V669" s="1"/>
      <c r="W669" s="1"/>
    </row>
    <row r="670" spans="1:23" ht="48" customHeight="1">
      <c r="A670" s="1" t="s">
        <v>5094</v>
      </c>
      <c r="B670" s="1" t="s">
        <v>6232</v>
      </c>
      <c r="C670" s="1" t="s">
        <v>4747</v>
      </c>
      <c r="D670" s="1" t="s">
        <v>9282</v>
      </c>
      <c r="E670" s="1"/>
      <c r="F670" s="1" t="s">
        <v>6110</v>
      </c>
      <c r="G670" s="1" t="s">
        <v>9149</v>
      </c>
      <c r="H670" s="1" t="s">
        <v>6089</v>
      </c>
      <c r="I670" s="1"/>
      <c r="J670" s="1"/>
      <c r="K670" s="1" t="s">
        <v>6090</v>
      </c>
      <c r="L670" s="1" t="s">
        <v>9283</v>
      </c>
      <c r="M670" s="1" t="s">
        <v>9284</v>
      </c>
      <c r="N670" s="1"/>
      <c r="O670" s="1"/>
      <c r="P670" s="1"/>
      <c r="Q670" s="1"/>
      <c r="R670" s="1"/>
      <c r="S670" s="1"/>
      <c r="T670" s="1"/>
      <c r="U670" s="1"/>
      <c r="V670" s="1"/>
      <c r="W670" s="1"/>
    </row>
    <row r="671" spans="1:23" ht="60" customHeight="1">
      <c r="A671" s="1" t="s">
        <v>5094</v>
      </c>
      <c r="B671" s="1" t="s">
        <v>6236</v>
      </c>
      <c r="C671" s="1" t="s">
        <v>9285</v>
      </c>
      <c r="D671" s="1" t="s">
        <v>9286</v>
      </c>
      <c r="E671" s="1" t="s">
        <v>9287</v>
      </c>
      <c r="F671" s="1" t="s">
        <v>6163</v>
      </c>
      <c r="G671" s="1" t="s">
        <v>9149</v>
      </c>
      <c r="H671" s="1" t="s">
        <v>6089</v>
      </c>
      <c r="I671" s="1"/>
      <c r="J671" s="1"/>
      <c r="K671" s="1" t="s">
        <v>6090</v>
      </c>
      <c r="L671" s="1" t="s">
        <v>9288</v>
      </c>
      <c r="M671" s="1" t="s">
        <v>9289</v>
      </c>
      <c r="N671" s="1"/>
      <c r="O671" s="1"/>
      <c r="P671" s="1"/>
      <c r="Q671" s="1"/>
      <c r="R671" s="1" t="s">
        <v>9290</v>
      </c>
      <c r="S671" s="1" t="s">
        <v>9291</v>
      </c>
      <c r="T671" s="1" t="s">
        <v>9154</v>
      </c>
      <c r="U671" s="1" t="s">
        <v>6096</v>
      </c>
      <c r="V671" s="1" t="s">
        <v>6244</v>
      </c>
      <c r="W671" s="1" t="s">
        <v>9155</v>
      </c>
    </row>
    <row r="672" spans="1:23" ht="48" customHeight="1">
      <c r="A672" s="1" t="s">
        <v>5094</v>
      </c>
      <c r="B672" s="1" t="s">
        <v>6245</v>
      </c>
      <c r="C672" s="1" t="s">
        <v>9292</v>
      </c>
      <c r="D672" s="1"/>
      <c r="E672" s="1"/>
      <c r="F672" s="1" t="s">
        <v>6216</v>
      </c>
      <c r="G672" s="1" t="s">
        <v>9149</v>
      </c>
      <c r="H672" s="1"/>
      <c r="I672" s="1"/>
      <c r="J672" s="1"/>
      <c r="K672" s="1" t="s">
        <v>6090</v>
      </c>
      <c r="L672" s="1" t="s">
        <v>9293</v>
      </c>
      <c r="M672" s="1"/>
      <c r="N672" s="1"/>
      <c r="O672" s="1"/>
      <c r="P672" s="1"/>
      <c r="Q672" s="1"/>
      <c r="R672" s="1"/>
      <c r="S672" s="1"/>
      <c r="T672" s="1"/>
      <c r="U672" s="1"/>
      <c r="V672" s="1"/>
      <c r="W672" s="1"/>
    </row>
    <row r="673" spans="1:23" ht="48" customHeight="1">
      <c r="A673" s="1" t="s">
        <v>5094</v>
      </c>
      <c r="B673" s="1" t="s">
        <v>6248</v>
      </c>
      <c r="C673" s="1" t="s">
        <v>9294</v>
      </c>
      <c r="D673" s="1"/>
      <c r="E673" s="1"/>
      <c r="F673" s="1" t="s">
        <v>6216</v>
      </c>
      <c r="G673" s="1" t="s">
        <v>9149</v>
      </c>
      <c r="H673" s="1"/>
      <c r="I673" s="1"/>
      <c r="J673" s="1"/>
      <c r="K673" s="1" t="s">
        <v>6090</v>
      </c>
      <c r="L673" s="1" t="s">
        <v>9295</v>
      </c>
      <c r="M673" s="1"/>
      <c r="N673" s="1"/>
      <c r="O673" s="1"/>
      <c r="P673" s="1"/>
      <c r="Q673" s="1"/>
      <c r="R673" s="1"/>
      <c r="S673" s="1"/>
      <c r="T673" s="1"/>
      <c r="U673" s="1"/>
      <c r="V673" s="1"/>
      <c r="W673" s="1"/>
    </row>
    <row r="674" spans="1:23" ht="48" customHeight="1">
      <c r="A674" s="1" t="s">
        <v>5116</v>
      </c>
      <c r="B674" s="1" t="s">
        <v>6083</v>
      </c>
      <c r="C674" s="1" t="s">
        <v>9296</v>
      </c>
      <c r="D674" s="1" t="s">
        <v>9297</v>
      </c>
      <c r="E674" s="1" t="s">
        <v>6402</v>
      </c>
      <c r="F674" s="1" t="s">
        <v>6087</v>
      </c>
      <c r="G674" s="1" t="s">
        <v>9298</v>
      </c>
      <c r="H674" s="1" t="s">
        <v>6089</v>
      </c>
      <c r="I674" s="1"/>
      <c r="J674" s="1"/>
      <c r="K674" s="1" t="s">
        <v>6090</v>
      </c>
      <c r="L674" s="1" t="s">
        <v>9299</v>
      </c>
      <c r="M674" s="1" t="s">
        <v>9300</v>
      </c>
      <c r="N674" s="1"/>
      <c r="O674" s="1"/>
      <c r="P674" s="1"/>
      <c r="Q674" s="1"/>
      <c r="R674" s="1" t="s">
        <v>9301</v>
      </c>
      <c r="S674" s="1" t="s">
        <v>9302</v>
      </c>
      <c r="T674" s="1" t="s">
        <v>9303</v>
      </c>
      <c r="U674" s="1" t="s">
        <v>6096</v>
      </c>
      <c r="V674" s="1" t="s">
        <v>6097</v>
      </c>
      <c r="W674" s="1" t="s">
        <v>9304</v>
      </c>
    </row>
    <row r="675" spans="1:23" ht="48" customHeight="1">
      <c r="A675" s="1" t="s">
        <v>5116</v>
      </c>
      <c r="B675" s="1" t="s">
        <v>6099</v>
      </c>
      <c r="C675" s="1" t="s">
        <v>9305</v>
      </c>
      <c r="D675" s="1" t="s">
        <v>6102</v>
      </c>
      <c r="E675" s="1" t="s">
        <v>6102</v>
      </c>
      <c r="F675" s="1" t="s">
        <v>6087</v>
      </c>
      <c r="G675" s="1" t="s">
        <v>9298</v>
      </c>
      <c r="H675" s="1" t="s">
        <v>6089</v>
      </c>
      <c r="I675" s="1"/>
      <c r="J675" s="1"/>
      <c r="K675" s="1" t="s">
        <v>6090</v>
      </c>
      <c r="L675" s="1" t="s">
        <v>9306</v>
      </c>
      <c r="M675" s="1" t="s">
        <v>9307</v>
      </c>
      <c r="N675" s="1"/>
      <c r="O675" s="1"/>
      <c r="P675" s="1"/>
      <c r="Q675" s="1"/>
      <c r="R675" s="1" t="s">
        <v>9308</v>
      </c>
      <c r="S675" s="1" t="s">
        <v>9309</v>
      </c>
      <c r="T675" s="1" t="s">
        <v>9303</v>
      </c>
      <c r="U675" s="1" t="s">
        <v>6096</v>
      </c>
      <c r="V675" s="1" t="s">
        <v>6097</v>
      </c>
      <c r="W675" s="1" t="s">
        <v>9304</v>
      </c>
    </row>
    <row r="676" spans="1:23" ht="48" customHeight="1">
      <c r="A676" s="1" t="s">
        <v>5116</v>
      </c>
      <c r="B676" s="1" t="s">
        <v>6107</v>
      </c>
      <c r="C676" s="1" t="s">
        <v>9310</v>
      </c>
      <c r="D676" s="1" t="s">
        <v>9311</v>
      </c>
      <c r="E676" s="1"/>
      <c r="F676" s="1" t="s">
        <v>6110</v>
      </c>
      <c r="G676" s="1" t="s">
        <v>9298</v>
      </c>
      <c r="H676" s="1" t="s">
        <v>6089</v>
      </c>
      <c r="I676" s="1"/>
      <c r="J676" s="1"/>
      <c r="K676" s="1" t="s">
        <v>6090</v>
      </c>
      <c r="L676" s="1" t="s">
        <v>9312</v>
      </c>
      <c r="M676" s="1" t="s">
        <v>9313</v>
      </c>
      <c r="N676" s="1"/>
      <c r="O676" s="1"/>
      <c r="P676" s="1"/>
      <c r="Q676" s="1"/>
      <c r="R676" s="1"/>
      <c r="S676" s="1"/>
      <c r="T676" s="1"/>
      <c r="U676" s="1"/>
      <c r="V676" s="1"/>
      <c r="W676" s="1"/>
    </row>
    <row r="677" spans="1:23" ht="48" customHeight="1">
      <c r="A677" s="1" t="s">
        <v>5116</v>
      </c>
      <c r="B677" s="1" t="s">
        <v>6113</v>
      </c>
      <c r="C677" s="1" t="s">
        <v>9314</v>
      </c>
      <c r="D677" s="1" t="s">
        <v>9315</v>
      </c>
      <c r="E677" s="1"/>
      <c r="F677" s="1" t="s">
        <v>6110</v>
      </c>
      <c r="G677" s="1" t="s">
        <v>9298</v>
      </c>
      <c r="H677" s="1" t="s">
        <v>6089</v>
      </c>
      <c r="I677" s="1"/>
      <c r="J677" s="1"/>
      <c r="K677" s="1" t="s">
        <v>6090</v>
      </c>
      <c r="L677" s="1" t="s">
        <v>9316</v>
      </c>
      <c r="M677" s="1" t="s">
        <v>9317</v>
      </c>
      <c r="N677" s="1"/>
      <c r="O677" s="1"/>
      <c r="P677" s="1"/>
      <c r="Q677" s="1"/>
      <c r="R677" s="1"/>
      <c r="S677" s="1"/>
      <c r="T677" s="1"/>
      <c r="U677" s="1"/>
      <c r="V677" s="1"/>
      <c r="W677" s="1"/>
    </row>
    <row r="678" spans="1:23" ht="48" customHeight="1">
      <c r="A678" s="1" t="s">
        <v>5116</v>
      </c>
      <c r="B678" s="1" t="s">
        <v>6118</v>
      </c>
      <c r="C678" s="1" t="s">
        <v>9318</v>
      </c>
      <c r="D678" s="1" t="s">
        <v>9319</v>
      </c>
      <c r="E678" s="1" t="s">
        <v>9320</v>
      </c>
      <c r="F678" s="1" t="s">
        <v>6087</v>
      </c>
      <c r="G678" s="1" t="s">
        <v>9298</v>
      </c>
      <c r="H678" s="1" t="s">
        <v>6089</v>
      </c>
      <c r="I678" s="1"/>
      <c r="J678" s="1"/>
      <c r="K678" s="1" t="s">
        <v>6090</v>
      </c>
      <c r="L678" s="1" t="s">
        <v>9321</v>
      </c>
      <c r="M678" s="1" t="s">
        <v>9322</v>
      </c>
      <c r="N678" s="1"/>
      <c r="O678" s="1"/>
      <c r="P678" s="1"/>
      <c r="Q678" s="1"/>
      <c r="R678" s="1" t="s">
        <v>9323</v>
      </c>
      <c r="S678" s="1" t="s">
        <v>9324</v>
      </c>
      <c r="T678" s="1" t="s">
        <v>9303</v>
      </c>
      <c r="U678" s="1" t="s">
        <v>6096</v>
      </c>
      <c r="V678" s="1" t="s">
        <v>6097</v>
      </c>
      <c r="W678" s="1" t="s">
        <v>9304</v>
      </c>
    </row>
    <row r="679" spans="1:23" ht="48" customHeight="1">
      <c r="A679" s="1" t="s">
        <v>5116</v>
      </c>
      <c r="B679" s="1" t="s">
        <v>6126</v>
      </c>
      <c r="C679" s="1" t="s">
        <v>9325</v>
      </c>
      <c r="D679" s="1" t="s">
        <v>9326</v>
      </c>
      <c r="E679" s="1" t="s">
        <v>6129</v>
      </c>
      <c r="F679" s="1" t="s">
        <v>6087</v>
      </c>
      <c r="G679" s="1" t="s">
        <v>9298</v>
      </c>
      <c r="H679" s="1" t="s">
        <v>6089</v>
      </c>
      <c r="I679" s="1"/>
      <c r="J679" s="1"/>
      <c r="K679" s="1" t="s">
        <v>6090</v>
      </c>
      <c r="L679" s="1" t="s">
        <v>9327</v>
      </c>
      <c r="M679" s="1" t="s">
        <v>9328</v>
      </c>
      <c r="N679" s="1"/>
      <c r="O679" s="1"/>
      <c r="P679" s="1"/>
      <c r="Q679" s="1"/>
      <c r="R679" s="1" t="s">
        <v>9329</v>
      </c>
      <c r="S679" s="1" t="s">
        <v>9330</v>
      </c>
      <c r="T679" s="1" t="s">
        <v>9303</v>
      </c>
      <c r="U679" s="1" t="s">
        <v>6096</v>
      </c>
      <c r="V679" s="1" t="s">
        <v>6097</v>
      </c>
      <c r="W679" s="1" t="s">
        <v>9304</v>
      </c>
    </row>
    <row r="680" spans="1:23" ht="48" customHeight="1">
      <c r="A680" s="1" t="s">
        <v>5116</v>
      </c>
      <c r="B680" s="1" t="s">
        <v>6134</v>
      </c>
      <c r="C680" s="1" t="s">
        <v>9331</v>
      </c>
      <c r="D680" s="1" t="s">
        <v>9332</v>
      </c>
      <c r="E680" s="1" t="s">
        <v>9333</v>
      </c>
      <c r="F680" s="1" t="s">
        <v>6138</v>
      </c>
      <c r="G680" s="1" t="s">
        <v>9298</v>
      </c>
      <c r="H680" s="1" t="s">
        <v>6089</v>
      </c>
      <c r="I680" s="1"/>
      <c r="J680" s="1"/>
      <c r="K680" s="1" t="s">
        <v>6090</v>
      </c>
      <c r="L680" s="1" t="s">
        <v>9334</v>
      </c>
      <c r="M680" s="1" t="s">
        <v>9335</v>
      </c>
      <c r="N680" s="1"/>
      <c r="O680" s="1"/>
      <c r="P680" s="1"/>
      <c r="Q680" s="1"/>
      <c r="R680" s="1" t="s">
        <v>9336</v>
      </c>
      <c r="S680" s="1" t="s">
        <v>9337</v>
      </c>
      <c r="T680" s="1" t="s">
        <v>9303</v>
      </c>
      <c r="U680" s="1" t="s">
        <v>6096</v>
      </c>
      <c r="V680" s="1" t="s">
        <v>6143</v>
      </c>
      <c r="W680" s="1" t="s">
        <v>9304</v>
      </c>
    </row>
    <row r="681" spans="1:23" ht="72" customHeight="1">
      <c r="A681" s="1" t="s">
        <v>5116</v>
      </c>
      <c r="B681" s="1" t="s">
        <v>6144</v>
      </c>
      <c r="C681" s="1" t="s">
        <v>9338</v>
      </c>
      <c r="D681" s="1" t="s">
        <v>9339</v>
      </c>
      <c r="E681" s="1" t="s">
        <v>9340</v>
      </c>
      <c r="F681" s="1" t="s">
        <v>6138</v>
      </c>
      <c r="G681" s="1" t="s">
        <v>9298</v>
      </c>
      <c r="H681" s="1" t="s">
        <v>6089</v>
      </c>
      <c r="I681" s="1"/>
      <c r="J681" s="1"/>
      <c r="K681" s="1" t="s">
        <v>6090</v>
      </c>
      <c r="L681" s="1" t="s">
        <v>9341</v>
      </c>
      <c r="M681" s="1" t="s">
        <v>9342</v>
      </c>
      <c r="N681" s="1"/>
      <c r="O681" s="1"/>
      <c r="P681" s="1"/>
      <c r="Q681" s="1"/>
      <c r="R681" s="1" t="s">
        <v>9336</v>
      </c>
      <c r="S681" s="1" t="s">
        <v>9337</v>
      </c>
      <c r="T681" s="1" t="s">
        <v>9303</v>
      </c>
      <c r="U681" s="1" t="s">
        <v>6096</v>
      </c>
      <c r="V681" s="1" t="s">
        <v>6143</v>
      </c>
      <c r="W681" s="1" t="s">
        <v>9304</v>
      </c>
    </row>
    <row r="682" spans="1:23" ht="48" customHeight="1">
      <c r="A682" s="1" t="s">
        <v>5116</v>
      </c>
      <c r="B682" s="1" t="s">
        <v>6149</v>
      </c>
      <c r="C682" s="1" t="s">
        <v>9343</v>
      </c>
      <c r="D682" s="1" t="s">
        <v>9344</v>
      </c>
      <c r="E682" s="1" t="s">
        <v>9345</v>
      </c>
      <c r="F682" s="1" t="s">
        <v>6138</v>
      </c>
      <c r="G682" s="1" t="s">
        <v>9298</v>
      </c>
      <c r="H682" s="1" t="s">
        <v>6089</v>
      </c>
      <c r="I682" s="1"/>
      <c r="J682" s="1"/>
      <c r="K682" s="1" t="s">
        <v>6090</v>
      </c>
      <c r="L682" s="1" t="s">
        <v>9346</v>
      </c>
      <c r="M682" s="1" t="s">
        <v>9347</v>
      </c>
      <c r="N682" s="1"/>
      <c r="O682" s="1"/>
      <c r="P682" s="1"/>
      <c r="Q682" s="1"/>
      <c r="R682" s="1" t="s">
        <v>9336</v>
      </c>
      <c r="S682" s="1" t="s">
        <v>9337</v>
      </c>
      <c r="T682" s="1" t="s">
        <v>9303</v>
      </c>
      <c r="U682" s="1" t="s">
        <v>6096</v>
      </c>
      <c r="V682" s="1" t="s">
        <v>6143</v>
      </c>
      <c r="W682" s="1" t="s">
        <v>9304</v>
      </c>
    </row>
    <row r="683" spans="1:23" ht="60" customHeight="1">
      <c r="A683" s="1" t="s">
        <v>5116</v>
      </c>
      <c r="B683" s="1" t="s">
        <v>6154</v>
      </c>
      <c r="C683" s="1" t="s">
        <v>9348</v>
      </c>
      <c r="D683" s="1" t="s">
        <v>9349</v>
      </c>
      <c r="E683" s="1" t="s">
        <v>9350</v>
      </c>
      <c r="F683" s="1" t="s">
        <v>6138</v>
      </c>
      <c r="G683" s="1" t="s">
        <v>9298</v>
      </c>
      <c r="H683" s="1" t="s">
        <v>6089</v>
      </c>
      <c r="I683" s="1"/>
      <c r="J683" s="1"/>
      <c r="K683" s="1" t="s">
        <v>6090</v>
      </c>
      <c r="L683" s="1" t="s">
        <v>9351</v>
      </c>
      <c r="M683" s="1" t="s">
        <v>9352</v>
      </c>
      <c r="N683" s="1"/>
      <c r="O683" s="1"/>
      <c r="P683" s="1"/>
      <c r="Q683" s="1"/>
      <c r="R683" s="1" t="s">
        <v>9336</v>
      </c>
      <c r="S683" s="1" t="s">
        <v>9337</v>
      </c>
      <c r="T683" s="1" t="s">
        <v>9303</v>
      </c>
      <c r="U683" s="1" t="s">
        <v>6096</v>
      </c>
      <c r="V683" s="1" t="s">
        <v>6143</v>
      </c>
      <c r="W683" s="1" t="s">
        <v>9304</v>
      </c>
    </row>
    <row r="684" spans="1:23" ht="48" customHeight="1">
      <c r="A684" s="1" t="s">
        <v>5116</v>
      </c>
      <c r="B684" s="1" t="s">
        <v>6159</v>
      </c>
      <c r="C684" s="1" t="s">
        <v>9353</v>
      </c>
      <c r="D684" s="1" t="s">
        <v>9354</v>
      </c>
      <c r="E684" s="1" t="s">
        <v>9355</v>
      </c>
      <c r="F684" s="1" t="s">
        <v>6163</v>
      </c>
      <c r="G684" s="1" t="s">
        <v>9298</v>
      </c>
      <c r="H684" s="1" t="s">
        <v>6089</v>
      </c>
      <c r="I684" s="1"/>
      <c r="J684" s="1"/>
      <c r="K684" s="1" t="s">
        <v>6090</v>
      </c>
      <c r="L684" s="1" t="s">
        <v>9356</v>
      </c>
      <c r="M684" s="1" t="s">
        <v>9357</v>
      </c>
      <c r="N684" s="1"/>
      <c r="O684" s="1"/>
      <c r="P684" s="1"/>
      <c r="Q684" s="1"/>
      <c r="R684" s="1" t="s">
        <v>9358</v>
      </c>
      <c r="S684" s="1" t="s">
        <v>9359</v>
      </c>
      <c r="T684" s="1" t="s">
        <v>9303</v>
      </c>
      <c r="U684" s="1" t="s">
        <v>6096</v>
      </c>
      <c r="V684" s="1" t="s">
        <v>6168</v>
      </c>
      <c r="W684" s="1" t="s">
        <v>9304</v>
      </c>
    </row>
    <row r="685" spans="1:23" ht="48" customHeight="1">
      <c r="A685" s="1" t="s">
        <v>5116</v>
      </c>
      <c r="B685" s="1" t="s">
        <v>6169</v>
      </c>
      <c r="C685" s="1" t="s">
        <v>9360</v>
      </c>
      <c r="D685" s="1" t="s">
        <v>9361</v>
      </c>
      <c r="E685" s="1" t="s">
        <v>9362</v>
      </c>
      <c r="F685" s="1" t="s">
        <v>6163</v>
      </c>
      <c r="G685" s="1" t="s">
        <v>9298</v>
      </c>
      <c r="H685" s="1" t="s">
        <v>6089</v>
      </c>
      <c r="I685" s="1"/>
      <c r="J685" s="1"/>
      <c r="K685" s="1" t="s">
        <v>6090</v>
      </c>
      <c r="L685" s="1" t="s">
        <v>9363</v>
      </c>
      <c r="M685" s="1" t="s">
        <v>9364</v>
      </c>
      <c r="N685" s="1"/>
      <c r="O685" s="1"/>
      <c r="P685" s="1"/>
      <c r="Q685" s="1"/>
      <c r="R685" s="1" t="s">
        <v>9365</v>
      </c>
      <c r="S685" s="1" t="s">
        <v>7292</v>
      </c>
      <c r="T685" s="1" t="s">
        <v>9303</v>
      </c>
      <c r="U685" s="1" t="s">
        <v>6096</v>
      </c>
      <c r="V685" s="1" t="s">
        <v>6168</v>
      </c>
      <c r="W685" s="1" t="s">
        <v>9304</v>
      </c>
    </row>
    <row r="686" spans="1:23" ht="96" customHeight="1">
      <c r="A686" s="1" t="s">
        <v>5116</v>
      </c>
      <c r="B686" s="1" t="s">
        <v>6176</v>
      </c>
      <c r="C686" s="1" t="s">
        <v>9366</v>
      </c>
      <c r="D686" s="1" t="s">
        <v>4747</v>
      </c>
      <c r="E686" s="1" t="s">
        <v>9367</v>
      </c>
      <c r="F686" s="1" t="s">
        <v>6138</v>
      </c>
      <c r="G686" s="1" t="s">
        <v>9298</v>
      </c>
      <c r="H686" s="1" t="s">
        <v>6089</v>
      </c>
      <c r="I686" s="1"/>
      <c r="J686" s="1"/>
      <c r="K686" s="1" t="s">
        <v>6090</v>
      </c>
      <c r="L686" s="1" t="s">
        <v>9368</v>
      </c>
      <c r="M686" s="1" t="s">
        <v>9369</v>
      </c>
      <c r="N686" s="1"/>
      <c r="O686" s="1"/>
      <c r="P686" s="1"/>
      <c r="Q686" s="1"/>
      <c r="R686" s="1" t="s">
        <v>9370</v>
      </c>
      <c r="S686" s="1" t="s">
        <v>9371</v>
      </c>
      <c r="T686" s="1" t="s">
        <v>9303</v>
      </c>
      <c r="U686" s="1" t="s">
        <v>6096</v>
      </c>
      <c r="V686" s="1" t="s">
        <v>6184</v>
      </c>
      <c r="W686" s="1" t="s">
        <v>9304</v>
      </c>
    </row>
    <row r="687" spans="1:23" ht="96" customHeight="1">
      <c r="A687" s="1" t="s">
        <v>5116</v>
      </c>
      <c r="B687" s="1" t="s">
        <v>6185</v>
      </c>
      <c r="C687" s="1" t="s">
        <v>9372</v>
      </c>
      <c r="D687" s="1" t="s">
        <v>4747</v>
      </c>
      <c r="E687" s="1" t="s">
        <v>9373</v>
      </c>
      <c r="F687" s="1" t="s">
        <v>6138</v>
      </c>
      <c r="G687" s="1" t="s">
        <v>9298</v>
      </c>
      <c r="H687" s="1" t="s">
        <v>6089</v>
      </c>
      <c r="I687" s="1"/>
      <c r="J687" s="1"/>
      <c r="K687" s="1" t="s">
        <v>6090</v>
      </c>
      <c r="L687" s="1" t="s">
        <v>9374</v>
      </c>
      <c r="M687" s="1" t="s">
        <v>9375</v>
      </c>
      <c r="N687" s="1"/>
      <c r="O687" s="1"/>
      <c r="P687" s="1"/>
      <c r="Q687" s="1"/>
      <c r="R687" s="1" t="s">
        <v>9376</v>
      </c>
      <c r="S687" s="1" t="s">
        <v>9377</v>
      </c>
      <c r="T687" s="1" t="s">
        <v>9303</v>
      </c>
      <c r="U687" s="1" t="s">
        <v>6096</v>
      </c>
      <c r="V687" s="1" t="s">
        <v>6184</v>
      </c>
      <c r="W687" s="1" t="s">
        <v>9304</v>
      </c>
    </row>
    <row r="688" spans="1:23" ht="96" customHeight="1">
      <c r="A688" s="1" t="s">
        <v>5116</v>
      </c>
      <c r="B688" s="1" t="s">
        <v>6189</v>
      </c>
      <c r="C688" s="1" t="s">
        <v>9378</v>
      </c>
      <c r="D688" s="1" t="s">
        <v>4747</v>
      </c>
      <c r="E688" s="1" t="s">
        <v>9379</v>
      </c>
      <c r="F688" s="1" t="s">
        <v>6138</v>
      </c>
      <c r="G688" s="1" t="s">
        <v>9298</v>
      </c>
      <c r="H688" s="1" t="s">
        <v>6089</v>
      </c>
      <c r="I688" s="1"/>
      <c r="J688" s="1"/>
      <c r="K688" s="1" t="s">
        <v>6090</v>
      </c>
      <c r="L688" s="1" t="s">
        <v>9380</v>
      </c>
      <c r="M688" s="1" t="s">
        <v>9381</v>
      </c>
      <c r="N688" s="1"/>
      <c r="O688" s="1"/>
      <c r="P688" s="1"/>
      <c r="Q688" s="1"/>
      <c r="R688" s="1" t="s">
        <v>9382</v>
      </c>
      <c r="S688" s="1" t="s">
        <v>9383</v>
      </c>
      <c r="T688" s="1" t="s">
        <v>9303</v>
      </c>
      <c r="U688" s="1" t="s">
        <v>6096</v>
      </c>
      <c r="V688" s="1" t="s">
        <v>6184</v>
      </c>
      <c r="W688" s="1" t="s">
        <v>9304</v>
      </c>
    </row>
    <row r="689" spans="1:23" ht="48" customHeight="1">
      <c r="A689" s="1" t="s">
        <v>5116</v>
      </c>
      <c r="B689" s="1" t="s">
        <v>6196</v>
      </c>
      <c r="C689" s="1" t="s">
        <v>6197</v>
      </c>
      <c r="D689" s="1" t="s">
        <v>4747</v>
      </c>
      <c r="E689" s="1"/>
      <c r="F689" s="1" t="s">
        <v>6110</v>
      </c>
      <c r="G689" s="1" t="s">
        <v>9298</v>
      </c>
      <c r="H689" s="1" t="s">
        <v>6089</v>
      </c>
      <c r="I689" s="1"/>
      <c r="J689" s="1"/>
      <c r="K689" s="1" t="s">
        <v>6090</v>
      </c>
      <c r="L689" s="1" t="s">
        <v>9384</v>
      </c>
      <c r="M689" s="1" t="s">
        <v>9385</v>
      </c>
      <c r="N689" s="1"/>
      <c r="O689" s="1"/>
      <c r="P689" s="1"/>
      <c r="Q689" s="1"/>
      <c r="R689" s="1"/>
      <c r="S689" s="1"/>
      <c r="T689" s="1"/>
      <c r="U689" s="1"/>
      <c r="V689" s="1"/>
      <c r="W689" s="1"/>
    </row>
    <row r="690" spans="1:23" ht="48" customHeight="1">
      <c r="A690" s="1" t="s">
        <v>5116</v>
      </c>
      <c r="B690" s="1" t="s">
        <v>6200</v>
      </c>
      <c r="C690" s="1" t="s">
        <v>9386</v>
      </c>
      <c r="D690" s="1" t="s">
        <v>4747</v>
      </c>
      <c r="E690" s="1" t="s">
        <v>9387</v>
      </c>
      <c r="F690" s="1" t="s">
        <v>6163</v>
      </c>
      <c r="G690" s="1" t="s">
        <v>9298</v>
      </c>
      <c r="H690" s="1" t="s">
        <v>6089</v>
      </c>
      <c r="I690" s="1"/>
      <c r="J690" s="1"/>
      <c r="K690" s="1" t="s">
        <v>6090</v>
      </c>
      <c r="L690" s="1" t="s">
        <v>9388</v>
      </c>
      <c r="M690" s="1" t="s">
        <v>9389</v>
      </c>
      <c r="N690" s="1"/>
      <c r="O690" s="1"/>
      <c r="P690" s="1"/>
      <c r="Q690" s="1"/>
      <c r="R690" s="1" t="s">
        <v>9390</v>
      </c>
      <c r="S690" s="1" t="s">
        <v>7154</v>
      </c>
      <c r="T690" s="1" t="s">
        <v>9303</v>
      </c>
      <c r="U690" s="1" t="s">
        <v>6096</v>
      </c>
      <c r="V690" s="1" t="s">
        <v>6168</v>
      </c>
      <c r="W690" s="1" t="s">
        <v>9304</v>
      </c>
    </row>
    <row r="691" spans="1:23" ht="96" customHeight="1">
      <c r="A691" s="1" t="s">
        <v>5116</v>
      </c>
      <c r="B691" s="1" t="s">
        <v>5583</v>
      </c>
      <c r="C691" s="1" t="s">
        <v>4747</v>
      </c>
      <c r="D691" s="1" t="s">
        <v>4747</v>
      </c>
      <c r="E691" s="1" t="s">
        <v>9391</v>
      </c>
      <c r="F691" s="1" t="s">
        <v>6138</v>
      </c>
      <c r="G691" s="1" t="s">
        <v>9298</v>
      </c>
      <c r="H691" s="1" t="s">
        <v>6089</v>
      </c>
      <c r="I691" s="1"/>
      <c r="J691" s="1"/>
      <c r="K691" s="1" t="s">
        <v>6090</v>
      </c>
      <c r="L691" s="1" t="s">
        <v>9392</v>
      </c>
      <c r="M691" s="1" t="s">
        <v>9393</v>
      </c>
      <c r="N691" s="1"/>
      <c r="O691" s="1"/>
      <c r="P691" s="1"/>
      <c r="Q691" s="1"/>
      <c r="R691" s="1" t="s">
        <v>9394</v>
      </c>
      <c r="S691" s="1" t="s">
        <v>9395</v>
      </c>
      <c r="T691" s="1" t="s">
        <v>9303</v>
      </c>
      <c r="U691" s="1" t="s">
        <v>6096</v>
      </c>
      <c r="V691" s="1" t="s">
        <v>6184</v>
      </c>
      <c r="W691" s="1" t="s">
        <v>9304</v>
      </c>
    </row>
    <row r="692" spans="1:23" ht="48" customHeight="1">
      <c r="A692" s="1" t="s">
        <v>5116</v>
      </c>
      <c r="B692" s="1" t="s">
        <v>6209</v>
      </c>
      <c r="C692" s="1" t="s">
        <v>4747</v>
      </c>
      <c r="D692" s="1" t="s">
        <v>4747</v>
      </c>
      <c r="E692" s="1" t="s">
        <v>4747</v>
      </c>
      <c r="F692" s="1" t="s">
        <v>6186</v>
      </c>
      <c r="G692" s="1" t="s">
        <v>9298</v>
      </c>
      <c r="H692" s="1" t="s">
        <v>6089</v>
      </c>
      <c r="I692" s="1"/>
      <c r="J692" s="1"/>
      <c r="K692" s="1" t="s">
        <v>6090</v>
      </c>
      <c r="L692" s="1" t="s">
        <v>9396</v>
      </c>
      <c r="M692" s="1" t="s">
        <v>9397</v>
      </c>
      <c r="N692" s="1"/>
      <c r="O692" s="1"/>
      <c r="P692" s="1"/>
      <c r="Q692" s="1"/>
      <c r="R692" s="1"/>
      <c r="S692" s="1"/>
      <c r="T692" s="1"/>
      <c r="U692" s="1"/>
      <c r="V692" s="1"/>
      <c r="W692" s="1"/>
    </row>
    <row r="693" spans="1:23" ht="48" customHeight="1">
      <c r="A693" s="1" t="s">
        <v>5116</v>
      </c>
      <c r="B693" s="1" t="s">
        <v>6212</v>
      </c>
      <c r="C693" s="1" t="s">
        <v>9398</v>
      </c>
      <c r="D693" s="1" t="s">
        <v>4747</v>
      </c>
      <c r="E693" s="1"/>
      <c r="F693" s="1" t="s">
        <v>6110</v>
      </c>
      <c r="G693" s="1" t="s">
        <v>9298</v>
      </c>
      <c r="H693" s="1" t="s">
        <v>6089</v>
      </c>
      <c r="I693" s="1"/>
      <c r="J693" s="1"/>
      <c r="K693" s="1" t="s">
        <v>6090</v>
      </c>
      <c r="L693" s="1" t="s">
        <v>9399</v>
      </c>
      <c r="M693" s="1" t="s">
        <v>9400</v>
      </c>
      <c r="N693" s="1"/>
      <c r="O693" s="1"/>
      <c r="P693" s="1"/>
      <c r="Q693" s="1"/>
      <c r="R693" s="1"/>
      <c r="S693" s="1"/>
      <c r="T693" s="1"/>
      <c r="U693" s="1"/>
      <c r="V693" s="1"/>
      <c r="W693" s="1"/>
    </row>
    <row r="694" spans="1:23" ht="48" customHeight="1">
      <c r="A694" s="1" t="s">
        <v>5116</v>
      </c>
      <c r="B694" s="1" t="s">
        <v>6215</v>
      </c>
      <c r="C694" s="1"/>
      <c r="D694" s="1" t="s">
        <v>4747</v>
      </c>
      <c r="E694" s="1"/>
      <c r="F694" s="1" t="s">
        <v>6216</v>
      </c>
      <c r="G694" s="1"/>
      <c r="H694" s="1" t="s">
        <v>6089</v>
      </c>
      <c r="I694" s="1"/>
      <c r="J694" s="1"/>
      <c r="K694" s="1" t="s">
        <v>6090</v>
      </c>
      <c r="L694" s="1"/>
      <c r="M694" s="1" t="s">
        <v>9401</v>
      </c>
      <c r="N694" s="1"/>
      <c r="O694" s="1"/>
      <c r="P694" s="1"/>
      <c r="Q694" s="1"/>
      <c r="R694" s="1"/>
      <c r="S694" s="1"/>
      <c r="T694" s="1"/>
      <c r="U694" s="1"/>
      <c r="V694" s="1"/>
      <c r="W694" s="1"/>
    </row>
    <row r="695" spans="1:23" ht="48" customHeight="1">
      <c r="A695" s="1" t="s">
        <v>5116</v>
      </c>
      <c r="B695" s="1" t="s">
        <v>6218</v>
      </c>
      <c r="C695" s="1" t="s">
        <v>9402</v>
      </c>
      <c r="D695" s="1" t="s">
        <v>4747</v>
      </c>
      <c r="E695" s="1"/>
      <c r="F695" s="1" t="s">
        <v>6110</v>
      </c>
      <c r="G695" s="1" t="s">
        <v>9298</v>
      </c>
      <c r="H695" s="1" t="s">
        <v>6089</v>
      </c>
      <c r="I695" s="1"/>
      <c r="J695" s="1"/>
      <c r="K695" s="1" t="s">
        <v>6090</v>
      </c>
      <c r="L695" s="1" t="s">
        <v>9403</v>
      </c>
      <c r="M695" s="1" t="s">
        <v>9404</v>
      </c>
      <c r="N695" s="1"/>
      <c r="O695" s="1"/>
      <c r="P695" s="1"/>
      <c r="Q695" s="1"/>
      <c r="R695" s="1"/>
      <c r="S695" s="1"/>
      <c r="T695" s="1"/>
      <c r="U695" s="1"/>
      <c r="V695" s="1"/>
      <c r="W695" s="1"/>
    </row>
    <row r="696" spans="1:23" ht="48" customHeight="1">
      <c r="A696" s="1" t="s">
        <v>5116</v>
      </c>
      <c r="B696" s="1" t="s">
        <v>6222</v>
      </c>
      <c r="C696" s="1" t="s">
        <v>9405</v>
      </c>
      <c r="D696" s="1" t="s">
        <v>9406</v>
      </c>
      <c r="E696" s="1"/>
      <c r="F696" s="1" t="s">
        <v>6110</v>
      </c>
      <c r="G696" s="1" t="s">
        <v>9298</v>
      </c>
      <c r="H696" s="1" t="s">
        <v>6089</v>
      </c>
      <c r="I696" s="1"/>
      <c r="J696" s="1"/>
      <c r="K696" s="1" t="s">
        <v>6090</v>
      </c>
      <c r="L696" s="1" t="s">
        <v>9407</v>
      </c>
      <c r="M696" s="1" t="s">
        <v>9408</v>
      </c>
      <c r="N696" s="1"/>
      <c r="O696" s="1"/>
      <c r="P696" s="1"/>
      <c r="Q696" s="1"/>
      <c r="R696" s="1"/>
      <c r="S696" s="1"/>
      <c r="T696" s="1"/>
      <c r="U696" s="1"/>
      <c r="V696" s="1"/>
      <c r="W696" s="1"/>
    </row>
    <row r="697" spans="1:23" ht="48" customHeight="1">
      <c r="A697" s="1" t="s">
        <v>5116</v>
      </c>
      <c r="B697" s="1" t="s">
        <v>6227</v>
      </c>
      <c r="C697" s="1" t="s">
        <v>9409</v>
      </c>
      <c r="D697" s="1" t="s">
        <v>9410</v>
      </c>
      <c r="E697" s="1"/>
      <c r="F697" s="1" t="s">
        <v>6110</v>
      </c>
      <c r="G697" s="1" t="s">
        <v>9298</v>
      </c>
      <c r="H697" s="1" t="s">
        <v>6089</v>
      </c>
      <c r="I697" s="1"/>
      <c r="J697" s="1"/>
      <c r="K697" s="1" t="s">
        <v>6090</v>
      </c>
      <c r="L697" s="1" t="s">
        <v>9411</v>
      </c>
      <c r="M697" s="1" t="s">
        <v>9412</v>
      </c>
      <c r="N697" s="1"/>
      <c r="O697" s="1"/>
      <c r="P697" s="1"/>
      <c r="Q697" s="1"/>
      <c r="R697" s="1"/>
      <c r="S697" s="1"/>
      <c r="T697" s="1"/>
      <c r="U697" s="1"/>
      <c r="V697" s="1"/>
      <c r="W697" s="1"/>
    </row>
    <row r="698" spans="1:23" ht="48" customHeight="1">
      <c r="A698" s="1" t="s">
        <v>5116</v>
      </c>
      <c r="B698" s="1" t="s">
        <v>6232</v>
      </c>
      <c r="C698" s="1" t="s">
        <v>4747</v>
      </c>
      <c r="D698" s="1" t="s">
        <v>4747</v>
      </c>
      <c r="E698" s="1" t="s">
        <v>4747</v>
      </c>
      <c r="F698" s="1" t="s">
        <v>6186</v>
      </c>
      <c r="G698" s="1" t="s">
        <v>9298</v>
      </c>
      <c r="H698" s="1" t="s">
        <v>6089</v>
      </c>
      <c r="I698" s="1"/>
      <c r="J698" s="1"/>
      <c r="K698" s="1" t="s">
        <v>6090</v>
      </c>
      <c r="L698" s="1" t="s">
        <v>9413</v>
      </c>
      <c r="M698" s="1" t="s">
        <v>9414</v>
      </c>
      <c r="N698" s="1"/>
      <c r="O698" s="1"/>
      <c r="P698" s="1"/>
      <c r="Q698" s="1"/>
      <c r="R698" s="1"/>
      <c r="S698" s="1"/>
      <c r="T698" s="1"/>
      <c r="U698" s="1"/>
      <c r="V698" s="1"/>
      <c r="W698" s="1"/>
    </row>
    <row r="699" spans="1:23" ht="108" customHeight="1">
      <c r="A699" s="1" t="s">
        <v>5116</v>
      </c>
      <c r="B699" s="1" t="s">
        <v>6236</v>
      </c>
      <c r="C699" s="1" t="s">
        <v>9415</v>
      </c>
      <c r="D699" s="1" t="s">
        <v>9416</v>
      </c>
      <c r="E699" s="1" t="s">
        <v>9417</v>
      </c>
      <c r="F699" s="1" t="s">
        <v>6900</v>
      </c>
      <c r="G699" s="1" t="s">
        <v>9298</v>
      </c>
      <c r="H699" s="1" t="s">
        <v>6089</v>
      </c>
      <c r="I699" s="1"/>
      <c r="J699" s="1"/>
      <c r="K699" s="1" t="s">
        <v>6090</v>
      </c>
      <c r="L699" s="1" t="s">
        <v>9418</v>
      </c>
      <c r="M699" s="1" t="s">
        <v>9419</v>
      </c>
      <c r="N699" s="1"/>
      <c r="O699" s="1"/>
      <c r="P699" s="1"/>
      <c r="Q699" s="1"/>
      <c r="R699" s="1" t="s">
        <v>9420</v>
      </c>
      <c r="S699" s="1" t="s">
        <v>9421</v>
      </c>
      <c r="T699" s="1" t="s">
        <v>9422</v>
      </c>
      <c r="U699" s="1" t="s">
        <v>6096</v>
      </c>
      <c r="V699" s="1" t="s">
        <v>9423</v>
      </c>
      <c r="W699" s="1" t="s">
        <v>9424</v>
      </c>
    </row>
    <row r="700" spans="1:23" ht="48" customHeight="1">
      <c r="A700" s="1" t="s">
        <v>5116</v>
      </c>
      <c r="B700" s="1" t="s">
        <v>6245</v>
      </c>
      <c r="C700" s="1" t="s">
        <v>9425</v>
      </c>
      <c r="D700" s="1"/>
      <c r="E700" s="1"/>
      <c r="F700" s="1" t="s">
        <v>6216</v>
      </c>
      <c r="G700" s="1" t="s">
        <v>9298</v>
      </c>
      <c r="H700" s="1"/>
      <c r="I700" s="1"/>
      <c r="J700" s="1"/>
      <c r="K700" s="1" t="s">
        <v>6090</v>
      </c>
      <c r="L700" s="1" t="s">
        <v>9426</v>
      </c>
      <c r="M700" s="1"/>
      <c r="N700" s="1"/>
      <c r="O700" s="1"/>
      <c r="P700" s="1"/>
      <c r="Q700" s="1"/>
      <c r="R700" s="1"/>
      <c r="S700" s="1"/>
      <c r="T700" s="1"/>
      <c r="U700" s="1"/>
      <c r="V700" s="1"/>
      <c r="W700" s="1"/>
    </row>
    <row r="701" spans="1:23" ht="48" customHeight="1">
      <c r="A701" s="1" t="s">
        <v>5116</v>
      </c>
      <c r="B701" s="1" t="s">
        <v>6248</v>
      </c>
      <c r="C701" s="1" t="s">
        <v>9427</v>
      </c>
      <c r="D701" s="1"/>
      <c r="E701" s="1"/>
      <c r="F701" s="1" t="s">
        <v>6216</v>
      </c>
      <c r="G701" s="1" t="s">
        <v>9298</v>
      </c>
      <c r="H701" s="1"/>
      <c r="I701" s="1"/>
      <c r="J701" s="1"/>
      <c r="K701" s="1" t="s">
        <v>6090</v>
      </c>
      <c r="L701" s="1" t="s">
        <v>9428</v>
      </c>
      <c r="M701" s="1"/>
      <c r="N701" s="1"/>
      <c r="O701" s="1"/>
      <c r="P701" s="1"/>
      <c r="Q701" s="1"/>
      <c r="R701" s="1"/>
      <c r="S701" s="1"/>
      <c r="T701" s="1"/>
      <c r="U701" s="1"/>
      <c r="V701" s="1"/>
      <c r="W701" s="1"/>
    </row>
    <row r="702" spans="1:23" ht="48" customHeight="1">
      <c r="A702" s="1" t="s">
        <v>5133</v>
      </c>
      <c r="B702" s="1" t="s">
        <v>6083</v>
      </c>
      <c r="C702" s="1" t="s">
        <v>9429</v>
      </c>
      <c r="D702" s="1" t="s">
        <v>9430</v>
      </c>
      <c r="E702" s="1" t="s">
        <v>7327</v>
      </c>
      <c r="F702" s="1" t="s">
        <v>6087</v>
      </c>
      <c r="G702" s="1" t="s">
        <v>9431</v>
      </c>
      <c r="H702" s="1" t="s">
        <v>6089</v>
      </c>
      <c r="I702" s="1"/>
      <c r="J702" s="1"/>
      <c r="K702" s="1" t="s">
        <v>6090</v>
      </c>
      <c r="L702" s="1" t="s">
        <v>9432</v>
      </c>
      <c r="M702" s="1" t="s">
        <v>9433</v>
      </c>
      <c r="N702" s="1"/>
      <c r="O702" s="1"/>
      <c r="P702" s="1"/>
      <c r="Q702" s="1"/>
      <c r="R702" s="1" t="s">
        <v>9434</v>
      </c>
      <c r="S702" s="1" t="s">
        <v>9435</v>
      </c>
      <c r="T702" s="1" t="s">
        <v>9436</v>
      </c>
      <c r="U702" s="1" t="s">
        <v>6096</v>
      </c>
      <c r="V702" s="1" t="s">
        <v>6097</v>
      </c>
      <c r="W702" s="1" t="s">
        <v>9437</v>
      </c>
    </row>
    <row r="703" spans="1:23" ht="48" customHeight="1">
      <c r="A703" s="1" t="s">
        <v>5133</v>
      </c>
      <c r="B703" s="1" t="s">
        <v>6099</v>
      </c>
      <c r="C703" s="1" t="s">
        <v>9438</v>
      </c>
      <c r="D703" s="1" t="s">
        <v>9439</v>
      </c>
      <c r="E703" s="1" t="s">
        <v>6102</v>
      </c>
      <c r="F703" s="1" t="s">
        <v>6087</v>
      </c>
      <c r="G703" s="1" t="s">
        <v>9431</v>
      </c>
      <c r="H703" s="1" t="s">
        <v>6089</v>
      </c>
      <c r="I703" s="1"/>
      <c r="J703" s="1"/>
      <c r="K703" s="1" t="s">
        <v>6090</v>
      </c>
      <c r="L703" s="1" t="s">
        <v>9440</v>
      </c>
      <c r="M703" s="1" t="s">
        <v>9441</v>
      </c>
      <c r="N703" s="1"/>
      <c r="O703" s="1"/>
      <c r="P703" s="1"/>
      <c r="Q703" s="1"/>
      <c r="R703" s="1" t="s">
        <v>9442</v>
      </c>
      <c r="S703" s="1" t="s">
        <v>9443</v>
      </c>
      <c r="T703" s="1" t="s">
        <v>9436</v>
      </c>
      <c r="U703" s="1" t="s">
        <v>6096</v>
      </c>
      <c r="V703" s="1" t="s">
        <v>6097</v>
      </c>
      <c r="W703" s="1" t="s">
        <v>9437</v>
      </c>
    </row>
    <row r="704" spans="1:23" ht="48" customHeight="1">
      <c r="A704" s="1" t="s">
        <v>5133</v>
      </c>
      <c r="B704" s="1" t="s">
        <v>6107</v>
      </c>
      <c r="C704" s="1" t="s">
        <v>9444</v>
      </c>
      <c r="D704" s="1" t="s">
        <v>8038</v>
      </c>
      <c r="E704" s="1"/>
      <c r="F704" s="1" t="s">
        <v>6110</v>
      </c>
      <c r="G704" s="1" t="s">
        <v>9431</v>
      </c>
      <c r="H704" s="1" t="s">
        <v>6089</v>
      </c>
      <c r="I704" s="1"/>
      <c r="J704" s="1"/>
      <c r="K704" s="1" t="s">
        <v>6090</v>
      </c>
      <c r="L704" s="1" t="s">
        <v>9445</v>
      </c>
      <c r="M704" s="1" t="s">
        <v>9446</v>
      </c>
      <c r="N704" s="1"/>
      <c r="O704" s="1"/>
      <c r="P704" s="1"/>
      <c r="Q704" s="1"/>
      <c r="R704" s="1"/>
      <c r="S704" s="1"/>
      <c r="T704" s="1"/>
      <c r="U704" s="1"/>
      <c r="V704" s="1"/>
      <c r="W704" s="1"/>
    </row>
    <row r="705" spans="1:23" ht="48" customHeight="1">
      <c r="A705" s="1" t="s">
        <v>5133</v>
      </c>
      <c r="B705" s="1" t="s">
        <v>6113</v>
      </c>
      <c r="C705" s="1" t="s">
        <v>9447</v>
      </c>
      <c r="D705" s="1" t="s">
        <v>9448</v>
      </c>
      <c r="E705" s="1"/>
      <c r="F705" s="1" t="s">
        <v>6110</v>
      </c>
      <c r="G705" s="1" t="s">
        <v>9431</v>
      </c>
      <c r="H705" s="1" t="s">
        <v>6089</v>
      </c>
      <c r="I705" s="1"/>
      <c r="J705" s="1"/>
      <c r="K705" s="1" t="s">
        <v>6090</v>
      </c>
      <c r="L705" s="1" t="s">
        <v>9449</v>
      </c>
      <c r="M705" s="1" t="s">
        <v>9450</v>
      </c>
      <c r="N705" s="1"/>
      <c r="O705" s="1"/>
      <c r="P705" s="1"/>
      <c r="Q705" s="1"/>
      <c r="R705" s="1"/>
      <c r="S705" s="1"/>
      <c r="T705" s="1"/>
      <c r="U705" s="1"/>
      <c r="V705" s="1"/>
      <c r="W705" s="1"/>
    </row>
    <row r="706" spans="1:23" ht="48" customHeight="1">
      <c r="A706" s="1" t="s">
        <v>5133</v>
      </c>
      <c r="B706" s="1" t="s">
        <v>6118</v>
      </c>
      <c r="C706" s="1" t="s">
        <v>9451</v>
      </c>
      <c r="D706" s="1" t="s">
        <v>9452</v>
      </c>
      <c r="E706" s="1" t="s">
        <v>9453</v>
      </c>
      <c r="F706" s="1" t="s">
        <v>6087</v>
      </c>
      <c r="G706" s="1" t="s">
        <v>9431</v>
      </c>
      <c r="H706" s="1" t="s">
        <v>6089</v>
      </c>
      <c r="I706" s="1"/>
      <c r="J706" s="1"/>
      <c r="K706" s="1" t="s">
        <v>6090</v>
      </c>
      <c r="L706" s="1" t="s">
        <v>9454</v>
      </c>
      <c r="M706" s="1" t="s">
        <v>9455</v>
      </c>
      <c r="N706" s="1"/>
      <c r="O706" s="1"/>
      <c r="P706" s="1"/>
      <c r="Q706" s="1"/>
      <c r="R706" s="1" t="s">
        <v>9456</v>
      </c>
      <c r="S706" s="1" t="s">
        <v>9457</v>
      </c>
      <c r="T706" s="1" t="s">
        <v>9436</v>
      </c>
      <c r="U706" s="1" t="s">
        <v>6096</v>
      </c>
      <c r="V706" s="1" t="s">
        <v>6097</v>
      </c>
      <c r="W706" s="1" t="s">
        <v>9437</v>
      </c>
    </row>
    <row r="707" spans="1:23" ht="48" customHeight="1">
      <c r="A707" s="1" t="s">
        <v>5133</v>
      </c>
      <c r="B707" s="1" t="s">
        <v>6126</v>
      </c>
      <c r="C707" s="1" t="s">
        <v>9458</v>
      </c>
      <c r="D707" s="1" t="s">
        <v>9459</v>
      </c>
      <c r="E707" s="1" t="s">
        <v>9460</v>
      </c>
      <c r="F707" s="1" t="s">
        <v>6087</v>
      </c>
      <c r="G707" s="1" t="s">
        <v>9431</v>
      </c>
      <c r="H707" s="1" t="s">
        <v>6089</v>
      </c>
      <c r="I707" s="1"/>
      <c r="J707" s="1"/>
      <c r="K707" s="1" t="s">
        <v>6090</v>
      </c>
      <c r="L707" s="1" t="s">
        <v>9461</v>
      </c>
      <c r="M707" s="1" t="s">
        <v>9462</v>
      </c>
      <c r="N707" s="1"/>
      <c r="O707" s="1"/>
      <c r="P707" s="1"/>
      <c r="Q707" s="1"/>
      <c r="R707" s="1" t="s">
        <v>9463</v>
      </c>
      <c r="S707" s="1" t="s">
        <v>9464</v>
      </c>
      <c r="T707" s="1" t="s">
        <v>9436</v>
      </c>
      <c r="U707" s="1" t="s">
        <v>6096</v>
      </c>
      <c r="V707" s="1" t="s">
        <v>6097</v>
      </c>
      <c r="W707" s="1" t="s">
        <v>9437</v>
      </c>
    </row>
    <row r="708" spans="1:23" ht="60" customHeight="1">
      <c r="A708" s="1" t="s">
        <v>5133</v>
      </c>
      <c r="B708" s="1" t="s">
        <v>6134</v>
      </c>
      <c r="C708" s="1" t="s">
        <v>6286</v>
      </c>
      <c r="D708" s="1" t="s">
        <v>9465</v>
      </c>
      <c r="E708" s="1" t="s">
        <v>9466</v>
      </c>
      <c r="F708" s="1" t="s">
        <v>6138</v>
      </c>
      <c r="G708" s="1" t="s">
        <v>9431</v>
      </c>
      <c r="H708" s="1" t="s">
        <v>6089</v>
      </c>
      <c r="I708" s="1" t="s">
        <v>5151</v>
      </c>
      <c r="J708" s="1" t="s">
        <v>5150</v>
      </c>
      <c r="K708" s="1" t="s">
        <v>6289</v>
      </c>
      <c r="L708" s="1" t="s">
        <v>9467</v>
      </c>
      <c r="M708" s="1" t="s">
        <v>9468</v>
      </c>
      <c r="N708" s="1" t="s">
        <v>9469</v>
      </c>
      <c r="O708" s="1"/>
      <c r="P708" s="1"/>
      <c r="Q708" s="1"/>
      <c r="R708" s="1" t="s">
        <v>9470</v>
      </c>
      <c r="S708" s="1" t="s">
        <v>9471</v>
      </c>
      <c r="T708" s="1" t="s">
        <v>9436</v>
      </c>
      <c r="U708" s="1" t="s">
        <v>6096</v>
      </c>
      <c r="V708" s="1" t="s">
        <v>6295</v>
      </c>
      <c r="W708" s="1" t="s">
        <v>9437</v>
      </c>
    </row>
    <row r="709" spans="1:23" ht="60" customHeight="1">
      <c r="A709" s="1" t="s">
        <v>5133</v>
      </c>
      <c r="B709" s="1" t="s">
        <v>6144</v>
      </c>
      <c r="C709" s="1" t="s">
        <v>9472</v>
      </c>
      <c r="D709" s="1" t="s">
        <v>4747</v>
      </c>
      <c r="E709" s="1" t="s">
        <v>9473</v>
      </c>
      <c r="F709" s="1" t="s">
        <v>6138</v>
      </c>
      <c r="G709" s="1" t="s">
        <v>9431</v>
      </c>
      <c r="H709" s="1" t="s">
        <v>6089</v>
      </c>
      <c r="I709" s="1"/>
      <c r="J709" s="1"/>
      <c r="K709" s="1" t="s">
        <v>6090</v>
      </c>
      <c r="L709" s="1" t="s">
        <v>9474</v>
      </c>
      <c r="M709" s="1" t="s">
        <v>9475</v>
      </c>
      <c r="N709" s="1"/>
      <c r="O709" s="1"/>
      <c r="P709" s="1"/>
      <c r="Q709" s="1"/>
      <c r="R709" s="1" t="s">
        <v>9476</v>
      </c>
      <c r="S709" s="1" t="s">
        <v>9471</v>
      </c>
      <c r="T709" s="1" t="s">
        <v>9436</v>
      </c>
      <c r="U709" s="1" t="s">
        <v>6096</v>
      </c>
      <c r="V709" s="1" t="s">
        <v>6295</v>
      </c>
      <c r="W709" s="1" t="s">
        <v>9437</v>
      </c>
    </row>
    <row r="710" spans="1:23" ht="60" customHeight="1">
      <c r="A710" s="1" t="s">
        <v>5133</v>
      </c>
      <c r="B710" s="1" t="s">
        <v>6149</v>
      </c>
      <c r="C710" s="1" t="s">
        <v>5760</v>
      </c>
      <c r="D710" s="1" t="s">
        <v>9477</v>
      </c>
      <c r="E710" s="1" t="s">
        <v>9478</v>
      </c>
      <c r="F710" s="1" t="s">
        <v>6138</v>
      </c>
      <c r="G710" s="1" t="s">
        <v>9431</v>
      </c>
      <c r="H710" s="1" t="s">
        <v>6089</v>
      </c>
      <c r="I710" s="1"/>
      <c r="J710" s="1"/>
      <c r="K710" s="1" t="s">
        <v>6090</v>
      </c>
      <c r="L710" s="1" t="s">
        <v>9479</v>
      </c>
      <c r="M710" s="1" t="s">
        <v>9480</v>
      </c>
      <c r="N710" s="1"/>
      <c r="O710" s="1"/>
      <c r="P710" s="1"/>
      <c r="Q710" s="1"/>
      <c r="R710" s="1" t="s">
        <v>9481</v>
      </c>
      <c r="S710" s="1" t="s">
        <v>9482</v>
      </c>
      <c r="T710" s="1" t="s">
        <v>9436</v>
      </c>
      <c r="U710" s="1" t="s">
        <v>6096</v>
      </c>
      <c r="V710" s="1" t="s">
        <v>6295</v>
      </c>
      <c r="W710" s="1" t="s">
        <v>9437</v>
      </c>
    </row>
    <row r="711" spans="1:23" ht="60" customHeight="1">
      <c r="A711" s="1" t="s">
        <v>5133</v>
      </c>
      <c r="B711" s="1" t="s">
        <v>6154</v>
      </c>
      <c r="C711" s="1" t="s">
        <v>5155</v>
      </c>
      <c r="D711" s="1" t="s">
        <v>9483</v>
      </c>
      <c r="E711" s="1" t="s">
        <v>9484</v>
      </c>
      <c r="F711" s="1" t="s">
        <v>6138</v>
      </c>
      <c r="G711" s="1" t="s">
        <v>9431</v>
      </c>
      <c r="H711" s="1" t="s">
        <v>6089</v>
      </c>
      <c r="I711" s="1"/>
      <c r="J711" s="1"/>
      <c r="K711" s="1" t="s">
        <v>6090</v>
      </c>
      <c r="L711" s="1" t="s">
        <v>9485</v>
      </c>
      <c r="M711" s="1" t="s">
        <v>9486</v>
      </c>
      <c r="N711" s="1"/>
      <c r="O711" s="1"/>
      <c r="P711" s="1"/>
      <c r="Q711" s="1"/>
      <c r="R711" s="1" t="s">
        <v>9487</v>
      </c>
      <c r="S711" s="1" t="s">
        <v>9471</v>
      </c>
      <c r="T711" s="1" t="s">
        <v>9436</v>
      </c>
      <c r="U711" s="1" t="s">
        <v>6096</v>
      </c>
      <c r="V711" s="1" t="s">
        <v>6295</v>
      </c>
      <c r="W711" s="1" t="s">
        <v>9437</v>
      </c>
    </row>
    <row r="712" spans="1:23" ht="48" customHeight="1">
      <c r="A712" s="1" t="s">
        <v>5133</v>
      </c>
      <c r="B712" s="1" t="s">
        <v>6159</v>
      </c>
      <c r="C712" s="1" t="s">
        <v>9488</v>
      </c>
      <c r="D712" s="1" t="s">
        <v>9489</v>
      </c>
      <c r="E712" s="1" t="s">
        <v>9490</v>
      </c>
      <c r="F712" s="1" t="s">
        <v>6163</v>
      </c>
      <c r="G712" s="1" t="s">
        <v>9431</v>
      </c>
      <c r="H712" s="1" t="s">
        <v>6089</v>
      </c>
      <c r="I712" s="1"/>
      <c r="J712" s="1"/>
      <c r="K712" s="1" t="s">
        <v>6090</v>
      </c>
      <c r="L712" s="1" t="s">
        <v>9491</v>
      </c>
      <c r="M712" s="1" t="s">
        <v>9492</v>
      </c>
      <c r="N712" s="1"/>
      <c r="O712" s="1"/>
      <c r="P712" s="1"/>
      <c r="Q712" s="1"/>
      <c r="R712" s="1" t="s">
        <v>9493</v>
      </c>
      <c r="S712" s="1" t="s">
        <v>9494</v>
      </c>
      <c r="T712" s="1" t="s">
        <v>9436</v>
      </c>
      <c r="U712" s="1" t="s">
        <v>6096</v>
      </c>
      <c r="V712" s="1" t="s">
        <v>6168</v>
      </c>
      <c r="W712" s="1" t="s">
        <v>9437</v>
      </c>
    </row>
    <row r="713" spans="1:23" ht="48" customHeight="1">
      <c r="A713" s="1" t="s">
        <v>5133</v>
      </c>
      <c r="B713" s="1" t="s">
        <v>6169</v>
      </c>
      <c r="C713" s="1" t="s">
        <v>9495</v>
      </c>
      <c r="D713" s="1" t="s">
        <v>9496</v>
      </c>
      <c r="E713" s="1" t="s">
        <v>9497</v>
      </c>
      <c r="F713" s="1" t="s">
        <v>6163</v>
      </c>
      <c r="G713" s="1" t="s">
        <v>9431</v>
      </c>
      <c r="H713" s="1" t="s">
        <v>6089</v>
      </c>
      <c r="I713" s="1"/>
      <c r="J713" s="1"/>
      <c r="K713" s="1" t="s">
        <v>6090</v>
      </c>
      <c r="L713" s="1" t="s">
        <v>9498</v>
      </c>
      <c r="M713" s="1" t="s">
        <v>9499</v>
      </c>
      <c r="N713" s="1"/>
      <c r="O713" s="1"/>
      <c r="P713" s="1"/>
      <c r="Q713" s="1"/>
      <c r="R713" s="1" t="s">
        <v>9500</v>
      </c>
      <c r="S713" s="1" t="s">
        <v>6167</v>
      </c>
      <c r="T713" s="1" t="s">
        <v>9436</v>
      </c>
      <c r="U713" s="1" t="s">
        <v>6096</v>
      </c>
      <c r="V713" s="1" t="s">
        <v>6168</v>
      </c>
      <c r="W713" s="1" t="s">
        <v>9437</v>
      </c>
    </row>
    <row r="714" spans="1:23" ht="96" customHeight="1">
      <c r="A714" s="1" t="s">
        <v>5133</v>
      </c>
      <c r="B714" s="1" t="s">
        <v>6176</v>
      </c>
      <c r="C714" s="1" t="s">
        <v>9501</v>
      </c>
      <c r="D714" s="1" t="s">
        <v>4747</v>
      </c>
      <c r="E714" s="1" t="s">
        <v>9502</v>
      </c>
      <c r="F714" s="1" t="s">
        <v>6138</v>
      </c>
      <c r="G714" s="1" t="s">
        <v>9431</v>
      </c>
      <c r="H714" s="1" t="s">
        <v>6089</v>
      </c>
      <c r="I714" s="1"/>
      <c r="J714" s="1"/>
      <c r="K714" s="1" t="s">
        <v>6090</v>
      </c>
      <c r="L714" s="1" t="s">
        <v>9503</v>
      </c>
      <c r="M714" s="1" t="s">
        <v>9504</v>
      </c>
      <c r="N714" s="1"/>
      <c r="O714" s="1"/>
      <c r="P714" s="1"/>
      <c r="Q714" s="1"/>
      <c r="R714" s="1" t="s">
        <v>9505</v>
      </c>
      <c r="S714" s="1" t="s">
        <v>9506</v>
      </c>
      <c r="T714" s="1" t="s">
        <v>9436</v>
      </c>
      <c r="U714" s="1" t="s">
        <v>6096</v>
      </c>
      <c r="V714" s="1" t="s">
        <v>6184</v>
      </c>
      <c r="W714" s="1" t="s">
        <v>9437</v>
      </c>
    </row>
    <row r="715" spans="1:23" ht="48" customHeight="1">
      <c r="A715" s="1" t="s">
        <v>5133</v>
      </c>
      <c r="B715" s="1" t="s">
        <v>6185</v>
      </c>
      <c r="C715" s="1" t="s">
        <v>4747</v>
      </c>
      <c r="D715" s="1" t="s">
        <v>4747</v>
      </c>
      <c r="E715" s="1" t="s">
        <v>4747</v>
      </c>
      <c r="F715" s="1" t="s">
        <v>6186</v>
      </c>
      <c r="G715" s="1" t="s">
        <v>9431</v>
      </c>
      <c r="H715" s="1" t="s">
        <v>6089</v>
      </c>
      <c r="I715" s="1"/>
      <c r="J715" s="1"/>
      <c r="K715" s="1" t="s">
        <v>6090</v>
      </c>
      <c r="L715" s="1" t="s">
        <v>9507</v>
      </c>
      <c r="M715" s="1" t="s">
        <v>9508</v>
      </c>
      <c r="N715" s="1"/>
      <c r="O715" s="1"/>
      <c r="P715" s="1"/>
      <c r="Q715" s="1"/>
      <c r="R715" s="1"/>
      <c r="S715" s="1"/>
      <c r="T715" s="1"/>
      <c r="U715" s="1"/>
      <c r="V715" s="1"/>
      <c r="W715" s="1"/>
    </row>
    <row r="716" spans="1:23" ht="96" customHeight="1">
      <c r="A716" s="1" t="s">
        <v>5133</v>
      </c>
      <c r="B716" s="1" t="s">
        <v>6189</v>
      </c>
      <c r="C716" s="1" t="s">
        <v>9509</v>
      </c>
      <c r="D716" s="1" t="s">
        <v>4747</v>
      </c>
      <c r="E716" s="1" t="s">
        <v>9510</v>
      </c>
      <c r="F716" s="1" t="s">
        <v>6138</v>
      </c>
      <c r="G716" s="1" t="s">
        <v>9431</v>
      </c>
      <c r="H716" s="1" t="s">
        <v>6089</v>
      </c>
      <c r="I716" s="1"/>
      <c r="J716" s="1"/>
      <c r="K716" s="1" t="s">
        <v>6090</v>
      </c>
      <c r="L716" s="1" t="s">
        <v>9511</v>
      </c>
      <c r="M716" s="1" t="s">
        <v>9512</v>
      </c>
      <c r="N716" s="1"/>
      <c r="O716" s="1"/>
      <c r="P716" s="1"/>
      <c r="Q716" s="1"/>
      <c r="R716" s="1" t="s">
        <v>9513</v>
      </c>
      <c r="S716" s="1" t="s">
        <v>9514</v>
      </c>
      <c r="T716" s="1" t="s">
        <v>9436</v>
      </c>
      <c r="U716" s="1" t="s">
        <v>6096</v>
      </c>
      <c r="V716" s="1" t="s">
        <v>6184</v>
      </c>
      <c r="W716" s="1" t="s">
        <v>9437</v>
      </c>
    </row>
    <row r="717" spans="1:23" ht="48" customHeight="1">
      <c r="A717" s="1" t="s">
        <v>5133</v>
      </c>
      <c r="B717" s="1" t="s">
        <v>6196</v>
      </c>
      <c r="C717" s="1" t="s">
        <v>9515</v>
      </c>
      <c r="D717" s="1" t="s">
        <v>9516</v>
      </c>
      <c r="E717" s="1" t="s">
        <v>9517</v>
      </c>
      <c r="F717" s="1" t="s">
        <v>6163</v>
      </c>
      <c r="G717" s="1" t="s">
        <v>9431</v>
      </c>
      <c r="H717" s="1" t="s">
        <v>6089</v>
      </c>
      <c r="I717" s="1"/>
      <c r="J717" s="1"/>
      <c r="K717" s="1" t="s">
        <v>6090</v>
      </c>
      <c r="L717" s="1" t="s">
        <v>9518</v>
      </c>
      <c r="M717" s="1" t="s">
        <v>9519</v>
      </c>
      <c r="N717" s="1"/>
      <c r="O717" s="1"/>
      <c r="P717" s="1"/>
      <c r="Q717" s="1"/>
      <c r="R717" s="1" t="s">
        <v>9520</v>
      </c>
      <c r="S717" s="1" t="s">
        <v>9494</v>
      </c>
      <c r="T717" s="1" t="s">
        <v>9436</v>
      </c>
      <c r="U717" s="1" t="s">
        <v>6096</v>
      </c>
      <c r="V717" s="1" t="s">
        <v>6168</v>
      </c>
      <c r="W717" s="1" t="s">
        <v>9437</v>
      </c>
    </row>
    <row r="718" spans="1:23" ht="48" customHeight="1">
      <c r="A718" s="1" t="s">
        <v>5133</v>
      </c>
      <c r="B718" s="1" t="s">
        <v>6200</v>
      </c>
      <c r="C718" s="1" t="s">
        <v>9521</v>
      </c>
      <c r="D718" s="1" t="s">
        <v>9522</v>
      </c>
      <c r="E718" s="1" t="s">
        <v>9523</v>
      </c>
      <c r="F718" s="1" t="s">
        <v>6349</v>
      </c>
      <c r="G718" s="1" t="s">
        <v>9431</v>
      </c>
      <c r="H718" s="1" t="s">
        <v>6089</v>
      </c>
      <c r="I718" s="1"/>
      <c r="J718" s="1"/>
      <c r="K718" s="1" t="s">
        <v>6090</v>
      </c>
      <c r="L718" s="1" t="s">
        <v>9524</v>
      </c>
      <c r="M718" s="1" t="s">
        <v>9525</v>
      </c>
      <c r="N718" s="1"/>
      <c r="O718" s="1"/>
      <c r="P718" s="1"/>
      <c r="Q718" s="1"/>
      <c r="R718" s="1" t="s">
        <v>9526</v>
      </c>
      <c r="S718" s="1" t="s">
        <v>6167</v>
      </c>
      <c r="T718" s="1" t="s">
        <v>9436</v>
      </c>
      <c r="U718" s="1" t="s">
        <v>6096</v>
      </c>
      <c r="V718" s="1" t="s">
        <v>9527</v>
      </c>
      <c r="W718" s="1" t="s">
        <v>9437</v>
      </c>
    </row>
    <row r="719" spans="1:23" ht="48" customHeight="1">
      <c r="A719" s="1" t="s">
        <v>5133</v>
      </c>
      <c r="B719" s="1" t="s">
        <v>5583</v>
      </c>
      <c r="C719" s="1" t="s">
        <v>4747</v>
      </c>
      <c r="D719" s="1" t="s">
        <v>4747</v>
      </c>
      <c r="E719" s="1" t="s">
        <v>4747</v>
      </c>
      <c r="F719" s="1" t="s">
        <v>6186</v>
      </c>
      <c r="G719" s="1" t="s">
        <v>9431</v>
      </c>
      <c r="H719" s="1" t="s">
        <v>6089</v>
      </c>
      <c r="I719" s="1"/>
      <c r="J719" s="1"/>
      <c r="K719" s="1" t="s">
        <v>6090</v>
      </c>
      <c r="L719" s="1" t="s">
        <v>9528</v>
      </c>
      <c r="M719" s="1" t="s">
        <v>9529</v>
      </c>
      <c r="N719" s="1"/>
      <c r="O719" s="1"/>
      <c r="P719" s="1"/>
      <c r="Q719" s="1"/>
      <c r="R719" s="1"/>
      <c r="S719" s="1"/>
      <c r="T719" s="1"/>
      <c r="U719" s="1"/>
      <c r="V719" s="1"/>
      <c r="W719" s="1"/>
    </row>
    <row r="720" spans="1:23" ht="48" customHeight="1">
      <c r="A720" s="1" t="s">
        <v>5133</v>
      </c>
      <c r="B720" s="1" t="s">
        <v>6209</v>
      </c>
      <c r="C720" s="1" t="s">
        <v>4747</v>
      </c>
      <c r="D720" s="1" t="s">
        <v>4747</v>
      </c>
      <c r="E720" s="1" t="s">
        <v>4747</v>
      </c>
      <c r="F720" s="1" t="s">
        <v>6186</v>
      </c>
      <c r="G720" s="1" t="s">
        <v>9431</v>
      </c>
      <c r="H720" s="1" t="s">
        <v>6089</v>
      </c>
      <c r="I720" s="1"/>
      <c r="J720" s="1"/>
      <c r="K720" s="1" t="s">
        <v>6090</v>
      </c>
      <c r="L720" s="1" t="s">
        <v>9530</v>
      </c>
      <c r="M720" s="1" t="s">
        <v>9531</v>
      </c>
      <c r="N720" s="1"/>
      <c r="O720" s="1"/>
      <c r="P720" s="1"/>
      <c r="Q720" s="1"/>
      <c r="R720" s="1"/>
      <c r="S720" s="1"/>
      <c r="T720" s="1"/>
      <c r="U720" s="1"/>
      <c r="V720" s="1"/>
      <c r="W720" s="1"/>
    </row>
    <row r="721" spans="1:23" ht="48" customHeight="1">
      <c r="A721" s="1" t="s">
        <v>5133</v>
      </c>
      <c r="B721" s="1" t="s">
        <v>6212</v>
      </c>
      <c r="C721" s="1" t="s">
        <v>4747</v>
      </c>
      <c r="D721" s="1" t="s">
        <v>4747</v>
      </c>
      <c r="E721" s="1" t="s">
        <v>4747</v>
      </c>
      <c r="F721" s="1" t="s">
        <v>6186</v>
      </c>
      <c r="G721" s="1" t="s">
        <v>9431</v>
      </c>
      <c r="H721" s="1" t="s">
        <v>6089</v>
      </c>
      <c r="I721" s="1"/>
      <c r="J721" s="1"/>
      <c r="K721" s="1" t="s">
        <v>6090</v>
      </c>
      <c r="L721" s="1" t="s">
        <v>9532</v>
      </c>
      <c r="M721" s="1" t="s">
        <v>9533</v>
      </c>
      <c r="N721" s="1"/>
      <c r="O721" s="1"/>
      <c r="P721" s="1"/>
      <c r="Q721" s="1"/>
      <c r="R721" s="1"/>
      <c r="S721" s="1"/>
      <c r="T721" s="1"/>
      <c r="U721" s="1"/>
      <c r="V721" s="1"/>
      <c r="W721" s="1"/>
    </row>
    <row r="722" spans="1:23" ht="48" customHeight="1">
      <c r="A722" s="1" t="s">
        <v>5133</v>
      </c>
      <c r="B722" s="1" t="s">
        <v>6215</v>
      </c>
      <c r="C722" s="1"/>
      <c r="D722" s="1" t="s">
        <v>4747</v>
      </c>
      <c r="E722" s="1"/>
      <c r="F722" s="1" t="s">
        <v>6216</v>
      </c>
      <c r="G722" s="1"/>
      <c r="H722" s="1" t="s">
        <v>6089</v>
      </c>
      <c r="I722" s="1"/>
      <c r="J722" s="1"/>
      <c r="K722" s="1" t="s">
        <v>6090</v>
      </c>
      <c r="L722" s="1"/>
      <c r="M722" s="1" t="s">
        <v>9534</v>
      </c>
      <c r="N722" s="1"/>
      <c r="O722" s="1"/>
      <c r="P722" s="1"/>
      <c r="Q722" s="1"/>
      <c r="R722" s="1"/>
      <c r="S722" s="1"/>
      <c r="T722" s="1"/>
      <c r="U722" s="1"/>
      <c r="V722" s="1"/>
      <c r="W722" s="1"/>
    </row>
    <row r="723" spans="1:23" ht="48" customHeight="1">
      <c r="A723" s="1" t="s">
        <v>5133</v>
      </c>
      <c r="B723" s="1" t="s">
        <v>6218</v>
      </c>
      <c r="C723" s="1" t="s">
        <v>9535</v>
      </c>
      <c r="D723" s="1" t="s">
        <v>9536</v>
      </c>
      <c r="E723" s="1" t="s">
        <v>9537</v>
      </c>
      <c r="F723" s="1" t="s">
        <v>6349</v>
      </c>
      <c r="G723" s="1" t="s">
        <v>9431</v>
      </c>
      <c r="H723" s="1" t="s">
        <v>6089</v>
      </c>
      <c r="I723" s="1"/>
      <c r="J723" s="1"/>
      <c r="K723" s="1" t="s">
        <v>6090</v>
      </c>
      <c r="L723" s="1" t="s">
        <v>9538</v>
      </c>
      <c r="M723" s="1" t="s">
        <v>9539</v>
      </c>
      <c r="N723" s="1"/>
      <c r="O723" s="1"/>
      <c r="P723" s="1"/>
      <c r="Q723" s="1"/>
      <c r="R723" s="1" t="s">
        <v>9540</v>
      </c>
      <c r="S723" s="1" t="s">
        <v>6738</v>
      </c>
      <c r="T723" s="1" t="s">
        <v>9436</v>
      </c>
      <c r="U723" s="1" t="s">
        <v>6096</v>
      </c>
      <c r="V723" s="1" t="s">
        <v>9541</v>
      </c>
      <c r="W723" s="1" t="s">
        <v>9437</v>
      </c>
    </row>
    <row r="724" spans="1:23" ht="48" customHeight="1">
      <c r="A724" s="1" t="s">
        <v>5133</v>
      </c>
      <c r="B724" s="1" t="s">
        <v>6222</v>
      </c>
      <c r="C724" s="1" t="s">
        <v>9542</v>
      </c>
      <c r="D724" s="1" t="s">
        <v>4747</v>
      </c>
      <c r="E724" s="1"/>
      <c r="F724" s="1" t="s">
        <v>6110</v>
      </c>
      <c r="G724" s="1" t="s">
        <v>9431</v>
      </c>
      <c r="H724" s="1" t="s">
        <v>6089</v>
      </c>
      <c r="I724" s="1"/>
      <c r="J724" s="1"/>
      <c r="K724" s="1" t="s">
        <v>6090</v>
      </c>
      <c r="L724" s="1" t="s">
        <v>9543</v>
      </c>
      <c r="M724" s="1" t="s">
        <v>9544</v>
      </c>
      <c r="N724" s="1"/>
      <c r="O724" s="1"/>
      <c r="P724" s="1"/>
      <c r="Q724" s="1"/>
      <c r="R724" s="1"/>
      <c r="S724" s="1"/>
      <c r="T724" s="1"/>
      <c r="U724" s="1"/>
      <c r="V724" s="1"/>
      <c r="W724" s="1"/>
    </row>
    <row r="725" spans="1:23" ht="48" customHeight="1">
      <c r="A725" s="1" t="s">
        <v>5133</v>
      </c>
      <c r="B725" s="1" t="s">
        <v>6227</v>
      </c>
      <c r="C725" s="1" t="s">
        <v>9545</v>
      </c>
      <c r="D725" s="1" t="s">
        <v>9546</v>
      </c>
      <c r="E725" s="1"/>
      <c r="F725" s="1" t="s">
        <v>6110</v>
      </c>
      <c r="G725" s="1" t="s">
        <v>9431</v>
      </c>
      <c r="H725" s="1" t="s">
        <v>6089</v>
      </c>
      <c r="I725" s="1"/>
      <c r="J725" s="1"/>
      <c r="K725" s="1" t="s">
        <v>6090</v>
      </c>
      <c r="L725" s="1" t="s">
        <v>9547</v>
      </c>
      <c r="M725" s="1" t="s">
        <v>9548</v>
      </c>
      <c r="N725" s="1"/>
      <c r="O725" s="1"/>
      <c r="P725" s="1"/>
      <c r="Q725" s="1"/>
      <c r="R725" s="1"/>
      <c r="S725" s="1"/>
      <c r="T725" s="1"/>
      <c r="U725" s="1"/>
      <c r="V725" s="1"/>
      <c r="W725" s="1"/>
    </row>
    <row r="726" spans="1:23" ht="48" customHeight="1">
      <c r="A726" s="1" t="s">
        <v>5133</v>
      </c>
      <c r="B726" s="1" t="s">
        <v>6232</v>
      </c>
      <c r="C726" s="1" t="s">
        <v>4747</v>
      </c>
      <c r="D726" s="1" t="s">
        <v>9549</v>
      </c>
      <c r="E726" s="1"/>
      <c r="F726" s="1" t="s">
        <v>6110</v>
      </c>
      <c r="G726" s="1" t="s">
        <v>9431</v>
      </c>
      <c r="H726" s="1" t="s">
        <v>6089</v>
      </c>
      <c r="I726" s="1"/>
      <c r="J726" s="1"/>
      <c r="K726" s="1" t="s">
        <v>6090</v>
      </c>
      <c r="L726" s="1" t="s">
        <v>9550</v>
      </c>
      <c r="M726" s="1" t="s">
        <v>9551</v>
      </c>
      <c r="N726" s="1"/>
      <c r="O726" s="1"/>
      <c r="P726" s="1"/>
      <c r="Q726" s="1"/>
      <c r="R726" s="1"/>
      <c r="S726" s="1"/>
      <c r="T726" s="1"/>
      <c r="U726" s="1"/>
      <c r="V726" s="1"/>
      <c r="W726" s="1"/>
    </row>
    <row r="727" spans="1:23" ht="48" customHeight="1">
      <c r="A727" s="1" t="s">
        <v>5133</v>
      </c>
      <c r="B727" s="1" t="s">
        <v>6236</v>
      </c>
      <c r="C727" s="1" t="s">
        <v>9552</v>
      </c>
      <c r="D727" s="1" t="s">
        <v>9553</v>
      </c>
      <c r="E727" s="1" t="s">
        <v>9554</v>
      </c>
      <c r="F727" s="1" t="s">
        <v>6163</v>
      </c>
      <c r="G727" s="1" t="s">
        <v>9431</v>
      </c>
      <c r="H727" s="1" t="s">
        <v>6089</v>
      </c>
      <c r="I727" s="1"/>
      <c r="J727" s="1"/>
      <c r="K727" s="1" t="s">
        <v>6090</v>
      </c>
      <c r="L727" s="1" t="s">
        <v>9555</v>
      </c>
      <c r="M727" s="1" t="s">
        <v>9556</v>
      </c>
      <c r="N727" s="1"/>
      <c r="O727" s="1"/>
      <c r="P727" s="1"/>
      <c r="Q727" s="1"/>
      <c r="R727" s="1" t="s">
        <v>9557</v>
      </c>
      <c r="S727" s="1" t="s">
        <v>9558</v>
      </c>
      <c r="T727" s="1" t="s">
        <v>9436</v>
      </c>
      <c r="U727" s="1" t="s">
        <v>6096</v>
      </c>
      <c r="V727" s="1" t="s">
        <v>6244</v>
      </c>
      <c r="W727" s="1" t="s">
        <v>9437</v>
      </c>
    </row>
    <row r="728" spans="1:23" ht="48" customHeight="1">
      <c r="A728" s="1" t="s">
        <v>5133</v>
      </c>
      <c r="B728" s="1" t="s">
        <v>6245</v>
      </c>
      <c r="C728" s="1" t="s">
        <v>9559</v>
      </c>
      <c r="D728" s="1"/>
      <c r="E728" s="1"/>
      <c r="F728" s="1" t="s">
        <v>6216</v>
      </c>
      <c r="G728" s="1" t="s">
        <v>9431</v>
      </c>
      <c r="H728" s="1"/>
      <c r="I728" s="1"/>
      <c r="J728" s="1"/>
      <c r="K728" s="1" t="s">
        <v>6090</v>
      </c>
      <c r="L728" s="1" t="s">
        <v>9560</v>
      </c>
      <c r="M728" s="1"/>
      <c r="N728" s="1"/>
      <c r="O728" s="1"/>
      <c r="P728" s="1"/>
      <c r="Q728" s="1"/>
      <c r="R728" s="1"/>
      <c r="S728" s="1"/>
      <c r="T728" s="1"/>
      <c r="U728" s="1"/>
      <c r="V728" s="1"/>
      <c r="W728" s="1"/>
    </row>
    <row r="729" spans="1:23" ht="48" customHeight="1">
      <c r="A729" s="1" t="s">
        <v>5133</v>
      </c>
      <c r="B729" s="1" t="s">
        <v>6248</v>
      </c>
      <c r="C729" s="1" t="s">
        <v>9561</v>
      </c>
      <c r="D729" s="1"/>
      <c r="E729" s="1"/>
      <c r="F729" s="1" t="s">
        <v>6216</v>
      </c>
      <c r="G729" s="1" t="s">
        <v>9431</v>
      </c>
      <c r="H729" s="1"/>
      <c r="I729" s="1"/>
      <c r="J729" s="1"/>
      <c r="K729" s="1" t="s">
        <v>6090</v>
      </c>
      <c r="L729" s="1" t="s">
        <v>9562</v>
      </c>
      <c r="M729" s="1"/>
      <c r="N729" s="1"/>
      <c r="O729" s="1"/>
      <c r="P729" s="1"/>
      <c r="Q729" s="1"/>
      <c r="R729" s="1"/>
      <c r="S729" s="1"/>
      <c r="T729" s="1"/>
      <c r="U729" s="1"/>
      <c r="V729" s="1"/>
      <c r="W729" s="1"/>
    </row>
    <row r="730" spans="1:23" ht="48" customHeight="1">
      <c r="A730" s="1" t="s">
        <v>5162</v>
      </c>
      <c r="B730" s="1" t="s">
        <v>6083</v>
      </c>
      <c r="C730" s="1" t="s">
        <v>9563</v>
      </c>
      <c r="D730" s="1" t="s">
        <v>9564</v>
      </c>
      <c r="E730" s="1" t="s">
        <v>6402</v>
      </c>
      <c r="F730" s="1" t="s">
        <v>6087</v>
      </c>
      <c r="G730" s="1" t="s">
        <v>9565</v>
      </c>
      <c r="H730" s="1" t="s">
        <v>6089</v>
      </c>
      <c r="I730" s="1"/>
      <c r="J730" s="1"/>
      <c r="K730" s="1" t="s">
        <v>6090</v>
      </c>
      <c r="L730" s="1" t="s">
        <v>9566</v>
      </c>
      <c r="M730" s="1" t="s">
        <v>9567</v>
      </c>
      <c r="N730" s="1"/>
      <c r="O730" s="1"/>
      <c r="P730" s="1"/>
      <c r="Q730" s="1"/>
      <c r="R730" s="1" t="s">
        <v>9568</v>
      </c>
      <c r="S730" s="1" t="s">
        <v>9569</v>
      </c>
      <c r="T730" s="1" t="s">
        <v>9570</v>
      </c>
      <c r="U730" s="1" t="s">
        <v>6096</v>
      </c>
      <c r="V730" s="1" t="s">
        <v>6097</v>
      </c>
      <c r="W730" s="1" t="s">
        <v>9571</v>
      </c>
    </row>
    <row r="731" spans="1:23" ht="48" customHeight="1">
      <c r="A731" s="1" t="s">
        <v>5162</v>
      </c>
      <c r="B731" s="1" t="s">
        <v>6099</v>
      </c>
      <c r="C731" s="1" t="s">
        <v>9572</v>
      </c>
      <c r="D731" s="1" t="s">
        <v>6102</v>
      </c>
      <c r="E731" s="1" t="s">
        <v>6102</v>
      </c>
      <c r="F731" s="1" t="s">
        <v>6087</v>
      </c>
      <c r="G731" s="1" t="s">
        <v>9565</v>
      </c>
      <c r="H731" s="1" t="s">
        <v>6089</v>
      </c>
      <c r="I731" s="1"/>
      <c r="J731" s="1"/>
      <c r="K731" s="1" t="s">
        <v>6090</v>
      </c>
      <c r="L731" s="1" t="s">
        <v>9573</v>
      </c>
      <c r="M731" s="1" t="s">
        <v>9574</v>
      </c>
      <c r="N731" s="1"/>
      <c r="O731" s="1"/>
      <c r="P731" s="1"/>
      <c r="Q731" s="1"/>
      <c r="R731" s="1" t="s">
        <v>9575</v>
      </c>
      <c r="S731" s="1" t="s">
        <v>9576</v>
      </c>
      <c r="T731" s="1" t="s">
        <v>9570</v>
      </c>
      <c r="U731" s="1" t="s">
        <v>6096</v>
      </c>
      <c r="V731" s="1" t="s">
        <v>6097</v>
      </c>
      <c r="W731" s="1" t="s">
        <v>9571</v>
      </c>
    </row>
    <row r="732" spans="1:23" ht="48" customHeight="1">
      <c r="A732" s="1" t="s">
        <v>5162</v>
      </c>
      <c r="B732" s="1" t="s">
        <v>6107</v>
      </c>
      <c r="C732" s="1" t="s">
        <v>9577</v>
      </c>
      <c r="D732" s="1" t="s">
        <v>9578</v>
      </c>
      <c r="E732" s="1"/>
      <c r="F732" s="1" t="s">
        <v>6110</v>
      </c>
      <c r="G732" s="1" t="s">
        <v>9565</v>
      </c>
      <c r="H732" s="1" t="s">
        <v>6089</v>
      </c>
      <c r="I732" s="1"/>
      <c r="J732" s="1"/>
      <c r="K732" s="1" t="s">
        <v>6090</v>
      </c>
      <c r="L732" s="1" t="s">
        <v>9579</v>
      </c>
      <c r="M732" s="1" t="s">
        <v>9580</v>
      </c>
      <c r="N732" s="1"/>
      <c r="O732" s="1"/>
      <c r="P732" s="1"/>
      <c r="Q732" s="1"/>
      <c r="R732" s="1"/>
      <c r="S732" s="1"/>
      <c r="T732" s="1"/>
      <c r="U732" s="1"/>
      <c r="V732" s="1"/>
      <c r="W732" s="1"/>
    </row>
    <row r="733" spans="1:23" ht="48" customHeight="1">
      <c r="A733" s="1" t="s">
        <v>5162</v>
      </c>
      <c r="B733" s="1" t="s">
        <v>6113</v>
      </c>
      <c r="C733" s="1" t="s">
        <v>9581</v>
      </c>
      <c r="D733" s="1" t="s">
        <v>9582</v>
      </c>
      <c r="E733" s="1"/>
      <c r="F733" s="1" t="s">
        <v>6110</v>
      </c>
      <c r="G733" s="1" t="s">
        <v>9565</v>
      </c>
      <c r="H733" s="1" t="s">
        <v>6089</v>
      </c>
      <c r="I733" s="1"/>
      <c r="J733" s="1"/>
      <c r="K733" s="1" t="s">
        <v>6090</v>
      </c>
      <c r="L733" s="1" t="s">
        <v>9583</v>
      </c>
      <c r="M733" s="1" t="s">
        <v>9584</v>
      </c>
      <c r="N733" s="1"/>
      <c r="O733" s="1"/>
      <c r="P733" s="1"/>
      <c r="Q733" s="1"/>
      <c r="R733" s="1"/>
      <c r="S733" s="1"/>
      <c r="T733" s="1"/>
      <c r="U733" s="1"/>
      <c r="V733" s="1"/>
      <c r="W733" s="1"/>
    </row>
    <row r="734" spans="1:23" ht="48" customHeight="1">
      <c r="A734" s="1" t="s">
        <v>5162</v>
      </c>
      <c r="B734" s="1" t="s">
        <v>6118</v>
      </c>
      <c r="C734" s="1" t="s">
        <v>9585</v>
      </c>
      <c r="D734" s="1" t="s">
        <v>9586</v>
      </c>
      <c r="E734" s="1" t="s">
        <v>9587</v>
      </c>
      <c r="F734" s="1" t="s">
        <v>6087</v>
      </c>
      <c r="G734" s="1" t="s">
        <v>9565</v>
      </c>
      <c r="H734" s="1" t="s">
        <v>6089</v>
      </c>
      <c r="I734" s="1"/>
      <c r="J734" s="1"/>
      <c r="K734" s="1" t="s">
        <v>6090</v>
      </c>
      <c r="L734" s="1" t="s">
        <v>9588</v>
      </c>
      <c r="M734" s="1" t="s">
        <v>9589</v>
      </c>
      <c r="N734" s="1"/>
      <c r="O734" s="1"/>
      <c r="P734" s="1"/>
      <c r="Q734" s="1"/>
      <c r="R734" s="1" t="s">
        <v>9590</v>
      </c>
      <c r="S734" s="1" t="s">
        <v>9591</v>
      </c>
      <c r="T734" s="1" t="s">
        <v>9570</v>
      </c>
      <c r="U734" s="1" t="s">
        <v>6096</v>
      </c>
      <c r="V734" s="1" t="s">
        <v>6097</v>
      </c>
      <c r="W734" s="1" t="s">
        <v>9571</v>
      </c>
    </row>
    <row r="735" spans="1:23" ht="48" customHeight="1">
      <c r="A735" s="1" t="s">
        <v>5162</v>
      </c>
      <c r="B735" s="1" t="s">
        <v>6126</v>
      </c>
      <c r="C735" s="1" t="s">
        <v>9592</v>
      </c>
      <c r="D735" s="1" t="s">
        <v>9593</v>
      </c>
      <c r="E735" s="1" t="s">
        <v>9594</v>
      </c>
      <c r="F735" s="1" t="s">
        <v>6087</v>
      </c>
      <c r="G735" s="1" t="s">
        <v>9565</v>
      </c>
      <c r="H735" s="1" t="s">
        <v>6089</v>
      </c>
      <c r="I735" s="1"/>
      <c r="J735" s="1"/>
      <c r="K735" s="1" t="s">
        <v>6090</v>
      </c>
      <c r="L735" s="1" t="s">
        <v>9595</v>
      </c>
      <c r="M735" s="1" t="s">
        <v>9596</v>
      </c>
      <c r="N735" s="1"/>
      <c r="O735" s="1"/>
      <c r="P735" s="1"/>
      <c r="Q735" s="1"/>
      <c r="R735" s="1" t="s">
        <v>9597</v>
      </c>
      <c r="S735" s="1" t="s">
        <v>9598</v>
      </c>
      <c r="T735" s="1" t="s">
        <v>9570</v>
      </c>
      <c r="U735" s="1" t="s">
        <v>6096</v>
      </c>
      <c r="V735" s="1" t="s">
        <v>6097</v>
      </c>
      <c r="W735" s="1" t="s">
        <v>9571</v>
      </c>
    </row>
    <row r="736" spans="1:23" ht="48" customHeight="1">
      <c r="A736" s="1" t="s">
        <v>5162</v>
      </c>
      <c r="B736" s="1" t="s">
        <v>6134</v>
      </c>
      <c r="C736" s="1" t="s">
        <v>6286</v>
      </c>
      <c r="D736" s="1" t="s">
        <v>7222</v>
      </c>
      <c r="E736" s="1" t="s">
        <v>9599</v>
      </c>
      <c r="F736" s="1" t="s">
        <v>6138</v>
      </c>
      <c r="G736" s="1" t="s">
        <v>9565</v>
      </c>
      <c r="H736" s="1" t="s">
        <v>6089</v>
      </c>
      <c r="I736" s="1" t="s">
        <v>5180</v>
      </c>
      <c r="J736" s="1" t="s">
        <v>5179</v>
      </c>
      <c r="K736" s="1" t="s">
        <v>6289</v>
      </c>
      <c r="L736" s="1" t="s">
        <v>9600</v>
      </c>
      <c r="M736" s="1" t="s">
        <v>9601</v>
      </c>
      <c r="N736" s="1" t="s">
        <v>9602</v>
      </c>
      <c r="O736" s="1"/>
      <c r="P736" s="1"/>
      <c r="Q736" s="1"/>
      <c r="R736" s="1" t="s">
        <v>9603</v>
      </c>
      <c r="S736" s="1" t="s">
        <v>9604</v>
      </c>
      <c r="T736" s="1" t="s">
        <v>9570</v>
      </c>
      <c r="U736" s="1" t="s">
        <v>6096</v>
      </c>
      <c r="V736" s="1" t="s">
        <v>6295</v>
      </c>
      <c r="W736" s="1" t="s">
        <v>9571</v>
      </c>
    </row>
    <row r="737" spans="1:23" ht="60" customHeight="1">
      <c r="A737" s="1" t="s">
        <v>5162</v>
      </c>
      <c r="B737" s="1" t="s">
        <v>6144</v>
      </c>
      <c r="C737" s="1" t="s">
        <v>9605</v>
      </c>
      <c r="D737" s="1" t="s">
        <v>9606</v>
      </c>
      <c r="E737" s="1" t="s">
        <v>9607</v>
      </c>
      <c r="F737" s="1" t="s">
        <v>6138</v>
      </c>
      <c r="G737" s="1" t="s">
        <v>9565</v>
      </c>
      <c r="H737" s="1" t="s">
        <v>6089</v>
      </c>
      <c r="I737" s="1"/>
      <c r="J737" s="1"/>
      <c r="K737" s="1" t="s">
        <v>6090</v>
      </c>
      <c r="L737" s="1" t="s">
        <v>9608</v>
      </c>
      <c r="M737" s="1" t="s">
        <v>9609</v>
      </c>
      <c r="N737" s="1"/>
      <c r="O737" s="1"/>
      <c r="P737" s="1"/>
      <c r="Q737" s="1"/>
      <c r="R737" s="1" t="s">
        <v>9610</v>
      </c>
      <c r="S737" s="1" t="s">
        <v>9611</v>
      </c>
      <c r="T737" s="1" t="s">
        <v>9570</v>
      </c>
      <c r="U737" s="1" t="s">
        <v>6096</v>
      </c>
      <c r="V737" s="1" t="s">
        <v>6295</v>
      </c>
      <c r="W737" s="1" t="s">
        <v>9571</v>
      </c>
    </row>
    <row r="738" spans="1:23" ht="60" customHeight="1">
      <c r="A738" s="1" t="s">
        <v>5162</v>
      </c>
      <c r="B738" s="1" t="s">
        <v>6149</v>
      </c>
      <c r="C738" s="1" t="s">
        <v>5764</v>
      </c>
      <c r="D738" s="1" t="s">
        <v>6818</v>
      </c>
      <c r="E738" s="1" t="s">
        <v>9612</v>
      </c>
      <c r="F738" s="1" t="s">
        <v>6138</v>
      </c>
      <c r="G738" s="1" t="s">
        <v>9565</v>
      </c>
      <c r="H738" s="1" t="s">
        <v>6089</v>
      </c>
      <c r="I738" s="1"/>
      <c r="J738" s="1"/>
      <c r="K738" s="1" t="s">
        <v>6090</v>
      </c>
      <c r="L738" s="1" t="s">
        <v>9613</v>
      </c>
      <c r="M738" s="1" t="s">
        <v>9614</v>
      </c>
      <c r="N738" s="1"/>
      <c r="O738" s="1"/>
      <c r="P738" s="1"/>
      <c r="Q738" s="1"/>
      <c r="R738" s="1" t="s">
        <v>9615</v>
      </c>
      <c r="S738" s="1" t="s">
        <v>9616</v>
      </c>
      <c r="T738" s="1" t="s">
        <v>9570</v>
      </c>
      <c r="U738" s="1" t="s">
        <v>6096</v>
      </c>
      <c r="V738" s="1" t="s">
        <v>6295</v>
      </c>
      <c r="W738" s="1" t="s">
        <v>9571</v>
      </c>
    </row>
    <row r="739" spans="1:23" ht="48" customHeight="1">
      <c r="A739" s="1" t="s">
        <v>5162</v>
      </c>
      <c r="B739" s="1" t="s">
        <v>6154</v>
      </c>
      <c r="C739" s="1" t="s">
        <v>9617</v>
      </c>
      <c r="D739" s="1" t="s">
        <v>6308</v>
      </c>
      <c r="E739" s="1" t="s">
        <v>9069</v>
      </c>
      <c r="F739" s="1" t="s">
        <v>6138</v>
      </c>
      <c r="G739" s="1" t="s">
        <v>9565</v>
      </c>
      <c r="H739" s="1" t="s">
        <v>6089</v>
      </c>
      <c r="I739" s="1"/>
      <c r="J739" s="1"/>
      <c r="K739" s="1" t="s">
        <v>6090</v>
      </c>
      <c r="L739" s="1" t="s">
        <v>9618</v>
      </c>
      <c r="M739" s="1" t="s">
        <v>9619</v>
      </c>
      <c r="N739" s="1"/>
      <c r="O739" s="1"/>
      <c r="P739" s="1"/>
      <c r="Q739" s="1"/>
      <c r="R739" s="1" t="s">
        <v>9620</v>
      </c>
      <c r="S739" s="1" t="s">
        <v>9604</v>
      </c>
      <c r="T739" s="1" t="s">
        <v>9570</v>
      </c>
      <c r="U739" s="1" t="s">
        <v>6096</v>
      </c>
      <c r="V739" s="1" t="s">
        <v>6295</v>
      </c>
      <c r="W739" s="1" t="s">
        <v>9571</v>
      </c>
    </row>
    <row r="740" spans="1:23" ht="48" customHeight="1">
      <c r="A740" s="1" t="s">
        <v>5162</v>
      </c>
      <c r="B740" s="1" t="s">
        <v>6159</v>
      </c>
      <c r="C740" s="1" t="s">
        <v>9621</v>
      </c>
      <c r="D740" s="1" t="s">
        <v>9622</v>
      </c>
      <c r="E740" s="1" t="s">
        <v>9623</v>
      </c>
      <c r="F740" s="1" t="s">
        <v>6163</v>
      </c>
      <c r="G740" s="1" t="s">
        <v>9565</v>
      </c>
      <c r="H740" s="1" t="s">
        <v>6089</v>
      </c>
      <c r="I740" s="1"/>
      <c r="J740" s="1"/>
      <c r="K740" s="1" t="s">
        <v>6090</v>
      </c>
      <c r="L740" s="1" t="s">
        <v>9624</v>
      </c>
      <c r="M740" s="1" t="s">
        <v>9625</v>
      </c>
      <c r="N740" s="1"/>
      <c r="O740" s="1"/>
      <c r="P740" s="1"/>
      <c r="Q740" s="1"/>
      <c r="R740" s="1" t="s">
        <v>9626</v>
      </c>
      <c r="S740" s="1" t="s">
        <v>7292</v>
      </c>
      <c r="T740" s="1" t="s">
        <v>9570</v>
      </c>
      <c r="U740" s="1" t="s">
        <v>6096</v>
      </c>
      <c r="V740" s="1" t="s">
        <v>6168</v>
      </c>
      <c r="W740" s="1" t="s">
        <v>9571</v>
      </c>
    </row>
    <row r="741" spans="1:23" ht="48" customHeight="1">
      <c r="A741" s="1" t="s">
        <v>5162</v>
      </c>
      <c r="B741" s="1" t="s">
        <v>6169</v>
      </c>
      <c r="C741" s="1" t="s">
        <v>5163</v>
      </c>
      <c r="D741" s="1" t="s">
        <v>4747</v>
      </c>
      <c r="E741" s="1" t="s">
        <v>9627</v>
      </c>
      <c r="F741" s="1" t="s">
        <v>6163</v>
      </c>
      <c r="G741" s="1" t="s">
        <v>9565</v>
      </c>
      <c r="H741" s="1" t="s">
        <v>6089</v>
      </c>
      <c r="I741" s="1"/>
      <c r="J741" s="1"/>
      <c r="K741" s="1" t="s">
        <v>6090</v>
      </c>
      <c r="L741" s="1" t="s">
        <v>9628</v>
      </c>
      <c r="M741" s="1" t="s">
        <v>9629</v>
      </c>
      <c r="N741" s="1"/>
      <c r="O741" s="1" t="s">
        <v>9630</v>
      </c>
      <c r="P741" s="1" t="s">
        <v>9631</v>
      </c>
      <c r="Q741" s="1" t="s">
        <v>6462</v>
      </c>
      <c r="R741" s="1" t="s">
        <v>9632</v>
      </c>
      <c r="S741" s="1" t="s">
        <v>7292</v>
      </c>
      <c r="T741" s="1" t="s">
        <v>9570</v>
      </c>
      <c r="U741" s="1" t="s">
        <v>6096</v>
      </c>
      <c r="V741" s="1" t="s">
        <v>6168</v>
      </c>
      <c r="W741" s="1" t="s">
        <v>9571</v>
      </c>
    </row>
    <row r="742" spans="1:23" ht="48" customHeight="1">
      <c r="A742" s="1" t="s">
        <v>5162</v>
      </c>
      <c r="B742" s="1" t="s">
        <v>6176</v>
      </c>
      <c r="C742" s="1" t="s">
        <v>4747</v>
      </c>
      <c r="D742" s="1" t="s">
        <v>4747</v>
      </c>
      <c r="E742" s="1" t="s">
        <v>4747</v>
      </c>
      <c r="F742" s="1" t="s">
        <v>6186</v>
      </c>
      <c r="G742" s="1" t="s">
        <v>9565</v>
      </c>
      <c r="H742" s="1" t="s">
        <v>6089</v>
      </c>
      <c r="I742" s="1"/>
      <c r="J742" s="1"/>
      <c r="K742" s="1" t="s">
        <v>6090</v>
      </c>
      <c r="L742" s="1" t="s">
        <v>9633</v>
      </c>
      <c r="M742" s="1" t="s">
        <v>9634</v>
      </c>
      <c r="N742" s="1"/>
      <c r="O742" s="1"/>
      <c r="P742" s="1"/>
      <c r="Q742" s="1"/>
      <c r="R742" s="1"/>
      <c r="S742" s="1"/>
      <c r="T742" s="1"/>
      <c r="U742" s="1"/>
      <c r="V742" s="1"/>
      <c r="W742" s="1"/>
    </row>
    <row r="743" spans="1:23" ht="48" customHeight="1">
      <c r="A743" s="1" t="s">
        <v>5162</v>
      </c>
      <c r="B743" s="1" t="s">
        <v>6185</v>
      </c>
      <c r="C743" s="1" t="s">
        <v>4747</v>
      </c>
      <c r="D743" s="1" t="s">
        <v>4747</v>
      </c>
      <c r="E743" s="1" t="s">
        <v>4747</v>
      </c>
      <c r="F743" s="1" t="s">
        <v>6186</v>
      </c>
      <c r="G743" s="1" t="s">
        <v>9565</v>
      </c>
      <c r="H743" s="1" t="s">
        <v>6089</v>
      </c>
      <c r="I743" s="1"/>
      <c r="J743" s="1"/>
      <c r="K743" s="1" t="s">
        <v>6090</v>
      </c>
      <c r="L743" s="1" t="s">
        <v>9635</v>
      </c>
      <c r="M743" s="1" t="s">
        <v>9636</v>
      </c>
      <c r="N743" s="1"/>
      <c r="O743" s="1"/>
      <c r="P743" s="1"/>
      <c r="Q743" s="1"/>
      <c r="R743" s="1"/>
      <c r="S743" s="1"/>
      <c r="T743" s="1"/>
      <c r="U743" s="1"/>
      <c r="V743" s="1"/>
      <c r="W743" s="1"/>
    </row>
    <row r="744" spans="1:23" ht="96" customHeight="1">
      <c r="A744" s="1" t="s">
        <v>5162</v>
      </c>
      <c r="B744" s="1" t="s">
        <v>6189</v>
      </c>
      <c r="C744" s="1" t="s">
        <v>9637</v>
      </c>
      <c r="D744" s="1" t="s">
        <v>4747</v>
      </c>
      <c r="E744" s="1" t="s">
        <v>9638</v>
      </c>
      <c r="F744" s="1" t="s">
        <v>6138</v>
      </c>
      <c r="G744" s="1" t="s">
        <v>9565</v>
      </c>
      <c r="H744" s="1" t="s">
        <v>6089</v>
      </c>
      <c r="I744" s="1"/>
      <c r="J744" s="1"/>
      <c r="K744" s="1" t="s">
        <v>6090</v>
      </c>
      <c r="L744" s="1" t="s">
        <v>9639</v>
      </c>
      <c r="M744" s="1" t="s">
        <v>9640</v>
      </c>
      <c r="N744" s="1"/>
      <c r="O744" s="1"/>
      <c r="P744" s="1"/>
      <c r="Q744" s="1"/>
      <c r="R744" s="1" t="s">
        <v>9641</v>
      </c>
      <c r="S744" s="1" t="s">
        <v>9642</v>
      </c>
      <c r="T744" s="1" t="s">
        <v>9643</v>
      </c>
      <c r="U744" s="1" t="s">
        <v>6096</v>
      </c>
      <c r="V744" s="1" t="s">
        <v>6184</v>
      </c>
      <c r="W744" s="1" t="s">
        <v>9644</v>
      </c>
    </row>
    <row r="745" spans="1:23" ht="60" customHeight="1">
      <c r="A745" s="1" t="s">
        <v>5162</v>
      </c>
      <c r="B745" s="1" t="s">
        <v>6196</v>
      </c>
      <c r="C745" s="1" t="s">
        <v>9645</v>
      </c>
      <c r="D745" s="1" t="s">
        <v>4747</v>
      </c>
      <c r="E745" s="1" t="s">
        <v>9646</v>
      </c>
      <c r="F745" s="1" t="s">
        <v>6349</v>
      </c>
      <c r="G745" s="1" t="s">
        <v>9565</v>
      </c>
      <c r="H745" s="1" t="s">
        <v>6089</v>
      </c>
      <c r="I745" s="1"/>
      <c r="J745" s="1"/>
      <c r="K745" s="1" t="s">
        <v>6090</v>
      </c>
      <c r="L745" s="1" t="s">
        <v>9647</v>
      </c>
      <c r="M745" s="1" t="s">
        <v>9648</v>
      </c>
      <c r="N745" s="1"/>
      <c r="O745" s="1"/>
      <c r="P745" s="1"/>
      <c r="Q745" s="1"/>
      <c r="R745" s="1" t="s">
        <v>9649</v>
      </c>
      <c r="S745" s="1" t="s">
        <v>7292</v>
      </c>
      <c r="T745" s="1" t="s">
        <v>9570</v>
      </c>
      <c r="U745" s="1" t="s">
        <v>6096</v>
      </c>
      <c r="V745" s="1" t="s">
        <v>9650</v>
      </c>
      <c r="W745" s="1" t="s">
        <v>9571</v>
      </c>
    </row>
    <row r="746" spans="1:23" ht="72" customHeight="1">
      <c r="A746" s="1" t="s">
        <v>5162</v>
      </c>
      <c r="B746" s="1" t="s">
        <v>6200</v>
      </c>
      <c r="C746" s="1" t="s">
        <v>9651</v>
      </c>
      <c r="D746" s="1" t="s">
        <v>6494</v>
      </c>
      <c r="E746" s="1" t="s">
        <v>9652</v>
      </c>
      <c r="F746" s="1" t="s">
        <v>6349</v>
      </c>
      <c r="G746" s="1" t="s">
        <v>9565</v>
      </c>
      <c r="H746" s="1" t="s">
        <v>6089</v>
      </c>
      <c r="I746" s="1"/>
      <c r="J746" s="1"/>
      <c r="K746" s="1" t="s">
        <v>6090</v>
      </c>
      <c r="L746" s="1" t="s">
        <v>9653</v>
      </c>
      <c r="M746" s="1" t="s">
        <v>9654</v>
      </c>
      <c r="N746" s="1"/>
      <c r="O746" s="1" t="s">
        <v>9655</v>
      </c>
      <c r="P746" s="1" t="s">
        <v>9656</v>
      </c>
      <c r="Q746" s="1" t="s">
        <v>6462</v>
      </c>
      <c r="R746" s="1" t="s">
        <v>9657</v>
      </c>
      <c r="S746" s="1" t="s">
        <v>9658</v>
      </c>
      <c r="T746" s="1" t="s">
        <v>9643</v>
      </c>
      <c r="U746" s="1" t="s">
        <v>6096</v>
      </c>
      <c r="V746" s="1" t="s">
        <v>9659</v>
      </c>
      <c r="W746" s="1" t="s">
        <v>9644</v>
      </c>
    </row>
    <row r="747" spans="1:23" ht="96" customHeight="1">
      <c r="A747" s="1" t="s">
        <v>5162</v>
      </c>
      <c r="B747" s="1" t="s">
        <v>5583</v>
      </c>
      <c r="C747" s="1" t="s">
        <v>9660</v>
      </c>
      <c r="D747" s="1" t="s">
        <v>4747</v>
      </c>
      <c r="E747" s="1" t="s">
        <v>9661</v>
      </c>
      <c r="F747" s="1" t="s">
        <v>6138</v>
      </c>
      <c r="G747" s="1" t="s">
        <v>9565</v>
      </c>
      <c r="H747" s="1" t="s">
        <v>6089</v>
      </c>
      <c r="I747" s="1"/>
      <c r="J747" s="1"/>
      <c r="K747" s="1" t="s">
        <v>6090</v>
      </c>
      <c r="L747" s="1" t="s">
        <v>9662</v>
      </c>
      <c r="M747" s="1" t="s">
        <v>9663</v>
      </c>
      <c r="N747" s="1"/>
      <c r="O747" s="1"/>
      <c r="P747" s="1"/>
      <c r="Q747" s="1"/>
      <c r="R747" s="1" t="s">
        <v>9664</v>
      </c>
      <c r="S747" s="1" t="s">
        <v>9665</v>
      </c>
      <c r="T747" s="1" t="s">
        <v>9570</v>
      </c>
      <c r="U747" s="1" t="s">
        <v>6096</v>
      </c>
      <c r="V747" s="1" t="s">
        <v>6184</v>
      </c>
      <c r="W747" s="1" t="s">
        <v>9571</v>
      </c>
    </row>
    <row r="748" spans="1:23" ht="48" customHeight="1">
      <c r="A748" s="1" t="s">
        <v>5162</v>
      </c>
      <c r="B748" s="1" t="s">
        <v>6209</v>
      </c>
      <c r="C748" s="1" t="s">
        <v>4747</v>
      </c>
      <c r="D748" s="1" t="s">
        <v>4747</v>
      </c>
      <c r="E748" s="1" t="s">
        <v>4747</v>
      </c>
      <c r="F748" s="1" t="s">
        <v>6186</v>
      </c>
      <c r="G748" s="1" t="s">
        <v>9565</v>
      </c>
      <c r="H748" s="1" t="s">
        <v>6089</v>
      </c>
      <c r="I748" s="1"/>
      <c r="J748" s="1"/>
      <c r="K748" s="1" t="s">
        <v>6090</v>
      </c>
      <c r="L748" s="1" t="s">
        <v>9666</v>
      </c>
      <c r="M748" s="1" t="s">
        <v>9667</v>
      </c>
      <c r="N748" s="1"/>
      <c r="O748" s="1"/>
      <c r="P748" s="1"/>
      <c r="Q748" s="1"/>
      <c r="R748" s="1"/>
      <c r="S748" s="1"/>
      <c r="T748" s="1"/>
      <c r="U748" s="1"/>
      <c r="V748" s="1"/>
      <c r="W748" s="1"/>
    </row>
    <row r="749" spans="1:23" ht="48" customHeight="1">
      <c r="A749" s="1" t="s">
        <v>5162</v>
      </c>
      <c r="B749" s="1" t="s">
        <v>6212</v>
      </c>
      <c r="C749" s="1" t="s">
        <v>9668</v>
      </c>
      <c r="D749" s="1" t="s">
        <v>9669</v>
      </c>
      <c r="E749" s="1"/>
      <c r="F749" s="1" t="s">
        <v>6110</v>
      </c>
      <c r="G749" s="1" t="s">
        <v>9565</v>
      </c>
      <c r="H749" s="1" t="s">
        <v>6089</v>
      </c>
      <c r="I749" s="1"/>
      <c r="J749" s="1"/>
      <c r="K749" s="1" t="s">
        <v>6090</v>
      </c>
      <c r="L749" s="1" t="s">
        <v>9670</v>
      </c>
      <c r="M749" s="1" t="s">
        <v>9671</v>
      </c>
      <c r="N749" s="1"/>
      <c r="O749" s="1"/>
      <c r="P749" s="1"/>
      <c r="Q749" s="1"/>
      <c r="R749" s="1"/>
      <c r="S749" s="1"/>
      <c r="T749" s="1"/>
      <c r="U749" s="1"/>
      <c r="V749" s="1"/>
      <c r="W749" s="1"/>
    </row>
    <row r="750" spans="1:23" ht="60" customHeight="1">
      <c r="A750" s="1" t="s">
        <v>5162</v>
      </c>
      <c r="B750" s="1" t="s">
        <v>6215</v>
      </c>
      <c r="C750" s="1"/>
      <c r="D750" s="1" t="s">
        <v>6375</v>
      </c>
      <c r="E750" s="1" t="s">
        <v>9672</v>
      </c>
      <c r="F750" s="1" t="s">
        <v>6349</v>
      </c>
      <c r="G750" s="1"/>
      <c r="H750" s="1" t="s">
        <v>6089</v>
      </c>
      <c r="I750" s="1"/>
      <c r="J750" s="1"/>
      <c r="K750" s="1" t="s">
        <v>6090</v>
      </c>
      <c r="L750" s="1"/>
      <c r="M750" s="1" t="s">
        <v>9673</v>
      </c>
      <c r="N750" s="1"/>
      <c r="O750" s="1"/>
      <c r="P750" s="1"/>
      <c r="Q750" s="1"/>
      <c r="R750" s="1" t="s">
        <v>9674</v>
      </c>
      <c r="S750" s="1" t="s">
        <v>9675</v>
      </c>
      <c r="T750" s="1" t="s">
        <v>9676</v>
      </c>
      <c r="U750" s="1" t="s">
        <v>6096</v>
      </c>
      <c r="V750" s="1" t="s">
        <v>9677</v>
      </c>
      <c r="W750" s="1" t="s">
        <v>9678</v>
      </c>
    </row>
    <row r="751" spans="1:23" ht="48" customHeight="1">
      <c r="A751" s="1" t="s">
        <v>5162</v>
      </c>
      <c r="B751" s="1" t="s">
        <v>6218</v>
      </c>
      <c r="C751" s="1" t="s">
        <v>9679</v>
      </c>
      <c r="D751" s="1" t="s">
        <v>9680</v>
      </c>
      <c r="E751" s="1" t="s">
        <v>9681</v>
      </c>
      <c r="F751" s="1" t="s">
        <v>6349</v>
      </c>
      <c r="G751" s="1" t="s">
        <v>9565</v>
      </c>
      <c r="H751" s="1" t="s">
        <v>6089</v>
      </c>
      <c r="I751" s="1"/>
      <c r="J751" s="1"/>
      <c r="K751" s="1" t="s">
        <v>6090</v>
      </c>
      <c r="L751" s="1" t="s">
        <v>9682</v>
      </c>
      <c r="M751" s="1" t="s">
        <v>9683</v>
      </c>
      <c r="N751" s="1"/>
      <c r="O751" s="1"/>
      <c r="P751" s="1"/>
      <c r="Q751" s="1"/>
      <c r="R751" s="1" t="s">
        <v>9684</v>
      </c>
      <c r="S751" s="1" t="s">
        <v>9262</v>
      </c>
      <c r="T751" s="1" t="s">
        <v>9570</v>
      </c>
      <c r="U751" s="1" t="s">
        <v>6096</v>
      </c>
      <c r="V751" s="1" t="s">
        <v>9685</v>
      </c>
      <c r="W751" s="1" t="s">
        <v>9571</v>
      </c>
    </row>
    <row r="752" spans="1:23" ht="48" customHeight="1">
      <c r="A752" s="1" t="s">
        <v>5162</v>
      </c>
      <c r="B752" s="1" t="s">
        <v>6222</v>
      </c>
      <c r="C752" s="1" t="s">
        <v>9686</v>
      </c>
      <c r="D752" s="1" t="s">
        <v>4747</v>
      </c>
      <c r="E752" s="1"/>
      <c r="F752" s="1" t="s">
        <v>6110</v>
      </c>
      <c r="G752" s="1" t="s">
        <v>9565</v>
      </c>
      <c r="H752" s="1" t="s">
        <v>6089</v>
      </c>
      <c r="I752" s="1"/>
      <c r="J752" s="1"/>
      <c r="K752" s="1" t="s">
        <v>6090</v>
      </c>
      <c r="L752" s="1" t="s">
        <v>9687</v>
      </c>
      <c r="M752" s="1" t="s">
        <v>9688</v>
      </c>
      <c r="N752" s="1"/>
      <c r="O752" s="1"/>
      <c r="P752" s="1"/>
      <c r="Q752" s="1"/>
      <c r="R752" s="1"/>
      <c r="S752" s="1"/>
      <c r="T752" s="1"/>
      <c r="U752" s="1"/>
      <c r="V752" s="1"/>
      <c r="W752" s="1"/>
    </row>
    <row r="753" spans="1:23" ht="48" customHeight="1">
      <c r="A753" s="1" t="s">
        <v>5162</v>
      </c>
      <c r="B753" s="1" t="s">
        <v>6227</v>
      </c>
      <c r="C753" s="1" t="s">
        <v>4747</v>
      </c>
      <c r="D753" s="1" t="s">
        <v>4747</v>
      </c>
      <c r="E753" s="1" t="s">
        <v>4747</v>
      </c>
      <c r="F753" s="1" t="s">
        <v>6186</v>
      </c>
      <c r="G753" s="1" t="s">
        <v>9565</v>
      </c>
      <c r="H753" s="1" t="s">
        <v>6089</v>
      </c>
      <c r="I753" s="1"/>
      <c r="J753" s="1"/>
      <c r="K753" s="1" t="s">
        <v>6090</v>
      </c>
      <c r="L753" s="1" t="s">
        <v>9689</v>
      </c>
      <c r="M753" s="1" t="s">
        <v>9690</v>
      </c>
      <c r="N753" s="1"/>
      <c r="O753" s="1"/>
      <c r="P753" s="1"/>
      <c r="Q753" s="1"/>
      <c r="R753" s="1"/>
      <c r="S753" s="1"/>
      <c r="T753" s="1"/>
      <c r="U753" s="1"/>
      <c r="V753" s="1"/>
      <c r="W753" s="1"/>
    </row>
    <row r="754" spans="1:23" ht="48" customHeight="1">
      <c r="A754" s="1" t="s">
        <v>5162</v>
      </c>
      <c r="B754" s="1" t="s">
        <v>6232</v>
      </c>
      <c r="C754" s="1" t="s">
        <v>9691</v>
      </c>
      <c r="D754" s="1" t="s">
        <v>9692</v>
      </c>
      <c r="E754" s="1"/>
      <c r="F754" s="1" t="s">
        <v>6110</v>
      </c>
      <c r="G754" s="1" t="s">
        <v>9565</v>
      </c>
      <c r="H754" s="1" t="s">
        <v>6089</v>
      </c>
      <c r="I754" s="1"/>
      <c r="J754" s="1"/>
      <c r="K754" s="1" t="s">
        <v>6090</v>
      </c>
      <c r="L754" s="1" t="s">
        <v>9693</v>
      </c>
      <c r="M754" s="1" t="s">
        <v>9694</v>
      </c>
      <c r="N754" s="1"/>
      <c r="O754" s="1"/>
      <c r="P754" s="1"/>
      <c r="Q754" s="1"/>
      <c r="R754" s="1"/>
      <c r="S754" s="1"/>
      <c r="T754" s="1"/>
      <c r="U754" s="1"/>
      <c r="V754" s="1"/>
      <c r="W754" s="1"/>
    </row>
    <row r="755" spans="1:23" ht="84" customHeight="1">
      <c r="A755" s="1" t="s">
        <v>5162</v>
      </c>
      <c r="B755" s="1" t="s">
        <v>6236</v>
      </c>
      <c r="C755" s="1" t="s">
        <v>9695</v>
      </c>
      <c r="D755" s="1" t="s">
        <v>9696</v>
      </c>
      <c r="E755" s="1" t="s">
        <v>9697</v>
      </c>
      <c r="F755" s="1" t="s">
        <v>6163</v>
      </c>
      <c r="G755" s="1" t="s">
        <v>9565</v>
      </c>
      <c r="H755" s="1" t="s">
        <v>6089</v>
      </c>
      <c r="I755" s="1"/>
      <c r="J755" s="1"/>
      <c r="K755" s="1" t="s">
        <v>6090</v>
      </c>
      <c r="L755" s="1" t="s">
        <v>9698</v>
      </c>
      <c r="M755" s="1" t="s">
        <v>9699</v>
      </c>
      <c r="N755" s="1"/>
      <c r="O755" s="1"/>
      <c r="P755" s="1"/>
      <c r="Q755" s="1"/>
      <c r="R755" s="1" t="s">
        <v>9700</v>
      </c>
      <c r="S755" s="1" t="s">
        <v>9701</v>
      </c>
      <c r="T755" s="1" t="s">
        <v>9570</v>
      </c>
      <c r="U755" s="1" t="s">
        <v>6096</v>
      </c>
      <c r="V755" s="1" t="s">
        <v>6244</v>
      </c>
      <c r="W755" s="1" t="s">
        <v>9571</v>
      </c>
    </row>
    <row r="756" spans="1:23" ht="48" customHeight="1">
      <c r="A756" s="1" t="s">
        <v>5162</v>
      </c>
      <c r="B756" s="1" t="s">
        <v>6245</v>
      </c>
      <c r="C756" s="1" t="s">
        <v>9702</v>
      </c>
      <c r="D756" s="1"/>
      <c r="E756" s="1"/>
      <c r="F756" s="1" t="s">
        <v>6216</v>
      </c>
      <c r="G756" s="1" t="s">
        <v>9565</v>
      </c>
      <c r="H756" s="1"/>
      <c r="I756" s="1"/>
      <c r="J756" s="1"/>
      <c r="K756" s="1" t="s">
        <v>6090</v>
      </c>
      <c r="L756" s="1" t="s">
        <v>9703</v>
      </c>
      <c r="M756" s="1"/>
      <c r="N756" s="1"/>
      <c r="O756" s="1"/>
      <c r="P756" s="1"/>
      <c r="Q756" s="1"/>
      <c r="R756" s="1"/>
      <c r="S756" s="1"/>
      <c r="T756" s="1"/>
      <c r="U756" s="1"/>
      <c r="V756" s="1"/>
      <c r="W756" s="1"/>
    </row>
    <row r="757" spans="1:23" ht="48" customHeight="1">
      <c r="A757" s="1" t="s">
        <v>5162</v>
      </c>
      <c r="B757" s="1" t="s">
        <v>6248</v>
      </c>
      <c r="C757" s="1" t="s">
        <v>9704</v>
      </c>
      <c r="D757" s="1"/>
      <c r="E757" s="1"/>
      <c r="F757" s="1" t="s">
        <v>6216</v>
      </c>
      <c r="G757" s="1" t="s">
        <v>9565</v>
      </c>
      <c r="H757" s="1"/>
      <c r="I757" s="1"/>
      <c r="J757" s="1"/>
      <c r="K757" s="1" t="s">
        <v>6090</v>
      </c>
      <c r="L757" s="1" t="s">
        <v>9705</v>
      </c>
      <c r="M757" s="1"/>
      <c r="N757" s="1"/>
      <c r="O757" s="1"/>
      <c r="P757" s="1"/>
      <c r="Q757" s="1"/>
      <c r="R757" s="1"/>
      <c r="S757" s="1"/>
      <c r="T757" s="1"/>
      <c r="U757" s="1"/>
      <c r="V757" s="1"/>
      <c r="W757" s="1"/>
    </row>
    <row r="758" spans="1:23" ht="48" customHeight="1">
      <c r="A758" s="1" t="s">
        <v>5184</v>
      </c>
      <c r="B758" s="1" t="s">
        <v>6083</v>
      </c>
      <c r="C758" s="1" t="s">
        <v>9706</v>
      </c>
      <c r="D758" s="1" t="s">
        <v>9707</v>
      </c>
      <c r="E758" s="1" t="s">
        <v>6643</v>
      </c>
      <c r="F758" s="1" t="s">
        <v>6087</v>
      </c>
      <c r="G758" s="1" t="s">
        <v>9708</v>
      </c>
      <c r="H758" s="1" t="s">
        <v>6089</v>
      </c>
      <c r="I758" s="1"/>
      <c r="J758" s="1"/>
      <c r="K758" s="1" t="s">
        <v>6090</v>
      </c>
      <c r="L758" s="1" t="s">
        <v>9709</v>
      </c>
      <c r="M758" s="1" t="s">
        <v>9710</v>
      </c>
      <c r="N758" s="1"/>
      <c r="O758" s="1"/>
      <c r="P758" s="1"/>
      <c r="Q758" s="1"/>
      <c r="R758" s="1" t="s">
        <v>9711</v>
      </c>
      <c r="S758" s="1" t="s">
        <v>9712</v>
      </c>
      <c r="T758" s="1" t="s">
        <v>9713</v>
      </c>
      <c r="U758" s="1" t="s">
        <v>6096</v>
      </c>
      <c r="V758" s="1" t="s">
        <v>6097</v>
      </c>
      <c r="W758" s="1" t="s">
        <v>9714</v>
      </c>
    </row>
    <row r="759" spans="1:23" ht="48" customHeight="1">
      <c r="A759" s="1" t="s">
        <v>5184</v>
      </c>
      <c r="B759" s="1" t="s">
        <v>6099</v>
      </c>
      <c r="C759" s="1" t="s">
        <v>9715</v>
      </c>
      <c r="D759" s="1" t="s">
        <v>6102</v>
      </c>
      <c r="E759" s="1" t="s">
        <v>6102</v>
      </c>
      <c r="F759" s="1" t="s">
        <v>6087</v>
      </c>
      <c r="G759" s="1" t="s">
        <v>9708</v>
      </c>
      <c r="H759" s="1" t="s">
        <v>6089</v>
      </c>
      <c r="I759" s="1"/>
      <c r="J759" s="1"/>
      <c r="K759" s="1" t="s">
        <v>6090</v>
      </c>
      <c r="L759" s="1" t="s">
        <v>9716</v>
      </c>
      <c r="M759" s="1" t="s">
        <v>9717</v>
      </c>
      <c r="N759" s="1"/>
      <c r="O759" s="1"/>
      <c r="P759" s="1"/>
      <c r="Q759" s="1"/>
      <c r="R759" s="1" t="s">
        <v>9718</v>
      </c>
      <c r="S759" s="1" t="s">
        <v>9719</v>
      </c>
      <c r="T759" s="1" t="s">
        <v>9713</v>
      </c>
      <c r="U759" s="1" t="s">
        <v>6096</v>
      </c>
      <c r="V759" s="1" t="s">
        <v>6097</v>
      </c>
      <c r="W759" s="1" t="s">
        <v>9714</v>
      </c>
    </row>
    <row r="760" spans="1:23" ht="48" customHeight="1">
      <c r="A760" s="1" t="s">
        <v>5184</v>
      </c>
      <c r="B760" s="1" t="s">
        <v>6107</v>
      </c>
      <c r="C760" s="1" t="s">
        <v>9720</v>
      </c>
      <c r="D760" s="1" t="s">
        <v>9721</v>
      </c>
      <c r="E760" s="1"/>
      <c r="F760" s="1" t="s">
        <v>6110</v>
      </c>
      <c r="G760" s="1" t="s">
        <v>9708</v>
      </c>
      <c r="H760" s="1" t="s">
        <v>6089</v>
      </c>
      <c r="I760" s="1"/>
      <c r="J760" s="1"/>
      <c r="K760" s="1" t="s">
        <v>6090</v>
      </c>
      <c r="L760" s="1" t="s">
        <v>9722</v>
      </c>
      <c r="M760" s="1" t="s">
        <v>9723</v>
      </c>
      <c r="N760" s="1"/>
      <c r="O760" s="1"/>
      <c r="P760" s="1"/>
      <c r="Q760" s="1"/>
      <c r="R760" s="1"/>
      <c r="S760" s="1"/>
      <c r="T760" s="1"/>
      <c r="U760" s="1"/>
      <c r="V760" s="1"/>
      <c r="W760" s="1"/>
    </row>
    <row r="761" spans="1:23" ht="48" customHeight="1">
      <c r="A761" s="1" t="s">
        <v>5184</v>
      </c>
      <c r="B761" s="1" t="s">
        <v>6113</v>
      </c>
      <c r="C761" s="1" t="s">
        <v>9724</v>
      </c>
      <c r="D761" s="1" t="s">
        <v>9725</v>
      </c>
      <c r="E761" s="1"/>
      <c r="F761" s="1" t="s">
        <v>6110</v>
      </c>
      <c r="G761" s="1" t="s">
        <v>9708</v>
      </c>
      <c r="H761" s="1" t="s">
        <v>6089</v>
      </c>
      <c r="I761" s="1"/>
      <c r="J761" s="1"/>
      <c r="K761" s="1" t="s">
        <v>6090</v>
      </c>
      <c r="L761" s="1" t="s">
        <v>9726</v>
      </c>
      <c r="M761" s="1" t="s">
        <v>9727</v>
      </c>
      <c r="N761" s="1"/>
      <c r="O761" s="1"/>
      <c r="P761" s="1"/>
      <c r="Q761" s="1"/>
      <c r="R761" s="1"/>
      <c r="S761" s="1"/>
      <c r="T761" s="1"/>
      <c r="U761" s="1"/>
      <c r="V761" s="1"/>
      <c r="W761" s="1"/>
    </row>
    <row r="762" spans="1:23" ht="48" customHeight="1">
      <c r="A762" s="1" t="s">
        <v>5184</v>
      </c>
      <c r="B762" s="1" t="s">
        <v>6118</v>
      </c>
      <c r="C762" s="1" t="s">
        <v>9728</v>
      </c>
      <c r="D762" s="1" t="s">
        <v>9729</v>
      </c>
      <c r="E762" s="1" t="s">
        <v>9730</v>
      </c>
      <c r="F762" s="1" t="s">
        <v>6087</v>
      </c>
      <c r="G762" s="1" t="s">
        <v>9708</v>
      </c>
      <c r="H762" s="1" t="s">
        <v>6089</v>
      </c>
      <c r="I762" s="1"/>
      <c r="J762" s="1"/>
      <c r="K762" s="1" t="s">
        <v>6090</v>
      </c>
      <c r="L762" s="1" t="s">
        <v>9731</v>
      </c>
      <c r="M762" s="1" t="s">
        <v>9732</v>
      </c>
      <c r="N762" s="1"/>
      <c r="O762" s="1"/>
      <c r="P762" s="1"/>
      <c r="Q762" s="1"/>
      <c r="R762" s="1" t="s">
        <v>9733</v>
      </c>
      <c r="S762" s="1" t="s">
        <v>9734</v>
      </c>
      <c r="T762" s="1" t="s">
        <v>9713</v>
      </c>
      <c r="U762" s="1" t="s">
        <v>6096</v>
      </c>
      <c r="V762" s="1" t="s">
        <v>6097</v>
      </c>
      <c r="W762" s="1" t="s">
        <v>9714</v>
      </c>
    </row>
    <row r="763" spans="1:23" ht="48" customHeight="1">
      <c r="A763" s="1" t="s">
        <v>5184</v>
      </c>
      <c r="B763" s="1" t="s">
        <v>6126</v>
      </c>
      <c r="C763" s="1" t="s">
        <v>9735</v>
      </c>
      <c r="D763" s="1" t="s">
        <v>9736</v>
      </c>
      <c r="E763" s="1" t="s">
        <v>6129</v>
      </c>
      <c r="F763" s="1" t="s">
        <v>6087</v>
      </c>
      <c r="G763" s="1" t="s">
        <v>9708</v>
      </c>
      <c r="H763" s="1" t="s">
        <v>6089</v>
      </c>
      <c r="I763" s="1"/>
      <c r="J763" s="1"/>
      <c r="K763" s="1" t="s">
        <v>6090</v>
      </c>
      <c r="L763" s="1" t="s">
        <v>9737</v>
      </c>
      <c r="M763" s="1" t="s">
        <v>9738</v>
      </c>
      <c r="N763" s="1"/>
      <c r="O763" s="1"/>
      <c r="P763" s="1"/>
      <c r="Q763" s="1"/>
      <c r="R763" s="1" t="s">
        <v>9739</v>
      </c>
      <c r="S763" s="1" t="s">
        <v>9740</v>
      </c>
      <c r="T763" s="1" t="s">
        <v>9713</v>
      </c>
      <c r="U763" s="1" t="s">
        <v>6096</v>
      </c>
      <c r="V763" s="1" t="s">
        <v>6097</v>
      </c>
      <c r="W763" s="1" t="s">
        <v>9714</v>
      </c>
    </row>
    <row r="764" spans="1:23" ht="60" customHeight="1">
      <c r="A764" s="1" t="s">
        <v>5184</v>
      </c>
      <c r="B764" s="1" t="s">
        <v>6134</v>
      </c>
      <c r="C764" s="1" t="s">
        <v>9741</v>
      </c>
      <c r="D764" s="1" t="s">
        <v>9742</v>
      </c>
      <c r="E764" s="1" t="s">
        <v>9743</v>
      </c>
      <c r="F764" s="1" t="s">
        <v>6138</v>
      </c>
      <c r="G764" s="1" t="s">
        <v>9708</v>
      </c>
      <c r="H764" s="1" t="s">
        <v>6089</v>
      </c>
      <c r="I764" s="1" t="s">
        <v>5210</v>
      </c>
      <c r="J764" s="1" t="s">
        <v>5209</v>
      </c>
      <c r="K764" s="1" t="s">
        <v>6289</v>
      </c>
      <c r="L764" s="1" t="s">
        <v>9744</v>
      </c>
      <c r="M764" s="1" t="s">
        <v>9745</v>
      </c>
      <c r="N764" s="1" t="s">
        <v>9746</v>
      </c>
      <c r="O764" s="1"/>
      <c r="P764" s="1"/>
      <c r="Q764" s="1"/>
      <c r="R764" s="1" t="s">
        <v>9747</v>
      </c>
      <c r="S764" s="1" t="s">
        <v>9748</v>
      </c>
      <c r="T764" s="1" t="s">
        <v>9713</v>
      </c>
      <c r="U764" s="1" t="s">
        <v>6096</v>
      </c>
      <c r="V764" s="1" t="s">
        <v>6295</v>
      </c>
      <c r="W764" s="1" t="s">
        <v>9714</v>
      </c>
    </row>
    <row r="765" spans="1:23" ht="48" customHeight="1">
      <c r="A765" s="1" t="s">
        <v>5184</v>
      </c>
      <c r="B765" s="1" t="s">
        <v>6144</v>
      </c>
      <c r="C765" s="1" t="s">
        <v>9749</v>
      </c>
      <c r="D765" s="1" t="s">
        <v>4747</v>
      </c>
      <c r="E765" s="1" t="s">
        <v>9750</v>
      </c>
      <c r="F765" s="1" t="s">
        <v>6138</v>
      </c>
      <c r="G765" s="1" t="s">
        <v>9708</v>
      </c>
      <c r="H765" s="1" t="s">
        <v>6089</v>
      </c>
      <c r="I765" s="1"/>
      <c r="J765" s="1"/>
      <c r="K765" s="1" t="s">
        <v>6090</v>
      </c>
      <c r="L765" s="1" t="s">
        <v>9751</v>
      </c>
      <c r="M765" s="1" t="s">
        <v>9752</v>
      </c>
      <c r="N765" s="1"/>
      <c r="O765" s="1"/>
      <c r="P765" s="1"/>
      <c r="Q765" s="1"/>
      <c r="R765" s="1" t="s">
        <v>9753</v>
      </c>
      <c r="S765" s="1" t="s">
        <v>9754</v>
      </c>
      <c r="T765" s="1" t="s">
        <v>9713</v>
      </c>
      <c r="U765" s="1" t="s">
        <v>6096</v>
      </c>
      <c r="V765" s="1" t="s">
        <v>6295</v>
      </c>
      <c r="W765" s="1" t="s">
        <v>9714</v>
      </c>
    </row>
    <row r="766" spans="1:23" ht="72" customHeight="1">
      <c r="A766" s="1" t="s">
        <v>5184</v>
      </c>
      <c r="B766" s="1" t="s">
        <v>6149</v>
      </c>
      <c r="C766" s="1" t="s">
        <v>5768</v>
      </c>
      <c r="D766" s="1" t="s">
        <v>9755</v>
      </c>
      <c r="E766" s="1" t="s">
        <v>9756</v>
      </c>
      <c r="F766" s="1" t="s">
        <v>6138</v>
      </c>
      <c r="G766" s="1" t="s">
        <v>9708</v>
      </c>
      <c r="H766" s="1" t="s">
        <v>6089</v>
      </c>
      <c r="I766" s="1"/>
      <c r="J766" s="1"/>
      <c r="K766" s="1" t="s">
        <v>6090</v>
      </c>
      <c r="L766" s="1" t="s">
        <v>9757</v>
      </c>
      <c r="M766" s="1" t="s">
        <v>9758</v>
      </c>
      <c r="N766" s="1"/>
      <c r="O766" s="1"/>
      <c r="P766" s="1"/>
      <c r="Q766" s="1"/>
      <c r="R766" s="1" t="s">
        <v>9759</v>
      </c>
      <c r="S766" s="1" t="s">
        <v>9760</v>
      </c>
      <c r="T766" s="1" t="s">
        <v>9713</v>
      </c>
      <c r="U766" s="1" t="s">
        <v>6096</v>
      </c>
      <c r="V766" s="1" t="s">
        <v>6295</v>
      </c>
      <c r="W766" s="1" t="s">
        <v>9714</v>
      </c>
    </row>
    <row r="767" spans="1:23" ht="60" customHeight="1">
      <c r="A767" s="1" t="s">
        <v>5184</v>
      </c>
      <c r="B767" s="1" t="s">
        <v>6154</v>
      </c>
      <c r="C767" s="1" t="s">
        <v>5214</v>
      </c>
      <c r="D767" s="1" t="s">
        <v>9761</v>
      </c>
      <c r="E767" s="1" t="s">
        <v>9762</v>
      </c>
      <c r="F767" s="1" t="s">
        <v>6138</v>
      </c>
      <c r="G767" s="1" t="s">
        <v>9708</v>
      </c>
      <c r="H767" s="1" t="s">
        <v>6089</v>
      </c>
      <c r="I767" s="1"/>
      <c r="J767" s="1"/>
      <c r="K767" s="1" t="s">
        <v>6090</v>
      </c>
      <c r="L767" s="1" t="s">
        <v>9763</v>
      </c>
      <c r="M767" s="1" t="s">
        <v>9764</v>
      </c>
      <c r="N767" s="1"/>
      <c r="O767" s="1"/>
      <c r="P767" s="1"/>
      <c r="Q767" s="1"/>
      <c r="R767" s="1" t="s">
        <v>9765</v>
      </c>
      <c r="S767" s="1" t="s">
        <v>6965</v>
      </c>
      <c r="T767" s="1" t="s">
        <v>9713</v>
      </c>
      <c r="U767" s="1" t="s">
        <v>6096</v>
      </c>
      <c r="V767" s="1" t="s">
        <v>6295</v>
      </c>
      <c r="W767" s="1" t="s">
        <v>9714</v>
      </c>
    </row>
    <row r="768" spans="1:23" ht="48" customHeight="1">
      <c r="A768" s="1" t="s">
        <v>5184</v>
      </c>
      <c r="B768" s="1" t="s">
        <v>6159</v>
      </c>
      <c r="C768" s="1" t="s">
        <v>5185</v>
      </c>
      <c r="D768" s="1" t="s">
        <v>9766</v>
      </c>
      <c r="E768" s="1" t="s">
        <v>9767</v>
      </c>
      <c r="F768" s="1" t="s">
        <v>6163</v>
      </c>
      <c r="G768" s="1" t="s">
        <v>9708</v>
      </c>
      <c r="H768" s="1" t="s">
        <v>6089</v>
      </c>
      <c r="I768" s="1"/>
      <c r="J768" s="1"/>
      <c r="K768" s="1" t="s">
        <v>6090</v>
      </c>
      <c r="L768" s="1" t="s">
        <v>9768</v>
      </c>
      <c r="M768" s="1" t="s">
        <v>9769</v>
      </c>
      <c r="N768" s="1"/>
      <c r="O768" s="1" t="s">
        <v>9770</v>
      </c>
      <c r="P768" s="1" t="s">
        <v>9771</v>
      </c>
      <c r="Q768" s="1" t="s">
        <v>6462</v>
      </c>
      <c r="R768" s="1" t="s">
        <v>9772</v>
      </c>
      <c r="S768" s="1" t="s">
        <v>9773</v>
      </c>
      <c r="T768" s="1" t="s">
        <v>9713</v>
      </c>
      <c r="U768" s="1" t="s">
        <v>6096</v>
      </c>
      <c r="V768" s="1" t="s">
        <v>6168</v>
      </c>
      <c r="W768" s="1" t="s">
        <v>9714</v>
      </c>
    </row>
    <row r="769" spans="1:23" ht="84" customHeight="1">
      <c r="A769" s="1" t="s">
        <v>5184</v>
      </c>
      <c r="B769" s="1" t="s">
        <v>6169</v>
      </c>
      <c r="C769" s="1" t="s">
        <v>5192</v>
      </c>
      <c r="D769" s="1" t="s">
        <v>4747</v>
      </c>
      <c r="E769" s="1" t="s">
        <v>9774</v>
      </c>
      <c r="F769" s="1" t="s">
        <v>6349</v>
      </c>
      <c r="G769" s="1" t="s">
        <v>9708</v>
      </c>
      <c r="H769" s="1" t="s">
        <v>6089</v>
      </c>
      <c r="I769" s="1"/>
      <c r="J769" s="1"/>
      <c r="K769" s="1" t="s">
        <v>6090</v>
      </c>
      <c r="L769" s="1" t="s">
        <v>9775</v>
      </c>
      <c r="M769" s="1" t="s">
        <v>9776</v>
      </c>
      <c r="N769" s="1"/>
      <c r="O769" s="1"/>
      <c r="P769" s="1"/>
      <c r="Q769" s="1"/>
      <c r="R769" s="1" t="s">
        <v>9777</v>
      </c>
      <c r="S769" s="1" t="s">
        <v>9778</v>
      </c>
      <c r="T769" s="1" t="s">
        <v>9779</v>
      </c>
      <c r="U769" s="1" t="s">
        <v>6096</v>
      </c>
      <c r="V769" s="1" t="s">
        <v>9780</v>
      </c>
      <c r="W769" s="1" t="s">
        <v>9781</v>
      </c>
    </row>
    <row r="770" spans="1:23" ht="96" customHeight="1">
      <c r="A770" s="1" t="s">
        <v>5184</v>
      </c>
      <c r="B770" s="1" t="s">
        <v>6176</v>
      </c>
      <c r="C770" s="1" t="s">
        <v>9782</v>
      </c>
      <c r="D770" s="1" t="s">
        <v>4747</v>
      </c>
      <c r="E770" s="1" t="s">
        <v>9783</v>
      </c>
      <c r="F770" s="1" t="s">
        <v>6138</v>
      </c>
      <c r="G770" s="1" t="s">
        <v>9708</v>
      </c>
      <c r="H770" s="1" t="s">
        <v>6089</v>
      </c>
      <c r="I770" s="1"/>
      <c r="J770" s="1"/>
      <c r="K770" s="1" t="s">
        <v>6090</v>
      </c>
      <c r="L770" s="1" t="s">
        <v>9784</v>
      </c>
      <c r="M770" s="1" t="s">
        <v>9785</v>
      </c>
      <c r="N770" s="1"/>
      <c r="O770" s="1"/>
      <c r="P770" s="1"/>
      <c r="Q770" s="1"/>
      <c r="R770" s="1" t="s">
        <v>9786</v>
      </c>
      <c r="S770" s="1" t="s">
        <v>9787</v>
      </c>
      <c r="T770" s="1" t="s">
        <v>9713</v>
      </c>
      <c r="U770" s="1" t="s">
        <v>6096</v>
      </c>
      <c r="V770" s="1" t="s">
        <v>6184</v>
      </c>
      <c r="W770" s="1" t="s">
        <v>9714</v>
      </c>
    </row>
    <row r="771" spans="1:23" ht="96" customHeight="1">
      <c r="A771" s="1" t="s">
        <v>5184</v>
      </c>
      <c r="B771" s="1" t="s">
        <v>6185</v>
      </c>
      <c r="C771" s="1" t="s">
        <v>9788</v>
      </c>
      <c r="D771" s="1" t="s">
        <v>4747</v>
      </c>
      <c r="E771" s="1" t="s">
        <v>9789</v>
      </c>
      <c r="F771" s="1" t="s">
        <v>6138</v>
      </c>
      <c r="G771" s="1" t="s">
        <v>9708</v>
      </c>
      <c r="H771" s="1" t="s">
        <v>6089</v>
      </c>
      <c r="I771" s="1"/>
      <c r="J771" s="1"/>
      <c r="K771" s="1" t="s">
        <v>6090</v>
      </c>
      <c r="L771" s="1" t="s">
        <v>9790</v>
      </c>
      <c r="M771" s="1" t="s">
        <v>9791</v>
      </c>
      <c r="N771" s="1"/>
      <c r="O771" s="1"/>
      <c r="P771" s="1"/>
      <c r="Q771" s="1"/>
      <c r="R771" s="1" t="s">
        <v>9792</v>
      </c>
      <c r="S771" s="1" t="s">
        <v>9793</v>
      </c>
      <c r="T771" s="1" t="s">
        <v>9713</v>
      </c>
      <c r="U771" s="1" t="s">
        <v>6096</v>
      </c>
      <c r="V771" s="1" t="s">
        <v>6184</v>
      </c>
      <c r="W771" s="1" t="s">
        <v>9714</v>
      </c>
    </row>
    <row r="772" spans="1:23" ht="96" customHeight="1">
      <c r="A772" s="1" t="s">
        <v>5184</v>
      </c>
      <c r="B772" s="1" t="s">
        <v>6189</v>
      </c>
      <c r="C772" s="1" t="s">
        <v>9794</v>
      </c>
      <c r="D772" s="1" t="s">
        <v>4747</v>
      </c>
      <c r="E772" s="1" t="s">
        <v>9795</v>
      </c>
      <c r="F772" s="1" t="s">
        <v>6138</v>
      </c>
      <c r="G772" s="1" t="s">
        <v>9708</v>
      </c>
      <c r="H772" s="1" t="s">
        <v>6089</v>
      </c>
      <c r="I772" s="1"/>
      <c r="J772" s="1"/>
      <c r="K772" s="1" t="s">
        <v>6090</v>
      </c>
      <c r="L772" s="1" t="s">
        <v>9796</v>
      </c>
      <c r="M772" s="1" t="s">
        <v>9797</v>
      </c>
      <c r="N772" s="1"/>
      <c r="O772" s="1"/>
      <c r="P772" s="1"/>
      <c r="Q772" s="1"/>
      <c r="R772" s="1" t="s">
        <v>9798</v>
      </c>
      <c r="S772" s="1" t="s">
        <v>9799</v>
      </c>
      <c r="T772" s="1" t="s">
        <v>9779</v>
      </c>
      <c r="U772" s="1" t="s">
        <v>6096</v>
      </c>
      <c r="V772" s="1" t="s">
        <v>6184</v>
      </c>
      <c r="W772" s="1" t="s">
        <v>9781</v>
      </c>
    </row>
    <row r="773" spans="1:23" ht="72" customHeight="1">
      <c r="A773" s="1" t="s">
        <v>5184</v>
      </c>
      <c r="B773" s="1" t="s">
        <v>6196</v>
      </c>
      <c r="C773" s="1" t="s">
        <v>6197</v>
      </c>
      <c r="D773" s="1" t="s">
        <v>9800</v>
      </c>
      <c r="E773" s="1" t="s">
        <v>9801</v>
      </c>
      <c r="F773" s="1" t="s">
        <v>6323</v>
      </c>
      <c r="G773" s="1" t="s">
        <v>9708</v>
      </c>
      <c r="H773" s="1" t="s">
        <v>6089</v>
      </c>
      <c r="I773" s="1"/>
      <c r="J773" s="1"/>
      <c r="K773" s="1" t="s">
        <v>6090</v>
      </c>
      <c r="L773" s="1" t="s">
        <v>9802</v>
      </c>
      <c r="M773" s="1" t="s">
        <v>9803</v>
      </c>
      <c r="N773" s="1"/>
      <c r="O773" s="1"/>
      <c r="P773" s="1"/>
      <c r="Q773" s="1"/>
      <c r="R773" s="1" t="s">
        <v>9804</v>
      </c>
      <c r="S773" s="1" t="s">
        <v>9805</v>
      </c>
      <c r="T773" s="1" t="s">
        <v>9779</v>
      </c>
      <c r="U773" s="1" t="s">
        <v>6096</v>
      </c>
      <c r="V773" s="1" t="s">
        <v>9806</v>
      </c>
      <c r="W773" s="1" t="s">
        <v>9781</v>
      </c>
    </row>
    <row r="774" spans="1:23" ht="48" customHeight="1">
      <c r="A774" s="1" t="s">
        <v>5184</v>
      </c>
      <c r="B774" s="1" t="s">
        <v>6200</v>
      </c>
      <c r="C774" s="1" t="s">
        <v>9807</v>
      </c>
      <c r="D774" s="1" t="s">
        <v>9808</v>
      </c>
      <c r="E774" s="1" t="s">
        <v>9809</v>
      </c>
      <c r="F774" s="1" t="s">
        <v>6163</v>
      </c>
      <c r="G774" s="1" t="s">
        <v>9708</v>
      </c>
      <c r="H774" s="1" t="s">
        <v>6089</v>
      </c>
      <c r="I774" s="1"/>
      <c r="J774" s="1"/>
      <c r="K774" s="1" t="s">
        <v>6090</v>
      </c>
      <c r="L774" s="1" t="s">
        <v>9810</v>
      </c>
      <c r="M774" s="1" t="s">
        <v>9811</v>
      </c>
      <c r="N774" s="1"/>
      <c r="O774" s="1" t="s">
        <v>9812</v>
      </c>
      <c r="P774" s="1" t="s">
        <v>9813</v>
      </c>
      <c r="Q774" s="1" t="s">
        <v>6462</v>
      </c>
      <c r="R774" s="1" t="s">
        <v>9814</v>
      </c>
      <c r="S774" s="1" t="s">
        <v>9773</v>
      </c>
      <c r="T774" s="1" t="s">
        <v>9713</v>
      </c>
      <c r="U774" s="1" t="s">
        <v>6096</v>
      </c>
      <c r="V774" s="1" t="s">
        <v>6168</v>
      </c>
      <c r="W774" s="1" t="s">
        <v>9714</v>
      </c>
    </row>
    <row r="775" spans="1:23" ht="96" customHeight="1">
      <c r="A775" s="1" t="s">
        <v>5184</v>
      </c>
      <c r="B775" s="1" t="s">
        <v>5583</v>
      </c>
      <c r="C775" s="1" t="s">
        <v>9815</v>
      </c>
      <c r="D775" s="1" t="s">
        <v>4747</v>
      </c>
      <c r="E775" s="1" t="s">
        <v>9816</v>
      </c>
      <c r="F775" s="1" t="s">
        <v>6138</v>
      </c>
      <c r="G775" s="1" t="s">
        <v>9708</v>
      </c>
      <c r="H775" s="1" t="s">
        <v>6089</v>
      </c>
      <c r="I775" s="1"/>
      <c r="J775" s="1"/>
      <c r="K775" s="1" t="s">
        <v>6090</v>
      </c>
      <c r="L775" s="1" t="s">
        <v>9817</v>
      </c>
      <c r="M775" s="1" t="s">
        <v>9818</v>
      </c>
      <c r="N775" s="1"/>
      <c r="O775" s="1"/>
      <c r="P775" s="1"/>
      <c r="Q775" s="1"/>
      <c r="R775" s="1" t="s">
        <v>9819</v>
      </c>
      <c r="S775" s="1" t="s">
        <v>9820</v>
      </c>
      <c r="T775" s="1" t="s">
        <v>9713</v>
      </c>
      <c r="U775" s="1" t="s">
        <v>6096</v>
      </c>
      <c r="V775" s="1" t="s">
        <v>6184</v>
      </c>
      <c r="W775" s="1" t="s">
        <v>9714</v>
      </c>
    </row>
    <row r="776" spans="1:23" ht="48" customHeight="1">
      <c r="A776" s="1" t="s">
        <v>5184</v>
      </c>
      <c r="B776" s="1" t="s">
        <v>6209</v>
      </c>
      <c r="C776" s="1" t="s">
        <v>4747</v>
      </c>
      <c r="D776" s="1" t="s">
        <v>4747</v>
      </c>
      <c r="E776" s="1" t="s">
        <v>9821</v>
      </c>
      <c r="F776" s="1" t="s">
        <v>6163</v>
      </c>
      <c r="G776" s="1" t="s">
        <v>9708</v>
      </c>
      <c r="H776" s="1" t="s">
        <v>6089</v>
      </c>
      <c r="I776" s="1"/>
      <c r="J776" s="1"/>
      <c r="K776" s="1" t="s">
        <v>6090</v>
      </c>
      <c r="L776" s="1" t="s">
        <v>9822</v>
      </c>
      <c r="M776" s="1" t="s">
        <v>9823</v>
      </c>
      <c r="N776" s="1"/>
      <c r="O776" s="1"/>
      <c r="P776" s="1"/>
      <c r="Q776" s="1"/>
      <c r="R776" s="1" t="s">
        <v>9824</v>
      </c>
      <c r="S776" s="1" t="s">
        <v>9825</v>
      </c>
      <c r="T776" s="1" t="s">
        <v>9826</v>
      </c>
      <c r="U776" s="1" t="s">
        <v>6096</v>
      </c>
      <c r="V776" s="1" t="s">
        <v>6168</v>
      </c>
      <c r="W776" s="1" t="s">
        <v>9827</v>
      </c>
    </row>
    <row r="777" spans="1:23" ht="48" customHeight="1">
      <c r="A777" s="1" t="s">
        <v>5184</v>
      </c>
      <c r="B777" s="1" t="s">
        <v>6212</v>
      </c>
      <c r="C777" s="1" t="s">
        <v>9828</v>
      </c>
      <c r="D777" s="1" t="s">
        <v>9829</v>
      </c>
      <c r="E777" s="1" t="s">
        <v>9830</v>
      </c>
      <c r="F777" s="1" t="s">
        <v>6163</v>
      </c>
      <c r="G777" s="1" t="s">
        <v>9708</v>
      </c>
      <c r="H777" s="1" t="s">
        <v>6089</v>
      </c>
      <c r="I777" s="1"/>
      <c r="J777" s="1"/>
      <c r="K777" s="1" t="s">
        <v>6090</v>
      </c>
      <c r="L777" s="1" t="s">
        <v>9831</v>
      </c>
      <c r="M777" s="1" t="s">
        <v>9832</v>
      </c>
      <c r="N777" s="1"/>
      <c r="O777" s="1"/>
      <c r="P777" s="1"/>
      <c r="Q777" s="1"/>
      <c r="R777" s="1" t="s">
        <v>9833</v>
      </c>
      <c r="S777" s="1" t="s">
        <v>6353</v>
      </c>
      <c r="T777" s="1" t="s">
        <v>9713</v>
      </c>
      <c r="U777" s="1" t="s">
        <v>6096</v>
      </c>
      <c r="V777" s="1" t="s">
        <v>6168</v>
      </c>
      <c r="W777" s="1" t="s">
        <v>9714</v>
      </c>
    </row>
    <row r="778" spans="1:23" ht="48" customHeight="1">
      <c r="A778" s="1" t="s">
        <v>5184</v>
      </c>
      <c r="B778" s="1" t="s">
        <v>6215</v>
      </c>
      <c r="C778" s="1"/>
      <c r="D778" s="1" t="s">
        <v>4747</v>
      </c>
      <c r="E778" s="1"/>
      <c r="F778" s="1" t="s">
        <v>6216</v>
      </c>
      <c r="G778" s="1"/>
      <c r="H778" s="1" t="s">
        <v>6089</v>
      </c>
      <c r="I778" s="1"/>
      <c r="J778" s="1"/>
      <c r="K778" s="1" t="s">
        <v>6090</v>
      </c>
      <c r="L778" s="1"/>
      <c r="M778" s="1" t="s">
        <v>9834</v>
      </c>
      <c r="N778" s="1"/>
      <c r="O778" s="1"/>
      <c r="P778" s="1"/>
      <c r="Q778" s="1"/>
      <c r="R778" s="1"/>
      <c r="S778" s="1"/>
      <c r="T778" s="1"/>
      <c r="U778" s="1"/>
      <c r="V778" s="1"/>
      <c r="W778" s="1"/>
    </row>
    <row r="779" spans="1:23" ht="48" customHeight="1">
      <c r="A779" s="1" t="s">
        <v>5184</v>
      </c>
      <c r="B779" s="1" t="s">
        <v>6218</v>
      </c>
      <c r="C779" s="1" t="s">
        <v>9835</v>
      </c>
      <c r="D779" s="1" t="s">
        <v>4747</v>
      </c>
      <c r="E779" s="1"/>
      <c r="F779" s="1" t="s">
        <v>6110</v>
      </c>
      <c r="G779" s="1" t="s">
        <v>9708</v>
      </c>
      <c r="H779" s="1" t="s">
        <v>6089</v>
      </c>
      <c r="I779" s="1"/>
      <c r="J779" s="1"/>
      <c r="K779" s="1" t="s">
        <v>6090</v>
      </c>
      <c r="L779" s="1" t="s">
        <v>9836</v>
      </c>
      <c r="M779" s="1" t="s">
        <v>9837</v>
      </c>
      <c r="N779" s="1"/>
      <c r="O779" s="1"/>
      <c r="P779" s="1"/>
      <c r="Q779" s="1"/>
      <c r="R779" s="1"/>
      <c r="S779" s="1"/>
      <c r="T779" s="1"/>
      <c r="U779" s="1"/>
      <c r="V779" s="1"/>
      <c r="W779" s="1"/>
    </row>
    <row r="780" spans="1:23" ht="48" customHeight="1">
      <c r="A780" s="1" t="s">
        <v>5184</v>
      </c>
      <c r="B780" s="1" t="s">
        <v>6222</v>
      </c>
      <c r="C780" s="1" t="s">
        <v>9838</v>
      </c>
      <c r="D780" s="1" t="s">
        <v>9839</v>
      </c>
      <c r="E780" s="1"/>
      <c r="F780" s="1" t="s">
        <v>6110</v>
      </c>
      <c r="G780" s="1" t="s">
        <v>9708</v>
      </c>
      <c r="H780" s="1" t="s">
        <v>6089</v>
      </c>
      <c r="I780" s="1"/>
      <c r="J780" s="1"/>
      <c r="K780" s="1" t="s">
        <v>6090</v>
      </c>
      <c r="L780" s="1" t="s">
        <v>9840</v>
      </c>
      <c r="M780" s="1" t="s">
        <v>9841</v>
      </c>
      <c r="N780" s="1"/>
      <c r="O780" s="1"/>
      <c r="P780" s="1"/>
      <c r="Q780" s="1"/>
      <c r="R780" s="1"/>
      <c r="S780" s="1"/>
      <c r="T780" s="1"/>
      <c r="U780" s="1"/>
      <c r="V780" s="1"/>
      <c r="W780" s="1"/>
    </row>
    <row r="781" spans="1:23" ht="48" customHeight="1">
      <c r="A781" s="1" t="s">
        <v>5184</v>
      </c>
      <c r="B781" s="1" t="s">
        <v>6227</v>
      </c>
      <c r="C781" s="1" t="s">
        <v>9842</v>
      </c>
      <c r="D781" s="1" t="s">
        <v>9843</v>
      </c>
      <c r="E781" s="1"/>
      <c r="F781" s="1" t="s">
        <v>6110</v>
      </c>
      <c r="G781" s="1" t="s">
        <v>9708</v>
      </c>
      <c r="H781" s="1" t="s">
        <v>6089</v>
      </c>
      <c r="I781" s="1"/>
      <c r="J781" s="1"/>
      <c r="K781" s="1" t="s">
        <v>6090</v>
      </c>
      <c r="L781" s="1" t="s">
        <v>9844</v>
      </c>
      <c r="M781" s="1" t="s">
        <v>9845</v>
      </c>
      <c r="N781" s="1"/>
      <c r="O781" s="1"/>
      <c r="P781" s="1"/>
      <c r="Q781" s="1"/>
      <c r="R781" s="1"/>
      <c r="S781" s="1"/>
      <c r="T781" s="1"/>
      <c r="U781" s="1"/>
      <c r="V781" s="1"/>
      <c r="W781" s="1"/>
    </row>
    <row r="782" spans="1:23" ht="48" customHeight="1">
      <c r="A782" s="1" t="s">
        <v>5184</v>
      </c>
      <c r="B782" s="1" t="s">
        <v>6232</v>
      </c>
      <c r="C782" s="1" t="s">
        <v>4747</v>
      </c>
      <c r="D782" s="1" t="s">
        <v>9846</v>
      </c>
      <c r="E782" s="1"/>
      <c r="F782" s="1" t="s">
        <v>6110</v>
      </c>
      <c r="G782" s="1" t="s">
        <v>9708</v>
      </c>
      <c r="H782" s="1" t="s">
        <v>6089</v>
      </c>
      <c r="I782" s="1"/>
      <c r="J782" s="1"/>
      <c r="K782" s="1" t="s">
        <v>6090</v>
      </c>
      <c r="L782" s="1" t="s">
        <v>9847</v>
      </c>
      <c r="M782" s="1" t="s">
        <v>9848</v>
      </c>
      <c r="N782" s="1"/>
      <c r="O782" s="1"/>
      <c r="P782" s="1"/>
      <c r="Q782" s="1"/>
      <c r="R782" s="1"/>
      <c r="S782" s="1"/>
      <c r="T782" s="1"/>
      <c r="U782" s="1"/>
      <c r="V782" s="1"/>
      <c r="W782" s="1"/>
    </row>
    <row r="783" spans="1:23" ht="72" customHeight="1">
      <c r="A783" s="1" t="s">
        <v>5184</v>
      </c>
      <c r="B783" s="1" t="s">
        <v>6236</v>
      </c>
      <c r="C783" s="1" t="s">
        <v>9849</v>
      </c>
      <c r="D783" s="1" t="s">
        <v>9850</v>
      </c>
      <c r="E783" s="1" t="s">
        <v>9851</v>
      </c>
      <c r="F783" s="1" t="s">
        <v>6163</v>
      </c>
      <c r="G783" s="1" t="s">
        <v>9708</v>
      </c>
      <c r="H783" s="1" t="s">
        <v>6089</v>
      </c>
      <c r="I783" s="1"/>
      <c r="J783" s="1"/>
      <c r="K783" s="1" t="s">
        <v>6090</v>
      </c>
      <c r="L783" s="1" t="s">
        <v>9852</v>
      </c>
      <c r="M783" s="1" t="s">
        <v>9853</v>
      </c>
      <c r="N783" s="1"/>
      <c r="O783" s="1"/>
      <c r="P783" s="1"/>
      <c r="Q783" s="1"/>
      <c r="R783" s="1" t="s">
        <v>9854</v>
      </c>
      <c r="S783" s="1" t="s">
        <v>9855</v>
      </c>
      <c r="T783" s="1" t="s">
        <v>9713</v>
      </c>
      <c r="U783" s="1" t="s">
        <v>6096</v>
      </c>
      <c r="V783" s="1" t="s">
        <v>6244</v>
      </c>
      <c r="W783" s="1" t="s">
        <v>9714</v>
      </c>
    </row>
    <row r="784" spans="1:23" ht="48" customHeight="1">
      <c r="A784" s="1" t="s">
        <v>5184</v>
      </c>
      <c r="B784" s="1" t="s">
        <v>6245</v>
      </c>
      <c r="C784" s="1" t="s">
        <v>9856</v>
      </c>
      <c r="D784" s="1"/>
      <c r="E784" s="1"/>
      <c r="F784" s="1" t="s">
        <v>6216</v>
      </c>
      <c r="G784" s="1" t="s">
        <v>9708</v>
      </c>
      <c r="H784" s="1"/>
      <c r="I784" s="1"/>
      <c r="J784" s="1"/>
      <c r="K784" s="1" t="s">
        <v>6090</v>
      </c>
      <c r="L784" s="1" t="s">
        <v>9857</v>
      </c>
      <c r="M784" s="1"/>
      <c r="N784" s="1"/>
      <c r="O784" s="1"/>
      <c r="P784" s="1"/>
      <c r="Q784" s="1"/>
      <c r="R784" s="1"/>
      <c r="S784" s="1"/>
      <c r="T784" s="1"/>
      <c r="U784" s="1"/>
      <c r="V784" s="1"/>
      <c r="W784" s="1"/>
    </row>
    <row r="785" spans="1:23" ht="48" customHeight="1">
      <c r="A785" s="1" t="s">
        <v>5184</v>
      </c>
      <c r="B785" s="1" t="s">
        <v>6248</v>
      </c>
      <c r="C785" s="1" t="s">
        <v>9858</v>
      </c>
      <c r="D785" s="1"/>
      <c r="E785" s="1"/>
      <c r="F785" s="1" t="s">
        <v>6216</v>
      </c>
      <c r="G785" s="1" t="s">
        <v>9708</v>
      </c>
      <c r="H785" s="1"/>
      <c r="I785" s="1"/>
      <c r="J785" s="1"/>
      <c r="K785" s="1" t="s">
        <v>6090</v>
      </c>
      <c r="L785" s="1" t="s">
        <v>9859</v>
      </c>
      <c r="M785" s="1"/>
      <c r="N785" s="1"/>
      <c r="O785" s="1"/>
      <c r="P785" s="1"/>
      <c r="Q785" s="1"/>
      <c r="R785" s="1"/>
      <c r="S785" s="1"/>
      <c r="T785" s="1"/>
      <c r="U785" s="1"/>
      <c r="V785" s="1"/>
      <c r="W785" s="1"/>
    </row>
    <row r="786" spans="1:23" ht="48" customHeight="1">
      <c r="A786" s="1" t="s">
        <v>5222</v>
      </c>
      <c r="B786" s="1" t="s">
        <v>6083</v>
      </c>
      <c r="C786" s="1" t="s">
        <v>9860</v>
      </c>
      <c r="D786" s="1" t="s">
        <v>9861</v>
      </c>
      <c r="E786" s="1" t="s">
        <v>6402</v>
      </c>
      <c r="F786" s="1" t="s">
        <v>6087</v>
      </c>
      <c r="G786" s="1" t="s">
        <v>9862</v>
      </c>
      <c r="H786" s="1" t="s">
        <v>6089</v>
      </c>
      <c r="I786" s="1"/>
      <c r="J786" s="1"/>
      <c r="K786" s="1" t="s">
        <v>6090</v>
      </c>
      <c r="L786" s="1" t="s">
        <v>9863</v>
      </c>
      <c r="M786" s="1" t="s">
        <v>9864</v>
      </c>
      <c r="N786" s="1"/>
      <c r="O786" s="1"/>
      <c r="P786" s="1"/>
      <c r="Q786" s="1"/>
      <c r="R786" s="1" t="s">
        <v>9865</v>
      </c>
      <c r="S786" s="1" t="s">
        <v>9866</v>
      </c>
      <c r="T786" s="1" t="s">
        <v>9867</v>
      </c>
      <c r="U786" s="1" t="s">
        <v>6096</v>
      </c>
      <c r="V786" s="1" t="s">
        <v>6097</v>
      </c>
      <c r="W786" s="1" t="s">
        <v>9868</v>
      </c>
    </row>
    <row r="787" spans="1:23" ht="48" customHeight="1">
      <c r="A787" s="1" t="s">
        <v>5222</v>
      </c>
      <c r="B787" s="1" t="s">
        <v>6099</v>
      </c>
      <c r="C787" s="1" t="s">
        <v>7630</v>
      </c>
      <c r="D787" s="1" t="s">
        <v>6102</v>
      </c>
      <c r="E787" s="1" t="s">
        <v>6102</v>
      </c>
      <c r="F787" s="1" t="s">
        <v>6087</v>
      </c>
      <c r="G787" s="1" t="s">
        <v>9862</v>
      </c>
      <c r="H787" s="1" t="s">
        <v>6089</v>
      </c>
      <c r="I787" s="1"/>
      <c r="J787" s="1"/>
      <c r="K787" s="1" t="s">
        <v>6090</v>
      </c>
      <c r="L787" s="1" t="s">
        <v>9869</v>
      </c>
      <c r="M787" s="1" t="s">
        <v>9870</v>
      </c>
      <c r="N787" s="1"/>
      <c r="O787" s="1"/>
      <c r="P787" s="1"/>
      <c r="Q787" s="1"/>
      <c r="R787" s="1" t="s">
        <v>9871</v>
      </c>
      <c r="S787" s="1" t="s">
        <v>9872</v>
      </c>
      <c r="T787" s="1" t="s">
        <v>9867</v>
      </c>
      <c r="U787" s="1" t="s">
        <v>6096</v>
      </c>
      <c r="V787" s="1" t="s">
        <v>6097</v>
      </c>
      <c r="W787" s="1" t="s">
        <v>9868</v>
      </c>
    </row>
    <row r="788" spans="1:23" ht="48" customHeight="1">
      <c r="A788" s="1" t="s">
        <v>5222</v>
      </c>
      <c r="B788" s="1" t="s">
        <v>6107</v>
      </c>
      <c r="C788" s="1" t="s">
        <v>9873</v>
      </c>
      <c r="D788" s="1" t="s">
        <v>9874</v>
      </c>
      <c r="E788" s="1"/>
      <c r="F788" s="1" t="s">
        <v>6110</v>
      </c>
      <c r="G788" s="1" t="s">
        <v>9862</v>
      </c>
      <c r="H788" s="1" t="s">
        <v>6089</v>
      </c>
      <c r="I788" s="1"/>
      <c r="J788" s="1"/>
      <c r="K788" s="1" t="s">
        <v>6090</v>
      </c>
      <c r="L788" s="1" t="s">
        <v>9875</v>
      </c>
      <c r="M788" s="1" t="s">
        <v>9876</v>
      </c>
      <c r="N788" s="1"/>
      <c r="O788" s="1"/>
      <c r="P788" s="1"/>
      <c r="Q788" s="1"/>
      <c r="R788" s="1"/>
      <c r="S788" s="1"/>
      <c r="T788" s="1"/>
      <c r="U788" s="1"/>
      <c r="V788" s="1"/>
      <c r="W788" s="1"/>
    </row>
    <row r="789" spans="1:23" ht="48" customHeight="1">
      <c r="A789" s="1" t="s">
        <v>5222</v>
      </c>
      <c r="B789" s="1" t="s">
        <v>6113</v>
      </c>
      <c r="C789" s="1" t="s">
        <v>9877</v>
      </c>
      <c r="D789" s="1" t="s">
        <v>9878</v>
      </c>
      <c r="E789" s="1"/>
      <c r="F789" s="1" t="s">
        <v>6110</v>
      </c>
      <c r="G789" s="1" t="s">
        <v>9862</v>
      </c>
      <c r="H789" s="1" t="s">
        <v>6089</v>
      </c>
      <c r="I789" s="1"/>
      <c r="J789" s="1"/>
      <c r="K789" s="1" t="s">
        <v>6090</v>
      </c>
      <c r="L789" s="1" t="s">
        <v>9879</v>
      </c>
      <c r="M789" s="1" t="s">
        <v>9880</v>
      </c>
      <c r="N789" s="1"/>
      <c r="O789" s="1"/>
      <c r="P789" s="1"/>
      <c r="Q789" s="1"/>
      <c r="R789" s="1"/>
      <c r="S789" s="1"/>
      <c r="T789" s="1"/>
      <c r="U789" s="1"/>
      <c r="V789" s="1"/>
      <c r="W789" s="1"/>
    </row>
    <row r="790" spans="1:23" ht="48" customHeight="1">
      <c r="A790" s="1" t="s">
        <v>5222</v>
      </c>
      <c r="B790" s="1" t="s">
        <v>6118</v>
      </c>
      <c r="C790" s="1" t="s">
        <v>9881</v>
      </c>
      <c r="D790" s="1" t="s">
        <v>9882</v>
      </c>
      <c r="E790" s="1" t="s">
        <v>9883</v>
      </c>
      <c r="F790" s="1" t="s">
        <v>6087</v>
      </c>
      <c r="G790" s="1" t="s">
        <v>9862</v>
      </c>
      <c r="H790" s="1" t="s">
        <v>6089</v>
      </c>
      <c r="I790" s="1"/>
      <c r="J790" s="1"/>
      <c r="K790" s="1" t="s">
        <v>6090</v>
      </c>
      <c r="L790" s="1" t="s">
        <v>9884</v>
      </c>
      <c r="M790" s="1" t="s">
        <v>9885</v>
      </c>
      <c r="N790" s="1"/>
      <c r="O790" s="1"/>
      <c r="P790" s="1"/>
      <c r="Q790" s="1"/>
      <c r="R790" s="1" t="s">
        <v>9886</v>
      </c>
      <c r="S790" s="1" t="s">
        <v>9887</v>
      </c>
      <c r="T790" s="1" t="s">
        <v>9867</v>
      </c>
      <c r="U790" s="1" t="s">
        <v>6096</v>
      </c>
      <c r="V790" s="1" t="s">
        <v>6097</v>
      </c>
      <c r="W790" s="1" t="s">
        <v>9868</v>
      </c>
    </row>
    <row r="791" spans="1:23" ht="48" customHeight="1">
      <c r="A791" s="1" t="s">
        <v>5222</v>
      </c>
      <c r="B791" s="1" t="s">
        <v>6126</v>
      </c>
      <c r="C791" s="1" t="s">
        <v>9888</v>
      </c>
      <c r="D791" s="1" t="s">
        <v>9889</v>
      </c>
      <c r="E791" s="1" t="s">
        <v>6431</v>
      </c>
      <c r="F791" s="1" t="s">
        <v>6087</v>
      </c>
      <c r="G791" s="1" t="s">
        <v>9862</v>
      </c>
      <c r="H791" s="1" t="s">
        <v>6089</v>
      </c>
      <c r="I791" s="1"/>
      <c r="J791" s="1"/>
      <c r="K791" s="1" t="s">
        <v>6090</v>
      </c>
      <c r="L791" s="1" t="s">
        <v>9890</v>
      </c>
      <c r="M791" s="1" t="s">
        <v>9891</v>
      </c>
      <c r="N791" s="1"/>
      <c r="O791" s="1"/>
      <c r="P791" s="1"/>
      <c r="Q791" s="1"/>
      <c r="R791" s="1" t="s">
        <v>9892</v>
      </c>
      <c r="S791" s="1" t="s">
        <v>9893</v>
      </c>
      <c r="T791" s="1" t="s">
        <v>9867</v>
      </c>
      <c r="U791" s="1" t="s">
        <v>6096</v>
      </c>
      <c r="V791" s="1" t="s">
        <v>6097</v>
      </c>
      <c r="W791" s="1" t="s">
        <v>9868</v>
      </c>
    </row>
    <row r="792" spans="1:23" ht="48" customHeight="1">
      <c r="A792" s="1" t="s">
        <v>5222</v>
      </c>
      <c r="B792" s="1" t="s">
        <v>6134</v>
      </c>
      <c r="C792" s="1" t="s">
        <v>6286</v>
      </c>
      <c r="D792" s="1" t="s">
        <v>9465</v>
      </c>
      <c r="E792" s="1" t="s">
        <v>9894</v>
      </c>
      <c r="F792" s="1" t="s">
        <v>6138</v>
      </c>
      <c r="G792" s="1" t="s">
        <v>9862</v>
      </c>
      <c r="H792" s="1" t="s">
        <v>6089</v>
      </c>
      <c r="I792" s="1" t="s">
        <v>5247</v>
      </c>
      <c r="J792" s="1" t="s">
        <v>5246</v>
      </c>
      <c r="K792" s="1" t="s">
        <v>6289</v>
      </c>
      <c r="L792" s="1" t="s">
        <v>9895</v>
      </c>
      <c r="M792" s="1" t="s">
        <v>9896</v>
      </c>
      <c r="N792" s="1" t="s">
        <v>9897</v>
      </c>
      <c r="O792" s="1"/>
      <c r="P792" s="1"/>
      <c r="Q792" s="1"/>
      <c r="R792" s="1" t="s">
        <v>9898</v>
      </c>
      <c r="S792" s="1" t="s">
        <v>9748</v>
      </c>
      <c r="T792" s="1" t="s">
        <v>9867</v>
      </c>
      <c r="U792" s="1" t="s">
        <v>6096</v>
      </c>
      <c r="V792" s="1" t="s">
        <v>6295</v>
      </c>
      <c r="W792" s="1" t="s">
        <v>9868</v>
      </c>
    </row>
    <row r="793" spans="1:23" ht="48" customHeight="1">
      <c r="A793" s="1" t="s">
        <v>5222</v>
      </c>
      <c r="B793" s="1" t="s">
        <v>6144</v>
      </c>
      <c r="C793" s="1" t="s">
        <v>9899</v>
      </c>
      <c r="D793" s="1" t="s">
        <v>4747</v>
      </c>
      <c r="E793" s="1" t="s">
        <v>9900</v>
      </c>
      <c r="F793" s="1" t="s">
        <v>6138</v>
      </c>
      <c r="G793" s="1" t="s">
        <v>9862</v>
      </c>
      <c r="H793" s="1" t="s">
        <v>6089</v>
      </c>
      <c r="I793" s="1"/>
      <c r="J793" s="1"/>
      <c r="K793" s="1" t="s">
        <v>6090</v>
      </c>
      <c r="L793" s="1" t="s">
        <v>9901</v>
      </c>
      <c r="M793" s="1" t="s">
        <v>9902</v>
      </c>
      <c r="N793" s="1"/>
      <c r="O793" s="1"/>
      <c r="P793" s="1"/>
      <c r="Q793" s="1"/>
      <c r="R793" s="1" t="s">
        <v>9903</v>
      </c>
      <c r="S793" s="1" t="s">
        <v>9748</v>
      </c>
      <c r="T793" s="1" t="s">
        <v>9867</v>
      </c>
      <c r="U793" s="1" t="s">
        <v>6096</v>
      </c>
      <c r="V793" s="1" t="s">
        <v>6295</v>
      </c>
      <c r="W793" s="1" t="s">
        <v>9868</v>
      </c>
    </row>
    <row r="794" spans="1:23" ht="60" customHeight="1">
      <c r="A794" s="1" t="s">
        <v>5222</v>
      </c>
      <c r="B794" s="1" t="s">
        <v>6149</v>
      </c>
      <c r="C794" s="1" t="s">
        <v>5772</v>
      </c>
      <c r="D794" s="1" t="s">
        <v>4747</v>
      </c>
      <c r="E794" s="1" t="s">
        <v>9904</v>
      </c>
      <c r="F794" s="1" t="s">
        <v>6138</v>
      </c>
      <c r="G794" s="1" t="s">
        <v>9862</v>
      </c>
      <c r="H794" s="1" t="s">
        <v>6089</v>
      </c>
      <c r="I794" s="1"/>
      <c r="J794" s="1"/>
      <c r="K794" s="1" t="s">
        <v>6090</v>
      </c>
      <c r="L794" s="1" t="s">
        <v>9905</v>
      </c>
      <c r="M794" s="1" t="s">
        <v>9906</v>
      </c>
      <c r="N794" s="1"/>
      <c r="O794" s="1"/>
      <c r="P794" s="1"/>
      <c r="Q794" s="1"/>
      <c r="R794" s="1" t="s">
        <v>9907</v>
      </c>
      <c r="S794" s="1" t="s">
        <v>9908</v>
      </c>
      <c r="T794" s="1" t="s">
        <v>9867</v>
      </c>
      <c r="U794" s="1" t="s">
        <v>6096</v>
      </c>
      <c r="V794" s="1" t="s">
        <v>6295</v>
      </c>
      <c r="W794" s="1" t="s">
        <v>9868</v>
      </c>
    </row>
    <row r="795" spans="1:23" ht="60" customHeight="1">
      <c r="A795" s="1" t="s">
        <v>5222</v>
      </c>
      <c r="B795" s="1" t="s">
        <v>6154</v>
      </c>
      <c r="C795" s="1" t="s">
        <v>9909</v>
      </c>
      <c r="D795" s="1" t="s">
        <v>6308</v>
      </c>
      <c r="E795" s="1" t="s">
        <v>9910</v>
      </c>
      <c r="F795" s="1" t="s">
        <v>6138</v>
      </c>
      <c r="G795" s="1" t="s">
        <v>9862</v>
      </c>
      <c r="H795" s="1" t="s">
        <v>6089</v>
      </c>
      <c r="I795" s="1"/>
      <c r="J795" s="1"/>
      <c r="K795" s="1" t="s">
        <v>6090</v>
      </c>
      <c r="L795" s="1" t="s">
        <v>9911</v>
      </c>
      <c r="M795" s="1" t="s">
        <v>9912</v>
      </c>
      <c r="N795" s="1"/>
      <c r="O795" s="1"/>
      <c r="P795" s="1"/>
      <c r="Q795" s="1"/>
      <c r="R795" s="1" t="s">
        <v>9913</v>
      </c>
      <c r="S795" s="1" t="s">
        <v>9914</v>
      </c>
      <c r="T795" s="1" t="s">
        <v>9867</v>
      </c>
      <c r="U795" s="1" t="s">
        <v>6096</v>
      </c>
      <c r="V795" s="1" t="s">
        <v>6295</v>
      </c>
      <c r="W795" s="1" t="s">
        <v>9868</v>
      </c>
    </row>
    <row r="796" spans="1:23" ht="48" customHeight="1">
      <c r="A796" s="1" t="s">
        <v>5222</v>
      </c>
      <c r="B796" s="1" t="s">
        <v>6159</v>
      </c>
      <c r="C796" s="1" t="s">
        <v>9915</v>
      </c>
      <c r="D796" s="1" t="s">
        <v>9916</v>
      </c>
      <c r="E796" s="1" t="s">
        <v>9917</v>
      </c>
      <c r="F796" s="1" t="s">
        <v>6163</v>
      </c>
      <c r="G796" s="1" t="s">
        <v>9862</v>
      </c>
      <c r="H796" s="1" t="s">
        <v>6089</v>
      </c>
      <c r="I796" s="1"/>
      <c r="J796" s="1"/>
      <c r="K796" s="1" t="s">
        <v>6090</v>
      </c>
      <c r="L796" s="1" t="s">
        <v>9918</v>
      </c>
      <c r="M796" s="1" t="s">
        <v>9919</v>
      </c>
      <c r="N796" s="1"/>
      <c r="O796" s="1"/>
      <c r="P796" s="1"/>
      <c r="Q796" s="1"/>
      <c r="R796" s="1" t="s">
        <v>9920</v>
      </c>
      <c r="S796" s="1" t="s">
        <v>9921</v>
      </c>
      <c r="T796" s="1" t="s">
        <v>9867</v>
      </c>
      <c r="U796" s="1" t="s">
        <v>6096</v>
      </c>
      <c r="V796" s="1" t="s">
        <v>6168</v>
      </c>
      <c r="W796" s="1" t="s">
        <v>9868</v>
      </c>
    </row>
    <row r="797" spans="1:23" ht="48" customHeight="1">
      <c r="A797" s="1" t="s">
        <v>5222</v>
      </c>
      <c r="B797" s="1" t="s">
        <v>6169</v>
      </c>
      <c r="C797" s="1" t="s">
        <v>9922</v>
      </c>
      <c r="D797" s="1" t="s">
        <v>9923</v>
      </c>
      <c r="E797" s="1" t="s">
        <v>9924</v>
      </c>
      <c r="F797" s="1" t="s">
        <v>6163</v>
      </c>
      <c r="G797" s="1" t="s">
        <v>9862</v>
      </c>
      <c r="H797" s="1" t="s">
        <v>6089</v>
      </c>
      <c r="I797" s="1"/>
      <c r="J797" s="1"/>
      <c r="K797" s="1" t="s">
        <v>6090</v>
      </c>
      <c r="L797" s="1" t="s">
        <v>9925</v>
      </c>
      <c r="M797" s="1" t="s">
        <v>9926</v>
      </c>
      <c r="N797" s="1"/>
      <c r="O797" s="1"/>
      <c r="P797" s="1"/>
      <c r="Q797" s="1"/>
      <c r="R797" s="1" t="s">
        <v>9927</v>
      </c>
      <c r="S797" s="1" t="s">
        <v>6361</v>
      </c>
      <c r="T797" s="1" t="s">
        <v>9867</v>
      </c>
      <c r="U797" s="1" t="s">
        <v>6096</v>
      </c>
      <c r="V797" s="1" t="s">
        <v>6168</v>
      </c>
      <c r="W797" s="1" t="s">
        <v>9868</v>
      </c>
    </row>
    <row r="798" spans="1:23" ht="96" customHeight="1">
      <c r="A798" s="1" t="s">
        <v>5222</v>
      </c>
      <c r="B798" s="1" t="s">
        <v>6176</v>
      </c>
      <c r="C798" s="1" t="s">
        <v>9928</v>
      </c>
      <c r="D798" s="1" t="s">
        <v>4747</v>
      </c>
      <c r="E798" s="1" t="s">
        <v>9929</v>
      </c>
      <c r="F798" s="1" t="s">
        <v>6138</v>
      </c>
      <c r="G798" s="1" t="s">
        <v>9862</v>
      </c>
      <c r="H798" s="1" t="s">
        <v>6089</v>
      </c>
      <c r="I798" s="1"/>
      <c r="J798" s="1"/>
      <c r="K798" s="1" t="s">
        <v>6090</v>
      </c>
      <c r="L798" s="1" t="s">
        <v>9930</v>
      </c>
      <c r="M798" s="1" t="s">
        <v>9931</v>
      </c>
      <c r="N798" s="1"/>
      <c r="O798" s="1"/>
      <c r="P798" s="1"/>
      <c r="Q798" s="1"/>
      <c r="R798" s="1" t="s">
        <v>9932</v>
      </c>
      <c r="S798" s="1" t="s">
        <v>9933</v>
      </c>
      <c r="T798" s="1" t="s">
        <v>9867</v>
      </c>
      <c r="U798" s="1" t="s">
        <v>6096</v>
      </c>
      <c r="V798" s="1" t="s">
        <v>6184</v>
      </c>
      <c r="W798" s="1" t="s">
        <v>9868</v>
      </c>
    </row>
    <row r="799" spans="1:23" ht="48" customHeight="1">
      <c r="A799" s="1" t="s">
        <v>5222</v>
      </c>
      <c r="B799" s="1" t="s">
        <v>6185</v>
      </c>
      <c r="C799" s="1" t="s">
        <v>4747</v>
      </c>
      <c r="D799" s="1" t="s">
        <v>4747</v>
      </c>
      <c r="E799" s="1" t="s">
        <v>4747</v>
      </c>
      <c r="F799" s="1" t="s">
        <v>6186</v>
      </c>
      <c r="G799" s="1" t="s">
        <v>9862</v>
      </c>
      <c r="H799" s="1" t="s">
        <v>6089</v>
      </c>
      <c r="I799" s="1"/>
      <c r="J799" s="1"/>
      <c r="K799" s="1" t="s">
        <v>6090</v>
      </c>
      <c r="L799" s="1" t="s">
        <v>9934</v>
      </c>
      <c r="M799" s="1" t="s">
        <v>9935</v>
      </c>
      <c r="N799" s="1"/>
      <c r="O799" s="1"/>
      <c r="P799" s="1"/>
      <c r="Q799" s="1"/>
      <c r="R799" s="1"/>
      <c r="S799" s="1"/>
      <c r="T799" s="1"/>
      <c r="U799" s="1"/>
      <c r="V799" s="1"/>
      <c r="W799" s="1"/>
    </row>
    <row r="800" spans="1:23" ht="96" customHeight="1">
      <c r="A800" s="1" t="s">
        <v>5222</v>
      </c>
      <c r="B800" s="1" t="s">
        <v>6189</v>
      </c>
      <c r="C800" s="1" t="s">
        <v>9936</v>
      </c>
      <c r="D800" s="1" t="s">
        <v>4747</v>
      </c>
      <c r="E800" s="1" t="s">
        <v>9937</v>
      </c>
      <c r="F800" s="1" t="s">
        <v>6138</v>
      </c>
      <c r="G800" s="1" t="s">
        <v>9862</v>
      </c>
      <c r="H800" s="1" t="s">
        <v>6089</v>
      </c>
      <c r="I800" s="1"/>
      <c r="J800" s="1"/>
      <c r="K800" s="1" t="s">
        <v>6090</v>
      </c>
      <c r="L800" s="1" t="s">
        <v>9938</v>
      </c>
      <c r="M800" s="1" t="s">
        <v>9939</v>
      </c>
      <c r="N800" s="1"/>
      <c r="O800" s="1"/>
      <c r="P800" s="1"/>
      <c r="Q800" s="1"/>
      <c r="R800" s="1" t="s">
        <v>9940</v>
      </c>
      <c r="S800" s="1" t="s">
        <v>9941</v>
      </c>
      <c r="T800" s="1" t="s">
        <v>9867</v>
      </c>
      <c r="U800" s="1" t="s">
        <v>6096</v>
      </c>
      <c r="V800" s="1" t="s">
        <v>6184</v>
      </c>
      <c r="W800" s="1" t="s">
        <v>9868</v>
      </c>
    </row>
    <row r="801" spans="1:23" ht="48" customHeight="1">
      <c r="A801" s="1" t="s">
        <v>5222</v>
      </c>
      <c r="B801" s="1" t="s">
        <v>6196</v>
      </c>
      <c r="C801" s="1" t="s">
        <v>9942</v>
      </c>
      <c r="D801" s="1" t="s">
        <v>9943</v>
      </c>
      <c r="E801" s="1" t="s">
        <v>9944</v>
      </c>
      <c r="F801" s="1" t="s">
        <v>6163</v>
      </c>
      <c r="G801" s="1" t="s">
        <v>9862</v>
      </c>
      <c r="H801" s="1" t="s">
        <v>6089</v>
      </c>
      <c r="I801" s="1"/>
      <c r="J801" s="1"/>
      <c r="K801" s="1" t="s">
        <v>6090</v>
      </c>
      <c r="L801" s="1" t="s">
        <v>9945</v>
      </c>
      <c r="M801" s="1" t="s">
        <v>9946</v>
      </c>
      <c r="N801" s="1"/>
      <c r="O801" s="1"/>
      <c r="P801" s="1"/>
      <c r="Q801" s="1"/>
      <c r="R801" s="1" t="s">
        <v>9947</v>
      </c>
      <c r="S801" s="1" t="s">
        <v>6972</v>
      </c>
      <c r="T801" s="1" t="s">
        <v>9867</v>
      </c>
      <c r="U801" s="1" t="s">
        <v>6096</v>
      </c>
      <c r="V801" s="1" t="s">
        <v>6168</v>
      </c>
      <c r="W801" s="1" t="s">
        <v>9868</v>
      </c>
    </row>
    <row r="802" spans="1:23" ht="60" customHeight="1">
      <c r="A802" s="1" t="s">
        <v>5222</v>
      </c>
      <c r="B802" s="1" t="s">
        <v>6200</v>
      </c>
      <c r="C802" s="1" t="s">
        <v>9948</v>
      </c>
      <c r="D802" s="1" t="s">
        <v>9949</v>
      </c>
      <c r="E802" s="1" t="s">
        <v>9950</v>
      </c>
      <c r="F802" s="1" t="s">
        <v>6349</v>
      </c>
      <c r="G802" s="1" t="s">
        <v>9862</v>
      </c>
      <c r="H802" s="1" t="s">
        <v>6089</v>
      </c>
      <c r="I802" s="1"/>
      <c r="J802" s="1"/>
      <c r="K802" s="1" t="s">
        <v>6090</v>
      </c>
      <c r="L802" s="1" t="s">
        <v>9951</v>
      </c>
      <c r="M802" s="1" t="s">
        <v>9952</v>
      </c>
      <c r="N802" s="1"/>
      <c r="O802" s="1"/>
      <c r="P802" s="1"/>
      <c r="Q802" s="1"/>
      <c r="R802" s="1" t="s">
        <v>9953</v>
      </c>
      <c r="S802" s="1" t="s">
        <v>7006</v>
      </c>
      <c r="T802" s="1" t="s">
        <v>9867</v>
      </c>
      <c r="U802" s="1" t="s">
        <v>6096</v>
      </c>
      <c r="V802" s="1" t="s">
        <v>9954</v>
      </c>
      <c r="W802" s="1" t="s">
        <v>9868</v>
      </c>
    </row>
    <row r="803" spans="1:23" ht="96" customHeight="1">
      <c r="A803" s="1" t="s">
        <v>5222</v>
      </c>
      <c r="B803" s="1" t="s">
        <v>5583</v>
      </c>
      <c r="C803" s="1" t="s">
        <v>9955</v>
      </c>
      <c r="D803" s="1" t="s">
        <v>4747</v>
      </c>
      <c r="E803" s="1" t="s">
        <v>9956</v>
      </c>
      <c r="F803" s="1" t="s">
        <v>6138</v>
      </c>
      <c r="G803" s="1" t="s">
        <v>9862</v>
      </c>
      <c r="H803" s="1" t="s">
        <v>6089</v>
      </c>
      <c r="I803" s="1"/>
      <c r="J803" s="1"/>
      <c r="K803" s="1" t="s">
        <v>6090</v>
      </c>
      <c r="L803" s="1" t="s">
        <v>9957</v>
      </c>
      <c r="M803" s="1" t="s">
        <v>9958</v>
      </c>
      <c r="N803" s="1"/>
      <c r="O803" s="1"/>
      <c r="P803" s="1"/>
      <c r="Q803" s="1"/>
      <c r="R803" s="1" t="s">
        <v>9959</v>
      </c>
      <c r="S803" s="1" t="s">
        <v>9960</v>
      </c>
      <c r="T803" s="1" t="s">
        <v>9867</v>
      </c>
      <c r="U803" s="1" t="s">
        <v>6096</v>
      </c>
      <c r="V803" s="1" t="s">
        <v>6184</v>
      </c>
      <c r="W803" s="1" t="s">
        <v>9868</v>
      </c>
    </row>
    <row r="804" spans="1:23" ht="48" customHeight="1">
      <c r="A804" s="1" t="s">
        <v>5222</v>
      </c>
      <c r="B804" s="1" t="s">
        <v>6209</v>
      </c>
      <c r="C804" s="1" t="s">
        <v>9961</v>
      </c>
      <c r="D804" s="1" t="s">
        <v>4747</v>
      </c>
      <c r="E804" s="1"/>
      <c r="F804" s="1" t="s">
        <v>6110</v>
      </c>
      <c r="G804" s="1" t="s">
        <v>9862</v>
      </c>
      <c r="H804" s="1" t="s">
        <v>6089</v>
      </c>
      <c r="I804" s="1"/>
      <c r="J804" s="1"/>
      <c r="K804" s="1" t="s">
        <v>6090</v>
      </c>
      <c r="L804" s="1" t="s">
        <v>9962</v>
      </c>
      <c r="M804" s="1" t="s">
        <v>9963</v>
      </c>
      <c r="N804" s="1"/>
      <c r="O804" s="1"/>
      <c r="P804" s="1"/>
      <c r="Q804" s="1"/>
      <c r="R804" s="1"/>
      <c r="S804" s="1"/>
      <c r="T804" s="1"/>
      <c r="U804" s="1"/>
      <c r="V804" s="1"/>
      <c r="W804" s="1"/>
    </row>
    <row r="805" spans="1:23" ht="48" customHeight="1">
      <c r="A805" s="1" t="s">
        <v>5222</v>
      </c>
      <c r="B805" s="1" t="s">
        <v>6212</v>
      </c>
      <c r="C805" s="1" t="s">
        <v>9964</v>
      </c>
      <c r="D805" s="1" t="s">
        <v>4747</v>
      </c>
      <c r="E805" s="1"/>
      <c r="F805" s="1" t="s">
        <v>6110</v>
      </c>
      <c r="G805" s="1" t="s">
        <v>9862</v>
      </c>
      <c r="H805" s="1" t="s">
        <v>6089</v>
      </c>
      <c r="I805" s="1"/>
      <c r="J805" s="1"/>
      <c r="K805" s="1" t="s">
        <v>6090</v>
      </c>
      <c r="L805" s="1" t="s">
        <v>9965</v>
      </c>
      <c r="M805" s="1" t="s">
        <v>9966</v>
      </c>
      <c r="N805" s="1"/>
      <c r="O805" s="1"/>
      <c r="P805" s="1"/>
      <c r="Q805" s="1"/>
      <c r="R805" s="1"/>
      <c r="S805" s="1"/>
      <c r="T805" s="1"/>
      <c r="U805" s="1"/>
      <c r="V805" s="1"/>
      <c r="W805" s="1"/>
    </row>
    <row r="806" spans="1:23" ht="48" customHeight="1">
      <c r="A806" s="1" t="s">
        <v>5222</v>
      </c>
      <c r="B806" s="1" t="s">
        <v>6215</v>
      </c>
      <c r="C806" s="1"/>
      <c r="D806" s="1" t="s">
        <v>4747</v>
      </c>
      <c r="E806" s="1"/>
      <c r="F806" s="1" t="s">
        <v>6216</v>
      </c>
      <c r="G806" s="1"/>
      <c r="H806" s="1" t="s">
        <v>6089</v>
      </c>
      <c r="I806" s="1"/>
      <c r="J806" s="1"/>
      <c r="K806" s="1" t="s">
        <v>6090</v>
      </c>
      <c r="L806" s="1"/>
      <c r="M806" s="1" t="s">
        <v>9967</v>
      </c>
      <c r="N806" s="1"/>
      <c r="O806" s="1"/>
      <c r="P806" s="1"/>
      <c r="Q806" s="1"/>
      <c r="R806" s="1"/>
      <c r="S806" s="1"/>
      <c r="T806" s="1"/>
      <c r="U806" s="1"/>
      <c r="V806" s="1"/>
      <c r="W806" s="1"/>
    </row>
    <row r="807" spans="1:23" ht="48" customHeight="1">
      <c r="A807" s="1" t="s">
        <v>5222</v>
      </c>
      <c r="B807" s="1" t="s">
        <v>6218</v>
      </c>
      <c r="C807" s="1" t="s">
        <v>9968</v>
      </c>
      <c r="D807" s="1" t="s">
        <v>4747</v>
      </c>
      <c r="E807" s="1"/>
      <c r="F807" s="1" t="s">
        <v>6110</v>
      </c>
      <c r="G807" s="1" t="s">
        <v>9862</v>
      </c>
      <c r="H807" s="1" t="s">
        <v>6089</v>
      </c>
      <c r="I807" s="1"/>
      <c r="J807" s="1"/>
      <c r="K807" s="1" t="s">
        <v>6090</v>
      </c>
      <c r="L807" s="1" t="s">
        <v>9969</v>
      </c>
      <c r="M807" s="1" t="s">
        <v>9970</v>
      </c>
      <c r="N807" s="1"/>
      <c r="O807" s="1"/>
      <c r="P807" s="1"/>
      <c r="Q807" s="1"/>
      <c r="R807" s="1"/>
      <c r="S807" s="1"/>
      <c r="T807" s="1"/>
      <c r="U807" s="1"/>
      <c r="V807" s="1"/>
      <c r="W807" s="1"/>
    </row>
    <row r="808" spans="1:23" ht="48" customHeight="1">
      <c r="A808" s="1" t="s">
        <v>5222</v>
      </c>
      <c r="B808" s="1" t="s">
        <v>6222</v>
      </c>
      <c r="C808" s="1" t="s">
        <v>9971</v>
      </c>
      <c r="D808" s="1" t="s">
        <v>9972</v>
      </c>
      <c r="E808" s="1"/>
      <c r="F808" s="1" t="s">
        <v>6110</v>
      </c>
      <c r="G808" s="1" t="s">
        <v>9862</v>
      </c>
      <c r="H808" s="1" t="s">
        <v>6089</v>
      </c>
      <c r="I808" s="1"/>
      <c r="J808" s="1"/>
      <c r="K808" s="1" t="s">
        <v>6090</v>
      </c>
      <c r="L808" s="1" t="s">
        <v>9973</v>
      </c>
      <c r="M808" s="1" t="s">
        <v>9974</v>
      </c>
      <c r="N808" s="1"/>
      <c r="O808" s="1"/>
      <c r="P808" s="1"/>
      <c r="Q808" s="1"/>
      <c r="R808" s="1"/>
      <c r="S808" s="1"/>
      <c r="T808" s="1"/>
      <c r="U808" s="1"/>
      <c r="V808" s="1"/>
      <c r="W808" s="1"/>
    </row>
    <row r="809" spans="1:23" ht="48" customHeight="1">
      <c r="A809" s="1" t="s">
        <v>5222</v>
      </c>
      <c r="B809" s="1" t="s">
        <v>6227</v>
      </c>
      <c r="C809" s="1" t="s">
        <v>9975</v>
      </c>
      <c r="D809" s="1" t="s">
        <v>9976</v>
      </c>
      <c r="E809" s="1"/>
      <c r="F809" s="1" t="s">
        <v>6110</v>
      </c>
      <c r="G809" s="1" t="s">
        <v>9862</v>
      </c>
      <c r="H809" s="1" t="s">
        <v>6089</v>
      </c>
      <c r="I809" s="1"/>
      <c r="J809" s="1"/>
      <c r="K809" s="1" t="s">
        <v>6090</v>
      </c>
      <c r="L809" s="1" t="s">
        <v>9977</v>
      </c>
      <c r="M809" s="1" t="s">
        <v>9978</v>
      </c>
      <c r="N809" s="1"/>
      <c r="O809" s="1"/>
      <c r="P809" s="1"/>
      <c r="Q809" s="1"/>
      <c r="R809" s="1"/>
      <c r="S809" s="1"/>
      <c r="T809" s="1"/>
      <c r="U809" s="1"/>
      <c r="V809" s="1"/>
      <c r="W809" s="1"/>
    </row>
    <row r="810" spans="1:23" ht="48" customHeight="1">
      <c r="A810" s="1" t="s">
        <v>5222</v>
      </c>
      <c r="B810" s="1" t="s">
        <v>6232</v>
      </c>
      <c r="C810" s="1" t="s">
        <v>4747</v>
      </c>
      <c r="D810" s="1" t="s">
        <v>9979</v>
      </c>
      <c r="E810" s="1"/>
      <c r="F810" s="1" t="s">
        <v>6110</v>
      </c>
      <c r="G810" s="1" t="s">
        <v>9862</v>
      </c>
      <c r="H810" s="1" t="s">
        <v>6089</v>
      </c>
      <c r="I810" s="1"/>
      <c r="J810" s="1"/>
      <c r="K810" s="1" t="s">
        <v>6090</v>
      </c>
      <c r="L810" s="1" t="s">
        <v>9980</v>
      </c>
      <c r="M810" s="1" t="s">
        <v>9981</v>
      </c>
      <c r="N810" s="1"/>
      <c r="O810" s="1"/>
      <c r="P810" s="1"/>
      <c r="Q810" s="1"/>
      <c r="R810" s="1"/>
      <c r="S810" s="1"/>
      <c r="T810" s="1"/>
      <c r="U810" s="1"/>
      <c r="V810" s="1"/>
      <c r="W810" s="1"/>
    </row>
    <row r="811" spans="1:23" ht="48" customHeight="1">
      <c r="A811" s="1" t="s">
        <v>5222</v>
      </c>
      <c r="B811" s="1" t="s">
        <v>6236</v>
      </c>
      <c r="C811" s="1" t="s">
        <v>9982</v>
      </c>
      <c r="D811" s="1" t="s">
        <v>9983</v>
      </c>
      <c r="E811" s="1" t="s">
        <v>9984</v>
      </c>
      <c r="F811" s="1" t="s">
        <v>6163</v>
      </c>
      <c r="G811" s="1" t="s">
        <v>9862</v>
      </c>
      <c r="H811" s="1" t="s">
        <v>6089</v>
      </c>
      <c r="I811" s="1"/>
      <c r="J811" s="1"/>
      <c r="K811" s="1" t="s">
        <v>6090</v>
      </c>
      <c r="L811" s="1" t="s">
        <v>9985</v>
      </c>
      <c r="M811" s="1" t="s">
        <v>9986</v>
      </c>
      <c r="N811" s="1"/>
      <c r="O811" s="1"/>
      <c r="P811" s="1"/>
      <c r="Q811" s="1"/>
      <c r="R811" s="1" t="s">
        <v>9987</v>
      </c>
      <c r="S811" s="1" t="s">
        <v>9988</v>
      </c>
      <c r="T811" s="1" t="s">
        <v>9867</v>
      </c>
      <c r="U811" s="1" t="s">
        <v>6096</v>
      </c>
      <c r="V811" s="1" t="s">
        <v>6244</v>
      </c>
      <c r="W811" s="1" t="s">
        <v>9868</v>
      </c>
    </row>
    <row r="812" spans="1:23" ht="48" customHeight="1">
      <c r="A812" s="1" t="s">
        <v>5222</v>
      </c>
      <c r="B812" s="1" t="s">
        <v>6245</v>
      </c>
      <c r="C812" s="1" t="s">
        <v>9989</v>
      </c>
      <c r="D812" s="1"/>
      <c r="E812" s="1"/>
      <c r="F812" s="1" t="s">
        <v>6216</v>
      </c>
      <c r="G812" s="1" t="s">
        <v>9862</v>
      </c>
      <c r="H812" s="1"/>
      <c r="I812" s="1"/>
      <c r="J812" s="1"/>
      <c r="K812" s="1" t="s">
        <v>6090</v>
      </c>
      <c r="L812" s="1" t="s">
        <v>9990</v>
      </c>
      <c r="M812" s="1"/>
      <c r="N812" s="1"/>
      <c r="O812" s="1"/>
      <c r="P812" s="1"/>
      <c r="Q812" s="1"/>
      <c r="R812" s="1"/>
      <c r="S812" s="1"/>
      <c r="T812" s="1"/>
      <c r="U812" s="1"/>
      <c r="V812" s="1"/>
      <c r="W812" s="1"/>
    </row>
    <row r="813" spans="1:23" ht="48" customHeight="1">
      <c r="A813" s="1" t="s">
        <v>5222</v>
      </c>
      <c r="B813" s="1" t="s">
        <v>6248</v>
      </c>
      <c r="C813" s="1" t="s">
        <v>9991</v>
      </c>
      <c r="D813" s="1"/>
      <c r="E813" s="1"/>
      <c r="F813" s="1" t="s">
        <v>6216</v>
      </c>
      <c r="G813" s="1" t="s">
        <v>9862</v>
      </c>
      <c r="H813" s="1"/>
      <c r="I813" s="1"/>
      <c r="J813" s="1"/>
      <c r="K813" s="1" t="s">
        <v>6090</v>
      </c>
      <c r="L813" s="1" t="s">
        <v>9992</v>
      </c>
      <c r="M813" s="1"/>
      <c r="N813" s="1"/>
      <c r="O813" s="1"/>
      <c r="P813" s="1"/>
      <c r="Q813" s="1"/>
      <c r="R813" s="1"/>
      <c r="S813" s="1"/>
      <c r="T813" s="1"/>
      <c r="U813" s="1"/>
      <c r="V813" s="1"/>
      <c r="W813" s="1"/>
    </row>
    <row r="814" spans="1:23" ht="48" customHeight="1">
      <c r="A814" s="1" t="s">
        <v>5776</v>
      </c>
      <c r="B814" s="1" t="s">
        <v>6083</v>
      </c>
      <c r="C814" s="1" t="s">
        <v>9993</v>
      </c>
      <c r="D814" s="1" t="s">
        <v>9994</v>
      </c>
      <c r="E814" s="1" t="s">
        <v>6402</v>
      </c>
      <c r="F814" s="1" t="s">
        <v>6087</v>
      </c>
      <c r="G814" s="1" t="s">
        <v>9995</v>
      </c>
      <c r="H814" s="1" t="s">
        <v>6089</v>
      </c>
      <c r="I814" s="1"/>
      <c r="J814" s="1"/>
      <c r="K814" s="1" t="s">
        <v>6090</v>
      </c>
      <c r="L814" s="1" t="s">
        <v>9996</v>
      </c>
      <c r="M814" s="1" t="s">
        <v>9997</v>
      </c>
      <c r="N814" s="1"/>
      <c r="O814" s="1"/>
      <c r="P814" s="1"/>
      <c r="Q814" s="1"/>
      <c r="R814" s="1" t="s">
        <v>9998</v>
      </c>
      <c r="S814" s="1" t="s">
        <v>9999</v>
      </c>
      <c r="T814" s="1" t="s">
        <v>10000</v>
      </c>
      <c r="U814" s="1" t="s">
        <v>6096</v>
      </c>
      <c r="V814" s="1" t="s">
        <v>6097</v>
      </c>
      <c r="W814" s="1" t="s">
        <v>10001</v>
      </c>
    </row>
    <row r="815" spans="1:23" ht="48" customHeight="1">
      <c r="A815" s="1" t="s">
        <v>5776</v>
      </c>
      <c r="B815" s="1" t="s">
        <v>6099</v>
      </c>
      <c r="C815" s="1" t="s">
        <v>10002</v>
      </c>
      <c r="D815" s="1" t="s">
        <v>6102</v>
      </c>
      <c r="E815" s="1" t="s">
        <v>6102</v>
      </c>
      <c r="F815" s="1" t="s">
        <v>6087</v>
      </c>
      <c r="G815" s="1" t="s">
        <v>9995</v>
      </c>
      <c r="H815" s="1" t="s">
        <v>6089</v>
      </c>
      <c r="I815" s="1"/>
      <c r="J815" s="1"/>
      <c r="K815" s="1" t="s">
        <v>6090</v>
      </c>
      <c r="L815" s="1" t="s">
        <v>10003</v>
      </c>
      <c r="M815" s="1" t="s">
        <v>10004</v>
      </c>
      <c r="N815" s="1"/>
      <c r="O815" s="1"/>
      <c r="P815" s="1"/>
      <c r="Q815" s="1"/>
      <c r="R815" s="1" t="s">
        <v>10005</v>
      </c>
      <c r="S815" s="1" t="s">
        <v>10006</v>
      </c>
      <c r="T815" s="1" t="s">
        <v>10000</v>
      </c>
      <c r="U815" s="1" t="s">
        <v>6096</v>
      </c>
      <c r="V815" s="1" t="s">
        <v>6097</v>
      </c>
      <c r="W815" s="1" t="s">
        <v>10001</v>
      </c>
    </row>
    <row r="816" spans="1:23" ht="48" customHeight="1">
      <c r="A816" s="1" t="s">
        <v>5776</v>
      </c>
      <c r="B816" s="1" t="s">
        <v>6107</v>
      </c>
      <c r="C816" s="1" t="s">
        <v>10007</v>
      </c>
      <c r="D816" s="1" t="s">
        <v>10008</v>
      </c>
      <c r="E816" s="1"/>
      <c r="F816" s="1" t="s">
        <v>6110</v>
      </c>
      <c r="G816" s="1" t="s">
        <v>9995</v>
      </c>
      <c r="H816" s="1" t="s">
        <v>6089</v>
      </c>
      <c r="I816" s="1"/>
      <c r="J816" s="1"/>
      <c r="K816" s="1" t="s">
        <v>6090</v>
      </c>
      <c r="L816" s="1" t="s">
        <v>10009</v>
      </c>
      <c r="M816" s="1" t="s">
        <v>10010</v>
      </c>
      <c r="N816" s="1"/>
      <c r="O816" s="1"/>
      <c r="P816" s="1"/>
      <c r="Q816" s="1"/>
      <c r="R816" s="1"/>
      <c r="S816" s="1"/>
      <c r="T816" s="1"/>
      <c r="U816" s="1"/>
      <c r="V816" s="1"/>
      <c r="W816" s="1"/>
    </row>
    <row r="817" spans="1:23" ht="48" customHeight="1">
      <c r="A817" s="1" t="s">
        <v>5776</v>
      </c>
      <c r="B817" s="1" t="s">
        <v>6113</v>
      </c>
      <c r="C817" s="1" t="s">
        <v>10011</v>
      </c>
      <c r="D817" s="1" t="s">
        <v>10012</v>
      </c>
      <c r="E817" s="1"/>
      <c r="F817" s="1" t="s">
        <v>6110</v>
      </c>
      <c r="G817" s="1" t="s">
        <v>9995</v>
      </c>
      <c r="H817" s="1" t="s">
        <v>6089</v>
      </c>
      <c r="I817" s="1"/>
      <c r="J817" s="1"/>
      <c r="K817" s="1" t="s">
        <v>6090</v>
      </c>
      <c r="L817" s="1" t="s">
        <v>10013</v>
      </c>
      <c r="M817" s="1" t="s">
        <v>10014</v>
      </c>
      <c r="N817" s="1"/>
      <c r="O817" s="1"/>
      <c r="P817" s="1"/>
      <c r="Q817" s="1"/>
      <c r="R817" s="1"/>
      <c r="S817" s="1"/>
      <c r="T817" s="1"/>
      <c r="U817" s="1"/>
      <c r="V817" s="1"/>
      <c r="W817" s="1"/>
    </row>
    <row r="818" spans="1:23" ht="48" customHeight="1">
      <c r="A818" s="1" t="s">
        <v>5776</v>
      </c>
      <c r="B818" s="1" t="s">
        <v>6118</v>
      </c>
      <c r="C818" s="1" t="s">
        <v>10015</v>
      </c>
      <c r="D818" s="1" t="s">
        <v>10016</v>
      </c>
      <c r="E818" s="1" t="s">
        <v>10017</v>
      </c>
      <c r="F818" s="1" t="s">
        <v>6087</v>
      </c>
      <c r="G818" s="1" t="s">
        <v>9995</v>
      </c>
      <c r="H818" s="1" t="s">
        <v>6089</v>
      </c>
      <c r="I818" s="1"/>
      <c r="J818" s="1"/>
      <c r="K818" s="1" t="s">
        <v>6090</v>
      </c>
      <c r="L818" s="1" t="s">
        <v>10018</v>
      </c>
      <c r="M818" s="1" t="s">
        <v>10019</v>
      </c>
      <c r="N818" s="1"/>
      <c r="O818" s="1"/>
      <c r="P818" s="1"/>
      <c r="Q818" s="1"/>
      <c r="R818" s="1" t="s">
        <v>10020</v>
      </c>
      <c r="S818" s="1" t="s">
        <v>10021</v>
      </c>
      <c r="T818" s="1" t="s">
        <v>10000</v>
      </c>
      <c r="U818" s="1" t="s">
        <v>6096</v>
      </c>
      <c r="V818" s="1" t="s">
        <v>6097</v>
      </c>
      <c r="W818" s="1" t="s">
        <v>10001</v>
      </c>
    </row>
    <row r="819" spans="1:23" ht="48" customHeight="1">
      <c r="A819" s="1" t="s">
        <v>5776</v>
      </c>
      <c r="B819" s="1" t="s">
        <v>6126</v>
      </c>
      <c r="C819" s="1" t="s">
        <v>10022</v>
      </c>
      <c r="D819" s="1" t="s">
        <v>10023</v>
      </c>
      <c r="E819" s="1" t="s">
        <v>6129</v>
      </c>
      <c r="F819" s="1" t="s">
        <v>6087</v>
      </c>
      <c r="G819" s="1" t="s">
        <v>9995</v>
      </c>
      <c r="H819" s="1" t="s">
        <v>6089</v>
      </c>
      <c r="I819" s="1"/>
      <c r="J819" s="1"/>
      <c r="K819" s="1" t="s">
        <v>6090</v>
      </c>
      <c r="L819" s="1" t="s">
        <v>10024</v>
      </c>
      <c r="M819" s="1" t="s">
        <v>10025</v>
      </c>
      <c r="N819" s="1"/>
      <c r="O819" s="1"/>
      <c r="P819" s="1"/>
      <c r="Q819" s="1"/>
      <c r="R819" s="1" t="s">
        <v>10026</v>
      </c>
      <c r="S819" s="1" t="s">
        <v>10027</v>
      </c>
      <c r="T819" s="1" t="s">
        <v>10000</v>
      </c>
      <c r="U819" s="1" t="s">
        <v>6096</v>
      </c>
      <c r="V819" s="1" t="s">
        <v>6097</v>
      </c>
      <c r="W819" s="1" t="s">
        <v>10001</v>
      </c>
    </row>
    <row r="820" spans="1:23" ht="48" customHeight="1">
      <c r="A820" s="1" t="s">
        <v>5776</v>
      </c>
      <c r="B820" s="1" t="s">
        <v>6134</v>
      </c>
      <c r="C820" s="1" t="s">
        <v>10028</v>
      </c>
      <c r="D820" s="1" t="s">
        <v>10029</v>
      </c>
      <c r="E820" s="1" t="s">
        <v>10030</v>
      </c>
      <c r="F820" s="1" t="s">
        <v>6138</v>
      </c>
      <c r="G820" s="1" t="s">
        <v>9995</v>
      </c>
      <c r="H820" s="1" t="s">
        <v>6089</v>
      </c>
      <c r="I820" s="1"/>
      <c r="J820" s="1"/>
      <c r="K820" s="1" t="s">
        <v>6090</v>
      </c>
      <c r="L820" s="1" t="s">
        <v>10031</v>
      </c>
      <c r="M820" s="1" t="s">
        <v>10032</v>
      </c>
      <c r="N820" s="1"/>
      <c r="O820" s="1"/>
      <c r="P820" s="1"/>
      <c r="Q820" s="1"/>
      <c r="R820" s="1" t="s">
        <v>10033</v>
      </c>
      <c r="S820" s="1" t="s">
        <v>10034</v>
      </c>
      <c r="T820" s="1" t="s">
        <v>10000</v>
      </c>
      <c r="U820" s="1" t="s">
        <v>6096</v>
      </c>
      <c r="V820" s="1" t="s">
        <v>6143</v>
      </c>
      <c r="W820" s="1" t="s">
        <v>10001</v>
      </c>
    </row>
    <row r="821" spans="1:23" ht="84" customHeight="1">
      <c r="A821" s="1" t="s">
        <v>5776</v>
      </c>
      <c r="B821" s="1" t="s">
        <v>6144</v>
      </c>
      <c r="C821" s="1" t="s">
        <v>10035</v>
      </c>
      <c r="D821" s="1" t="s">
        <v>4747</v>
      </c>
      <c r="E821" s="1" t="s">
        <v>10036</v>
      </c>
      <c r="F821" s="1" t="s">
        <v>6138</v>
      </c>
      <c r="G821" s="1" t="s">
        <v>9995</v>
      </c>
      <c r="H821" s="1" t="s">
        <v>6089</v>
      </c>
      <c r="I821" s="1"/>
      <c r="J821" s="1"/>
      <c r="K821" s="1" t="s">
        <v>6090</v>
      </c>
      <c r="L821" s="1" t="s">
        <v>10037</v>
      </c>
      <c r="M821" s="1" t="s">
        <v>10038</v>
      </c>
      <c r="N821" s="1"/>
      <c r="O821" s="1"/>
      <c r="P821" s="1"/>
      <c r="Q821" s="1"/>
      <c r="R821" s="1" t="s">
        <v>10033</v>
      </c>
      <c r="S821" s="1" t="s">
        <v>10034</v>
      </c>
      <c r="T821" s="1" t="s">
        <v>10000</v>
      </c>
      <c r="U821" s="1" t="s">
        <v>6096</v>
      </c>
      <c r="V821" s="1" t="s">
        <v>6143</v>
      </c>
      <c r="W821" s="1" t="s">
        <v>10001</v>
      </c>
    </row>
    <row r="822" spans="1:23" ht="48" customHeight="1">
      <c r="A822" s="1" t="s">
        <v>5776</v>
      </c>
      <c r="B822" s="1" t="s">
        <v>6149</v>
      </c>
      <c r="C822" s="1" t="s">
        <v>10039</v>
      </c>
      <c r="D822" s="1" t="s">
        <v>10040</v>
      </c>
      <c r="E822" s="1" t="s">
        <v>10041</v>
      </c>
      <c r="F822" s="1" t="s">
        <v>6138</v>
      </c>
      <c r="G822" s="1" t="s">
        <v>9995</v>
      </c>
      <c r="H822" s="1" t="s">
        <v>6089</v>
      </c>
      <c r="I822" s="1"/>
      <c r="J822" s="1"/>
      <c r="K822" s="1" t="s">
        <v>6090</v>
      </c>
      <c r="L822" s="1" t="s">
        <v>10042</v>
      </c>
      <c r="M822" s="1" t="s">
        <v>10043</v>
      </c>
      <c r="N822" s="1"/>
      <c r="O822" s="1"/>
      <c r="P822" s="1"/>
      <c r="Q822" s="1"/>
      <c r="R822" s="1" t="s">
        <v>10033</v>
      </c>
      <c r="S822" s="1" t="s">
        <v>10034</v>
      </c>
      <c r="T822" s="1" t="s">
        <v>10000</v>
      </c>
      <c r="U822" s="1" t="s">
        <v>6096</v>
      </c>
      <c r="V822" s="1" t="s">
        <v>6143</v>
      </c>
      <c r="W822" s="1" t="s">
        <v>10001</v>
      </c>
    </row>
    <row r="823" spans="1:23" ht="48" customHeight="1">
      <c r="A823" s="1" t="s">
        <v>5776</v>
      </c>
      <c r="B823" s="1" t="s">
        <v>6154</v>
      </c>
      <c r="C823" s="1" t="s">
        <v>8712</v>
      </c>
      <c r="D823" s="1" t="s">
        <v>10044</v>
      </c>
      <c r="E823" s="1" t="s">
        <v>10045</v>
      </c>
      <c r="F823" s="1" t="s">
        <v>6138</v>
      </c>
      <c r="G823" s="1" t="s">
        <v>9995</v>
      </c>
      <c r="H823" s="1" t="s">
        <v>6089</v>
      </c>
      <c r="I823" s="1"/>
      <c r="J823" s="1"/>
      <c r="K823" s="1" t="s">
        <v>6090</v>
      </c>
      <c r="L823" s="1" t="s">
        <v>10046</v>
      </c>
      <c r="M823" s="1" t="s">
        <v>10047</v>
      </c>
      <c r="N823" s="1"/>
      <c r="O823" s="1"/>
      <c r="P823" s="1"/>
      <c r="Q823" s="1"/>
      <c r="R823" s="1" t="s">
        <v>10033</v>
      </c>
      <c r="S823" s="1" t="s">
        <v>10034</v>
      </c>
      <c r="T823" s="1" t="s">
        <v>10000</v>
      </c>
      <c r="U823" s="1" t="s">
        <v>6096</v>
      </c>
      <c r="V823" s="1" t="s">
        <v>6143</v>
      </c>
      <c r="W823" s="1" t="s">
        <v>10001</v>
      </c>
    </row>
    <row r="824" spans="1:23" ht="48" customHeight="1">
      <c r="A824" s="1" t="s">
        <v>5776</v>
      </c>
      <c r="B824" s="1" t="s">
        <v>6159</v>
      </c>
      <c r="C824" s="1" t="s">
        <v>10048</v>
      </c>
      <c r="D824" s="1" t="s">
        <v>10049</v>
      </c>
      <c r="E824" s="1" t="s">
        <v>10050</v>
      </c>
      <c r="F824" s="1" t="s">
        <v>6163</v>
      </c>
      <c r="G824" s="1" t="s">
        <v>9995</v>
      </c>
      <c r="H824" s="1" t="s">
        <v>6089</v>
      </c>
      <c r="I824" s="1"/>
      <c r="J824" s="1"/>
      <c r="K824" s="1" t="s">
        <v>6090</v>
      </c>
      <c r="L824" s="1" t="s">
        <v>10051</v>
      </c>
      <c r="M824" s="1" t="s">
        <v>10052</v>
      </c>
      <c r="N824" s="1"/>
      <c r="O824" s="1"/>
      <c r="P824" s="1"/>
      <c r="Q824" s="1"/>
      <c r="R824" s="1" t="s">
        <v>10053</v>
      </c>
      <c r="S824" s="1" t="s">
        <v>10054</v>
      </c>
      <c r="T824" s="1" t="s">
        <v>10000</v>
      </c>
      <c r="U824" s="1" t="s">
        <v>6096</v>
      </c>
      <c r="V824" s="1" t="s">
        <v>6168</v>
      </c>
      <c r="W824" s="1" t="s">
        <v>10001</v>
      </c>
    </row>
    <row r="825" spans="1:23" ht="48" customHeight="1">
      <c r="A825" s="1" t="s">
        <v>5776</v>
      </c>
      <c r="B825" s="1" t="s">
        <v>6169</v>
      </c>
      <c r="C825" s="1" t="s">
        <v>10055</v>
      </c>
      <c r="D825" s="1" t="s">
        <v>10056</v>
      </c>
      <c r="E825" s="1" t="s">
        <v>10057</v>
      </c>
      <c r="F825" s="1" t="s">
        <v>6163</v>
      </c>
      <c r="G825" s="1" t="s">
        <v>9995</v>
      </c>
      <c r="H825" s="1" t="s">
        <v>6089</v>
      </c>
      <c r="I825" s="1"/>
      <c r="J825" s="1"/>
      <c r="K825" s="1" t="s">
        <v>6090</v>
      </c>
      <c r="L825" s="1" t="s">
        <v>10058</v>
      </c>
      <c r="M825" s="1" t="s">
        <v>10059</v>
      </c>
      <c r="N825" s="1"/>
      <c r="O825" s="1"/>
      <c r="P825" s="1"/>
      <c r="Q825" s="1"/>
      <c r="R825" s="1" t="s">
        <v>10060</v>
      </c>
      <c r="S825" s="1" t="s">
        <v>10054</v>
      </c>
      <c r="T825" s="1" t="s">
        <v>10000</v>
      </c>
      <c r="U825" s="1" t="s">
        <v>6096</v>
      </c>
      <c r="V825" s="1" t="s">
        <v>6168</v>
      </c>
      <c r="W825" s="1" t="s">
        <v>10001</v>
      </c>
    </row>
    <row r="826" spans="1:23" ht="96" customHeight="1">
      <c r="A826" s="1" t="s">
        <v>5776</v>
      </c>
      <c r="B826" s="1" t="s">
        <v>6176</v>
      </c>
      <c r="C826" s="1" t="s">
        <v>10061</v>
      </c>
      <c r="D826" s="1" t="s">
        <v>10062</v>
      </c>
      <c r="E826" s="1" t="s">
        <v>10063</v>
      </c>
      <c r="F826" s="1" t="s">
        <v>6138</v>
      </c>
      <c r="G826" s="1" t="s">
        <v>9995</v>
      </c>
      <c r="H826" s="1" t="s">
        <v>6089</v>
      </c>
      <c r="I826" s="1"/>
      <c r="J826" s="1"/>
      <c r="K826" s="1" t="s">
        <v>6090</v>
      </c>
      <c r="L826" s="1" t="s">
        <v>10064</v>
      </c>
      <c r="M826" s="1" t="s">
        <v>10065</v>
      </c>
      <c r="N826" s="1"/>
      <c r="O826" s="1"/>
      <c r="P826" s="1"/>
      <c r="Q826" s="1"/>
      <c r="R826" s="1" t="s">
        <v>10066</v>
      </c>
      <c r="S826" s="1" t="s">
        <v>10067</v>
      </c>
      <c r="T826" s="1" t="s">
        <v>10000</v>
      </c>
      <c r="U826" s="1" t="s">
        <v>6096</v>
      </c>
      <c r="V826" s="1" t="s">
        <v>6184</v>
      </c>
      <c r="W826" s="1" t="s">
        <v>10001</v>
      </c>
    </row>
    <row r="827" spans="1:23" ht="96" customHeight="1">
      <c r="A827" s="1" t="s">
        <v>5776</v>
      </c>
      <c r="B827" s="1" t="s">
        <v>6185</v>
      </c>
      <c r="C827" s="1" t="s">
        <v>10068</v>
      </c>
      <c r="D827" s="1" t="s">
        <v>10069</v>
      </c>
      <c r="E827" s="1" t="s">
        <v>10070</v>
      </c>
      <c r="F827" s="1" t="s">
        <v>6138</v>
      </c>
      <c r="G827" s="1" t="s">
        <v>9995</v>
      </c>
      <c r="H827" s="1" t="s">
        <v>6089</v>
      </c>
      <c r="I827" s="1"/>
      <c r="J827" s="1"/>
      <c r="K827" s="1" t="s">
        <v>6090</v>
      </c>
      <c r="L827" s="1" t="s">
        <v>10071</v>
      </c>
      <c r="M827" s="1" t="s">
        <v>10072</v>
      </c>
      <c r="N827" s="1"/>
      <c r="O827" s="1"/>
      <c r="P827" s="1"/>
      <c r="Q827" s="1"/>
      <c r="R827" s="1" t="s">
        <v>10073</v>
      </c>
      <c r="S827" s="1" t="s">
        <v>10074</v>
      </c>
      <c r="T827" s="1" t="s">
        <v>10000</v>
      </c>
      <c r="U827" s="1" t="s">
        <v>6096</v>
      </c>
      <c r="V827" s="1" t="s">
        <v>6184</v>
      </c>
      <c r="W827" s="1" t="s">
        <v>10001</v>
      </c>
    </row>
    <row r="828" spans="1:23" ht="96" customHeight="1">
      <c r="A828" s="1" t="s">
        <v>5776</v>
      </c>
      <c r="B828" s="1" t="s">
        <v>6189</v>
      </c>
      <c r="C828" s="1" t="s">
        <v>10075</v>
      </c>
      <c r="D828" s="1" t="s">
        <v>10076</v>
      </c>
      <c r="E828" s="1" t="s">
        <v>10077</v>
      </c>
      <c r="F828" s="1" t="s">
        <v>6138</v>
      </c>
      <c r="G828" s="1" t="s">
        <v>9995</v>
      </c>
      <c r="H828" s="1" t="s">
        <v>6089</v>
      </c>
      <c r="I828" s="1"/>
      <c r="J828" s="1"/>
      <c r="K828" s="1" t="s">
        <v>6090</v>
      </c>
      <c r="L828" s="1" t="s">
        <v>10078</v>
      </c>
      <c r="M828" s="1" t="s">
        <v>10079</v>
      </c>
      <c r="N828" s="1"/>
      <c r="O828" s="1"/>
      <c r="P828" s="1"/>
      <c r="Q828" s="1"/>
      <c r="R828" s="1" t="s">
        <v>10080</v>
      </c>
      <c r="S828" s="1" t="s">
        <v>10081</v>
      </c>
      <c r="T828" s="1" t="s">
        <v>10000</v>
      </c>
      <c r="U828" s="1" t="s">
        <v>6096</v>
      </c>
      <c r="V828" s="1" t="s">
        <v>6184</v>
      </c>
      <c r="W828" s="1" t="s">
        <v>10001</v>
      </c>
    </row>
    <row r="829" spans="1:23" ht="48" customHeight="1">
      <c r="A829" s="1" t="s">
        <v>5776</v>
      </c>
      <c r="B829" s="1" t="s">
        <v>6196</v>
      </c>
      <c r="C829" s="1" t="s">
        <v>6197</v>
      </c>
      <c r="D829" s="1" t="s">
        <v>4747</v>
      </c>
      <c r="E829" s="1"/>
      <c r="F829" s="1" t="s">
        <v>6110</v>
      </c>
      <c r="G829" s="1" t="s">
        <v>9995</v>
      </c>
      <c r="H829" s="1" t="s">
        <v>6089</v>
      </c>
      <c r="I829" s="1"/>
      <c r="J829" s="1"/>
      <c r="K829" s="1" t="s">
        <v>6090</v>
      </c>
      <c r="L829" s="1" t="s">
        <v>10082</v>
      </c>
      <c r="M829" s="1" t="s">
        <v>10083</v>
      </c>
      <c r="N829" s="1"/>
      <c r="O829" s="1"/>
      <c r="P829" s="1"/>
      <c r="Q829" s="1"/>
      <c r="R829" s="1"/>
      <c r="S829" s="1"/>
      <c r="T829" s="1"/>
      <c r="U829" s="1"/>
      <c r="V829" s="1"/>
      <c r="W829" s="1"/>
    </row>
    <row r="830" spans="1:23" ht="60" customHeight="1">
      <c r="A830" s="1" t="s">
        <v>5776</v>
      </c>
      <c r="B830" s="1" t="s">
        <v>6200</v>
      </c>
      <c r="C830" s="1" t="s">
        <v>10084</v>
      </c>
      <c r="D830" s="1" t="s">
        <v>10085</v>
      </c>
      <c r="E830" s="1" t="s">
        <v>10086</v>
      </c>
      <c r="F830" s="1" t="s">
        <v>6349</v>
      </c>
      <c r="G830" s="1" t="s">
        <v>9995</v>
      </c>
      <c r="H830" s="1" t="s">
        <v>6089</v>
      </c>
      <c r="I830" s="1"/>
      <c r="J830" s="1"/>
      <c r="K830" s="1" t="s">
        <v>6090</v>
      </c>
      <c r="L830" s="1" t="s">
        <v>10087</v>
      </c>
      <c r="M830" s="1" t="s">
        <v>10088</v>
      </c>
      <c r="N830" s="1"/>
      <c r="O830" s="1"/>
      <c r="P830" s="1"/>
      <c r="Q830" s="1"/>
      <c r="R830" s="1" t="s">
        <v>10089</v>
      </c>
      <c r="S830" s="1" t="s">
        <v>10090</v>
      </c>
      <c r="T830" s="1" t="s">
        <v>10000</v>
      </c>
      <c r="U830" s="1" t="s">
        <v>6096</v>
      </c>
      <c r="V830" s="1" t="s">
        <v>10091</v>
      </c>
      <c r="W830" s="1" t="s">
        <v>10001</v>
      </c>
    </row>
    <row r="831" spans="1:23" ht="96" customHeight="1">
      <c r="A831" s="1" t="s">
        <v>5776</v>
      </c>
      <c r="B831" s="1" t="s">
        <v>5583</v>
      </c>
      <c r="C831" s="1" t="s">
        <v>10092</v>
      </c>
      <c r="D831" s="1" t="s">
        <v>4747</v>
      </c>
      <c r="E831" s="1" t="s">
        <v>10093</v>
      </c>
      <c r="F831" s="1" t="s">
        <v>6138</v>
      </c>
      <c r="G831" s="1" t="s">
        <v>9995</v>
      </c>
      <c r="H831" s="1" t="s">
        <v>6089</v>
      </c>
      <c r="I831" s="1"/>
      <c r="J831" s="1"/>
      <c r="K831" s="1" t="s">
        <v>6090</v>
      </c>
      <c r="L831" s="1" t="s">
        <v>10094</v>
      </c>
      <c r="M831" s="1" t="s">
        <v>10095</v>
      </c>
      <c r="N831" s="1"/>
      <c r="O831" s="1"/>
      <c r="P831" s="1"/>
      <c r="Q831" s="1"/>
      <c r="R831" s="1" t="s">
        <v>10096</v>
      </c>
      <c r="S831" s="1" t="s">
        <v>10097</v>
      </c>
      <c r="T831" s="1" t="s">
        <v>10000</v>
      </c>
      <c r="U831" s="1" t="s">
        <v>6096</v>
      </c>
      <c r="V831" s="1" t="s">
        <v>6184</v>
      </c>
      <c r="W831" s="1" t="s">
        <v>10001</v>
      </c>
    </row>
    <row r="832" spans="1:23" ht="48" customHeight="1">
      <c r="A832" s="1" t="s">
        <v>5776</v>
      </c>
      <c r="B832" s="1" t="s">
        <v>6209</v>
      </c>
      <c r="C832" s="1" t="s">
        <v>4747</v>
      </c>
      <c r="D832" s="1" t="s">
        <v>4747</v>
      </c>
      <c r="E832" s="1" t="s">
        <v>4747</v>
      </c>
      <c r="F832" s="1" t="s">
        <v>6186</v>
      </c>
      <c r="G832" s="1" t="s">
        <v>9995</v>
      </c>
      <c r="H832" s="1" t="s">
        <v>6089</v>
      </c>
      <c r="I832" s="1"/>
      <c r="J832" s="1"/>
      <c r="K832" s="1" t="s">
        <v>6090</v>
      </c>
      <c r="L832" s="1" t="s">
        <v>10098</v>
      </c>
      <c r="M832" s="1" t="s">
        <v>10099</v>
      </c>
      <c r="N832" s="1"/>
      <c r="O832" s="1"/>
      <c r="P832" s="1"/>
      <c r="Q832" s="1"/>
      <c r="R832" s="1"/>
      <c r="S832" s="1"/>
      <c r="T832" s="1"/>
      <c r="U832" s="1"/>
      <c r="V832" s="1"/>
      <c r="W832" s="1"/>
    </row>
    <row r="833" spans="1:23" ht="48" customHeight="1">
      <c r="A833" s="1" t="s">
        <v>5776</v>
      </c>
      <c r="B833" s="1" t="s">
        <v>6212</v>
      </c>
      <c r="C833" s="1" t="s">
        <v>4747</v>
      </c>
      <c r="D833" s="1" t="s">
        <v>10100</v>
      </c>
      <c r="E833" s="1"/>
      <c r="F833" s="1" t="s">
        <v>6110</v>
      </c>
      <c r="G833" s="1" t="s">
        <v>9995</v>
      </c>
      <c r="H833" s="1" t="s">
        <v>6089</v>
      </c>
      <c r="I833" s="1"/>
      <c r="J833" s="1"/>
      <c r="K833" s="1" t="s">
        <v>6090</v>
      </c>
      <c r="L833" s="1" t="s">
        <v>10101</v>
      </c>
      <c r="M833" s="1" t="s">
        <v>10102</v>
      </c>
      <c r="N833" s="1"/>
      <c r="O833" s="1"/>
      <c r="P833" s="1"/>
      <c r="Q833" s="1"/>
      <c r="R833" s="1"/>
      <c r="S833" s="1"/>
      <c r="T833" s="1"/>
      <c r="U833" s="1"/>
      <c r="V833" s="1"/>
      <c r="W833" s="1"/>
    </row>
    <row r="834" spans="1:23" ht="48" customHeight="1">
      <c r="A834" s="1" t="s">
        <v>5776</v>
      </c>
      <c r="B834" s="1" t="s">
        <v>6215</v>
      </c>
      <c r="C834" s="1"/>
      <c r="D834" s="1" t="s">
        <v>4747</v>
      </c>
      <c r="E834" s="1"/>
      <c r="F834" s="1" t="s">
        <v>6216</v>
      </c>
      <c r="G834" s="1"/>
      <c r="H834" s="1" t="s">
        <v>6089</v>
      </c>
      <c r="I834" s="1"/>
      <c r="J834" s="1"/>
      <c r="K834" s="1" t="s">
        <v>6090</v>
      </c>
      <c r="L834" s="1"/>
      <c r="M834" s="1" t="s">
        <v>10103</v>
      </c>
      <c r="N834" s="1"/>
      <c r="O834" s="1"/>
      <c r="P834" s="1"/>
      <c r="Q834" s="1"/>
      <c r="R834" s="1"/>
      <c r="S834" s="1"/>
      <c r="T834" s="1"/>
      <c r="U834" s="1"/>
      <c r="V834" s="1"/>
      <c r="W834" s="1"/>
    </row>
    <row r="835" spans="1:23" ht="48" customHeight="1">
      <c r="A835" s="1" t="s">
        <v>5776</v>
      </c>
      <c r="B835" s="1" t="s">
        <v>6218</v>
      </c>
      <c r="C835" s="1" t="s">
        <v>10104</v>
      </c>
      <c r="D835" s="1" t="s">
        <v>4747</v>
      </c>
      <c r="E835" s="1"/>
      <c r="F835" s="1" t="s">
        <v>6110</v>
      </c>
      <c r="G835" s="1" t="s">
        <v>9995</v>
      </c>
      <c r="H835" s="1" t="s">
        <v>6089</v>
      </c>
      <c r="I835" s="1"/>
      <c r="J835" s="1"/>
      <c r="K835" s="1" t="s">
        <v>6090</v>
      </c>
      <c r="L835" s="1" t="s">
        <v>10105</v>
      </c>
      <c r="M835" s="1" t="s">
        <v>10106</v>
      </c>
      <c r="N835" s="1"/>
      <c r="O835" s="1"/>
      <c r="P835" s="1"/>
      <c r="Q835" s="1"/>
      <c r="R835" s="1"/>
      <c r="S835" s="1"/>
      <c r="T835" s="1"/>
      <c r="U835" s="1"/>
      <c r="V835" s="1"/>
      <c r="W835" s="1"/>
    </row>
    <row r="836" spans="1:23" ht="48" customHeight="1">
      <c r="A836" s="1" t="s">
        <v>5776</v>
      </c>
      <c r="B836" s="1" t="s">
        <v>6222</v>
      </c>
      <c r="C836" s="1" t="s">
        <v>10107</v>
      </c>
      <c r="D836" s="1" t="s">
        <v>10108</v>
      </c>
      <c r="E836" s="1"/>
      <c r="F836" s="1" t="s">
        <v>6110</v>
      </c>
      <c r="G836" s="1" t="s">
        <v>9995</v>
      </c>
      <c r="H836" s="1" t="s">
        <v>6089</v>
      </c>
      <c r="I836" s="1"/>
      <c r="J836" s="1"/>
      <c r="K836" s="1" t="s">
        <v>6090</v>
      </c>
      <c r="L836" s="1" t="s">
        <v>10109</v>
      </c>
      <c r="M836" s="1" t="s">
        <v>10110</v>
      </c>
      <c r="N836" s="1"/>
      <c r="O836" s="1"/>
      <c r="P836" s="1"/>
      <c r="Q836" s="1"/>
      <c r="R836" s="1"/>
      <c r="S836" s="1"/>
      <c r="T836" s="1"/>
      <c r="U836" s="1"/>
      <c r="V836" s="1"/>
      <c r="W836" s="1"/>
    </row>
    <row r="837" spans="1:23" ht="48" customHeight="1">
      <c r="A837" s="1" t="s">
        <v>5776</v>
      </c>
      <c r="B837" s="1" t="s">
        <v>6227</v>
      </c>
      <c r="C837" s="1" t="s">
        <v>10111</v>
      </c>
      <c r="D837" s="1" t="s">
        <v>4747</v>
      </c>
      <c r="E837" s="1"/>
      <c r="F837" s="1" t="s">
        <v>6110</v>
      </c>
      <c r="G837" s="1" t="s">
        <v>9995</v>
      </c>
      <c r="H837" s="1" t="s">
        <v>6089</v>
      </c>
      <c r="I837" s="1"/>
      <c r="J837" s="1"/>
      <c r="K837" s="1" t="s">
        <v>6090</v>
      </c>
      <c r="L837" s="1" t="s">
        <v>10112</v>
      </c>
      <c r="M837" s="1" t="s">
        <v>10113</v>
      </c>
      <c r="N837" s="1"/>
      <c r="O837" s="1"/>
      <c r="P837" s="1"/>
      <c r="Q837" s="1"/>
      <c r="R837" s="1"/>
      <c r="S837" s="1"/>
      <c r="T837" s="1"/>
      <c r="U837" s="1"/>
      <c r="V837" s="1"/>
      <c r="W837" s="1"/>
    </row>
    <row r="838" spans="1:23" ht="48" customHeight="1">
      <c r="A838" s="1" t="s">
        <v>5776</v>
      </c>
      <c r="B838" s="1" t="s">
        <v>6232</v>
      </c>
      <c r="C838" s="1" t="s">
        <v>5777</v>
      </c>
      <c r="D838" s="1" t="s">
        <v>10114</v>
      </c>
      <c r="E838" s="1"/>
      <c r="F838" s="1" t="s">
        <v>6110</v>
      </c>
      <c r="G838" s="1" t="s">
        <v>9995</v>
      </c>
      <c r="H838" s="1" t="s">
        <v>6089</v>
      </c>
      <c r="I838" s="1"/>
      <c r="J838" s="1"/>
      <c r="K838" s="1" t="s">
        <v>6090</v>
      </c>
      <c r="L838" s="1" t="s">
        <v>10115</v>
      </c>
      <c r="M838" s="1" t="s">
        <v>10116</v>
      </c>
      <c r="N838" s="1"/>
      <c r="O838" s="1"/>
      <c r="P838" s="1"/>
      <c r="Q838" s="1"/>
      <c r="R838" s="1"/>
      <c r="S838" s="1"/>
      <c r="T838" s="1"/>
      <c r="U838" s="1"/>
      <c r="V838" s="1"/>
      <c r="W838" s="1"/>
    </row>
    <row r="839" spans="1:23" ht="96" customHeight="1">
      <c r="A839" s="1" t="s">
        <v>5776</v>
      </c>
      <c r="B839" s="1" t="s">
        <v>6236</v>
      </c>
      <c r="C839" s="1" t="s">
        <v>10117</v>
      </c>
      <c r="D839" s="1" t="s">
        <v>10118</v>
      </c>
      <c r="E839" s="1" t="s">
        <v>10119</v>
      </c>
      <c r="F839" s="1" t="s">
        <v>6323</v>
      </c>
      <c r="G839" s="1" t="s">
        <v>9995</v>
      </c>
      <c r="H839" s="1" t="s">
        <v>6089</v>
      </c>
      <c r="I839" s="1"/>
      <c r="J839" s="1"/>
      <c r="K839" s="1" t="s">
        <v>6090</v>
      </c>
      <c r="L839" s="1" t="s">
        <v>10120</v>
      </c>
      <c r="M839" s="1" t="s">
        <v>10121</v>
      </c>
      <c r="N839" s="1"/>
      <c r="O839" s="1"/>
      <c r="P839" s="1"/>
      <c r="Q839" s="1"/>
      <c r="R839" s="1" t="s">
        <v>10122</v>
      </c>
      <c r="S839" s="1" t="s">
        <v>10123</v>
      </c>
      <c r="T839" s="1" t="s">
        <v>10000</v>
      </c>
      <c r="U839" s="1" t="s">
        <v>6096</v>
      </c>
      <c r="V839" s="1" t="s">
        <v>10124</v>
      </c>
      <c r="W839" s="1" t="s">
        <v>10001</v>
      </c>
    </row>
    <row r="840" spans="1:23" ht="48" customHeight="1">
      <c r="A840" s="1" t="s">
        <v>5776</v>
      </c>
      <c r="B840" s="1" t="s">
        <v>6245</v>
      </c>
      <c r="C840" s="1" t="s">
        <v>10125</v>
      </c>
      <c r="D840" s="1"/>
      <c r="E840" s="1"/>
      <c r="F840" s="1" t="s">
        <v>6216</v>
      </c>
      <c r="G840" s="1" t="s">
        <v>9995</v>
      </c>
      <c r="H840" s="1"/>
      <c r="I840" s="1"/>
      <c r="J840" s="1"/>
      <c r="K840" s="1" t="s">
        <v>6090</v>
      </c>
      <c r="L840" s="1" t="s">
        <v>10126</v>
      </c>
      <c r="M840" s="1"/>
      <c r="N840" s="1"/>
      <c r="O840" s="1"/>
      <c r="P840" s="1"/>
      <c r="Q840" s="1"/>
      <c r="R840" s="1"/>
      <c r="S840" s="1"/>
      <c r="T840" s="1"/>
      <c r="U840" s="1"/>
      <c r="V840" s="1"/>
      <c r="W840" s="1"/>
    </row>
    <row r="841" spans="1:23" ht="48" customHeight="1">
      <c r="A841" s="1" t="s">
        <v>5776</v>
      </c>
      <c r="B841" s="1" t="s">
        <v>6248</v>
      </c>
      <c r="C841" s="1" t="s">
        <v>10127</v>
      </c>
      <c r="D841" s="1"/>
      <c r="E841" s="1"/>
      <c r="F841" s="1" t="s">
        <v>6216</v>
      </c>
      <c r="G841" s="1" t="s">
        <v>9995</v>
      </c>
      <c r="H841" s="1"/>
      <c r="I841" s="1"/>
      <c r="J841" s="1"/>
      <c r="K841" s="1" t="s">
        <v>6090</v>
      </c>
      <c r="L841" s="1" t="s">
        <v>10128</v>
      </c>
      <c r="M841" s="1"/>
      <c r="N841" s="1"/>
      <c r="O841" s="1"/>
      <c r="P841" s="1"/>
      <c r="Q841" s="1"/>
      <c r="R841" s="1"/>
      <c r="S841" s="1"/>
      <c r="T841" s="1"/>
      <c r="U841" s="1"/>
      <c r="V841" s="1"/>
      <c r="W841" s="1"/>
    </row>
    <row r="842" spans="1:23" ht="48" customHeight="1">
      <c r="A842" s="1" t="s">
        <v>5251</v>
      </c>
      <c r="B842" s="1" t="s">
        <v>6083</v>
      </c>
      <c r="C842" s="1" t="s">
        <v>10129</v>
      </c>
      <c r="D842" s="1" t="s">
        <v>10130</v>
      </c>
      <c r="E842" s="1" t="s">
        <v>6771</v>
      </c>
      <c r="F842" s="1" t="s">
        <v>6772</v>
      </c>
      <c r="G842" s="1" t="s">
        <v>10131</v>
      </c>
      <c r="H842" s="1" t="s">
        <v>6089</v>
      </c>
      <c r="I842" s="1"/>
      <c r="J842" s="1"/>
      <c r="K842" s="1" t="s">
        <v>6090</v>
      </c>
      <c r="L842" s="1" t="s">
        <v>10132</v>
      </c>
      <c r="M842" s="1" t="s">
        <v>10133</v>
      </c>
      <c r="N842" s="1"/>
      <c r="O842" s="1" t="s">
        <v>10134</v>
      </c>
      <c r="P842" s="1" t="s">
        <v>10135</v>
      </c>
      <c r="Q842" s="1" t="s">
        <v>6462</v>
      </c>
      <c r="R842" s="1" t="s">
        <v>10136</v>
      </c>
      <c r="S842" s="1" t="s">
        <v>10137</v>
      </c>
      <c r="T842" s="1" t="s">
        <v>10138</v>
      </c>
      <c r="U842" s="1" t="s">
        <v>6096</v>
      </c>
      <c r="V842" s="1" t="s">
        <v>6097</v>
      </c>
      <c r="W842" s="1" t="s">
        <v>10139</v>
      </c>
    </row>
    <row r="843" spans="1:23" ht="48" customHeight="1">
      <c r="A843" s="1" t="s">
        <v>5251</v>
      </c>
      <c r="B843" s="1" t="s">
        <v>6099</v>
      </c>
      <c r="C843" s="1" t="s">
        <v>10140</v>
      </c>
      <c r="D843" s="1" t="s">
        <v>7060</v>
      </c>
      <c r="E843" s="1" t="s">
        <v>7060</v>
      </c>
      <c r="F843" s="1" t="s">
        <v>6087</v>
      </c>
      <c r="G843" s="1" t="s">
        <v>10131</v>
      </c>
      <c r="H843" s="1" t="s">
        <v>6089</v>
      </c>
      <c r="I843" s="1"/>
      <c r="J843" s="1"/>
      <c r="K843" s="1" t="s">
        <v>6090</v>
      </c>
      <c r="L843" s="1" t="s">
        <v>10141</v>
      </c>
      <c r="M843" s="1" t="s">
        <v>10142</v>
      </c>
      <c r="N843" s="1"/>
      <c r="O843" s="1"/>
      <c r="P843" s="1"/>
      <c r="Q843" s="1"/>
      <c r="R843" s="1" t="s">
        <v>10143</v>
      </c>
      <c r="S843" s="1" t="s">
        <v>10144</v>
      </c>
      <c r="T843" s="1" t="s">
        <v>10138</v>
      </c>
      <c r="U843" s="1" t="s">
        <v>6096</v>
      </c>
      <c r="V843" s="1" t="s">
        <v>6097</v>
      </c>
      <c r="W843" s="1" t="s">
        <v>10139</v>
      </c>
    </row>
    <row r="844" spans="1:23" ht="48" customHeight="1">
      <c r="A844" s="1" t="s">
        <v>5251</v>
      </c>
      <c r="B844" s="1" t="s">
        <v>6107</v>
      </c>
      <c r="C844" s="1" t="s">
        <v>10145</v>
      </c>
      <c r="D844" s="1" t="s">
        <v>10146</v>
      </c>
      <c r="E844" s="1"/>
      <c r="F844" s="1" t="s">
        <v>6110</v>
      </c>
      <c r="G844" s="1" t="s">
        <v>10131</v>
      </c>
      <c r="H844" s="1" t="s">
        <v>6089</v>
      </c>
      <c r="I844" s="1"/>
      <c r="J844" s="1"/>
      <c r="K844" s="1" t="s">
        <v>6090</v>
      </c>
      <c r="L844" s="1" t="s">
        <v>10147</v>
      </c>
      <c r="M844" s="1" t="s">
        <v>10148</v>
      </c>
      <c r="N844" s="1"/>
      <c r="O844" s="1"/>
      <c r="P844" s="1"/>
      <c r="Q844" s="1"/>
      <c r="R844" s="1"/>
      <c r="S844" s="1"/>
      <c r="T844" s="1"/>
      <c r="U844" s="1"/>
      <c r="V844" s="1"/>
      <c r="W844" s="1"/>
    </row>
    <row r="845" spans="1:23" ht="48" customHeight="1">
      <c r="A845" s="1" t="s">
        <v>5251</v>
      </c>
      <c r="B845" s="1" t="s">
        <v>6113</v>
      </c>
      <c r="C845" s="1" t="s">
        <v>10149</v>
      </c>
      <c r="D845" s="1" t="s">
        <v>10150</v>
      </c>
      <c r="E845" s="1"/>
      <c r="F845" s="1" t="s">
        <v>6110</v>
      </c>
      <c r="G845" s="1" t="s">
        <v>10131</v>
      </c>
      <c r="H845" s="1" t="s">
        <v>6089</v>
      </c>
      <c r="I845" s="1"/>
      <c r="J845" s="1"/>
      <c r="K845" s="1" t="s">
        <v>6090</v>
      </c>
      <c r="L845" s="1" t="s">
        <v>10151</v>
      </c>
      <c r="M845" s="1" t="s">
        <v>10152</v>
      </c>
      <c r="N845" s="1"/>
      <c r="O845" s="1"/>
      <c r="P845" s="1"/>
      <c r="Q845" s="1"/>
      <c r="R845" s="1"/>
      <c r="S845" s="1"/>
      <c r="T845" s="1"/>
      <c r="U845" s="1"/>
      <c r="V845" s="1"/>
      <c r="W845" s="1"/>
    </row>
    <row r="846" spans="1:23" ht="60" customHeight="1">
      <c r="A846" s="1" t="s">
        <v>5251</v>
      </c>
      <c r="B846" s="1" t="s">
        <v>6118</v>
      </c>
      <c r="C846" s="1" t="s">
        <v>10153</v>
      </c>
      <c r="D846" s="1" t="s">
        <v>10154</v>
      </c>
      <c r="E846" s="1" t="s">
        <v>10155</v>
      </c>
      <c r="F846" s="1" t="s">
        <v>6087</v>
      </c>
      <c r="G846" s="1" t="s">
        <v>10131</v>
      </c>
      <c r="H846" s="1" t="s">
        <v>6089</v>
      </c>
      <c r="I846" s="1"/>
      <c r="J846" s="1"/>
      <c r="K846" s="1" t="s">
        <v>6090</v>
      </c>
      <c r="L846" s="1" t="s">
        <v>10156</v>
      </c>
      <c r="M846" s="1" t="s">
        <v>10157</v>
      </c>
      <c r="N846" s="1"/>
      <c r="O846" s="1"/>
      <c r="P846" s="1"/>
      <c r="Q846" s="1"/>
      <c r="R846" s="1" t="s">
        <v>10158</v>
      </c>
      <c r="S846" s="1" t="s">
        <v>10159</v>
      </c>
      <c r="T846" s="1" t="s">
        <v>10138</v>
      </c>
      <c r="U846" s="1" t="s">
        <v>6096</v>
      </c>
      <c r="V846" s="1" t="s">
        <v>6097</v>
      </c>
      <c r="W846" s="1" t="s">
        <v>10139</v>
      </c>
    </row>
    <row r="847" spans="1:23" ht="48" customHeight="1">
      <c r="A847" s="1" t="s">
        <v>5251</v>
      </c>
      <c r="B847" s="1" t="s">
        <v>6126</v>
      </c>
      <c r="C847" s="1" t="s">
        <v>10160</v>
      </c>
      <c r="D847" s="1" t="s">
        <v>10161</v>
      </c>
      <c r="E847" s="1" t="s">
        <v>6129</v>
      </c>
      <c r="F847" s="1" t="s">
        <v>6087</v>
      </c>
      <c r="G847" s="1" t="s">
        <v>10131</v>
      </c>
      <c r="H847" s="1" t="s">
        <v>6089</v>
      </c>
      <c r="I847" s="1"/>
      <c r="J847" s="1"/>
      <c r="K847" s="1" t="s">
        <v>6090</v>
      </c>
      <c r="L847" s="1" t="s">
        <v>10162</v>
      </c>
      <c r="M847" s="1" t="s">
        <v>10163</v>
      </c>
      <c r="N847" s="1"/>
      <c r="O847" s="1"/>
      <c r="P847" s="1"/>
      <c r="Q847" s="1"/>
      <c r="R847" s="1" t="s">
        <v>10164</v>
      </c>
      <c r="S847" s="1" t="s">
        <v>10165</v>
      </c>
      <c r="T847" s="1" t="s">
        <v>10138</v>
      </c>
      <c r="U847" s="1" t="s">
        <v>6096</v>
      </c>
      <c r="V847" s="1" t="s">
        <v>6097</v>
      </c>
      <c r="W847" s="1" t="s">
        <v>10139</v>
      </c>
    </row>
    <row r="848" spans="1:23" ht="48" customHeight="1">
      <c r="A848" s="1" t="s">
        <v>5251</v>
      </c>
      <c r="B848" s="1" t="s">
        <v>6134</v>
      </c>
      <c r="C848" s="1" t="s">
        <v>10166</v>
      </c>
      <c r="D848" s="1" t="s">
        <v>10167</v>
      </c>
      <c r="E848" s="1" t="s">
        <v>10168</v>
      </c>
      <c r="F848" s="1" t="s">
        <v>6138</v>
      </c>
      <c r="G848" s="1" t="s">
        <v>10131</v>
      </c>
      <c r="H848" s="1" t="s">
        <v>6089</v>
      </c>
      <c r="I848" s="1"/>
      <c r="J848" s="1"/>
      <c r="K848" s="1" t="s">
        <v>6090</v>
      </c>
      <c r="L848" s="1" t="s">
        <v>10169</v>
      </c>
      <c r="M848" s="1" t="s">
        <v>10170</v>
      </c>
      <c r="N848" s="1"/>
      <c r="O848" s="1"/>
      <c r="P848" s="1"/>
      <c r="Q848" s="1"/>
      <c r="R848" s="1" t="s">
        <v>10171</v>
      </c>
      <c r="S848" s="1" t="s">
        <v>10172</v>
      </c>
      <c r="T848" s="1" t="s">
        <v>10138</v>
      </c>
      <c r="U848" s="1" t="s">
        <v>6096</v>
      </c>
      <c r="V848" s="1" t="s">
        <v>6143</v>
      </c>
      <c r="W848" s="1" t="s">
        <v>10139</v>
      </c>
    </row>
    <row r="849" spans="1:23" ht="48" customHeight="1">
      <c r="A849" s="1" t="s">
        <v>5251</v>
      </c>
      <c r="B849" s="1" t="s">
        <v>6144</v>
      </c>
      <c r="C849" s="1" t="s">
        <v>10173</v>
      </c>
      <c r="D849" s="1" t="s">
        <v>10174</v>
      </c>
      <c r="E849" s="1" t="s">
        <v>10175</v>
      </c>
      <c r="F849" s="1" t="s">
        <v>6138</v>
      </c>
      <c r="G849" s="1" t="s">
        <v>10131</v>
      </c>
      <c r="H849" s="1" t="s">
        <v>6089</v>
      </c>
      <c r="I849" s="1"/>
      <c r="J849" s="1"/>
      <c r="K849" s="1" t="s">
        <v>6090</v>
      </c>
      <c r="L849" s="1" t="s">
        <v>10176</v>
      </c>
      <c r="M849" s="1" t="s">
        <v>10177</v>
      </c>
      <c r="N849" s="1"/>
      <c r="O849" s="1"/>
      <c r="P849" s="1"/>
      <c r="Q849" s="1"/>
      <c r="R849" s="1" t="s">
        <v>10171</v>
      </c>
      <c r="S849" s="1" t="s">
        <v>10172</v>
      </c>
      <c r="T849" s="1" t="s">
        <v>10138</v>
      </c>
      <c r="U849" s="1" t="s">
        <v>6096</v>
      </c>
      <c r="V849" s="1" t="s">
        <v>6143</v>
      </c>
      <c r="W849" s="1" t="s">
        <v>10139</v>
      </c>
    </row>
    <row r="850" spans="1:23" ht="60" customHeight="1">
      <c r="A850" s="1" t="s">
        <v>5251</v>
      </c>
      <c r="B850" s="1" t="s">
        <v>6149</v>
      </c>
      <c r="C850" s="1" t="s">
        <v>10178</v>
      </c>
      <c r="D850" s="1" t="s">
        <v>10179</v>
      </c>
      <c r="E850" s="1" t="s">
        <v>10180</v>
      </c>
      <c r="F850" s="1" t="s">
        <v>6138</v>
      </c>
      <c r="G850" s="1" t="s">
        <v>10131</v>
      </c>
      <c r="H850" s="1" t="s">
        <v>6089</v>
      </c>
      <c r="I850" s="1"/>
      <c r="J850" s="1"/>
      <c r="K850" s="1" t="s">
        <v>6090</v>
      </c>
      <c r="L850" s="1" t="s">
        <v>10181</v>
      </c>
      <c r="M850" s="1" t="s">
        <v>10182</v>
      </c>
      <c r="N850" s="1"/>
      <c r="O850" s="1"/>
      <c r="P850" s="1"/>
      <c r="Q850" s="1"/>
      <c r="R850" s="1" t="s">
        <v>10171</v>
      </c>
      <c r="S850" s="1" t="s">
        <v>10172</v>
      </c>
      <c r="T850" s="1" t="s">
        <v>10138</v>
      </c>
      <c r="U850" s="1" t="s">
        <v>6096</v>
      </c>
      <c r="V850" s="1" t="s">
        <v>6143</v>
      </c>
      <c r="W850" s="1" t="s">
        <v>10139</v>
      </c>
    </row>
    <row r="851" spans="1:23" ht="48" customHeight="1">
      <c r="A851" s="1" t="s">
        <v>5251</v>
      </c>
      <c r="B851" s="1" t="s">
        <v>6154</v>
      </c>
      <c r="C851" s="1" t="s">
        <v>10183</v>
      </c>
      <c r="D851" s="1" t="s">
        <v>10184</v>
      </c>
      <c r="E851" s="1" t="s">
        <v>10185</v>
      </c>
      <c r="F851" s="1" t="s">
        <v>6138</v>
      </c>
      <c r="G851" s="1" t="s">
        <v>10131</v>
      </c>
      <c r="H851" s="1" t="s">
        <v>6089</v>
      </c>
      <c r="I851" s="1"/>
      <c r="J851" s="1"/>
      <c r="K851" s="1" t="s">
        <v>6090</v>
      </c>
      <c r="L851" s="1" t="s">
        <v>10186</v>
      </c>
      <c r="M851" s="1" t="s">
        <v>10187</v>
      </c>
      <c r="N851" s="1"/>
      <c r="O851" s="1"/>
      <c r="P851" s="1"/>
      <c r="Q851" s="1"/>
      <c r="R851" s="1" t="s">
        <v>10171</v>
      </c>
      <c r="S851" s="1" t="s">
        <v>10172</v>
      </c>
      <c r="T851" s="1" t="s">
        <v>10138</v>
      </c>
      <c r="U851" s="1" t="s">
        <v>6096</v>
      </c>
      <c r="V851" s="1" t="s">
        <v>6143</v>
      </c>
      <c r="W851" s="1" t="s">
        <v>10139</v>
      </c>
    </row>
    <row r="852" spans="1:23" ht="48" customHeight="1">
      <c r="A852" s="1" t="s">
        <v>5251</v>
      </c>
      <c r="B852" s="1" t="s">
        <v>6159</v>
      </c>
      <c r="C852" s="1" t="s">
        <v>10188</v>
      </c>
      <c r="D852" s="1" t="s">
        <v>7109</v>
      </c>
      <c r="E852" s="1" t="s">
        <v>10189</v>
      </c>
      <c r="F852" s="1" t="s">
        <v>6163</v>
      </c>
      <c r="G852" s="1" t="s">
        <v>10131</v>
      </c>
      <c r="H852" s="1" t="s">
        <v>6089</v>
      </c>
      <c r="I852" s="1"/>
      <c r="J852" s="1"/>
      <c r="K852" s="1" t="s">
        <v>6090</v>
      </c>
      <c r="L852" s="1" t="s">
        <v>10190</v>
      </c>
      <c r="M852" s="1" t="s">
        <v>10191</v>
      </c>
      <c r="N852" s="1"/>
      <c r="O852" s="1" t="s">
        <v>10189</v>
      </c>
      <c r="P852" s="1" t="s">
        <v>10192</v>
      </c>
      <c r="Q852" s="1" t="s">
        <v>6462</v>
      </c>
      <c r="R852" s="1" t="s">
        <v>10193</v>
      </c>
      <c r="S852" s="1" t="s">
        <v>10194</v>
      </c>
      <c r="T852" s="1" t="s">
        <v>10138</v>
      </c>
      <c r="U852" s="1" t="s">
        <v>6096</v>
      </c>
      <c r="V852" s="1" t="s">
        <v>6168</v>
      </c>
      <c r="W852" s="1" t="s">
        <v>10139</v>
      </c>
    </row>
    <row r="853" spans="1:23" ht="48" customHeight="1">
      <c r="A853" s="1" t="s">
        <v>5251</v>
      </c>
      <c r="B853" s="1" t="s">
        <v>6169</v>
      </c>
      <c r="C853" s="1" t="s">
        <v>10195</v>
      </c>
      <c r="D853" s="1" t="s">
        <v>10196</v>
      </c>
      <c r="E853" s="1" t="s">
        <v>10197</v>
      </c>
      <c r="F853" s="1" t="s">
        <v>6163</v>
      </c>
      <c r="G853" s="1" t="s">
        <v>10131</v>
      </c>
      <c r="H853" s="1" t="s">
        <v>6089</v>
      </c>
      <c r="I853" s="1"/>
      <c r="J853" s="1"/>
      <c r="K853" s="1" t="s">
        <v>6090</v>
      </c>
      <c r="L853" s="1" t="s">
        <v>10198</v>
      </c>
      <c r="M853" s="1" t="s">
        <v>10199</v>
      </c>
      <c r="N853" s="1"/>
      <c r="O853" s="1" t="s">
        <v>10197</v>
      </c>
      <c r="P853" s="1" t="s">
        <v>10200</v>
      </c>
      <c r="Q853" s="1" t="s">
        <v>6462</v>
      </c>
      <c r="R853" s="1" t="s">
        <v>10201</v>
      </c>
      <c r="S853" s="1" t="s">
        <v>10202</v>
      </c>
      <c r="T853" s="1" t="s">
        <v>10138</v>
      </c>
      <c r="U853" s="1" t="s">
        <v>6096</v>
      </c>
      <c r="V853" s="1" t="s">
        <v>6168</v>
      </c>
      <c r="W853" s="1" t="s">
        <v>10139</v>
      </c>
    </row>
    <row r="854" spans="1:23" ht="96" customHeight="1">
      <c r="A854" s="1" t="s">
        <v>5251</v>
      </c>
      <c r="B854" s="1" t="s">
        <v>6176</v>
      </c>
      <c r="C854" s="1" t="s">
        <v>10203</v>
      </c>
      <c r="D854" s="1" t="s">
        <v>4747</v>
      </c>
      <c r="E854" s="1" t="s">
        <v>10204</v>
      </c>
      <c r="F854" s="1" t="s">
        <v>6138</v>
      </c>
      <c r="G854" s="1" t="s">
        <v>10131</v>
      </c>
      <c r="H854" s="1" t="s">
        <v>6089</v>
      </c>
      <c r="I854" s="1"/>
      <c r="J854" s="1"/>
      <c r="K854" s="1" t="s">
        <v>6090</v>
      </c>
      <c r="L854" s="1" t="s">
        <v>10205</v>
      </c>
      <c r="M854" s="1" t="s">
        <v>10206</v>
      </c>
      <c r="N854" s="1"/>
      <c r="O854" s="1"/>
      <c r="P854" s="1"/>
      <c r="Q854" s="1"/>
      <c r="R854" s="1" t="s">
        <v>10207</v>
      </c>
      <c r="S854" s="1" t="s">
        <v>10208</v>
      </c>
      <c r="T854" s="1" t="s">
        <v>10138</v>
      </c>
      <c r="U854" s="1" t="s">
        <v>6096</v>
      </c>
      <c r="V854" s="1" t="s">
        <v>6184</v>
      </c>
      <c r="W854" s="1" t="s">
        <v>10139</v>
      </c>
    </row>
    <row r="855" spans="1:23" ht="96" customHeight="1">
      <c r="A855" s="1" t="s">
        <v>5251</v>
      </c>
      <c r="B855" s="1" t="s">
        <v>6185</v>
      </c>
      <c r="C855" s="1" t="s">
        <v>10209</v>
      </c>
      <c r="D855" s="1" t="s">
        <v>4747</v>
      </c>
      <c r="E855" s="1" t="s">
        <v>10210</v>
      </c>
      <c r="F855" s="1" t="s">
        <v>6138</v>
      </c>
      <c r="G855" s="1" t="s">
        <v>10131</v>
      </c>
      <c r="H855" s="1" t="s">
        <v>6089</v>
      </c>
      <c r="I855" s="1"/>
      <c r="J855" s="1"/>
      <c r="K855" s="1" t="s">
        <v>6090</v>
      </c>
      <c r="L855" s="1" t="s">
        <v>10211</v>
      </c>
      <c r="M855" s="1" t="s">
        <v>10212</v>
      </c>
      <c r="N855" s="1"/>
      <c r="O855" s="1"/>
      <c r="P855" s="1"/>
      <c r="Q855" s="1"/>
      <c r="R855" s="1" t="s">
        <v>10213</v>
      </c>
      <c r="S855" s="1" t="s">
        <v>10214</v>
      </c>
      <c r="T855" s="1" t="s">
        <v>10138</v>
      </c>
      <c r="U855" s="1" t="s">
        <v>6096</v>
      </c>
      <c r="V855" s="1" t="s">
        <v>6184</v>
      </c>
      <c r="W855" s="1" t="s">
        <v>10139</v>
      </c>
    </row>
    <row r="856" spans="1:23" ht="96" customHeight="1">
      <c r="A856" s="1" t="s">
        <v>5251</v>
      </c>
      <c r="B856" s="1" t="s">
        <v>6189</v>
      </c>
      <c r="C856" s="1" t="s">
        <v>10215</v>
      </c>
      <c r="D856" s="1" t="s">
        <v>4747</v>
      </c>
      <c r="E856" s="1" t="s">
        <v>10216</v>
      </c>
      <c r="F856" s="1" t="s">
        <v>6138</v>
      </c>
      <c r="G856" s="1" t="s">
        <v>10131</v>
      </c>
      <c r="H856" s="1" t="s">
        <v>6089</v>
      </c>
      <c r="I856" s="1"/>
      <c r="J856" s="1"/>
      <c r="K856" s="1" t="s">
        <v>6090</v>
      </c>
      <c r="L856" s="1" t="s">
        <v>10217</v>
      </c>
      <c r="M856" s="1" t="s">
        <v>10218</v>
      </c>
      <c r="N856" s="1"/>
      <c r="O856" s="1"/>
      <c r="P856" s="1"/>
      <c r="Q856" s="1"/>
      <c r="R856" s="1" t="s">
        <v>10219</v>
      </c>
      <c r="S856" s="1" t="s">
        <v>10214</v>
      </c>
      <c r="T856" s="1" t="s">
        <v>10138</v>
      </c>
      <c r="U856" s="1" t="s">
        <v>6096</v>
      </c>
      <c r="V856" s="1" t="s">
        <v>6184</v>
      </c>
      <c r="W856" s="1" t="s">
        <v>10139</v>
      </c>
    </row>
    <row r="857" spans="1:23" ht="48" customHeight="1">
      <c r="A857" s="1" t="s">
        <v>5251</v>
      </c>
      <c r="B857" s="1" t="s">
        <v>6196</v>
      </c>
      <c r="C857" s="1" t="s">
        <v>6197</v>
      </c>
      <c r="D857" s="1" t="s">
        <v>4747</v>
      </c>
      <c r="E857" s="1"/>
      <c r="F857" s="1" t="s">
        <v>6110</v>
      </c>
      <c r="G857" s="1" t="s">
        <v>10131</v>
      </c>
      <c r="H857" s="1" t="s">
        <v>6089</v>
      </c>
      <c r="I857" s="1"/>
      <c r="J857" s="1"/>
      <c r="K857" s="1" t="s">
        <v>6090</v>
      </c>
      <c r="L857" s="1" t="s">
        <v>10220</v>
      </c>
      <c r="M857" s="1" t="s">
        <v>10221</v>
      </c>
      <c r="N857" s="1"/>
      <c r="O857" s="1"/>
      <c r="P857" s="1"/>
      <c r="Q857" s="1"/>
      <c r="R857" s="1"/>
      <c r="S857" s="1"/>
      <c r="T857" s="1"/>
      <c r="U857" s="1"/>
      <c r="V857" s="1"/>
      <c r="W857" s="1"/>
    </row>
    <row r="858" spans="1:23" ht="60" customHeight="1">
      <c r="A858" s="1" t="s">
        <v>5251</v>
      </c>
      <c r="B858" s="1" t="s">
        <v>6200</v>
      </c>
      <c r="C858" s="1" t="s">
        <v>10222</v>
      </c>
      <c r="D858" s="1" t="s">
        <v>10223</v>
      </c>
      <c r="E858" s="1" t="s">
        <v>10224</v>
      </c>
      <c r="F858" s="1" t="s">
        <v>6349</v>
      </c>
      <c r="G858" s="1" t="s">
        <v>10131</v>
      </c>
      <c r="H858" s="1" t="s">
        <v>6089</v>
      </c>
      <c r="I858" s="1"/>
      <c r="J858" s="1"/>
      <c r="K858" s="1" t="s">
        <v>6090</v>
      </c>
      <c r="L858" s="1" t="s">
        <v>10225</v>
      </c>
      <c r="M858" s="1" t="s">
        <v>10226</v>
      </c>
      <c r="N858" s="1"/>
      <c r="O858" s="1" t="s">
        <v>10227</v>
      </c>
      <c r="P858" s="1" t="s">
        <v>10228</v>
      </c>
      <c r="Q858" s="1" t="s">
        <v>6462</v>
      </c>
      <c r="R858" s="1" t="s">
        <v>10229</v>
      </c>
      <c r="S858" s="1" t="s">
        <v>10230</v>
      </c>
      <c r="T858" s="1" t="s">
        <v>10138</v>
      </c>
      <c r="U858" s="1" t="s">
        <v>6096</v>
      </c>
      <c r="V858" s="1" t="s">
        <v>10231</v>
      </c>
      <c r="W858" s="1" t="s">
        <v>10139</v>
      </c>
    </row>
    <row r="859" spans="1:23" ht="96" customHeight="1">
      <c r="A859" s="1" t="s">
        <v>5251</v>
      </c>
      <c r="B859" s="1" t="s">
        <v>5583</v>
      </c>
      <c r="C859" s="1" t="s">
        <v>10232</v>
      </c>
      <c r="D859" s="1" t="s">
        <v>4747</v>
      </c>
      <c r="E859" s="1" t="s">
        <v>10233</v>
      </c>
      <c r="F859" s="1" t="s">
        <v>6138</v>
      </c>
      <c r="G859" s="1" t="s">
        <v>10131</v>
      </c>
      <c r="H859" s="1" t="s">
        <v>6089</v>
      </c>
      <c r="I859" s="1"/>
      <c r="J859" s="1"/>
      <c r="K859" s="1" t="s">
        <v>6090</v>
      </c>
      <c r="L859" s="1" t="s">
        <v>10234</v>
      </c>
      <c r="M859" s="1" t="s">
        <v>10235</v>
      </c>
      <c r="N859" s="1"/>
      <c r="O859" s="1"/>
      <c r="P859" s="1"/>
      <c r="Q859" s="1"/>
      <c r="R859" s="1" t="s">
        <v>10236</v>
      </c>
      <c r="S859" s="1" t="s">
        <v>10237</v>
      </c>
      <c r="T859" s="1" t="s">
        <v>10138</v>
      </c>
      <c r="U859" s="1" t="s">
        <v>6096</v>
      </c>
      <c r="V859" s="1" t="s">
        <v>6184</v>
      </c>
      <c r="W859" s="1" t="s">
        <v>10139</v>
      </c>
    </row>
    <row r="860" spans="1:23" ht="48" customHeight="1">
      <c r="A860" s="1" t="s">
        <v>5251</v>
      </c>
      <c r="B860" s="1" t="s">
        <v>6209</v>
      </c>
      <c r="C860" s="1" t="s">
        <v>10238</v>
      </c>
      <c r="D860" s="1" t="s">
        <v>10239</v>
      </c>
      <c r="E860" s="1" t="s">
        <v>10240</v>
      </c>
      <c r="F860" s="1" t="s">
        <v>6163</v>
      </c>
      <c r="G860" s="1" t="s">
        <v>10131</v>
      </c>
      <c r="H860" s="1" t="s">
        <v>6089</v>
      </c>
      <c r="I860" s="1"/>
      <c r="J860" s="1"/>
      <c r="K860" s="1" t="s">
        <v>6090</v>
      </c>
      <c r="L860" s="1" t="s">
        <v>10241</v>
      </c>
      <c r="M860" s="1" t="s">
        <v>10242</v>
      </c>
      <c r="N860" s="1"/>
      <c r="O860" s="1"/>
      <c r="P860" s="1"/>
      <c r="Q860" s="1"/>
      <c r="R860" s="1" t="s">
        <v>10243</v>
      </c>
      <c r="S860" s="1" t="s">
        <v>9241</v>
      </c>
      <c r="T860" s="1" t="s">
        <v>10138</v>
      </c>
      <c r="U860" s="1" t="s">
        <v>6096</v>
      </c>
      <c r="V860" s="1" t="s">
        <v>6168</v>
      </c>
      <c r="W860" s="1" t="s">
        <v>10139</v>
      </c>
    </row>
    <row r="861" spans="1:23" ht="48" customHeight="1">
      <c r="A861" s="1" t="s">
        <v>5251</v>
      </c>
      <c r="B861" s="1" t="s">
        <v>6212</v>
      </c>
      <c r="C861" s="1" t="s">
        <v>10244</v>
      </c>
      <c r="D861" s="1" t="s">
        <v>10245</v>
      </c>
      <c r="E861" s="1" t="s">
        <v>10246</v>
      </c>
      <c r="F861" s="1" t="s">
        <v>6163</v>
      </c>
      <c r="G861" s="1" t="s">
        <v>10131</v>
      </c>
      <c r="H861" s="1" t="s">
        <v>6089</v>
      </c>
      <c r="I861" s="1"/>
      <c r="J861" s="1"/>
      <c r="K861" s="1" t="s">
        <v>6090</v>
      </c>
      <c r="L861" s="1" t="s">
        <v>10247</v>
      </c>
      <c r="M861" s="1" t="s">
        <v>10248</v>
      </c>
      <c r="N861" s="1"/>
      <c r="O861" s="1"/>
      <c r="P861" s="1"/>
      <c r="Q861" s="1"/>
      <c r="R861" s="1" t="s">
        <v>10249</v>
      </c>
      <c r="S861" s="1" t="s">
        <v>9241</v>
      </c>
      <c r="T861" s="1" t="s">
        <v>10138</v>
      </c>
      <c r="U861" s="1" t="s">
        <v>6096</v>
      </c>
      <c r="V861" s="1" t="s">
        <v>6168</v>
      </c>
      <c r="W861" s="1" t="s">
        <v>10139</v>
      </c>
    </row>
    <row r="862" spans="1:23" ht="48" customHeight="1">
      <c r="A862" s="1" t="s">
        <v>5251</v>
      </c>
      <c r="B862" s="1" t="s">
        <v>6215</v>
      </c>
      <c r="C862" s="1"/>
      <c r="D862" s="1" t="s">
        <v>4747</v>
      </c>
      <c r="E862" s="1"/>
      <c r="F862" s="1" t="s">
        <v>6216</v>
      </c>
      <c r="G862" s="1"/>
      <c r="H862" s="1" t="s">
        <v>6089</v>
      </c>
      <c r="I862" s="1"/>
      <c r="J862" s="1"/>
      <c r="K862" s="1" t="s">
        <v>6090</v>
      </c>
      <c r="L862" s="1"/>
      <c r="M862" s="1" t="s">
        <v>10250</v>
      </c>
      <c r="N862" s="1"/>
      <c r="O862" s="1"/>
      <c r="P862" s="1"/>
      <c r="Q862" s="1"/>
      <c r="R862" s="1"/>
      <c r="S862" s="1"/>
      <c r="T862" s="1"/>
      <c r="U862" s="1"/>
      <c r="V862" s="1"/>
      <c r="W862" s="1"/>
    </row>
    <row r="863" spans="1:23" ht="48" customHeight="1">
      <c r="A863" s="1" t="s">
        <v>5251</v>
      </c>
      <c r="B863" s="1" t="s">
        <v>6218</v>
      </c>
      <c r="C863" s="1" t="s">
        <v>10251</v>
      </c>
      <c r="D863" s="1" t="s">
        <v>10252</v>
      </c>
      <c r="E863" s="1"/>
      <c r="F863" s="1" t="s">
        <v>6110</v>
      </c>
      <c r="G863" s="1" t="s">
        <v>10131</v>
      </c>
      <c r="H863" s="1" t="s">
        <v>6089</v>
      </c>
      <c r="I863" s="1"/>
      <c r="J863" s="1"/>
      <c r="K863" s="1" t="s">
        <v>6090</v>
      </c>
      <c r="L863" s="1" t="s">
        <v>10253</v>
      </c>
      <c r="M863" s="1" t="s">
        <v>10254</v>
      </c>
      <c r="N863" s="1"/>
      <c r="O863" s="1"/>
      <c r="P863" s="1"/>
      <c r="Q863" s="1"/>
      <c r="R863" s="1"/>
      <c r="S863" s="1"/>
      <c r="T863" s="1"/>
      <c r="U863" s="1"/>
      <c r="V863" s="1"/>
      <c r="W863" s="1"/>
    </row>
    <row r="864" spans="1:23" ht="48" customHeight="1">
      <c r="A864" s="1" t="s">
        <v>5251</v>
      </c>
      <c r="B864" s="1" t="s">
        <v>6222</v>
      </c>
      <c r="C864" s="1" t="s">
        <v>10255</v>
      </c>
      <c r="D864" s="1" t="s">
        <v>10256</v>
      </c>
      <c r="E864" s="1"/>
      <c r="F864" s="1" t="s">
        <v>6110</v>
      </c>
      <c r="G864" s="1" t="s">
        <v>10131</v>
      </c>
      <c r="H864" s="1" t="s">
        <v>6089</v>
      </c>
      <c r="I864" s="1"/>
      <c r="J864" s="1"/>
      <c r="K864" s="1" t="s">
        <v>6090</v>
      </c>
      <c r="L864" s="1" t="s">
        <v>10257</v>
      </c>
      <c r="M864" s="1" t="s">
        <v>10258</v>
      </c>
      <c r="N864" s="1"/>
      <c r="O864" s="1"/>
      <c r="P864" s="1"/>
      <c r="Q864" s="1"/>
      <c r="R864" s="1"/>
      <c r="S864" s="1"/>
      <c r="T864" s="1"/>
      <c r="U864" s="1"/>
      <c r="V864" s="1"/>
      <c r="W864" s="1"/>
    </row>
    <row r="865" spans="1:23" ht="48" customHeight="1">
      <c r="A865" s="1" t="s">
        <v>5251</v>
      </c>
      <c r="B865" s="1" t="s">
        <v>6227</v>
      </c>
      <c r="C865" s="1" t="s">
        <v>10259</v>
      </c>
      <c r="D865" s="1" t="s">
        <v>10260</v>
      </c>
      <c r="E865" s="1"/>
      <c r="F865" s="1" t="s">
        <v>6110</v>
      </c>
      <c r="G865" s="1" t="s">
        <v>10131</v>
      </c>
      <c r="H865" s="1" t="s">
        <v>6089</v>
      </c>
      <c r="I865" s="1"/>
      <c r="J865" s="1"/>
      <c r="K865" s="1" t="s">
        <v>6090</v>
      </c>
      <c r="L865" s="1" t="s">
        <v>10261</v>
      </c>
      <c r="M865" s="1" t="s">
        <v>10262</v>
      </c>
      <c r="N865" s="1"/>
      <c r="O865" s="1"/>
      <c r="P865" s="1"/>
      <c r="Q865" s="1"/>
      <c r="R865" s="1"/>
      <c r="S865" s="1"/>
      <c r="T865" s="1"/>
      <c r="U865" s="1"/>
      <c r="V865" s="1"/>
      <c r="W865" s="1"/>
    </row>
    <row r="866" spans="1:23" ht="48" customHeight="1">
      <c r="A866" s="1" t="s">
        <v>5251</v>
      </c>
      <c r="B866" s="1" t="s">
        <v>6232</v>
      </c>
      <c r="C866" s="1" t="s">
        <v>10263</v>
      </c>
      <c r="D866" s="1" t="s">
        <v>10264</v>
      </c>
      <c r="E866" s="1"/>
      <c r="F866" s="1" t="s">
        <v>6110</v>
      </c>
      <c r="G866" s="1" t="s">
        <v>10131</v>
      </c>
      <c r="H866" s="1" t="s">
        <v>6089</v>
      </c>
      <c r="I866" s="1"/>
      <c r="J866" s="1"/>
      <c r="K866" s="1" t="s">
        <v>6090</v>
      </c>
      <c r="L866" s="1" t="s">
        <v>10265</v>
      </c>
      <c r="M866" s="1" t="s">
        <v>10266</v>
      </c>
      <c r="N866" s="1"/>
      <c r="O866" s="1"/>
      <c r="P866" s="1"/>
      <c r="Q866" s="1"/>
      <c r="R866" s="1"/>
      <c r="S866" s="1"/>
      <c r="T866" s="1"/>
      <c r="U866" s="1"/>
      <c r="V866" s="1"/>
      <c r="W866" s="1"/>
    </row>
    <row r="867" spans="1:23" ht="72" customHeight="1">
      <c r="A867" s="1" t="s">
        <v>5251</v>
      </c>
      <c r="B867" s="1" t="s">
        <v>6236</v>
      </c>
      <c r="C867" s="1" t="s">
        <v>10267</v>
      </c>
      <c r="D867" s="1" t="s">
        <v>10268</v>
      </c>
      <c r="E867" s="1" t="s">
        <v>10269</v>
      </c>
      <c r="F867" s="1" t="s">
        <v>6163</v>
      </c>
      <c r="G867" s="1" t="s">
        <v>10131</v>
      </c>
      <c r="H867" s="1" t="s">
        <v>6089</v>
      </c>
      <c r="I867" s="1"/>
      <c r="J867" s="1"/>
      <c r="K867" s="1" t="s">
        <v>6090</v>
      </c>
      <c r="L867" s="1" t="s">
        <v>10270</v>
      </c>
      <c r="M867" s="1" t="s">
        <v>10271</v>
      </c>
      <c r="N867" s="1"/>
      <c r="O867" s="1"/>
      <c r="P867" s="1"/>
      <c r="Q867" s="1"/>
      <c r="R867" s="1" t="s">
        <v>10272</v>
      </c>
      <c r="S867" s="1" t="s">
        <v>10273</v>
      </c>
      <c r="T867" s="1" t="s">
        <v>10138</v>
      </c>
      <c r="U867" s="1" t="s">
        <v>6096</v>
      </c>
      <c r="V867" s="1" t="s">
        <v>6244</v>
      </c>
      <c r="W867" s="1" t="s">
        <v>10139</v>
      </c>
    </row>
    <row r="868" spans="1:23" ht="48" customHeight="1">
      <c r="A868" s="1" t="s">
        <v>5251</v>
      </c>
      <c r="B868" s="1" t="s">
        <v>6245</v>
      </c>
      <c r="C868" s="1" t="s">
        <v>10274</v>
      </c>
      <c r="D868" s="1"/>
      <c r="E868" s="1"/>
      <c r="F868" s="1" t="s">
        <v>6216</v>
      </c>
      <c r="G868" s="1" t="s">
        <v>10131</v>
      </c>
      <c r="H868" s="1"/>
      <c r="I868" s="1"/>
      <c r="J868" s="1"/>
      <c r="K868" s="1" t="s">
        <v>6090</v>
      </c>
      <c r="L868" s="1" t="s">
        <v>10275</v>
      </c>
      <c r="M868" s="1"/>
      <c r="N868" s="1"/>
      <c r="O868" s="1"/>
      <c r="P868" s="1"/>
      <c r="Q868" s="1"/>
      <c r="R868" s="1"/>
      <c r="S868" s="1"/>
      <c r="T868" s="1"/>
      <c r="U868" s="1"/>
      <c r="V868" s="1"/>
      <c r="W868" s="1"/>
    </row>
    <row r="869" spans="1:23" ht="48" customHeight="1">
      <c r="A869" s="1" t="s">
        <v>5251</v>
      </c>
      <c r="B869" s="1" t="s">
        <v>6248</v>
      </c>
      <c r="C869" s="1" t="s">
        <v>10276</v>
      </c>
      <c r="D869" s="1"/>
      <c r="E869" s="1"/>
      <c r="F869" s="1" t="s">
        <v>6216</v>
      </c>
      <c r="G869" s="1" t="s">
        <v>10131</v>
      </c>
      <c r="H869" s="1"/>
      <c r="I869" s="1"/>
      <c r="J869" s="1"/>
      <c r="K869" s="1" t="s">
        <v>6090</v>
      </c>
      <c r="L869" s="1" t="s">
        <v>10277</v>
      </c>
      <c r="M869" s="1"/>
      <c r="N869" s="1"/>
      <c r="O869" s="1"/>
      <c r="P869" s="1"/>
      <c r="Q869" s="1"/>
      <c r="R869" s="1"/>
      <c r="S869" s="1"/>
      <c r="T869" s="1"/>
      <c r="U869" s="1"/>
      <c r="V869" s="1"/>
      <c r="W869" s="1"/>
    </row>
    <row r="870" spans="1:23" ht="48" customHeight="1">
      <c r="A870" s="1" t="s">
        <v>5268</v>
      </c>
      <c r="B870" s="1" t="s">
        <v>6083</v>
      </c>
      <c r="C870" s="1" t="s">
        <v>10278</v>
      </c>
      <c r="D870" s="1" t="s">
        <v>10279</v>
      </c>
      <c r="E870" s="1" t="s">
        <v>6086</v>
      </c>
      <c r="F870" s="1" t="s">
        <v>6087</v>
      </c>
      <c r="G870" s="1" t="s">
        <v>10280</v>
      </c>
      <c r="H870" s="1" t="s">
        <v>6089</v>
      </c>
      <c r="I870" s="1"/>
      <c r="J870" s="1"/>
      <c r="K870" s="1" t="s">
        <v>6090</v>
      </c>
      <c r="L870" s="1" t="s">
        <v>10281</v>
      </c>
      <c r="M870" s="1" t="s">
        <v>10282</v>
      </c>
      <c r="N870" s="1"/>
      <c r="O870" s="1"/>
      <c r="P870" s="1"/>
      <c r="Q870" s="1"/>
      <c r="R870" s="1" t="s">
        <v>10283</v>
      </c>
      <c r="S870" s="1" t="s">
        <v>10284</v>
      </c>
      <c r="T870" s="1" t="s">
        <v>10285</v>
      </c>
      <c r="U870" s="1" t="s">
        <v>6096</v>
      </c>
      <c r="V870" s="1" t="s">
        <v>6097</v>
      </c>
      <c r="W870" s="1" t="s">
        <v>10286</v>
      </c>
    </row>
    <row r="871" spans="1:23" ht="48" customHeight="1">
      <c r="A871" s="1" t="s">
        <v>5268</v>
      </c>
      <c r="B871" s="1" t="s">
        <v>6099</v>
      </c>
      <c r="C871" s="1" t="s">
        <v>10287</v>
      </c>
      <c r="D871" s="1" t="s">
        <v>6101</v>
      </c>
      <c r="E871" s="1" t="s">
        <v>6102</v>
      </c>
      <c r="F871" s="1" t="s">
        <v>6087</v>
      </c>
      <c r="G871" s="1" t="s">
        <v>10280</v>
      </c>
      <c r="H871" s="1" t="s">
        <v>6089</v>
      </c>
      <c r="I871" s="1"/>
      <c r="J871" s="1"/>
      <c r="K871" s="1" t="s">
        <v>6090</v>
      </c>
      <c r="L871" s="1" t="s">
        <v>10288</v>
      </c>
      <c r="M871" s="1" t="s">
        <v>10289</v>
      </c>
      <c r="N871" s="1"/>
      <c r="O871" s="1"/>
      <c r="P871" s="1"/>
      <c r="Q871" s="1"/>
      <c r="R871" s="1" t="s">
        <v>10290</v>
      </c>
      <c r="S871" s="1" t="s">
        <v>10291</v>
      </c>
      <c r="T871" s="1" t="s">
        <v>10285</v>
      </c>
      <c r="U871" s="1" t="s">
        <v>6096</v>
      </c>
      <c r="V871" s="1" t="s">
        <v>6097</v>
      </c>
      <c r="W871" s="1" t="s">
        <v>10286</v>
      </c>
    </row>
    <row r="872" spans="1:23" ht="48" customHeight="1">
      <c r="A872" s="1" t="s">
        <v>5268</v>
      </c>
      <c r="B872" s="1" t="s">
        <v>6107</v>
      </c>
      <c r="C872" s="1" t="s">
        <v>10292</v>
      </c>
      <c r="D872" s="1" t="s">
        <v>10293</v>
      </c>
      <c r="E872" s="1"/>
      <c r="F872" s="1" t="s">
        <v>6110</v>
      </c>
      <c r="G872" s="1" t="s">
        <v>10280</v>
      </c>
      <c r="H872" s="1" t="s">
        <v>6089</v>
      </c>
      <c r="I872" s="1"/>
      <c r="J872" s="1"/>
      <c r="K872" s="1" t="s">
        <v>6090</v>
      </c>
      <c r="L872" s="1" t="s">
        <v>10294</v>
      </c>
      <c r="M872" s="1" t="s">
        <v>10295</v>
      </c>
      <c r="N872" s="1"/>
      <c r="O872" s="1"/>
      <c r="P872" s="1"/>
      <c r="Q872" s="1"/>
      <c r="R872" s="1"/>
      <c r="S872" s="1"/>
      <c r="T872" s="1"/>
      <c r="U872" s="1"/>
      <c r="V872" s="1"/>
      <c r="W872" s="1"/>
    </row>
    <row r="873" spans="1:23" ht="48" customHeight="1">
      <c r="A873" s="1" t="s">
        <v>5268</v>
      </c>
      <c r="B873" s="1" t="s">
        <v>6113</v>
      </c>
      <c r="C873" s="1" t="s">
        <v>10296</v>
      </c>
      <c r="D873" s="1" t="s">
        <v>10297</v>
      </c>
      <c r="E873" s="1"/>
      <c r="F873" s="1" t="s">
        <v>6110</v>
      </c>
      <c r="G873" s="1" t="s">
        <v>10280</v>
      </c>
      <c r="H873" s="1" t="s">
        <v>6089</v>
      </c>
      <c r="I873" s="1"/>
      <c r="J873" s="1"/>
      <c r="K873" s="1" t="s">
        <v>6090</v>
      </c>
      <c r="L873" s="1" t="s">
        <v>10298</v>
      </c>
      <c r="M873" s="1" t="s">
        <v>10299</v>
      </c>
      <c r="N873" s="1"/>
      <c r="O873" s="1"/>
      <c r="P873" s="1"/>
      <c r="Q873" s="1"/>
      <c r="R873" s="1"/>
      <c r="S873" s="1"/>
      <c r="T873" s="1"/>
      <c r="U873" s="1"/>
      <c r="V873" s="1"/>
      <c r="W873" s="1"/>
    </row>
    <row r="874" spans="1:23" ht="48" customHeight="1">
      <c r="A874" s="1" t="s">
        <v>5268</v>
      </c>
      <c r="B874" s="1" t="s">
        <v>6118</v>
      </c>
      <c r="C874" s="1" t="s">
        <v>10300</v>
      </c>
      <c r="D874" s="1" t="s">
        <v>10301</v>
      </c>
      <c r="E874" s="1" t="s">
        <v>10302</v>
      </c>
      <c r="F874" s="1" t="s">
        <v>6087</v>
      </c>
      <c r="G874" s="1" t="s">
        <v>10280</v>
      </c>
      <c r="H874" s="1" t="s">
        <v>6089</v>
      </c>
      <c r="I874" s="1"/>
      <c r="J874" s="1"/>
      <c r="K874" s="1" t="s">
        <v>6090</v>
      </c>
      <c r="L874" s="1" t="s">
        <v>10303</v>
      </c>
      <c r="M874" s="1" t="s">
        <v>10304</v>
      </c>
      <c r="N874" s="1"/>
      <c r="O874" s="1"/>
      <c r="P874" s="1"/>
      <c r="Q874" s="1"/>
      <c r="R874" s="1" t="s">
        <v>10305</v>
      </c>
      <c r="S874" s="1" t="s">
        <v>10306</v>
      </c>
      <c r="T874" s="1" t="s">
        <v>10285</v>
      </c>
      <c r="U874" s="1" t="s">
        <v>6096</v>
      </c>
      <c r="V874" s="1" t="s">
        <v>6097</v>
      </c>
      <c r="W874" s="1" t="s">
        <v>10286</v>
      </c>
    </row>
    <row r="875" spans="1:23" ht="60" customHeight="1">
      <c r="A875" s="1" t="s">
        <v>5268</v>
      </c>
      <c r="B875" s="1" t="s">
        <v>6126</v>
      </c>
      <c r="C875" s="1" t="s">
        <v>10307</v>
      </c>
      <c r="D875" s="1" t="s">
        <v>10308</v>
      </c>
      <c r="E875" s="1" t="s">
        <v>10309</v>
      </c>
      <c r="F875" s="1" t="s">
        <v>6087</v>
      </c>
      <c r="G875" s="1" t="s">
        <v>10280</v>
      </c>
      <c r="H875" s="1" t="s">
        <v>6089</v>
      </c>
      <c r="I875" s="1"/>
      <c r="J875" s="1"/>
      <c r="K875" s="1" t="s">
        <v>6090</v>
      </c>
      <c r="L875" s="1" t="s">
        <v>10310</v>
      </c>
      <c r="M875" s="1" t="s">
        <v>10311</v>
      </c>
      <c r="N875" s="1"/>
      <c r="O875" s="1"/>
      <c r="P875" s="1"/>
      <c r="Q875" s="1"/>
      <c r="R875" s="1" t="s">
        <v>10312</v>
      </c>
      <c r="S875" s="1" t="s">
        <v>10313</v>
      </c>
      <c r="T875" s="1" t="s">
        <v>10285</v>
      </c>
      <c r="U875" s="1" t="s">
        <v>6096</v>
      </c>
      <c r="V875" s="1" t="s">
        <v>6097</v>
      </c>
      <c r="W875" s="1" t="s">
        <v>10286</v>
      </c>
    </row>
    <row r="876" spans="1:23" ht="36" customHeight="1">
      <c r="A876" s="1" t="s">
        <v>5268</v>
      </c>
      <c r="B876" s="1" t="s">
        <v>6134</v>
      </c>
      <c r="C876" s="1" t="s">
        <v>10314</v>
      </c>
      <c r="D876" s="1" t="s">
        <v>10315</v>
      </c>
      <c r="E876" s="1" t="s">
        <v>10316</v>
      </c>
      <c r="F876" s="1" t="s">
        <v>6138</v>
      </c>
      <c r="G876" s="1" t="s">
        <v>10280</v>
      </c>
      <c r="H876" s="1" t="s">
        <v>6089</v>
      </c>
      <c r="I876" s="1" t="s">
        <v>5302</v>
      </c>
      <c r="J876" s="1" t="s">
        <v>5301</v>
      </c>
      <c r="K876" s="1" t="s">
        <v>6289</v>
      </c>
      <c r="L876" s="1" t="s">
        <v>10317</v>
      </c>
      <c r="M876" s="1" t="s">
        <v>10318</v>
      </c>
      <c r="N876" s="1" t="s">
        <v>10319</v>
      </c>
      <c r="O876" s="1"/>
      <c r="P876" s="1"/>
      <c r="Q876" s="1"/>
      <c r="R876" s="1" t="s">
        <v>10320</v>
      </c>
      <c r="S876" s="1" t="s">
        <v>10321</v>
      </c>
      <c r="T876" s="1" t="s">
        <v>10285</v>
      </c>
      <c r="U876" s="1" t="s">
        <v>6096</v>
      </c>
      <c r="V876" s="1" t="s">
        <v>6143</v>
      </c>
      <c r="W876" s="1" t="s">
        <v>10286</v>
      </c>
    </row>
    <row r="877" spans="1:23" ht="60" customHeight="1">
      <c r="A877" s="1" t="s">
        <v>5268</v>
      </c>
      <c r="B877" s="1" t="s">
        <v>6144</v>
      </c>
      <c r="C877" s="1" t="s">
        <v>10322</v>
      </c>
      <c r="D877" s="1" t="s">
        <v>4747</v>
      </c>
      <c r="E877" s="1" t="s">
        <v>10323</v>
      </c>
      <c r="F877" s="1" t="s">
        <v>6138</v>
      </c>
      <c r="G877" s="1" t="s">
        <v>10280</v>
      </c>
      <c r="H877" s="1" t="s">
        <v>6089</v>
      </c>
      <c r="I877" s="1"/>
      <c r="J877" s="1"/>
      <c r="K877" s="1" t="s">
        <v>6090</v>
      </c>
      <c r="L877" s="1" t="s">
        <v>10324</v>
      </c>
      <c r="M877" s="1" t="s">
        <v>10325</v>
      </c>
      <c r="N877" s="1"/>
      <c r="O877" s="1"/>
      <c r="P877" s="1"/>
      <c r="Q877" s="1"/>
      <c r="R877" s="1" t="s">
        <v>10320</v>
      </c>
      <c r="S877" s="1" t="s">
        <v>10321</v>
      </c>
      <c r="T877" s="1" t="s">
        <v>10285</v>
      </c>
      <c r="U877" s="1" t="s">
        <v>6096</v>
      </c>
      <c r="V877" s="1" t="s">
        <v>6143</v>
      </c>
      <c r="W877" s="1" t="s">
        <v>10286</v>
      </c>
    </row>
    <row r="878" spans="1:23" ht="72" customHeight="1">
      <c r="A878" s="1" t="s">
        <v>5268</v>
      </c>
      <c r="B878" s="1" t="s">
        <v>6149</v>
      </c>
      <c r="C878" s="1" t="s">
        <v>10326</v>
      </c>
      <c r="D878" s="1" t="s">
        <v>10327</v>
      </c>
      <c r="E878" s="1" t="s">
        <v>10328</v>
      </c>
      <c r="F878" s="1" t="s">
        <v>6138</v>
      </c>
      <c r="G878" s="1" t="s">
        <v>10280</v>
      </c>
      <c r="H878" s="1" t="s">
        <v>6089</v>
      </c>
      <c r="I878" s="1"/>
      <c r="J878" s="1"/>
      <c r="K878" s="1" t="s">
        <v>6090</v>
      </c>
      <c r="L878" s="1" t="s">
        <v>10329</v>
      </c>
      <c r="M878" s="1" t="s">
        <v>10330</v>
      </c>
      <c r="N878" s="1"/>
      <c r="O878" s="1"/>
      <c r="P878" s="1"/>
      <c r="Q878" s="1"/>
      <c r="R878" s="1" t="s">
        <v>10320</v>
      </c>
      <c r="S878" s="1" t="s">
        <v>10321</v>
      </c>
      <c r="T878" s="1" t="s">
        <v>10285</v>
      </c>
      <c r="U878" s="1" t="s">
        <v>6096</v>
      </c>
      <c r="V878" s="1" t="s">
        <v>6143</v>
      </c>
      <c r="W878" s="1" t="s">
        <v>10286</v>
      </c>
    </row>
    <row r="879" spans="1:23" ht="48" customHeight="1">
      <c r="A879" s="1" t="s">
        <v>5268</v>
      </c>
      <c r="B879" s="1" t="s">
        <v>6154</v>
      </c>
      <c r="C879" s="1" t="s">
        <v>10331</v>
      </c>
      <c r="D879" s="1" t="s">
        <v>10332</v>
      </c>
      <c r="E879" s="1" t="s">
        <v>10333</v>
      </c>
      <c r="F879" s="1" t="s">
        <v>6138</v>
      </c>
      <c r="G879" s="1" t="s">
        <v>10280</v>
      </c>
      <c r="H879" s="1" t="s">
        <v>6089</v>
      </c>
      <c r="I879" s="1"/>
      <c r="J879" s="1"/>
      <c r="K879" s="1" t="s">
        <v>6090</v>
      </c>
      <c r="L879" s="1" t="s">
        <v>10334</v>
      </c>
      <c r="M879" s="1" t="s">
        <v>10335</v>
      </c>
      <c r="N879" s="1"/>
      <c r="O879" s="1"/>
      <c r="P879" s="1"/>
      <c r="Q879" s="1"/>
      <c r="R879" s="1" t="s">
        <v>10320</v>
      </c>
      <c r="S879" s="1" t="s">
        <v>10321</v>
      </c>
      <c r="T879" s="1" t="s">
        <v>10285</v>
      </c>
      <c r="U879" s="1" t="s">
        <v>6096</v>
      </c>
      <c r="V879" s="1" t="s">
        <v>6143</v>
      </c>
      <c r="W879" s="1" t="s">
        <v>10286</v>
      </c>
    </row>
    <row r="880" spans="1:23" ht="48" customHeight="1">
      <c r="A880" s="1" t="s">
        <v>5268</v>
      </c>
      <c r="B880" s="1" t="s">
        <v>6159</v>
      </c>
      <c r="C880" s="1" t="s">
        <v>5277</v>
      </c>
      <c r="D880" s="1" t="s">
        <v>7109</v>
      </c>
      <c r="E880" s="1" t="s">
        <v>10336</v>
      </c>
      <c r="F880" s="1" t="s">
        <v>6163</v>
      </c>
      <c r="G880" s="1" t="s">
        <v>10280</v>
      </c>
      <c r="H880" s="1" t="s">
        <v>6089</v>
      </c>
      <c r="I880" s="1"/>
      <c r="J880" s="1"/>
      <c r="K880" s="1" t="s">
        <v>6090</v>
      </c>
      <c r="L880" s="1" t="s">
        <v>10337</v>
      </c>
      <c r="M880" s="1" t="s">
        <v>10338</v>
      </c>
      <c r="N880" s="1"/>
      <c r="O880" s="1" t="s">
        <v>10339</v>
      </c>
      <c r="P880" s="1" t="s">
        <v>10340</v>
      </c>
      <c r="Q880" s="1" t="s">
        <v>6462</v>
      </c>
      <c r="R880" s="1" t="s">
        <v>10341</v>
      </c>
      <c r="S880" s="1" t="s">
        <v>10342</v>
      </c>
      <c r="T880" s="1" t="s">
        <v>10285</v>
      </c>
      <c r="U880" s="1" t="s">
        <v>6096</v>
      </c>
      <c r="V880" s="1" t="s">
        <v>6168</v>
      </c>
      <c r="W880" s="1" t="s">
        <v>10286</v>
      </c>
    </row>
    <row r="881" spans="1:23" ht="48" customHeight="1">
      <c r="A881" s="1" t="s">
        <v>5268</v>
      </c>
      <c r="B881" s="1" t="s">
        <v>6169</v>
      </c>
      <c r="C881" s="1" t="s">
        <v>5285</v>
      </c>
      <c r="D881" s="1" t="s">
        <v>4747</v>
      </c>
      <c r="E881" s="1"/>
      <c r="F881" s="1" t="s">
        <v>6110</v>
      </c>
      <c r="G881" s="1" t="s">
        <v>10280</v>
      </c>
      <c r="H881" s="1" t="s">
        <v>6089</v>
      </c>
      <c r="I881" s="1"/>
      <c r="J881" s="1"/>
      <c r="K881" s="1" t="s">
        <v>6090</v>
      </c>
      <c r="L881" s="1" t="s">
        <v>10343</v>
      </c>
      <c r="M881" s="1" t="s">
        <v>10344</v>
      </c>
      <c r="N881" s="1"/>
      <c r="O881" s="1"/>
      <c r="P881" s="1"/>
      <c r="Q881" s="1"/>
      <c r="R881" s="1"/>
      <c r="S881" s="1"/>
      <c r="T881" s="1"/>
      <c r="U881" s="1"/>
      <c r="V881" s="1"/>
      <c r="W881" s="1"/>
    </row>
    <row r="882" spans="1:23" ht="96" customHeight="1">
      <c r="A882" s="1" t="s">
        <v>5268</v>
      </c>
      <c r="B882" s="1" t="s">
        <v>6176</v>
      </c>
      <c r="C882" s="1" t="s">
        <v>10345</v>
      </c>
      <c r="D882" s="1" t="s">
        <v>4747</v>
      </c>
      <c r="E882" s="1" t="s">
        <v>10346</v>
      </c>
      <c r="F882" s="1" t="s">
        <v>6138</v>
      </c>
      <c r="G882" s="1" t="s">
        <v>10280</v>
      </c>
      <c r="H882" s="1" t="s">
        <v>6089</v>
      </c>
      <c r="I882" s="1"/>
      <c r="J882" s="1"/>
      <c r="K882" s="1" t="s">
        <v>6090</v>
      </c>
      <c r="L882" s="1" t="s">
        <v>10347</v>
      </c>
      <c r="M882" s="1" t="s">
        <v>10348</v>
      </c>
      <c r="N882" s="1"/>
      <c r="O882" s="1"/>
      <c r="P882" s="1"/>
      <c r="Q882" s="1"/>
      <c r="R882" s="1" t="s">
        <v>10349</v>
      </c>
      <c r="S882" s="1" t="s">
        <v>10350</v>
      </c>
      <c r="T882" s="1" t="s">
        <v>10285</v>
      </c>
      <c r="U882" s="1" t="s">
        <v>6096</v>
      </c>
      <c r="V882" s="1" t="s">
        <v>6184</v>
      </c>
      <c r="W882" s="1" t="s">
        <v>10286</v>
      </c>
    </row>
    <row r="883" spans="1:23" ht="96" customHeight="1">
      <c r="A883" s="1" t="s">
        <v>5268</v>
      </c>
      <c r="B883" s="1" t="s">
        <v>6185</v>
      </c>
      <c r="C883" s="1" t="s">
        <v>4747</v>
      </c>
      <c r="D883" s="1" t="s">
        <v>4747</v>
      </c>
      <c r="E883" s="1" t="s">
        <v>10351</v>
      </c>
      <c r="F883" s="1" t="s">
        <v>6138</v>
      </c>
      <c r="G883" s="1" t="s">
        <v>10280</v>
      </c>
      <c r="H883" s="1" t="s">
        <v>6089</v>
      </c>
      <c r="I883" s="1"/>
      <c r="J883" s="1"/>
      <c r="K883" s="1" t="s">
        <v>6090</v>
      </c>
      <c r="L883" s="1" t="s">
        <v>10352</v>
      </c>
      <c r="M883" s="1" t="s">
        <v>10353</v>
      </c>
      <c r="N883" s="1"/>
      <c r="O883" s="1"/>
      <c r="P883" s="1"/>
      <c r="Q883" s="1"/>
      <c r="R883" s="1" t="s">
        <v>10354</v>
      </c>
      <c r="S883" s="1" t="s">
        <v>10355</v>
      </c>
      <c r="T883" s="1" t="s">
        <v>10356</v>
      </c>
      <c r="U883" s="1" t="s">
        <v>6096</v>
      </c>
      <c r="V883" s="1" t="s">
        <v>6184</v>
      </c>
      <c r="W883" s="1" t="s">
        <v>10357</v>
      </c>
    </row>
    <row r="884" spans="1:23" ht="96" customHeight="1">
      <c r="A884" s="1" t="s">
        <v>5268</v>
      </c>
      <c r="B884" s="1" t="s">
        <v>6189</v>
      </c>
      <c r="C884" s="1" t="s">
        <v>10358</v>
      </c>
      <c r="D884" s="1" t="s">
        <v>4747</v>
      </c>
      <c r="E884" s="1" t="s">
        <v>10359</v>
      </c>
      <c r="F884" s="1" t="s">
        <v>6138</v>
      </c>
      <c r="G884" s="1" t="s">
        <v>10280</v>
      </c>
      <c r="H884" s="1" t="s">
        <v>6089</v>
      </c>
      <c r="I884" s="1"/>
      <c r="J884" s="1"/>
      <c r="K884" s="1" t="s">
        <v>6090</v>
      </c>
      <c r="L884" s="1" t="s">
        <v>10360</v>
      </c>
      <c r="M884" s="1" t="s">
        <v>10361</v>
      </c>
      <c r="N884" s="1"/>
      <c r="O884" s="1"/>
      <c r="P884" s="1"/>
      <c r="Q884" s="1"/>
      <c r="R884" s="1" t="s">
        <v>10362</v>
      </c>
      <c r="S884" s="1" t="s">
        <v>10363</v>
      </c>
      <c r="T884" s="1" t="s">
        <v>10356</v>
      </c>
      <c r="U884" s="1" t="s">
        <v>6096</v>
      </c>
      <c r="V884" s="1" t="s">
        <v>6184</v>
      </c>
      <c r="W884" s="1" t="s">
        <v>10357</v>
      </c>
    </row>
    <row r="885" spans="1:23" ht="48" customHeight="1">
      <c r="A885" s="1" t="s">
        <v>5268</v>
      </c>
      <c r="B885" s="1" t="s">
        <v>6196</v>
      </c>
      <c r="C885" s="1" t="s">
        <v>6197</v>
      </c>
      <c r="D885" s="1" t="s">
        <v>4747</v>
      </c>
      <c r="E885" s="1"/>
      <c r="F885" s="1" t="s">
        <v>6110</v>
      </c>
      <c r="G885" s="1" t="s">
        <v>10280</v>
      </c>
      <c r="H885" s="1" t="s">
        <v>6089</v>
      </c>
      <c r="I885" s="1"/>
      <c r="J885" s="1"/>
      <c r="K885" s="1" t="s">
        <v>6090</v>
      </c>
      <c r="L885" s="1" t="s">
        <v>10364</v>
      </c>
      <c r="M885" s="1" t="s">
        <v>10365</v>
      </c>
      <c r="N885" s="1"/>
      <c r="O885" s="1"/>
      <c r="P885" s="1"/>
      <c r="Q885" s="1"/>
      <c r="R885" s="1"/>
      <c r="S885" s="1"/>
      <c r="T885" s="1"/>
      <c r="U885" s="1"/>
      <c r="V885" s="1"/>
      <c r="W885" s="1"/>
    </row>
    <row r="886" spans="1:23" ht="72" customHeight="1">
      <c r="A886" s="1" t="s">
        <v>5268</v>
      </c>
      <c r="B886" s="1" t="s">
        <v>6200</v>
      </c>
      <c r="C886" s="1" t="s">
        <v>10366</v>
      </c>
      <c r="D886" s="1" t="s">
        <v>10367</v>
      </c>
      <c r="E886" s="1" t="s">
        <v>10368</v>
      </c>
      <c r="F886" s="1" t="s">
        <v>6349</v>
      </c>
      <c r="G886" s="1" t="s">
        <v>10280</v>
      </c>
      <c r="H886" s="1" t="s">
        <v>6089</v>
      </c>
      <c r="I886" s="1"/>
      <c r="J886" s="1"/>
      <c r="K886" s="1" t="s">
        <v>6090</v>
      </c>
      <c r="L886" s="1" t="s">
        <v>10369</v>
      </c>
      <c r="M886" s="1" t="s">
        <v>10370</v>
      </c>
      <c r="N886" s="1"/>
      <c r="O886" s="1"/>
      <c r="P886" s="1"/>
      <c r="Q886" s="1"/>
      <c r="R886" s="1" t="s">
        <v>10371</v>
      </c>
      <c r="S886" s="1" t="s">
        <v>10372</v>
      </c>
      <c r="T886" s="1" t="s">
        <v>10285</v>
      </c>
      <c r="U886" s="1" t="s">
        <v>6096</v>
      </c>
      <c r="V886" s="1" t="s">
        <v>10373</v>
      </c>
      <c r="W886" s="1" t="s">
        <v>10286</v>
      </c>
    </row>
    <row r="887" spans="1:23" ht="96" customHeight="1">
      <c r="A887" s="1" t="s">
        <v>5268</v>
      </c>
      <c r="B887" s="1" t="s">
        <v>5583</v>
      </c>
      <c r="C887" s="1" t="s">
        <v>10374</v>
      </c>
      <c r="D887" s="1" t="s">
        <v>4747</v>
      </c>
      <c r="E887" s="1" t="s">
        <v>10375</v>
      </c>
      <c r="F887" s="1" t="s">
        <v>6138</v>
      </c>
      <c r="G887" s="1" t="s">
        <v>10280</v>
      </c>
      <c r="H887" s="1" t="s">
        <v>6089</v>
      </c>
      <c r="I887" s="1"/>
      <c r="J887" s="1"/>
      <c r="K887" s="1" t="s">
        <v>6090</v>
      </c>
      <c r="L887" s="1" t="s">
        <v>10376</v>
      </c>
      <c r="M887" s="1" t="s">
        <v>10377</v>
      </c>
      <c r="N887" s="1"/>
      <c r="O887" s="1"/>
      <c r="P887" s="1"/>
      <c r="Q887" s="1"/>
      <c r="R887" s="1" t="s">
        <v>10378</v>
      </c>
      <c r="S887" s="1" t="s">
        <v>10379</v>
      </c>
      <c r="T887" s="1" t="s">
        <v>10285</v>
      </c>
      <c r="U887" s="1" t="s">
        <v>6096</v>
      </c>
      <c r="V887" s="1" t="s">
        <v>6184</v>
      </c>
      <c r="W887" s="1" t="s">
        <v>10286</v>
      </c>
    </row>
    <row r="888" spans="1:23" ht="48" customHeight="1">
      <c r="A888" s="1" t="s">
        <v>5268</v>
      </c>
      <c r="B888" s="1" t="s">
        <v>6209</v>
      </c>
      <c r="C888" s="1" t="s">
        <v>4747</v>
      </c>
      <c r="D888" s="1" t="s">
        <v>4747</v>
      </c>
      <c r="E888" s="1" t="s">
        <v>4747</v>
      </c>
      <c r="F888" s="1" t="s">
        <v>6186</v>
      </c>
      <c r="G888" s="1" t="s">
        <v>10280</v>
      </c>
      <c r="H888" s="1" t="s">
        <v>6089</v>
      </c>
      <c r="I888" s="1"/>
      <c r="J888" s="1"/>
      <c r="K888" s="1" t="s">
        <v>6090</v>
      </c>
      <c r="L888" s="1" t="s">
        <v>10380</v>
      </c>
      <c r="M888" s="1" t="s">
        <v>10381</v>
      </c>
      <c r="N888" s="1"/>
      <c r="O888" s="1"/>
      <c r="P888" s="1"/>
      <c r="Q888" s="1"/>
      <c r="R888" s="1"/>
      <c r="S888" s="1"/>
      <c r="T888" s="1"/>
      <c r="U888" s="1"/>
      <c r="V888" s="1"/>
      <c r="W888" s="1"/>
    </row>
    <row r="889" spans="1:23" ht="48" customHeight="1">
      <c r="A889" s="1" t="s">
        <v>5268</v>
      </c>
      <c r="B889" s="1" t="s">
        <v>6212</v>
      </c>
      <c r="C889" s="1" t="s">
        <v>4747</v>
      </c>
      <c r="D889" s="1" t="s">
        <v>4747</v>
      </c>
      <c r="E889" s="1" t="s">
        <v>4747</v>
      </c>
      <c r="F889" s="1" t="s">
        <v>6186</v>
      </c>
      <c r="G889" s="1" t="s">
        <v>10280</v>
      </c>
      <c r="H889" s="1" t="s">
        <v>6089</v>
      </c>
      <c r="I889" s="1"/>
      <c r="J889" s="1"/>
      <c r="K889" s="1" t="s">
        <v>6090</v>
      </c>
      <c r="L889" s="1" t="s">
        <v>10382</v>
      </c>
      <c r="M889" s="1" t="s">
        <v>10383</v>
      </c>
      <c r="N889" s="1"/>
      <c r="O889" s="1"/>
      <c r="P889" s="1"/>
      <c r="Q889" s="1"/>
      <c r="R889" s="1"/>
      <c r="S889" s="1"/>
      <c r="T889" s="1"/>
      <c r="U889" s="1"/>
      <c r="V889" s="1"/>
      <c r="W889" s="1"/>
    </row>
    <row r="890" spans="1:23" ht="48" customHeight="1">
      <c r="A890" s="1" t="s">
        <v>5268</v>
      </c>
      <c r="B890" s="1" t="s">
        <v>6215</v>
      </c>
      <c r="C890" s="1"/>
      <c r="D890" s="1" t="s">
        <v>4747</v>
      </c>
      <c r="E890" s="1"/>
      <c r="F890" s="1" t="s">
        <v>6216</v>
      </c>
      <c r="G890" s="1"/>
      <c r="H890" s="1" t="s">
        <v>6089</v>
      </c>
      <c r="I890" s="1"/>
      <c r="J890" s="1"/>
      <c r="K890" s="1" t="s">
        <v>6090</v>
      </c>
      <c r="L890" s="1"/>
      <c r="M890" s="1" t="s">
        <v>10384</v>
      </c>
      <c r="N890" s="1"/>
      <c r="O890" s="1"/>
      <c r="P890" s="1"/>
      <c r="Q890" s="1"/>
      <c r="R890" s="1"/>
      <c r="S890" s="1"/>
      <c r="T890" s="1"/>
      <c r="U890" s="1"/>
      <c r="V890" s="1"/>
      <c r="W890" s="1"/>
    </row>
    <row r="891" spans="1:23" ht="48" customHeight="1">
      <c r="A891" s="1" t="s">
        <v>5268</v>
      </c>
      <c r="B891" s="1" t="s">
        <v>6218</v>
      </c>
      <c r="C891" s="1" t="s">
        <v>10385</v>
      </c>
      <c r="D891" s="1" t="s">
        <v>10386</v>
      </c>
      <c r="E891" s="1"/>
      <c r="F891" s="1" t="s">
        <v>6110</v>
      </c>
      <c r="G891" s="1" t="s">
        <v>10280</v>
      </c>
      <c r="H891" s="1" t="s">
        <v>6089</v>
      </c>
      <c r="I891" s="1"/>
      <c r="J891" s="1"/>
      <c r="K891" s="1" t="s">
        <v>6090</v>
      </c>
      <c r="L891" s="1" t="s">
        <v>10387</v>
      </c>
      <c r="M891" s="1" t="s">
        <v>10388</v>
      </c>
      <c r="N891" s="1"/>
      <c r="O891" s="1"/>
      <c r="P891" s="1"/>
      <c r="Q891" s="1"/>
      <c r="R891" s="1"/>
      <c r="S891" s="1"/>
      <c r="T891" s="1"/>
      <c r="U891" s="1"/>
      <c r="V891" s="1"/>
      <c r="W891" s="1"/>
    </row>
    <row r="892" spans="1:23" ht="48" customHeight="1">
      <c r="A892" s="1" t="s">
        <v>5268</v>
      </c>
      <c r="B892" s="1" t="s">
        <v>6222</v>
      </c>
      <c r="C892" s="1" t="s">
        <v>10389</v>
      </c>
      <c r="D892" s="1" t="s">
        <v>10390</v>
      </c>
      <c r="E892" s="1"/>
      <c r="F892" s="1" t="s">
        <v>6110</v>
      </c>
      <c r="G892" s="1" t="s">
        <v>10280</v>
      </c>
      <c r="H892" s="1" t="s">
        <v>6089</v>
      </c>
      <c r="I892" s="1"/>
      <c r="J892" s="1"/>
      <c r="K892" s="1" t="s">
        <v>6090</v>
      </c>
      <c r="L892" s="1" t="s">
        <v>10391</v>
      </c>
      <c r="M892" s="1" t="s">
        <v>10392</v>
      </c>
      <c r="N892" s="1"/>
      <c r="O892" s="1"/>
      <c r="P892" s="1"/>
      <c r="Q892" s="1"/>
      <c r="R892" s="1"/>
      <c r="S892" s="1"/>
      <c r="T892" s="1"/>
      <c r="U892" s="1"/>
      <c r="V892" s="1"/>
      <c r="W892" s="1"/>
    </row>
    <row r="893" spans="1:23" ht="48" customHeight="1">
      <c r="A893" s="1" t="s">
        <v>5268</v>
      </c>
      <c r="B893" s="1" t="s">
        <v>6227</v>
      </c>
      <c r="C893" s="1" t="s">
        <v>10393</v>
      </c>
      <c r="D893" s="1" t="s">
        <v>10394</v>
      </c>
      <c r="E893" s="1"/>
      <c r="F893" s="1" t="s">
        <v>6110</v>
      </c>
      <c r="G893" s="1" t="s">
        <v>10280</v>
      </c>
      <c r="H893" s="1" t="s">
        <v>6089</v>
      </c>
      <c r="I893" s="1"/>
      <c r="J893" s="1"/>
      <c r="K893" s="1" t="s">
        <v>6090</v>
      </c>
      <c r="L893" s="1" t="s">
        <v>10395</v>
      </c>
      <c r="M893" s="1" t="s">
        <v>10396</v>
      </c>
      <c r="N893" s="1"/>
      <c r="O893" s="1"/>
      <c r="P893" s="1"/>
      <c r="Q893" s="1"/>
      <c r="R893" s="1"/>
      <c r="S893" s="1"/>
      <c r="T893" s="1"/>
      <c r="U893" s="1"/>
      <c r="V893" s="1"/>
      <c r="W893" s="1"/>
    </row>
    <row r="894" spans="1:23" ht="48" customHeight="1">
      <c r="A894" s="1" t="s">
        <v>5268</v>
      </c>
      <c r="B894" s="1" t="s">
        <v>6232</v>
      </c>
      <c r="C894" s="1" t="s">
        <v>5777</v>
      </c>
      <c r="D894" s="1" t="s">
        <v>9282</v>
      </c>
      <c r="E894" s="1"/>
      <c r="F894" s="1" t="s">
        <v>6110</v>
      </c>
      <c r="G894" s="1" t="s">
        <v>10280</v>
      </c>
      <c r="H894" s="1" t="s">
        <v>6089</v>
      </c>
      <c r="I894" s="1"/>
      <c r="J894" s="1"/>
      <c r="K894" s="1" t="s">
        <v>6090</v>
      </c>
      <c r="L894" s="1" t="s">
        <v>10397</v>
      </c>
      <c r="M894" s="1" t="s">
        <v>10398</v>
      </c>
      <c r="N894" s="1"/>
      <c r="O894" s="1"/>
      <c r="P894" s="1"/>
      <c r="Q894" s="1"/>
      <c r="R894" s="1"/>
      <c r="S894" s="1"/>
      <c r="T894" s="1"/>
      <c r="U894" s="1"/>
      <c r="V894" s="1"/>
      <c r="W894" s="1"/>
    </row>
    <row r="895" spans="1:23" ht="84" customHeight="1">
      <c r="A895" s="1" t="s">
        <v>5268</v>
      </c>
      <c r="B895" s="1" t="s">
        <v>6236</v>
      </c>
      <c r="C895" s="1" t="s">
        <v>10399</v>
      </c>
      <c r="D895" s="1" t="s">
        <v>10400</v>
      </c>
      <c r="E895" s="1" t="s">
        <v>10401</v>
      </c>
      <c r="F895" s="1" t="s">
        <v>6163</v>
      </c>
      <c r="G895" s="1" t="s">
        <v>10280</v>
      </c>
      <c r="H895" s="1" t="s">
        <v>6089</v>
      </c>
      <c r="I895" s="1"/>
      <c r="J895" s="1"/>
      <c r="K895" s="1" t="s">
        <v>6090</v>
      </c>
      <c r="L895" s="1" t="s">
        <v>10402</v>
      </c>
      <c r="M895" s="1" t="s">
        <v>10403</v>
      </c>
      <c r="N895" s="1"/>
      <c r="O895" s="1"/>
      <c r="P895" s="1"/>
      <c r="Q895" s="1"/>
      <c r="R895" s="1" t="s">
        <v>10404</v>
      </c>
      <c r="S895" s="1" t="s">
        <v>10405</v>
      </c>
      <c r="T895" s="1" t="s">
        <v>10285</v>
      </c>
      <c r="U895" s="1" t="s">
        <v>6096</v>
      </c>
      <c r="V895" s="1" t="s">
        <v>6244</v>
      </c>
      <c r="W895" s="1" t="s">
        <v>10286</v>
      </c>
    </row>
    <row r="896" spans="1:23" ht="48" customHeight="1">
      <c r="A896" s="1" t="s">
        <v>5268</v>
      </c>
      <c r="B896" s="1" t="s">
        <v>6245</v>
      </c>
      <c r="C896" s="1" t="s">
        <v>10406</v>
      </c>
      <c r="D896" s="1"/>
      <c r="E896" s="1"/>
      <c r="F896" s="1" t="s">
        <v>6216</v>
      </c>
      <c r="G896" s="1" t="s">
        <v>10280</v>
      </c>
      <c r="H896" s="1"/>
      <c r="I896" s="1"/>
      <c r="J896" s="1"/>
      <c r="K896" s="1" t="s">
        <v>6090</v>
      </c>
      <c r="L896" s="1" t="s">
        <v>10407</v>
      </c>
      <c r="M896" s="1"/>
      <c r="N896" s="1"/>
      <c r="O896" s="1"/>
      <c r="P896" s="1"/>
      <c r="Q896" s="1"/>
      <c r="R896" s="1"/>
      <c r="S896" s="1"/>
      <c r="T896" s="1"/>
      <c r="U896" s="1"/>
      <c r="V896" s="1"/>
      <c r="W896" s="1"/>
    </row>
    <row r="897" spans="1:23" ht="48" customHeight="1">
      <c r="A897" s="1" t="s">
        <v>5268</v>
      </c>
      <c r="B897" s="1" t="s">
        <v>6248</v>
      </c>
      <c r="C897" s="1" t="s">
        <v>10408</v>
      </c>
      <c r="D897" s="1"/>
      <c r="E897" s="1"/>
      <c r="F897" s="1" t="s">
        <v>6216</v>
      </c>
      <c r="G897" s="1" t="s">
        <v>10280</v>
      </c>
      <c r="H897" s="1"/>
      <c r="I897" s="1"/>
      <c r="J897" s="1"/>
      <c r="K897" s="1" t="s">
        <v>6090</v>
      </c>
      <c r="L897" s="1" t="s">
        <v>10409</v>
      </c>
      <c r="M897" s="1"/>
      <c r="N897" s="1"/>
      <c r="O897" s="1"/>
      <c r="P897" s="1"/>
      <c r="Q897" s="1"/>
      <c r="R897" s="1"/>
      <c r="S897" s="1"/>
      <c r="T897" s="1"/>
      <c r="U897" s="1"/>
      <c r="V897" s="1"/>
      <c r="W897" s="1"/>
    </row>
    <row r="898" spans="1:23" ht="48" customHeight="1">
      <c r="A898" s="1" t="s">
        <v>5306</v>
      </c>
      <c r="B898" s="1" t="s">
        <v>6083</v>
      </c>
      <c r="C898" s="1" t="s">
        <v>10410</v>
      </c>
      <c r="D898" s="1" t="s">
        <v>10411</v>
      </c>
      <c r="E898" s="1" t="s">
        <v>7186</v>
      </c>
      <c r="F898" s="1" t="s">
        <v>6087</v>
      </c>
      <c r="G898" s="1" t="s">
        <v>10412</v>
      </c>
      <c r="H898" s="1" t="s">
        <v>6089</v>
      </c>
      <c r="I898" s="1"/>
      <c r="J898" s="1"/>
      <c r="K898" s="1" t="s">
        <v>6090</v>
      </c>
      <c r="L898" s="1" t="s">
        <v>10413</v>
      </c>
      <c r="M898" s="1" t="s">
        <v>10414</v>
      </c>
      <c r="N898" s="1"/>
      <c r="O898" s="1"/>
      <c r="P898" s="1"/>
      <c r="Q898" s="1"/>
      <c r="R898" s="1" t="s">
        <v>10415</v>
      </c>
      <c r="S898" s="1" t="s">
        <v>10416</v>
      </c>
      <c r="T898" s="1" t="s">
        <v>10417</v>
      </c>
      <c r="U898" s="1" t="s">
        <v>6096</v>
      </c>
      <c r="V898" s="1" t="s">
        <v>6097</v>
      </c>
      <c r="W898" s="1" t="s">
        <v>10418</v>
      </c>
    </row>
    <row r="899" spans="1:23" ht="48" customHeight="1">
      <c r="A899" s="1" t="s">
        <v>5306</v>
      </c>
      <c r="B899" s="1" t="s">
        <v>6099</v>
      </c>
      <c r="C899" s="1" t="s">
        <v>10419</v>
      </c>
      <c r="D899" s="1" t="s">
        <v>6102</v>
      </c>
      <c r="E899" s="1" t="s">
        <v>6102</v>
      </c>
      <c r="F899" s="1" t="s">
        <v>6087</v>
      </c>
      <c r="G899" s="1" t="s">
        <v>10412</v>
      </c>
      <c r="H899" s="1" t="s">
        <v>6089</v>
      </c>
      <c r="I899" s="1"/>
      <c r="J899" s="1"/>
      <c r="K899" s="1" t="s">
        <v>6090</v>
      </c>
      <c r="L899" s="1" t="s">
        <v>10420</v>
      </c>
      <c r="M899" s="1" t="s">
        <v>10421</v>
      </c>
      <c r="N899" s="1"/>
      <c r="O899" s="1"/>
      <c r="P899" s="1"/>
      <c r="Q899" s="1"/>
      <c r="R899" s="1" t="s">
        <v>10422</v>
      </c>
      <c r="S899" s="1" t="s">
        <v>10423</v>
      </c>
      <c r="T899" s="1" t="s">
        <v>10417</v>
      </c>
      <c r="U899" s="1" t="s">
        <v>6096</v>
      </c>
      <c r="V899" s="1" t="s">
        <v>6097</v>
      </c>
      <c r="W899" s="1" t="s">
        <v>10418</v>
      </c>
    </row>
    <row r="900" spans="1:23" ht="48" customHeight="1">
      <c r="A900" s="1" t="s">
        <v>5306</v>
      </c>
      <c r="B900" s="1" t="s">
        <v>6107</v>
      </c>
      <c r="C900" s="1" t="s">
        <v>10424</v>
      </c>
      <c r="D900" s="1" t="s">
        <v>10425</v>
      </c>
      <c r="E900" s="1"/>
      <c r="F900" s="1" t="s">
        <v>6110</v>
      </c>
      <c r="G900" s="1" t="s">
        <v>10412</v>
      </c>
      <c r="H900" s="1" t="s">
        <v>6089</v>
      </c>
      <c r="I900" s="1"/>
      <c r="J900" s="1"/>
      <c r="K900" s="1" t="s">
        <v>6090</v>
      </c>
      <c r="L900" s="1" t="s">
        <v>10426</v>
      </c>
      <c r="M900" s="1" t="s">
        <v>10427</v>
      </c>
      <c r="N900" s="1"/>
      <c r="O900" s="1"/>
      <c r="P900" s="1"/>
      <c r="Q900" s="1"/>
      <c r="R900" s="1"/>
      <c r="S900" s="1"/>
      <c r="T900" s="1"/>
      <c r="U900" s="1"/>
      <c r="V900" s="1"/>
      <c r="W900" s="1"/>
    </row>
    <row r="901" spans="1:23" ht="48" customHeight="1">
      <c r="A901" s="1" t="s">
        <v>5306</v>
      </c>
      <c r="B901" s="1" t="s">
        <v>6113</v>
      </c>
      <c r="C901" s="1" t="s">
        <v>10428</v>
      </c>
      <c r="D901" s="1" t="s">
        <v>10429</v>
      </c>
      <c r="E901" s="1"/>
      <c r="F901" s="1" t="s">
        <v>6110</v>
      </c>
      <c r="G901" s="1" t="s">
        <v>10412</v>
      </c>
      <c r="H901" s="1" t="s">
        <v>6089</v>
      </c>
      <c r="I901" s="1"/>
      <c r="J901" s="1"/>
      <c r="K901" s="1" t="s">
        <v>6090</v>
      </c>
      <c r="L901" s="1" t="s">
        <v>10430</v>
      </c>
      <c r="M901" s="1" t="s">
        <v>10431</v>
      </c>
      <c r="N901" s="1"/>
      <c r="O901" s="1"/>
      <c r="P901" s="1"/>
      <c r="Q901" s="1"/>
      <c r="R901" s="1"/>
      <c r="S901" s="1"/>
      <c r="T901" s="1"/>
      <c r="U901" s="1"/>
      <c r="V901" s="1"/>
      <c r="W901" s="1"/>
    </row>
    <row r="902" spans="1:23" ht="48" customHeight="1">
      <c r="A902" s="1" t="s">
        <v>5306</v>
      </c>
      <c r="B902" s="1" t="s">
        <v>6118</v>
      </c>
      <c r="C902" s="1" t="s">
        <v>10432</v>
      </c>
      <c r="D902" s="1" t="s">
        <v>10433</v>
      </c>
      <c r="E902" s="1" t="s">
        <v>10434</v>
      </c>
      <c r="F902" s="1" t="s">
        <v>6087</v>
      </c>
      <c r="G902" s="1" t="s">
        <v>10412</v>
      </c>
      <c r="H902" s="1" t="s">
        <v>6089</v>
      </c>
      <c r="I902" s="1"/>
      <c r="J902" s="1"/>
      <c r="K902" s="1" t="s">
        <v>6090</v>
      </c>
      <c r="L902" s="1" t="s">
        <v>10435</v>
      </c>
      <c r="M902" s="1" t="s">
        <v>10436</v>
      </c>
      <c r="N902" s="1"/>
      <c r="O902" s="1"/>
      <c r="P902" s="1"/>
      <c r="Q902" s="1"/>
      <c r="R902" s="1" t="s">
        <v>10437</v>
      </c>
      <c r="S902" s="1" t="s">
        <v>10438</v>
      </c>
      <c r="T902" s="1" t="s">
        <v>10417</v>
      </c>
      <c r="U902" s="1" t="s">
        <v>6096</v>
      </c>
      <c r="V902" s="1" t="s">
        <v>6097</v>
      </c>
      <c r="W902" s="1" t="s">
        <v>10418</v>
      </c>
    </row>
    <row r="903" spans="1:23" ht="48" customHeight="1">
      <c r="A903" s="1" t="s">
        <v>5306</v>
      </c>
      <c r="B903" s="1" t="s">
        <v>6126</v>
      </c>
      <c r="C903" s="1" t="s">
        <v>10439</v>
      </c>
      <c r="D903" s="1" t="s">
        <v>10440</v>
      </c>
      <c r="E903" s="1" t="s">
        <v>10441</v>
      </c>
      <c r="F903" s="1" t="s">
        <v>6087</v>
      </c>
      <c r="G903" s="1" t="s">
        <v>10412</v>
      </c>
      <c r="H903" s="1" t="s">
        <v>6089</v>
      </c>
      <c r="I903" s="1"/>
      <c r="J903" s="1"/>
      <c r="K903" s="1" t="s">
        <v>6090</v>
      </c>
      <c r="L903" s="1" t="s">
        <v>10442</v>
      </c>
      <c r="M903" s="1" t="s">
        <v>10443</v>
      </c>
      <c r="N903" s="1"/>
      <c r="O903" s="1"/>
      <c r="P903" s="1"/>
      <c r="Q903" s="1"/>
      <c r="R903" s="1" t="s">
        <v>10444</v>
      </c>
      <c r="S903" s="1" t="s">
        <v>10445</v>
      </c>
      <c r="T903" s="1" t="s">
        <v>10417</v>
      </c>
      <c r="U903" s="1" t="s">
        <v>6096</v>
      </c>
      <c r="V903" s="1" t="s">
        <v>6097</v>
      </c>
      <c r="W903" s="1" t="s">
        <v>10418</v>
      </c>
    </row>
    <row r="904" spans="1:23" ht="72" customHeight="1">
      <c r="A904" s="1" t="s">
        <v>5306</v>
      </c>
      <c r="B904" s="1" t="s">
        <v>6134</v>
      </c>
      <c r="C904" s="1" t="s">
        <v>10446</v>
      </c>
      <c r="D904" s="1" t="s">
        <v>7222</v>
      </c>
      <c r="E904" s="1" t="s">
        <v>10447</v>
      </c>
      <c r="F904" s="1" t="s">
        <v>6138</v>
      </c>
      <c r="G904" s="1" t="s">
        <v>10412</v>
      </c>
      <c r="H904" s="1" t="s">
        <v>6089</v>
      </c>
      <c r="I904" s="1" t="s">
        <v>5325</v>
      </c>
      <c r="J904" s="1" t="s">
        <v>5324</v>
      </c>
      <c r="K904" s="1" t="s">
        <v>6289</v>
      </c>
      <c r="L904" s="1" t="s">
        <v>10448</v>
      </c>
      <c r="M904" s="1" t="s">
        <v>10449</v>
      </c>
      <c r="N904" s="1" t="s">
        <v>10450</v>
      </c>
      <c r="O904" s="1"/>
      <c r="P904" s="1"/>
      <c r="Q904" s="1"/>
      <c r="R904" s="1" t="s">
        <v>10451</v>
      </c>
      <c r="S904" s="1" t="s">
        <v>10452</v>
      </c>
      <c r="T904" s="1" t="s">
        <v>10417</v>
      </c>
      <c r="U904" s="1" t="s">
        <v>6096</v>
      </c>
      <c r="V904" s="1" t="s">
        <v>6143</v>
      </c>
      <c r="W904" s="1" t="s">
        <v>10418</v>
      </c>
    </row>
    <row r="905" spans="1:23" ht="48" customHeight="1">
      <c r="A905" s="1" t="s">
        <v>5306</v>
      </c>
      <c r="B905" s="1" t="s">
        <v>6144</v>
      </c>
      <c r="C905" s="1" t="s">
        <v>10453</v>
      </c>
      <c r="D905" s="1" t="s">
        <v>4747</v>
      </c>
      <c r="E905" s="1" t="s">
        <v>10454</v>
      </c>
      <c r="F905" s="1" t="s">
        <v>6138</v>
      </c>
      <c r="G905" s="1" t="s">
        <v>10412</v>
      </c>
      <c r="H905" s="1" t="s">
        <v>6089</v>
      </c>
      <c r="I905" s="1"/>
      <c r="J905" s="1"/>
      <c r="K905" s="1" t="s">
        <v>6090</v>
      </c>
      <c r="L905" s="1" t="s">
        <v>10455</v>
      </c>
      <c r="M905" s="1" t="s">
        <v>10456</v>
      </c>
      <c r="N905" s="1"/>
      <c r="O905" s="1"/>
      <c r="P905" s="1"/>
      <c r="Q905" s="1"/>
      <c r="R905" s="1" t="s">
        <v>10451</v>
      </c>
      <c r="S905" s="1" t="s">
        <v>10452</v>
      </c>
      <c r="T905" s="1" t="s">
        <v>10417</v>
      </c>
      <c r="U905" s="1" t="s">
        <v>6096</v>
      </c>
      <c r="V905" s="1" t="s">
        <v>6143</v>
      </c>
      <c r="W905" s="1" t="s">
        <v>10418</v>
      </c>
    </row>
    <row r="906" spans="1:23" ht="48" customHeight="1">
      <c r="A906" s="1" t="s">
        <v>5306</v>
      </c>
      <c r="B906" s="1" t="s">
        <v>6149</v>
      </c>
      <c r="C906" s="1" t="s">
        <v>5784</v>
      </c>
      <c r="D906" s="1" t="s">
        <v>6818</v>
      </c>
      <c r="E906" s="1" t="s">
        <v>10457</v>
      </c>
      <c r="F906" s="1" t="s">
        <v>6138</v>
      </c>
      <c r="G906" s="1" t="s">
        <v>10412</v>
      </c>
      <c r="H906" s="1" t="s">
        <v>6089</v>
      </c>
      <c r="I906" s="1"/>
      <c r="J906" s="1"/>
      <c r="K906" s="1" t="s">
        <v>6090</v>
      </c>
      <c r="L906" s="1" t="s">
        <v>10458</v>
      </c>
      <c r="M906" s="1" t="s">
        <v>10459</v>
      </c>
      <c r="N906" s="1"/>
      <c r="O906" s="1"/>
      <c r="P906" s="1"/>
      <c r="Q906" s="1"/>
      <c r="R906" s="1" t="s">
        <v>10451</v>
      </c>
      <c r="S906" s="1" t="s">
        <v>10452</v>
      </c>
      <c r="T906" s="1" t="s">
        <v>10417</v>
      </c>
      <c r="U906" s="1" t="s">
        <v>6096</v>
      </c>
      <c r="V906" s="1" t="s">
        <v>6143</v>
      </c>
      <c r="W906" s="1" t="s">
        <v>10418</v>
      </c>
    </row>
    <row r="907" spans="1:23" ht="48" customHeight="1">
      <c r="A907" s="1" t="s">
        <v>5306</v>
      </c>
      <c r="B907" s="1" t="s">
        <v>6154</v>
      </c>
      <c r="C907" s="1" t="s">
        <v>10460</v>
      </c>
      <c r="D907" s="1" t="s">
        <v>6308</v>
      </c>
      <c r="E907" s="1" t="s">
        <v>10461</v>
      </c>
      <c r="F907" s="1" t="s">
        <v>6138</v>
      </c>
      <c r="G907" s="1" t="s">
        <v>10412</v>
      </c>
      <c r="H907" s="1" t="s">
        <v>6089</v>
      </c>
      <c r="I907" s="1"/>
      <c r="J907" s="1"/>
      <c r="K907" s="1" t="s">
        <v>6090</v>
      </c>
      <c r="L907" s="1" t="s">
        <v>10462</v>
      </c>
      <c r="M907" s="1" t="s">
        <v>10463</v>
      </c>
      <c r="N907" s="1"/>
      <c r="O907" s="1"/>
      <c r="P907" s="1"/>
      <c r="Q907" s="1"/>
      <c r="R907" s="1" t="s">
        <v>10451</v>
      </c>
      <c r="S907" s="1" t="s">
        <v>10452</v>
      </c>
      <c r="T907" s="1" t="s">
        <v>10417</v>
      </c>
      <c r="U907" s="1" t="s">
        <v>6096</v>
      </c>
      <c r="V907" s="1" t="s">
        <v>6143</v>
      </c>
      <c r="W907" s="1" t="s">
        <v>10418</v>
      </c>
    </row>
    <row r="908" spans="1:23" ht="48" customHeight="1">
      <c r="A908" s="1" t="s">
        <v>5306</v>
      </c>
      <c r="B908" s="1" t="s">
        <v>6159</v>
      </c>
      <c r="C908" s="1" t="s">
        <v>10464</v>
      </c>
      <c r="D908" s="1" t="s">
        <v>10465</v>
      </c>
      <c r="E908" s="1" t="s">
        <v>10466</v>
      </c>
      <c r="F908" s="1" t="s">
        <v>6163</v>
      </c>
      <c r="G908" s="1" t="s">
        <v>10412</v>
      </c>
      <c r="H908" s="1" t="s">
        <v>6089</v>
      </c>
      <c r="I908" s="1"/>
      <c r="J908" s="1"/>
      <c r="K908" s="1" t="s">
        <v>6090</v>
      </c>
      <c r="L908" s="1" t="s">
        <v>10467</v>
      </c>
      <c r="M908" s="1" t="s">
        <v>10468</v>
      </c>
      <c r="N908" s="1"/>
      <c r="O908" s="1"/>
      <c r="P908" s="1"/>
      <c r="Q908" s="1"/>
      <c r="R908" s="1" t="s">
        <v>10469</v>
      </c>
      <c r="S908" s="1" t="s">
        <v>9262</v>
      </c>
      <c r="T908" s="1" t="s">
        <v>10417</v>
      </c>
      <c r="U908" s="1" t="s">
        <v>6096</v>
      </c>
      <c r="V908" s="1" t="s">
        <v>6168</v>
      </c>
      <c r="W908" s="1" t="s">
        <v>10418</v>
      </c>
    </row>
    <row r="909" spans="1:23" ht="48" customHeight="1">
      <c r="A909" s="1" t="s">
        <v>5306</v>
      </c>
      <c r="B909" s="1" t="s">
        <v>6169</v>
      </c>
      <c r="C909" s="1" t="s">
        <v>10470</v>
      </c>
      <c r="D909" s="1" t="s">
        <v>10471</v>
      </c>
      <c r="E909" s="1" t="s">
        <v>10472</v>
      </c>
      <c r="F909" s="1" t="s">
        <v>6163</v>
      </c>
      <c r="G909" s="1" t="s">
        <v>10412</v>
      </c>
      <c r="H909" s="1" t="s">
        <v>6089</v>
      </c>
      <c r="I909" s="1"/>
      <c r="J909" s="1"/>
      <c r="K909" s="1" t="s">
        <v>6090</v>
      </c>
      <c r="L909" s="1" t="s">
        <v>10473</v>
      </c>
      <c r="M909" s="1" t="s">
        <v>10474</v>
      </c>
      <c r="N909" s="1"/>
      <c r="O909" s="1"/>
      <c r="P909" s="1"/>
      <c r="Q909" s="1"/>
      <c r="R909" s="1" t="s">
        <v>10475</v>
      </c>
      <c r="S909" s="1" t="s">
        <v>9262</v>
      </c>
      <c r="T909" s="1" t="s">
        <v>10417</v>
      </c>
      <c r="U909" s="1" t="s">
        <v>6096</v>
      </c>
      <c r="V909" s="1" t="s">
        <v>6168</v>
      </c>
      <c r="W909" s="1" t="s">
        <v>10418</v>
      </c>
    </row>
    <row r="910" spans="1:23" ht="96" customHeight="1">
      <c r="A910" s="1" t="s">
        <v>5306</v>
      </c>
      <c r="B910" s="1" t="s">
        <v>6176</v>
      </c>
      <c r="C910" s="1" t="s">
        <v>10476</v>
      </c>
      <c r="D910" s="1" t="s">
        <v>10477</v>
      </c>
      <c r="E910" s="1" t="s">
        <v>10478</v>
      </c>
      <c r="F910" s="1" t="s">
        <v>6138</v>
      </c>
      <c r="G910" s="1" t="s">
        <v>10412</v>
      </c>
      <c r="H910" s="1" t="s">
        <v>6089</v>
      </c>
      <c r="I910" s="1"/>
      <c r="J910" s="1"/>
      <c r="K910" s="1" t="s">
        <v>6090</v>
      </c>
      <c r="L910" s="1" t="s">
        <v>10479</v>
      </c>
      <c r="M910" s="1" t="s">
        <v>10480</v>
      </c>
      <c r="N910" s="1"/>
      <c r="O910" s="1"/>
      <c r="P910" s="1"/>
      <c r="Q910" s="1"/>
      <c r="R910" s="1" t="s">
        <v>10481</v>
      </c>
      <c r="S910" s="1" t="s">
        <v>10482</v>
      </c>
      <c r="T910" s="1" t="s">
        <v>10417</v>
      </c>
      <c r="U910" s="1" t="s">
        <v>6096</v>
      </c>
      <c r="V910" s="1" t="s">
        <v>6184</v>
      </c>
      <c r="W910" s="1" t="s">
        <v>10418</v>
      </c>
    </row>
    <row r="911" spans="1:23" ht="96" customHeight="1">
      <c r="A911" s="1" t="s">
        <v>5306</v>
      </c>
      <c r="B911" s="1" t="s">
        <v>6185</v>
      </c>
      <c r="C911" s="1" t="s">
        <v>10483</v>
      </c>
      <c r="D911" s="1" t="s">
        <v>10484</v>
      </c>
      <c r="E911" s="1" t="s">
        <v>10485</v>
      </c>
      <c r="F911" s="1" t="s">
        <v>6138</v>
      </c>
      <c r="G911" s="1" t="s">
        <v>10412</v>
      </c>
      <c r="H911" s="1" t="s">
        <v>6089</v>
      </c>
      <c r="I911" s="1"/>
      <c r="J911" s="1"/>
      <c r="K911" s="1" t="s">
        <v>6090</v>
      </c>
      <c r="L911" s="1" t="s">
        <v>10486</v>
      </c>
      <c r="M911" s="1" t="s">
        <v>10487</v>
      </c>
      <c r="N911" s="1"/>
      <c r="O911" s="1"/>
      <c r="P911" s="1"/>
      <c r="Q911" s="1"/>
      <c r="R911" s="1" t="s">
        <v>10488</v>
      </c>
      <c r="S911" s="1" t="s">
        <v>10489</v>
      </c>
      <c r="T911" s="1" t="s">
        <v>10417</v>
      </c>
      <c r="U911" s="1" t="s">
        <v>6096</v>
      </c>
      <c r="V911" s="1" t="s">
        <v>6184</v>
      </c>
      <c r="W911" s="1" t="s">
        <v>10418</v>
      </c>
    </row>
    <row r="912" spans="1:23" ht="96" customHeight="1">
      <c r="A912" s="1" t="s">
        <v>5306</v>
      </c>
      <c r="B912" s="1" t="s">
        <v>6189</v>
      </c>
      <c r="C912" s="1" t="s">
        <v>10490</v>
      </c>
      <c r="D912" s="1" t="s">
        <v>4747</v>
      </c>
      <c r="E912" s="1" t="s">
        <v>10491</v>
      </c>
      <c r="F912" s="1" t="s">
        <v>6138</v>
      </c>
      <c r="G912" s="1" t="s">
        <v>10412</v>
      </c>
      <c r="H912" s="1" t="s">
        <v>6089</v>
      </c>
      <c r="I912" s="1"/>
      <c r="J912" s="1"/>
      <c r="K912" s="1" t="s">
        <v>6090</v>
      </c>
      <c r="L912" s="1" t="s">
        <v>10492</v>
      </c>
      <c r="M912" s="1" t="s">
        <v>10493</v>
      </c>
      <c r="N912" s="1"/>
      <c r="O912" s="1"/>
      <c r="P912" s="1"/>
      <c r="Q912" s="1"/>
      <c r="R912" s="1" t="s">
        <v>10494</v>
      </c>
      <c r="S912" s="1" t="s">
        <v>10495</v>
      </c>
      <c r="T912" s="1" t="s">
        <v>10417</v>
      </c>
      <c r="U912" s="1" t="s">
        <v>6096</v>
      </c>
      <c r="V912" s="1" t="s">
        <v>6184</v>
      </c>
      <c r="W912" s="1" t="s">
        <v>10418</v>
      </c>
    </row>
    <row r="913" spans="1:23" ht="48" customHeight="1">
      <c r="A913" s="1" t="s">
        <v>5306</v>
      </c>
      <c r="B913" s="1" t="s">
        <v>6196</v>
      </c>
      <c r="C913" s="1" t="s">
        <v>10496</v>
      </c>
      <c r="D913" s="1" t="s">
        <v>10497</v>
      </c>
      <c r="E913" s="1" t="s">
        <v>10498</v>
      </c>
      <c r="F913" s="1" t="s">
        <v>6163</v>
      </c>
      <c r="G913" s="1" t="s">
        <v>10412</v>
      </c>
      <c r="H913" s="1" t="s">
        <v>6089</v>
      </c>
      <c r="I913" s="1"/>
      <c r="J913" s="1"/>
      <c r="K913" s="1" t="s">
        <v>6090</v>
      </c>
      <c r="L913" s="1" t="s">
        <v>10499</v>
      </c>
      <c r="M913" s="1" t="s">
        <v>10500</v>
      </c>
      <c r="N913" s="1"/>
      <c r="O913" s="1"/>
      <c r="P913" s="1"/>
      <c r="Q913" s="1"/>
      <c r="R913" s="1" t="s">
        <v>10501</v>
      </c>
      <c r="S913" s="1" t="s">
        <v>10502</v>
      </c>
      <c r="T913" s="1" t="s">
        <v>10417</v>
      </c>
      <c r="U913" s="1" t="s">
        <v>6096</v>
      </c>
      <c r="V913" s="1" t="s">
        <v>6168</v>
      </c>
      <c r="W913" s="1" t="s">
        <v>10418</v>
      </c>
    </row>
    <row r="914" spans="1:23" ht="48" customHeight="1">
      <c r="A914" s="1" t="s">
        <v>5306</v>
      </c>
      <c r="B914" s="1" t="s">
        <v>6200</v>
      </c>
      <c r="C914" s="1" t="s">
        <v>10503</v>
      </c>
      <c r="D914" s="1" t="s">
        <v>7706</v>
      </c>
      <c r="E914" s="1" t="s">
        <v>10504</v>
      </c>
      <c r="F914" s="1" t="s">
        <v>6349</v>
      </c>
      <c r="G914" s="1" t="s">
        <v>10412</v>
      </c>
      <c r="H914" s="1" t="s">
        <v>6089</v>
      </c>
      <c r="I914" s="1"/>
      <c r="J914" s="1"/>
      <c r="K914" s="1" t="s">
        <v>6090</v>
      </c>
      <c r="L914" s="1" t="s">
        <v>10505</v>
      </c>
      <c r="M914" s="1" t="s">
        <v>10506</v>
      </c>
      <c r="N914" s="1"/>
      <c r="O914" s="1"/>
      <c r="P914" s="1"/>
      <c r="Q914" s="1"/>
      <c r="R914" s="1" t="s">
        <v>10507</v>
      </c>
      <c r="S914" s="1" t="s">
        <v>10508</v>
      </c>
      <c r="T914" s="1" t="s">
        <v>10417</v>
      </c>
      <c r="U914" s="1" t="s">
        <v>6096</v>
      </c>
      <c r="V914" s="1" t="s">
        <v>10509</v>
      </c>
      <c r="W914" s="1" t="s">
        <v>10418</v>
      </c>
    </row>
    <row r="915" spans="1:23" ht="96" customHeight="1">
      <c r="A915" s="1" t="s">
        <v>5306</v>
      </c>
      <c r="B915" s="1" t="s">
        <v>5583</v>
      </c>
      <c r="C915" s="1" t="s">
        <v>10510</v>
      </c>
      <c r="D915" s="1" t="s">
        <v>4747</v>
      </c>
      <c r="E915" s="1" t="s">
        <v>10511</v>
      </c>
      <c r="F915" s="1" t="s">
        <v>6138</v>
      </c>
      <c r="G915" s="1" t="s">
        <v>10412</v>
      </c>
      <c r="H915" s="1" t="s">
        <v>6089</v>
      </c>
      <c r="I915" s="1"/>
      <c r="J915" s="1"/>
      <c r="K915" s="1" t="s">
        <v>6090</v>
      </c>
      <c r="L915" s="1" t="s">
        <v>10512</v>
      </c>
      <c r="M915" s="1" t="s">
        <v>10513</v>
      </c>
      <c r="N915" s="1"/>
      <c r="O915" s="1"/>
      <c r="P915" s="1"/>
      <c r="Q915" s="1"/>
      <c r="R915" s="1" t="s">
        <v>10514</v>
      </c>
      <c r="S915" s="1" t="s">
        <v>10515</v>
      </c>
      <c r="T915" s="1" t="s">
        <v>10417</v>
      </c>
      <c r="U915" s="1" t="s">
        <v>6096</v>
      </c>
      <c r="V915" s="1" t="s">
        <v>6184</v>
      </c>
      <c r="W915" s="1" t="s">
        <v>10418</v>
      </c>
    </row>
    <row r="916" spans="1:23" ht="48" customHeight="1">
      <c r="A916" s="1" t="s">
        <v>5306</v>
      </c>
      <c r="B916" s="1" t="s">
        <v>6209</v>
      </c>
      <c r="C916" s="1" t="s">
        <v>4747</v>
      </c>
      <c r="D916" s="1" t="s">
        <v>4747</v>
      </c>
      <c r="E916" s="1" t="s">
        <v>4747</v>
      </c>
      <c r="F916" s="1" t="s">
        <v>6186</v>
      </c>
      <c r="G916" s="1" t="s">
        <v>10412</v>
      </c>
      <c r="H916" s="1" t="s">
        <v>6089</v>
      </c>
      <c r="I916" s="1"/>
      <c r="J916" s="1"/>
      <c r="K916" s="1" t="s">
        <v>6090</v>
      </c>
      <c r="L916" s="1" t="s">
        <v>10516</v>
      </c>
      <c r="M916" s="1" t="s">
        <v>10517</v>
      </c>
      <c r="N916" s="1"/>
      <c r="O916" s="1"/>
      <c r="P916" s="1"/>
      <c r="Q916" s="1"/>
      <c r="R916" s="1"/>
      <c r="S916" s="1"/>
      <c r="T916" s="1"/>
      <c r="U916" s="1"/>
      <c r="V916" s="1"/>
      <c r="W916" s="1"/>
    </row>
    <row r="917" spans="1:23" ht="60" customHeight="1">
      <c r="A917" s="1" t="s">
        <v>5306</v>
      </c>
      <c r="B917" s="1" t="s">
        <v>6212</v>
      </c>
      <c r="C917" s="1" t="s">
        <v>10518</v>
      </c>
      <c r="D917" s="1" t="s">
        <v>10519</v>
      </c>
      <c r="E917" s="1" t="s">
        <v>10520</v>
      </c>
      <c r="F917" s="1" t="s">
        <v>6349</v>
      </c>
      <c r="G917" s="1" t="s">
        <v>10412</v>
      </c>
      <c r="H917" s="1" t="s">
        <v>6089</v>
      </c>
      <c r="I917" s="1"/>
      <c r="J917" s="1"/>
      <c r="K917" s="1" t="s">
        <v>6090</v>
      </c>
      <c r="L917" s="1" t="s">
        <v>10521</v>
      </c>
      <c r="M917" s="1" t="s">
        <v>10522</v>
      </c>
      <c r="N917" s="1"/>
      <c r="O917" s="1"/>
      <c r="P917" s="1"/>
      <c r="Q917" s="1"/>
      <c r="R917" s="1" t="s">
        <v>10523</v>
      </c>
      <c r="S917" s="1" t="s">
        <v>10524</v>
      </c>
      <c r="T917" s="1" t="s">
        <v>10417</v>
      </c>
      <c r="U917" s="1" t="s">
        <v>6096</v>
      </c>
      <c r="V917" s="1" t="s">
        <v>10525</v>
      </c>
      <c r="W917" s="1" t="s">
        <v>10418</v>
      </c>
    </row>
    <row r="918" spans="1:23" ht="48" customHeight="1">
      <c r="A918" s="1" t="s">
        <v>5306</v>
      </c>
      <c r="B918" s="1" t="s">
        <v>6215</v>
      </c>
      <c r="C918" s="1"/>
      <c r="D918" s="1" t="s">
        <v>4747</v>
      </c>
      <c r="E918" s="1"/>
      <c r="F918" s="1" t="s">
        <v>6216</v>
      </c>
      <c r="G918" s="1"/>
      <c r="H918" s="1" t="s">
        <v>6089</v>
      </c>
      <c r="I918" s="1"/>
      <c r="J918" s="1"/>
      <c r="K918" s="1" t="s">
        <v>6090</v>
      </c>
      <c r="L918" s="1"/>
      <c r="M918" s="1" t="s">
        <v>10526</v>
      </c>
      <c r="N918" s="1"/>
      <c r="O918" s="1"/>
      <c r="P918" s="1"/>
      <c r="Q918" s="1"/>
      <c r="R918" s="1"/>
      <c r="S918" s="1"/>
      <c r="T918" s="1"/>
      <c r="U918" s="1"/>
      <c r="V918" s="1"/>
      <c r="W918" s="1"/>
    </row>
    <row r="919" spans="1:23" ht="48" customHeight="1">
      <c r="A919" s="1" t="s">
        <v>5306</v>
      </c>
      <c r="B919" s="1" t="s">
        <v>6218</v>
      </c>
      <c r="C919" s="1" t="s">
        <v>10527</v>
      </c>
      <c r="D919" s="1" t="s">
        <v>10528</v>
      </c>
      <c r="E919" s="1" t="s">
        <v>10529</v>
      </c>
      <c r="F919" s="1" t="s">
        <v>6163</v>
      </c>
      <c r="G919" s="1" t="s">
        <v>10412</v>
      </c>
      <c r="H919" s="1" t="s">
        <v>6089</v>
      </c>
      <c r="I919" s="1"/>
      <c r="J919" s="1"/>
      <c r="K919" s="1" t="s">
        <v>6090</v>
      </c>
      <c r="L919" s="1" t="s">
        <v>10530</v>
      </c>
      <c r="M919" s="1" t="s">
        <v>10531</v>
      </c>
      <c r="N919" s="1"/>
      <c r="O919" s="1"/>
      <c r="P919" s="1"/>
      <c r="Q919" s="1"/>
      <c r="R919" s="1" t="s">
        <v>10532</v>
      </c>
      <c r="S919" s="1" t="s">
        <v>10533</v>
      </c>
      <c r="T919" s="1" t="s">
        <v>10417</v>
      </c>
      <c r="U919" s="1" t="s">
        <v>6096</v>
      </c>
      <c r="V919" s="1" t="s">
        <v>6168</v>
      </c>
      <c r="W919" s="1" t="s">
        <v>10418</v>
      </c>
    </row>
    <row r="920" spans="1:23" ht="48" customHeight="1">
      <c r="A920" s="1" t="s">
        <v>5306</v>
      </c>
      <c r="B920" s="1" t="s">
        <v>6222</v>
      </c>
      <c r="C920" s="1" t="s">
        <v>10534</v>
      </c>
      <c r="D920" s="1" t="s">
        <v>4747</v>
      </c>
      <c r="E920" s="1"/>
      <c r="F920" s="1" t="s">
        <v>6110</v>
      </c>
      <c r="G920" s="1" t="s">
        <v>10412</v>
      </c>
      <c r="H920" s="1" t="s">
        <v>6089</v>
      </c>
      <c r="I920" s="1"/>
      <c r="J920" s="1"/>
      <c r="K920" s="1" t="s">
        <v>6090</v>
      </c>
      <c r="L920" s="1" t="s">
        <v>10535</v>
      </c>
      <c r="M920" s="1" t="s">
        <v>10536</v>
      </c>
      <c r="N920" s="1"/>
      <c r="O920" s="1"/>
      <c r="P920" s="1"/>
      <c r="Q920" s="1"/>
      <c r="R920" s="1"/>
      <c r="S920" s="1"/>
      <c r="T920" s="1"/>
      <c r="U920" s="1"/>
      <c r="V920" s="1"/>
      <c r="W920" s="1"/>
    </row>
    <row r="921" spans="1:23" ht="48" customHeight="1">
      <c r="A921" s="1" t="s">
        <v>5306</v>
      </c>
      <c r="B921" s="1" t="s">
        <v>6227</v>
      </c>
      <c r="C921" s="1" t="s">
        <v>10537</v>
      </c>
      <c r="D921" s="1" t="s">
        <v>10538</v>
      </c>
      <c r="E921" s="1"/>
      <c r="F921" s="1" t="s">
        <v>6110</v>
      </c>
      <c r="G921" s="1" t="s">
        <v>10412</v>
      </c>
      <c r="H921" s="1" t="s">
        <v>6089</v>
      </c>
      <c r="I921" s="1"/>
      <c r="J921" s="1"/>
      <c r="K921" s="1" t="s">
        <v>6090</v>
      </c>
      <c r="L921" s="1" t="s">
        <v>10539</v>
      </c>
      <c r="M921" s="1" t="s">
        <v>10540</v>
      </c>
      <c r="N921" s="1"/>
      <c r="O921" s="1"/>
      <c r="P921" s="1"/>
      <c r="Q921" s="1"/>
      <c r="R921" s="1"/>
      <c r="S921" s="1"/>
      <c r="T921" s="1"/>
      <c r="U921" s="1"/>
      <c r="V921" s="1"/>
      <c r="W921" s="1"/>
    </row>
    <row r="922" spans="1:23" ht="48" customHeight="1">
      <c r="A922" s="1" t="s">
        <v>5306</v>
      </c>
      <c r="B922" s="1" t="s">
        <v>6232</v>
      </c>
      <c r="C922" s="1" t="s">
        <v>9691</v>
      </c>
      <c r="D922" s="1" t="s">
        <v>10541</v>
      </c>
      <c r="E922" s="1"/>
      <c r="F922" s="1" t="s">
        <v>6110</v>
      </c>
      <c r="G922" s="1" t="s">
        <v>10412</v>
      </c>
      <c r="H922" s="1" t="s">
        <v>6089</v>
      </c>
      <c r="I922" s="1"/>
      <c r="J922" s="1"/>
      <c r="K922" s="1" t="s">
        <v>6090</v>
      </c>
      <c r="L922" s="1" t="s">
        <v>10542</v>
      </c>
      <c r="M922" s="1" t="s">
        <v>10543</v>
      </c>
      <c r="N922" s="1"/>
      <c r="O922" s="1"/>
      <c r="P922" s="1"/>
      <c r="Q922" s="1"/>
      <c r="R922" s="1"/>
      <c r="S922" s="1"/>
      <c r="T922" s="1"/>
      <c r="U922" s="1"/>
      <c r="V922" s="1"/>
      <c r="W922" s="1"/>
    </row>
    <row r="923" spans="1:23" ht="48" customHeight="1">
      <c r="A923" s="1" t="s">
        <v>5306</v>
      </c>
      <c r="B923" s="1" t="s">
        <v>6236</v>
      </c>
      <c r="C923" s="1" t="s">
        <v>10544</v>
      </c>
      <c r="D923" s="1" t="s">
        <v>10545</v>
      </c>
      <c r="E923" s="1" t="s">
        <v>10546</v>
      </c>
      <c r="F923" s="1" t="s">
        <v>6163</v>
      </c>
      <c r="G923" s="1" t="s">
        <v>10412</v>
      </c>
      <c r="H923" s="1" t="s">
        <v>6089</v>
      </c>
      <c r="I923" s="1"/>
      <c r="J923" s="1"/>
      <c r="K923" s="1" t="s">
        <v>6090</v>
      </c>
      <c r="L923" s="1" t="s">
        <v>10547</v>
      </c>
      <c r="M923" s="1" t="s">
        <v>10548</v>
      </c>
      <c r="N923" s="1"/>
      <c r="O923" s="1"/>
      <c r="P923" s="1"/>
      <c r="Q923" s="1"/>
      <c r="R923" s="1" t="s">
        <v>10549</v>
      </c>
      <c r="S923" s="1" t="s">
        <v>10550</v>
      </c>
      <c r="T923" s="1" t="s">
        <v>10417</v>
      </c>
      <c r="U923" s="1" t="s">
        <v>6096</v>
      </c>
      <c r="V923" s="1" t="s">
        <v>6244</v>
      </c>
      <c r="W923" s="1" t="s">
        <v>10418</v>
      </c>
    </row>
    <row r="924" spans="1:23" ht="48" customHeight="1">
      <c r="A924" s="1" t="s">
        <v>5306</v>
      </c>
      <c r="B924" s="1" t="s">
        <v>6245</v>
      </c>
      <c r="C924" s="1" t="s">
        <v>10551</v>
      </c>
      <c r="D924" s="1"/>
      <c r="E924" s="1"/>
      <c r="F924" s="1" t="s">
        <v>6216</v>
      </c>
      <c r="G924" s="1" t="s">
        <v>10412</v>
      </c>
      <c r="H924" s="1"/>
      <c r="I924" s="1"/>
      <c r="J924" s="1"/>
      <c r="K924" s="1" t="s">
        <v>6090</v>
      </c>
      <c r="L924" s="1" t="s">
        <v>10552</v>
      </c>
      <c r="M924" s="1"/>
      <c r="N924" s="1"/>
      <c r="O924" s="1"/>
      <c r="P924" s="1"/>
      <c r="Q924" s="1"/>
      <c r="R924" s="1"/>
      <c r="S924" s="1"/>
      <c r="T924" s="1"/>
      <c r="U924" s="1"/>
      <c r="V924" s="1"/>
      <c r="W924" s="1"/>
    </row>
    <row r="925" spans="1:23" ht="48" customHeight="1">
      <c r="A925" s="1" t="s">
        <v>5306</v>
      </c>
      <c r="B925" s="1" t="s">
        <v>6248</v>
      </c>
      <c r="C925" s="1" t="s">
        <v>10553</v>
      </c>
      <c r="D925" s="1"/>
      <c r="E925" s="1"/>
      <c r="F925" s="1" t="s">
        <v>6216</v>
      </c>
      <c r="G925" s="1" t="s">
        <v>10412</v>
      </c>
      <c r="H925" s="1"/>
      <c r="I925" s="1"/>
      <c r="J925" s="1"/>
      <c r="K925" s="1" t="s">
        <v>6090</v>
      </c>
      <c r="L925" s="1" t="s">
        <v>10554</v>
      </c>
      <c r="M925" s="1"/>
      <c r="N925" s="1"/>
      <c r="O925" s="1"/>
      <c r="P925" s="1"/>
      <c r="Q925" s="1"/>
      <c r="R925" s="1"/>
      <c r="S925" s="1"/>
      <c r="T925" s="1"/>
      <c r="U925" s="1"/>
      <c r="V925" s="1"/>
      <c r="W925" s="1"/>
    </row>
    <row r="926" spans="1:23" ht="48" customHeight="1">
      <c r="A926" s="1" t="s">
        <v>5330</v>
      </c>
      <c r="B926" s="1" t="s">
        <v>6083</v>
      </c>
      <c r="C926" s="1" t="s">
        <v>10555</v>
      </c>
      <c r="D926" s="1" t="s">
        <v>10556</v>
      </c>
      <c r="E926" s="1" t="s">
        <v>6086</v>
      </c>
      <c r="F926" s="1" t="s">
        <v>6087</v>
      </c>
      <c r="G926" s="1" t="s">
        <v>10557</v>
      </c>
      <c r="H926" s="1" t="s">
        <v>6089</v>
      </c>
      <c r="I926" s="1"/>
      <c r="J926" s="1"/>
      <c r="K926" s="1" t="s">
        <v>6090</v>
      </c>
      <c r="L926" s="1" t="s">
        <v>10558</v>
      </c>
      <c r="M926" s="1" t="s">
        <v>10559</v>
      </c>
      <c r="N926" s="1"/>
      <c r="O926" s="1"/>
      <c r="P926" s="1"/>
      <c r="Q926" s="1"/>
      <c r="R926" s="1" t="s">
        <v>10560</v>
      </c>
      <c r="S926" s="1" t="s">
        <v>10561</v>
      </c>
      <c r="T926" s="1" t="s">
        <v>10562</v>
      </c>
      <c r="U926" s="1" t="s">
        <v>6096</v>
      </c>
      <c r="V926" s="1" t="s">
        <v>6097</v>
      </c>
      <c r="W926" s="1" t="s">
        <v>10563</v>
      </c>
    </row>
    <row r="927" spans="1:23" ht="48" customHeight="1">
      <c r="A927" s="1" t="s">
        <v>5330</v>
      </c>
      <c r="B927" s="1" t="s">
        <v>6099</v>
      </c>
      <c r="C927" s="1" t="s">
        <v>10564</v>
      </c>
      <c r="D927" s="1" t="s">
        <v>7060</v>
      </c>
      <c r="E927" s="1" t="s">
        <v>7060</v>
      </c>
      <c r="F927" s="1" t="s">
        <v>6087</v>
      </c>
      <c r="G927" s="1" t="s">
        <v>10557</v>
      </c>
      <c r="H927" s="1" t="s">
        <v>6089</v>
      </c>
      <c r="I927" s="1"/>
      <c r="J927" s="1"/>
      <c r="K927" s="1" t="s">
        <v>6090</v>
      </c>
      <c r="L927" s="1" t="s">
        <v>10565</v>
      </c>
      <c r="M927" s="1" t="s">
        <v>10566</v>
      </c>
      <c r="N927" s="1"/>
      <c r="O927" s="1"/>
      <c r="P927" s="1"/>
      <c r="Q927" s="1"/>
      <c r="R927" s="1" t="s">
        <v>10567</v>
      </c>
      <c r="S927" s="1" t="s">
        <v>10568</v>
      </c>
      <c r="T927" s="1" t="s">
        <v>10562</v>
      </c>
      <c r="U927" s="1" t="s">
        <v>6096</v>
      </c>
      <c r="V927" s="1" t="s">
        <v>6097</v>
      </c>
      <c r="W927" s="1" t="s">
        <v>10563</v>
      </c>
    </row>
    <row r="928" spans="1:23" ht="48" customHeight="1">
      <c r="A928" s="1" t="s">
        <v>5330</v>
      </c>
      <c r="B928" s="1" t="s">
        <v>6107</v>
      </c>
      <c r="C928" s="1" t="s">
        <v>10569</v>
      </c>
      <c r="D928" s="1" t="s">
        <v>10570</v>
      </c>
      <c r="E928" s="1"/>
      <c r="F928" s="1" t="s">
        <v>6110</v>
      </c>
      <c r="G928" s="1" t="s">
        <v>10557</v>
      </c>
      <c r="H928" s="1" t="s">
        <v>6089</v>
      </c>
      <c r="I928" s="1"/>
      <c r="J928" s="1"/>
      <c r="K928" s="1" t="s">
        <v>6090</v>
      </c>
      <c r="L928" s="1" t="s">
        <v>10571</v>
      </c>
      <c r="M928" s="1" t="s">
        <v>10572</v>
      </c>
      <c r="N928" s="1"/>
      <c r="O928" s="1"/>
      <c r="P928" s="1"/>
      <c r="Q928" s="1"/>
      <c r="R928" s="1"/>
      <c r="S928" s="1"/>
      <c r="T928" s="1"/>
      <c r="U928" s="1"/>
      <c r="V928" s="1"/>
      <c r="W928" s="1"/>
    </row>
    <row r="929" spans="1:23" ht="48" customHeight="1">
      <c r="A929" s="1" t="s">
        <v>5330</v>
      </c>
      <c r="B929" s="1" t="s">
        <v>6113</v>
      </c>
      <c r="C929" s="1" t="s">
        <v>10573</v>
      </c>
      <c r="D929" s="1" t="s">
        <v>10574</v>
      </c>
      <c r="E929" s="1"/>
      <c r="F929" s="1" t="s">
        <v>6110</v>
      </c>
      <c r="G929" s="1" t="s">
        <v>10557</v>
      </c>
      <c r="H929" s="1" t="s">
        <v>6089</v>
      </c>
      <c r="I929" s="1"/>
      <c r="J929" s="1"/>
      <c r="K929" s="1" t="s">
        <v>6090</v>
      </c>
      <c r="L929" s="1" t="s">
        <v>10575</v>
      </c>
      <c r="M929" s="1" t="s">
        <v>10576</v>
      </c>
      <c r="N929" s="1"/>
      <c r="O929" s="1"/>
      <c r="P929" s="1"/>
      <c r="Q929" s="1"/>
      <c r="R929" s="1"/>
      <c r="S929" s="1"/>
      <c r="T929" s="1"/>
      <c r="U929" s="1"/>
      <c r="V929" s="1"/>
      <c r="W929" s="1"/>
    </row>
    <row r="930" spans="1:23" ht="48" customHeight="1">
      <c r="A930" s="1" t="s">
        <v>5330</v>
      </c>
      <c r="B930" s="1" t="s">
        <v>6118</v>
      </c>
      <c r="C930" s="1" t="s">
        <v>10577</v>
      </c>
      <c r="D930" s="1" t="s">
        <v>10578</v>
      </c>
      <c r="E930" s="1" t="s">
        <v>10579</v>
      </c>
      <c r="F930" s="1" t="s">
        <v>6087</v>
      </c>
      <c r="G930" s="1" t="s">
        <v>10557</v>
      </c>
      <c r="H930" s="1" t="s">
        <v>6089</v>
      </c>
      <c r="I930" s="1"/>
      <c r="J930" s="1"/>
      <c r="K930" s="1" t="s">
        <v>6090</v>
      </c>
      <c r="L930" s="1" t="s">
        <v>10580</v>
      </c>
      <c r="M930" s="1" t="s">
        <v>10581</v>
      </c>
      <c r="N930" s="1"/>
      <c r="O930" s="1"/>
      <c r="P930" s="1"/>
      <c r="Q930" s="1"/>
      <c r="R930" s="1" t="s">
        <v>10582</v>
      </c>
      <c r="S930" s="1" t="s">
        <v>10583</v>
      </c>
      <c r="T930" s="1" t="s">
        <v>10562</v>
      </c>
      <c r="U930" s="1" t="s">
        <v>6096</v>
      </c>
      <c r="V930" s="1" t="s">
        <v>6097</v>
      </c>
      <c r="W930" s="1" t="s">
        <v>10563</v>
      </c>
    </row>
    <row r="931" spans="1:23" ht="48" customHeight="1">
      <c r="A931" s="1" t="s">
        <v>5330</v>
      </c>
      <c r="B931" s="1" t="s">
        <v>6126</v>
      </c>
      <c r="C931" s="1" t="s">
        <v>10584</v>
      </c>
      <c r="D931" s="1" t="s">
        <v>10585</v>
      </c>
      <c r="E931" s="1" t="s">
        <v>6129</v>
      </c>
      <c r="F931" s="1" t="s">
        <v>6087</v>
      </c>
      <c r="G931" s="1" t="s">
        <v>10557</v>
      </c>
      <c r="H931" s="1" t="s">
        <v>6089</v>
      </c>
      <c r="I931" s="1"/>
      <c r="J931" s="1"/>
      <c r="K931" s="1" t="s">
        <v>6090</v>
      </c>
      <c r="L931" s="1" t="s">
        <v>10586</v>
      </c>
      <c r="M931" s="1" t="s">
        <v>10587</v>
      </c>
      <c r="N931" s="1"/>
      <c r="O931" s="1"/>
      <c r="P931" s="1"/>
      <c r="Q931" s="1"/>
      <c r="R931" s="1" t="s">
        <v>10588</v>
      </c>
      <c r="S931" s="1" t="s">
        <v>10589</v>
      </c>
      <c r="T931" s="1" t="s">
        <v>10562</v>
      </c>
      <c r="U931" s="1" t="s">
        <v>6096</v>
      </c>
      <c r="V931" s="1" t="s">
        <v>6097</v>
      </c>
      <c r="W931" s="1" t="s">
        <v>10563</v>
      </c>
    </row>
    <row r="932" spans="1:23" ht="48" customHeight="1">
      <c r="A932" s="1" t="s">
        <v>5330</v>
      </c>
      <c r="B932" s="1" t="s">
        <v>6134</v>
      </c>
      <c r="C932" s="1" t="s">
        <v>10590</v>
      </c>
      <c r="D932" s="1" t="s">
        <v>5553</v>
      </c>
      <c r="E932" s="1" t="s">
        <v>10591</v>
      </c>
      <c r="F932" s="1" t="s">
        <v>6138</v>
      </c>
      <c r="G932" s="1" t="s">
        <v>10557</v>
      </c>
      <c r="H932" s="1" t="s">
        <v>6089</v>
      </c>
      <c r="I932" s="1"/>
      <c r="J932" s="1"/>
      <c r="K932" s="1" t="s">
        <v>6090</v>
      </c>
      <c r="L932" s="1" t="s">
        <v>10592</v>
      </c>
      <c r="M932" s="1" t="s">
        <v>10593</v>
      </c>
      <c r="N932" s="1"/>
      <c r="O932" s="1"/>
      <c r="P932" s="1"/>
      <c r="Q932" s="1"/>
      <c r="R932" s="1" t="s">
        <v>10594</v>
      </c>
      <c r="S932" s="1" t="s">
        <v>9471</v>
      </c>
      <c r="T932" s="1" t="s">
        <v>10562</v>
      </c>
      <c r="U932" s="1" t="s">
        <v>6096</v>
      </c>
      <c r="V932" s="1" t="s">
        <v>6143</v>
      </c>
      <c r="W932" s="1" t="s">
        <v>10563</v>
      </c>
    </row>
    <row r="933" spans="1:23" ht="48" customHeight="1">
      <c r="A933" s="1" t="s">
        <v>5330</v>
      </c>
      <c r="B933" s="1" t="s">
        <v>6144</v>
      </c>
      <c r="C933" s="1" t="s">
        <v>10595</v>
      </c>
      <c r="D933" s="1" t="s">
        <v>4747</v>
      </c>
      <c r="E933" s="1" t="s">
        <v>10596</v>
      </c>
      <c r="F933" s="1" t="s">
        <v>6138</v>
      </c>
      <c r="G933" s="1" t="s">
        <v>10557</v>
      </c>
      <c r="H933" s="1" t="s">
        <v>6089</v>
      </c>
      <c r="I933" s="1"/>
      <c r="J933" s="1"/>
      <c r="K933" s="1" t="s">
        <v>6090</v>
      </c>
      <c r="L933" s="1" t="s">
        <v>10597</v>
      </c>
      <c r="M933" s="1" t="s">
        <v>10598</v>
      </c>
      <c r="N933" s="1"/>
      <c r="O933" s="1"/>
      <c r="P933" s="1"/>
      <c r="Q933" s="1"/>
      <c r="R933" s="1" t="s">
        <v>10594</v>
      </c>
      <c r="S933" s="1" t="s">
        <v>9471</v>
      </c>
      <c r="T933" s="1" t="s">
        <v>10562</v>
      </c>
      <c r="U933" s="1" t="s">
        <v>6096</v>
      </c>
      <c r="V933" s="1" t="s">
        <v>6143</v>
      </c>
      <c r="W933" s="1" t="s">
        <v>10563</v>
      </c>
    </row>
    <row r="934" spans="1:23" ht="48" customHeight="1">
      <c r="A934" s="1" t="s">
        <v>5330</v>
      </c>
      <c r="B934" s="1" t="s">
        <v>6149</v>
      </c>
      <c r="C934" s="1" t="s">
        <v>10599</v>
      </c>
      <c r="D934" s="1" t="s">
        <v>10600</v>
      </c>
      <c r="E934" s="1" t="s">
        <v>10601</v>
      </c>
      <c r="F934" s="1" t="s">
        <v>6138</v>
      </c>
      <c r="G934" s="1" t="s">
        <v>10557</v>
      </c>
      <c r="H934" s="1" t="s">
        <v>6089</v>
      </c>
      <c r="I934" s="1"/>
      <c r="J934" s="1"/>
      <c r="K934" s="1" t="s">
        <v>6090</v>
      </c>
      <c r="L934" s="1" t="s">
        <v>10602</v>
      </c>
      <c r="M934" s="1" t="s">
        <v>10603</v>
      </c>
      <c r="N934" s="1"/>
      <c r="O934" s="1"/>
      <c r="P934" s="1"/>
      <c r="Q934" s="1"/>
      <c r="R934" s="1" t="s">
        <v>10594</v>
      </c>
      <c r="S934" s="1" t="s">
        <v>9471</v>
      </c>
      <c r="T934" s="1" t="s">
        <v>10562</v>
      </c>
      <c r="U934" s="1" t="s">
        <v>6096</v>
      </c>
      <c r="V934" s="1" t="s">
        <v>6143</v>
      </c>
      <c r="W934" s="1" t="s">
        <v>10563</v>
      </c>
    </row>
    <row r="935" spans="1:23" ht="48" customHeight="1">
      <c r="A935" s="1" t="s">
        <v>5330</v>
      </c>
      <c r="B935" s="1" t="s">
        <v>6154</v>
      </c>
      <c r="C935" s="1" t="s">
        <v>10604</v>
      </c>
      <c r="D935" s="1" t="s">
        <v>10605</v>
      </c>
      <c r="E935" s="1" t="s">
        <v>10606</v>
      </c>
      <c r="F935" s="1" t="s">
        <v>6138</v>
      </c>
      <c r="G935" s="1" t="s">
        <v>10557</v>
      </c>
      <c r="H935" s="1" t="s">
        <v>6089</v>
      </c>
      <c r="I935" s="1"/>
      <c r="J935" s="1"/>
      <c r="K935" s="1" t="s">
        <v>6090</v>
      </c>
      <c r="L935" s="1" t="s">
        <v>10607</v>
      </c>
      <c r="M935" s="1" t="s">
        <v>10608</v>
      </c>
      <c r="N935" s="1"/>
      <c r="O935" s="1"/>
      <c r="P935" s="1"/>
      <c r="Q935" s="1"/>
      <c r="R935" s="1" t="s">
        <v>10594</v>
      </c>
      <c r="S935" s="1" t="s">
        <v>9471</v>
      </c>
      <c r="T935" s="1" t="s">
        <v>10562</v>
      </c>
      <c r="U935" s="1" t="s">
        <v>6096</v>
      </c>
      <c r="V935" s="1" t="s">
        <v>6143</v>
      </c>
      <c r="W935" s="1" t="s">
        <v>10563</v>
      </c>
    </row>
    <row r="936" spans="1:23" ht="60" customHeight="1">
      <c r="A936" s="1" t="s">
        <v>5330</v>
      </c>
      <c r="B936" s="1" t="s">
        <v>6159</v>
      </c>
      <c r="C936" s="1" t="s">
        <v>4747</v>
      </c>
      <c r="D936" s="1" t="s">
        <v>8320</v>
      </c>
      <c r="E936" s="1" t="s">
        <v>10609</v>
      </c>
      <c r="F936" s="1" t="s">
        <v>6349</v>
      </c>
      <c r="G936" s="1" t="s">
        <v>10557</v>
      </c>
      <c r="H936" s="1" t="s">
        <v>6089</v>
      </c>
      <c r="I936" s="1"/>
      <c r="J936" s="1"/>
      <c r="K936" s="1" t="s">
        <v>6090</v>
      </c>
      <c r="L936" s="1" t="s">
        <v>10610</v>
      </c>
      <c r="M936" s="1" t="s">
        <v>10611</v>
      </c>
      <c r="N936" s="1"/>
      <c r="O936" s="1"/>
      <c r="P936" s="1"/>
      <c r="Q936" s="1"/>
      <c r="R936" s="1" t="s">
        <v>10612</v>
      </c>
      <c r="S936" s="1" t="s">
        <v>6353</v>
      </c>
      <c r="T936" s="1" t="s">
        <v>10562</v>
      </c>
      <c r="U936" s="1" t="s">
        <v>6096</v>
      </c>
      <c r="V936" s="1" t="s">
        <v>10613</v>
      </c>
      <c r="W936" s="1" t="s">
        <v>10563</v>
      </c>
    </row>
    <row r="937" spans="1:23" ht="48" customHeight="1">
      <c r="A937" s="1" t="s">
        <v>5330</v>
      </c>
      <c r="B937" s="1" t="s">
        <v>6169</v>
      </c>
      <c r="C937" s="1" t="s">
        <v>4747</v>
      </c>
      <c r="D937" s="1" t="s">
        <v>4747</v>
      </c>
      <c r="E937" s="1" t="s">
        <v>4747</v>
      </c>
      <c r="F937" s="1" t="s">
        <v>6186</v>
      </c>
      <c r="G937" s="1" t="s">
        <v>10557</v>
      </c>
      <c r="H937" s="1" t="s">
        <v>6089</v>
      </c>
      <c r="I937" s="1"/>
      <c r="J937" s="1"/>
      <c r="K937" s="1" t="s">
        <v>6090</v>
      </c>
      <c r="L937" s="1" t="s">
        <v>10614</v>
      </c>
      <c r="M937" s="1" t="s">
        <v>10615</v>
      </c>
      <c r="N937" s="1"/>
      <c r="O937" s="1"/>
      <c r="P937" s="1"/>
      <c r="Q937" s="1"/>
      <c r="R937" s="1"/>
      <c r="S937" s="1"/>
      <c r="T937" s="1"/>
      <c r="U937" s="1"/>
      <c r="V937" s="1"/>
      <c r="W937" s="1"/>
    </row>
    <row r="938" spans="1:23" ht="48" customHeight="1">
      <c r="A938" s="1" t="s">
        <v>5330</v>
      </c>
      <c r="B938" s="1" t="s">
        <v>6176</v>
      </c>
      <c r="C938" s="1" t="s">
        <v>4747</v>
      </c>
      <c r="D938" s="1" t="s">
        <v>4747</v>
      </c>
      <c r="E938" s="1" t="s">
        <v>4747</v>
      </c>
      <c r="F938" s="1" t="s">
        <v>6186</v>
      </c>
      <c r="G938" s="1" t="s">
        <v>10557</v>
      </c>
      <c r="H938" s="1" t="s">
        <v>6089</v>
      </c>
      <c r="I938" s="1"/>
      <c r="J938" s="1"/>
      <c r="K938" s="1" t="s">
        <v>6090</v>
      </c>
      <c r="L938" s="1" t="s">
        <v>10616</v>
      </c>
      <c r="M938" s="1" t="s">
        <v>10617</v>
      </c>
      <c r="N938" s="1"/>
      <c r="O938" s="1"/>
      <c r="P938" s="1"/>
      <c r="Q938" s="1"/>
      <c r="R938" s="1"/>
      <c r="S938" s="1"/>
      <c r="T938" s="1"/>
      <c r="U938" s="1"/>
      <c r="V938" s="1"/>
      <c r="W938" s="1"/>
    </row>
    <row r="939" spans="1:23" ht="48" customHeight="1">
      <c r="A939" s="1" t="s">
        <v>5330</v>
      </c>
      <c r="B939" s="1" t="s">
        <v>6185</v>
      </c>
      <c r="C939" s="1" t="s">
        <v>4747</v>
      </c>
      <c r="D939" s="1" t="s">
        <v>4747</v>
      </c>
      <c r="E939" s="1" t="s">
        <v>4747</v>
      </c>
      <c r="F939" s="1" t="s">
        <v>6186</v>
      </c>
      <c r="G939" s="1" t="s">
        <v>10557</v>
      </c>
      <c r="H939" s="1" t="s">
        <v>6089</v>
      </c>
      <c r="I939" s="1"/>
      <c r="J939" s="1"/>
      <c r="K939" s="1" t="s">
        <v>6090</v>
      </c>
      <c r="L939" s="1" t="s">
        <v>10618</v>
      </c>
      <c r="M939" s="1" t="s">
        <v>10619</v>
      </c>
      <c r="N939" s="1"/>
      <c r="O939" s="1"/>
      <c r="P939" s="1"/>
      <c r="Q939" s="1"/>
      <c r="R939" s="1"/>
      <c r="S939" s="1"/>
      <c r="T939" s="1"/>
      <c r="U939" s="1"/>
      <c r="V939" s="1"/>
      <c r="W939" s="1"/>
    </row>
    <row r="940" spans="1:23" ht="48" customHeight="1">
      <c r="A940" s="1" t="s">
        <v>5330</v>
      </c>
      <c r="B940" s="1" t="s">
        <v>6189</v>
      </c>
      <c r="C940" s="1" t="s">
        <v>4747</v>
      </c>
      <c r="D940" s="1" t="s">
        <v>4747</v>
      </c>
      <c r="E940" s="1" t="s">
        <v>4747</v>
      </c>
      <c r="F940" s="1" t="s">
        <v>6186</v>
      </c>
      <c r="G940" s="1" t="s">
        <v>10557</v>
      </c>
      <c r="H940" s="1" t="s">
        <v>6089</v>
      </c>
      <c r="I940" s="1"/>
      <c r="J940" s="1"/>
      <c r="K940" s="1" t="s">
        <v>6090</v>
      </c>
      <c r="L940" s="1" t="s">
        <v>10620</v>
      </c>
      <c r="M940" s="1" t="s">
        <v>10621</v>
      </c>
      <c r="N940" s="1"/>
      <c r="O940" s="1"/>
      <c r="P940" s="1"/>
      <c r="Q940" s="1"/>
      <c r="R940" s="1"/>
      <c r="S940" s="1"/>
      <c r="T940" s="1"/>
      <c r="U940" s="1"/>
      <c r="V940" s="1"/>
      <c r="W940" s="1"/>
    </row>
    <row r="941" spans="1:23" ht="48" customHeight="1">
      <c r="A941" s="1" t="s">
        <v>5330</v>
      </c>
      <c r="B941" s="1" t="s">
        <v>6196</v>
      </c>
      <c r="C941" s="1" t="s">
        <v>6197</v>
      </c>
      <c r="D941" s="1" t="s">
        <v>10622</v>
      </c>
      <c r="E941" s="1"/>
      <c r="F941" s="1" t="s">
        <v>6110</v>
      </c>
      <c r="G941" s="1" t="s">
        <v>10557</v>
      </c>
      <c r="H941" s="1" t="s">
        <v>6089</v>
      </c>
      <c r="I941" s="1"/>
      <c r="J941" s="1"/>
      <c r="K941" s="1" t="s">
        <v>6090</v>
      </c>
      <c r="L941" s="1" t="s">
        <v>10623</v>
      </c>
      <c r="M941" s="1" t="s">
        <v>10624</v>
      </c>
      <c r="N941" s="1"/>
      <c r="O941" s="1"/>
      <c r="P941" s="1"/>
      <c r="Q941" s="1"/>
      <c r="R941" s="1"/>
      <c r="S941" s="1"/>
      <c r="T941" s="1"/>
      <c r="U941" s="1"/>
      <c r="V941" s="1"/>
      <c r="W941" s="1"/>
    </row>
    <row r="942" spans="1:23" ht="48" customHeight="1">
      <c r="A942" s="1" t="s">
        <v>5330</v>
      </c>
      <c r="B942" s="1" t="s">
        <v>6200</v>
      </c>
      <c r="C942" s="1" t="s">
        <v>4747</v>
      </c>
      <c r="D942" s="1" t="s">
        <v>4747</v>
      </c>
      <c r="E942" s="1" t="s">
        <v>4747</v>
      </c>
      <c r="F942" s="1" t="s">
        <v>6186</v>
      </c>
      <c r="G942" s="1" t="s">
        <v>10557</v>
      </c>
      <c r="H942" s="1" t="s">
        <v>6089</v>
      </c>
      <c r="I942" s="1"/>
      <c r="J942" s="1"/>
      <c r="K942" s="1" t="s">
        <v>6090</v>
      </c>
      <c r="L942" s="1" t="s">
        <v>10625</v>
      </c>
      <c r="M942" s="1" t="s">
        <v>10626</v>
      </c>
      <c r="N942" s="1"/>
      <c r="O942" s="1"/>
      <c r="P942" s="1"/>
      <c r="Q942" s="1"/>
      <c r="R942" s="1"/>
      <c r="S942" s="1"/>
      <c r="T942" s="1"/>
      <c r="U942" s="1"/>
      <c r="V942" s="1"/>
      <c r="W942" s="1"/>
    </row>
    <row r="943" spans="1:23" ht="48" customHeight="1">
      <c r="A943" s="1" t="s">
        <v>5330</v>
      </c>
      <c r="B943" s="1" t="s">
        <v>5583</v>
      </c>
      <c r="C943" s="1" t="s">
        <v>10627</v>
      </c>
      <c r="D943" s="1" t="s">
        <v>4747</v>
      </c>
      <c r="E943" s="1" t="s">
        <v>10627</v>
      </c>
      <c r="F943" s="1" t="s">
        <v>6186</v>
      </c>
      <c r="G943" s="1" t="s">
        <v>10557</v>
      </c>
      <c r="H943" s="1" t="s">
        <v>6089</v>
      </c>
      <c r="I943" s="1"/>
      <c r="J943" s="1"/>
      <c r="K943" s="1" t="s">
        <v>6090</v>
      </c>
      <c r="L943" s="1" t="s">
        <v>10628</v>
      </c>
      <c r="M943" s="1" t="s">
        <v>10629</v>
      </c>
      <c r="N943" s="1"/>
      <c r="O943" s="1"/>
      <c r="P943" s="1"/>
      <c r="Q943" s="1"/>
      <c r="R943" s="1"/>
      <c r="S943" s="1"/>
      <c r="T943" s="1"/>
      <c r="U943" s="1"/>
      <c r="V943" s="1"/>
      <c r="W943" s="1"/>
    </row>
    <row r="944" spans="1:23" ht="48" customHeight="1">
      <c r="A944" s="1" t="s">
        <v>5330</v>
      </c>
      <c r="B944" s="1" t="s">
        <v>6209</v>
      </c>
      <c r="C944" s="1" t="s">
        <v>4747</v>
      </c>
      <c r="D944" s="1" t="s">
        <v>4747</v>
      </c>
      <c r="E944" s="1" t="s">
        <v>4747</v>
      </c>
      <c r="F944" s="1" t="s">
        <v>6186</v>
      </c>
      <c r="G944" s="1" t="s">
        <v>10557</v>
      </c>
      <c r="H944" s="1" t="s">
        <v>6089</v>
      </c>
      <c r="I944" s="1"/>
      <c r="J944" s="1"/>
      <c r="K944" s="1" t="s">
        <v>6090</v>
      </c>
      <c r="L944" s="1" t="s">
        <v>10630</v>
      </c>
      <c r="M944" s="1" t="s">
        <v>10631</v>
      </c>
      <c r="N944" s="1"/>
      <c r="O944" s="1"/>
      <c r="P944" s="1"/>
      <c r="Q944" s="1"/>
      <c r="R944" s="1"/>
      <c r="S944" s="1"/>
      <c r="T944" s="1"/>
      <c r="U944" s="1"/>
      <c r="V944" s="1"/>
      <c r="W944" s="1"/>
    </row>
    <row r="945" spans="1:23" ht="48" customHeight="1">
      <c r="A945" s="1" t="s">
        <v>5330</v>
      </c>
      <c r="B945" s="1" t="s">
        <v>6212</v>
      </c>
      <c r="C945" s="1" t="s">
        <v>4747</v>
      </c>
      <c r="D945" s="1" t="s">
        <v>4747</v>
      </c>
      <c r="E945" s="1" t="s">
        <v>4747</v>
      </c>
      <c r="F945" s="1" t="s">
        <v>6186</v>
      </c>
      <c r="G945" s="1" t="s">
        <v>10557</v>
      </c>
      <c r="H945" s="1" t="s">
        <v>6089</v>
      </c>
      <c r="I945" s="1"/>
      <c r="J945" s="1"/>
      <c r="K945" s="1" t="s">
        <v>6090</v>
      </c>
      <c r="L945" s="1" t="s">
        <v>10632</v>
      </c>
      <c r="M945" s="1" t="s">
        <v>10633</v>
      </c>
      <c r="N945" s="1"/>
      <c r="O945" s="1"/>
      <c r="P945" s="1"/>
      <c r="Q945" s="1"/>
      <c r="R945" s="1"/>
      <c r="S945" s="1"/>
      <c r="T945" s="1"/>
      <c r="U945" s="1"/>
      <c r="V945" s="1"/>
      <c r="W945" s="1"/>
    </row>
    <row r="946" spans="1:23" ht="48" customHeight="1">
      <c r="A946" s="1" t="s">
        <v>5330</v>
      </c>
      <c r="B946" s="1" t="s">
        <v>6215</v>
      </c>
      <c r="C946" s="1"/>
      <c r="D946" s="1" t="s">
        <v>4747</v>
      </c>
      <c r="E946" s="1"/>
      <c r="F946" s="1" t="s">
        <v>6216</v>
      </c>
      <c r="G946" s="1"/>
      <c r="H946" s="1" t="s">
        <v>6089</v>
      </c>
      <c r="I946" s="1"/>
      <c r="J946" s="1"/>
      <c r="K946" s="1" t="s">
        <v>6090</v>
      </c>
      <c r="L946" s="1"/>
      <c r="M946" s="1" t="s">
        <v>10634</v>
      </c>
      <c r="N946" s="1"/>
      <c r="O946" s="1"/>
      <c r="P946" s="1"/>
      <c r="Q946" s="1"/>
      <c r="R946" s="1"/>
      <c r="S946" s="1"/>
      <c r="T946" s="1"/>
      <c r="U946" s="1"/>
      <c r="V946" s="1"/>
      <c r="W946" s="1"/>
    </row>
    <row r="947" spans="1:23" ht="48" customHeight="1">
      <c r="A947" s="1" t="s">
        <v>5330</v>
      </c>
      <c r="B947" s="1" t="s">
        <v>6218</v>
      </c>
      <c r="C947" s="1" t="s">
        <v>10635</v>
      </c>
      <c r="D947" s="1" t="s">
        <v>4747</v>
      </c>
      <c r="E947" s="1"/>
      <c r="F947" s="1" t="s">
        <v>6110</v>
      </c>
      <c r="G947" s="1" t="s">
        <v>10557</v>
      </c>
      <c r="H947" s="1" t="s">
        <v>6089</v>
      </c>
      <c r="I947" s="1"/>
      <c r="J947" s="1"/>
      <c r="K947" s="1" t="s">
        <v>6090</v>
      </c>
      <c r="L947" s="1" t="s">
        <v>10636</v>
      </c>
      <c r="M947" s="1" t="s">
        <v>10637</v>
      </c>
      <c r="N947" s="1"/>
      <c r="O947" s="1"/>
      <c r="P947" s="1"/>
      <c r="Q947" s="1"/>
      <c r="R947" s="1"/>
      <c r="S947" s="1"/>
      <c r="T947" s="1"/>
      <c r="U947" s="1"/>
      <c r="V947" s="1"/>
      <c r="W947" s="1"/>
    </row>
    <row r="948" spans="1:23" ht="48" customHeight="1">
      <c r="A948" s="1" t="s">
        <v>5330</v>
      </c>
      <c r="B948" s="1" t="s">
        <v>6222</v>
      </c>
      <c r="C948" s="1" t="s">
        <v>10638</v>
      </c>
      <c r="D948" s="1" t="s">
        <v>10639</v>
      </c>
      <c r="E948" s="1"/>
      <c r="F948" s="1" t="s">
        <v>6110</v>
      </c>
      <c r="G948" s="1" t="s">
        <v>10557</v>
      </c>
      <c r="H948" s="1" t="s">
        <v>6089</v>
      </c>
      <c r="I948" s="1"/>
      <c r="J948" s="1"/>
      <c r="K948" s="1" t="s">
        <v>6090</v>
      </c>
      <c r="L948" s="1" t="s">
        <v>10640</v>
      </c>
      <c r="M948" s="1" t="s">
        <v>10641</v>
      </c>
      <c r="N948" s="1"/>
      <c r="O948" s="1"/>
      <c r="P948" s="1"/>
      <c r="Q948" s="1"/>
      <c r="R948" s="1"/>
      <c r="S948" s="1"/>
      <c r="T948" s="1"/>
      <c r="U948" s="1"/>
      <c r="V948" s="1"/>
      <c r="W948" s="1"/>
    </row>
    <row r="949" spans="1:23" ht="48" customHeight="1">
      <c r="A949" s="1" t="s">
        <v>5330</v>
      </c>
      <c r="B949" s="1" t="s">
        <v>6227</v>
      </c>
      <c r="C949" s="1" t="s">
        <v>10642</v>
      </c>
      <c r="D949" s="1" t="s">
        <v>10643</v>
      </c>
      <c r="E949" s="1"/>
      <c r="F949" s="1" t="s">
        <v>6110</v>
      </c>
      <c r="G949" s="1" t="s">
        <v>10557</v>
      </c>
      <c r="H949" s="1" t="s">
        <v>6089</v>
      </c>
      <c r="I949" s="1"/>
      <c r="J949" s="1"/>
      <c r="K949" s="1" t="s">
        <v>6090</v>
      </c>
      <c r="L949" s="1" t="s">
        <v>10644</v>
      </c>
      <c r="M949" s="1" t="s">
        <v>10645</v>
      </c>
      <c r="N949" s="1"/>
      <c r="O949" s="1"/>
      <c r="P949" s="1"/>
      <c r="Q949" s="1"/>
      <c r="R949" s="1"/>
      <c r="S949" s="1"/>
      <c r="T949" s="1"/>
      <c r="U949" s="1"/>
      <c r="V949" s="1"/>
      <c r="W949" s="1"/>
    </row>
    <row r="950" spans="1:23" ht="48" customHeight="1">
      <c r="A950" s="1" t="s">
        <v>5330</v>
      </c>
      <c r="B950" s="1" t="s">
        <v>6232</v>
      </c>
      <c r="C950" s="1" t="s">
        <v>10627</v>
      </c>
      <c r="D950" s="1" t="s">
        <v>4747</v>
      </c>
      <c r="E950" s="1" t="s">
        <v>10627</v>
      </c>
      <c r="F950" s="1" t="s">
        <v>6186</v>
      </c>
      <c r="G950" s="1" t="s">
        <v>10557</v>
      </c>
      <c r="H950" s="1" t="s">
        <v>6089</v>
      </c>
      <c r="I950" s="1"/>
      <c r="J950" s="1"/>
      <c r="K950" s="1" t="s">
        <v>6090</v>
      </c>
      <c r="L950" s="1" t="s">
        <v>10646</v>
      </c>
      <c r="M950" s="1" t="s">
        <v>10647</v>
      </c>
      <c r="N950" s="1"/>
      <c r="O950" s="1"/>
      <c r="P950" s="1"/>
      <c r="Q950" s="1"/>
      <c r="R950" s="1"/>
      <c r="S950" s="1"/>
      <c r="T950" s="1"/>
      <c r="U950" s="1"/>
      <c r="V950" s="1"/>
      <c r="W950" s="1"/>
    </row>
    <row r="951" spans="1:23" ht="60" customHeight="1">
      <c r="A951" s="1" t="s">
        <v>5330</v>
      </c>
      <c r="B951" s="1" t="s">
        <v>6236</v>
      </c>
      <c r="C951" s="1" t="s">
        <v>10648</v>
      </c>
      <c r="D951" s="1" t="s">
        <v>10649</v>
      </c>
      <c r="E951" s="1" t="s">
        <v>10650</v>
      </c>
      <c r="F951" s="1" t="s">
        <v>6163</v>
      </c>
      <c r="G951" s="1" t="s">
        <v>10557</v>
      </c>
      <c r="H951" s="1" t="s">
        <v>6089</v>
      </c>
      <c r="I951" s="1"/>
      <c r="J951" s="1"/>
      <c r="K951" s="1" t="s">
        <v>6090</v>
      </c>
      <c r="L951" s="1" t="s">
        <v>10651</v>
      </c>
      <c r="M951" s="1" t="s">
        <v>10652</v>
      </c>
      <c r="N951" s="1"/>
      <c r="O951" s="1"/>
      <c r="P951" s="1"/>
      <c r="Q951" s="1"/>
      <c r="R951" s="1" t="s">
        <v>10653</v>
      </c>
      <c r="S951" s="1" t="s">
        <v>10654</v>
      </c>
      <c r="T951" s="1" t="s">
        <v>10562</v>
      </c>
      <c r="U951" s="1" t="s">
        <v>6096</v>
      </c>
      <c r="V951" s="1" t="s">
        <v>6244</v>
      </c>
      <c r="W951" s="1" t="s">
        <v>10563</v>
      </c>
    </row>
    <row r="952" spans="1:23" ht="48" customHeight="1">
      <c r="A952" s="1" t="s">
        <v>5330</v>
      </c>
      <c r="B952" s="1" t="s">
        <v>6245</v>
      </c>
      <c r="C952" s="1" t="s">
        <v>10655</v>
      </c>
      <c r="D952" s="1"/>
      <c r="E952" s="1"/>
      <c r="F952" s="1" t="s">
        <v>6216</v>
      </c>
      <c r="G952" s="1" t="s">
        <v>10557</v>
      </c>
      <c r="H952" s="1"/>
      <c r="I952" s="1"/>
      <c r="J952" s="1"/>
      <c r="K952" s="1" t="s">
        <v>6090</v>
      </c>
      <c r="L952" s="1" t="s">
        <v>10656</v>
      </c>
      <c r="M952" s="1"/>
      <c r="N952" s="1"/>
      <c r="O952" s="1"/>
      <c r="P952" s="1"/>
      <c r="Q952" s="1"/>
      <c r="R952" s="1"/>
      <c r="S952" s="1"/>
      <c r="T952" s="1"/>
      <c r="U952" s="1"/>
      <c r="V952" s="1"/>
      <c r="W952" s="1"/>
    </row>
    <row r="953" spans="1:23" ht="48" customHeight="1">
      <c r="A953" s="1" t="s">
        <v>5330</v>
      </c>
      <c r="B953" s="1" t="s">
        <v>6248</v>
      </c>
      <c r="C953" s="1" t="s">
        <v>10657</v>
      </c>
      <c r="D953" s="1"/>
      <c r="E953" s="1"/>
      <c r="F953" s="1" t="s">
        <v>6216</v>
      </c>
      <c r="G953" s="1" t="s">
        <v>10557</v>
      </c>
      <c r="H953" s="1"/>
      <c r="I953" s="1"/>
      <c r="J953" s="1"/>
      <c r="K953" s="1" t="s">
        <v>6090</v>
      </c>
      <c r="L953" s="1" t="s">
        <v>10658</v>
      </c>
      <c r="M953" s="1"/>
      <c r="N953" s="1"/>
      <c r="O953" s="1"/>
      <c r="P953" s="1"/>
      <c r="Q953" s="1"/>
      <c r="R953" s="1"/>
      <c r="S953" s="1"/>
      <c r="T953" s="1"/>
      <c r="U953" s="1"/>
      <c r="V953" s="1"/>
      <c r="W953" s="1"/>
    </row>
    <row r="954" spans="1:23" ht="48" customHeight="1">
      <c r="A954" s="1" t="s">
        <v>5337</v>
      </c>
      <c r="B954" s="1" t="s">
        <v>6083</v>
      </c>
      <c r="C954" s="1" t="s">
        <v>10659</v>
      </c>
      <c r="D954" s="1" t="s">
        <v>10660</v>
      </c>
      <c r="E954" s="1" t="s">
        <v>6086</v>
      </c>
      <c r="F954" s="1" t="s">
        <v>6087</v>
      </c>
      <c r="G954" s="1" t="s">
        <v>10661</v>
      </c>
      <c r="H954" s="1" t="s">
        <v>6089</v>
      </c>
      <c r="I954" s="1"/>
      <c r="J954" s="1"/>
      <c r="K954" s="1" t="s">
        <v>6090</v>
      </c>
      <c r="L954" s="1" t="s">
        <v>10662</v>
      </c>
      <c r="M954" s="1" t="s">
        <v>10663</v>
      </c>
      <c r="N954" s="1"/>
      <c r="O954" s="1"/>
      <c r="P954" s="1"/>
      <c r="Q954" s="1"/>
      <c r="R954" s="1" t="s">
        <v>10664</v>
      </c>
      <c r="S954" s="1" t="s">
        <v>10665</v>
      </c>
      <c r="T954" s="1" t="s">
        <v>10666</v>
      </c>
      <c r="U954" s="1" t="s">
        <v>6096</v>
      </c>
      <c r="V954" s="1" t="s">
        <v>6097</v>
      </c>
      <c r="W954" s="1" t="s">
        <v>10667</v>
      </c>
    </row>
    <row r="955" spans="1:23" ht="48" customHeight="1">
      <c r="A955" s="1" t="s">
        <v>5337</v>
      </c>
      <c r="B955" s="1" t="s">
        <v>6099</v>
      </c>
      <c r="C955" s="1" t="s">
        <v>10668</v>
      </c>
      <c r="D955" s="1" t="s">
        <v>6101</v>
      </c>
      <c r="E955" s="1" t="s">
        <v>6102</v>
      </c>
      <c r="F955" s="1" t="s">
        <v>6087</v>
      </c>
      <c r="G955" s="1" t="s">
        <v>10661</v>
      </c>
      <c r="H955" s="1" t="s">
        <v>6089</v>
      </c>
      <c r="I955" s="1"/>
      <c r="J955" s="1"/>
      <c r="K955" s="1" t="s">
        <v>6090</v>
      </c>
      <c r="L955" s="1" t="s">
        <v>10669</v>
      </c>
      <c r="M955" s="1" t="s">
        <v>10670</v>
      </c>
      <c r="N955" s="1"/>
      <c r="O955" s="1"/>
      <c r="P955" s="1"/>
      <c r="Q955" s="1"/>
      <c r="R955" s="1" t="s">
        <v>10671</v>
      </c>
      <c r="S955" s="1" t="s">
        <v>10672</v>
      </c>
      <c r="T955" s="1" t="s">
        <v>10666</v>
      </c>
      <c r="U955" s="1" t="s">
        <v>6096</v>
      </c>
      <c r="V955" s="1" t="s">
        <v>6097</v>
      </c>
      <c r="W955" s="1" t="s">
        <v>10667</v>
      </c>
    </row>
    <row r="956" spans="1:23" ht="48" customHeight="1">
      <c r="A956" s="1" t="s">
        <v>5337</v>
      </c>
      <c r="B956" s="1" t="s">
        <v>6107</v>
      </c>
      <c r="C956" s="1" t="s">
        <v>10673</v>
      </c>
      <c r="D956" s="1" t="s">
        <v>10674</v>
      </c>
      <c r="E956" s="1"/>
      <c r="F956" s="1" t="s">
        <v>6110</v>
      </c>
      <c r="G956" s="1" t="s">
        <v>10661</v>
      </c>
      <c r="H956" s="1" t="s">
        <v>6089</v>
      </c>
      <c r="I956" s="1"/>
      <c r="J956" s="1"/>
      <c r="K956" s="1" t="s">
        <v>6090</v>
      </c>
      <c r="L956" s="1" t="s">
        <v>10675</v>
      </c>
      <c r="M956" s="1" t="s">
        <v>10676</v>
      </c>
      <c r="N956" s="1"/>
      <c r="O956" s="1"/>
      <c r="P956" s="1"/>
      <c r="Q956" s="1"/>
      <c r="R956" s="1"/>
      <c r="S956" s="1"/>
      <c r="T956" s="1"/>
      <c r="U956" s="1"/>
      <c r="V956" s="1"/>
      <c r="W956" s="1"/>
    </row>
    <row r="957" spans="1:23" ht="48" customHeight="1">
      <c r="A957" s="1" t="s">
        <v>5337</v>
      </c>
      <c r="B957" s="1" t="s">
        <v>6113</v>
      </c>
      <c r="C957" s="1" t="s">
        <v>10677</v>
      </c>
      <c r="D957" s="1" t="s">
        <v>10678</v>
      </c>
      <c r="E957" s="1"/>
      <c r="F957" s="1" t="s">
        <v>6110</v>
      </c>
      <c r="G957" s="1" t="s">
        <v>10661</v>
      </c>
      <c r="H957" s="1" t="s">
        <v>6089</v>
      </c>
      <c r="I957" s="1"/>
      <c r="J957" s="1"/>
      <c r="K957" s="1" t="s">
        <v>6090</v>
      </c>
      <c r="L957" s="1" t="s">
        <v>10679</v>
      </c>
      <c r="M957" s="1" t="s">
        <v>10680</v>
      </c>
      <c r="N957" s="1"/>
      <c r="O957" s="1"/>
      <c r="P957" s="1"/>
      <c r="Q957" s="1"/>
      <c r="R957" s="1"/>
      <c r="S957" s="1"/>
      <c r="T957" s="1"/>
      <c r="U957" s="1"/>
      <c r="V957" s="1"/>
      <c r="W957" s="1"/>
    </row>
    <row r="958" spans="1:23" ht="48" customHeight="1">
      <c r="A958" s="1" t="s">
        <v>5337</v>
      </c>
      <c r="B958" s="1" t="s">
        <v>6118</v>
      </c>
      <c r="C958" s="1" t="s">
        <v>10681</v>
      </c>
      <c r="D958" s="1" t="s">
        <v>10682</v>
      </c>
      <c r="E958" s="1" t="s">
        <v>10683</v>
      </c>
      <c r="F958" s="1" t="s">
        <v>6087</v>
      </c>
      <c r="G958" s="1" t="s">
        <v>10661</v>
      </c>
      <c r="H958" s="1" t="s">
        <v>6089</v>
      </c>
      <c r="I958" s="1"/>
      <c r="J958" s="1"/>
      <c r="K958" s="1" t="s">
        <v>6090</v>
      </c>
      <c r="L958" s="1" t="s">
        <v>10684</v>
      </c>
      <c r="M958" s="1" t="s">
        <v>10685</v>
      </c>
      <c r="N958" s="1"/>
      <c r="O958" s="1"/>
      <c r="P958" s="1"/>
      <c r="Q958" s="1"/>
      <c r="R958" s="1" t="s">
        <v>10686</v>
      </c>
      <c r="S958" s="1" t="s">
        <v>10687</v>
      </c>
      <c r="T958" s="1" t="s">
        <v>10666</v>
      </c>
      <c r="U958" s="1" t="s">
        <v>6096</v>
      </c>
      <c r="V958" s="1" t="s">
        <v>6097</v>
      </c>
      <c r="W958" s="1" t="s">
        <v>10667</v>
      </c>
    </row>
    <row r="959" spans="1:23" ht="48" customHeight="1">
      <c r="A959" s="1" t="s">
        <v>5337</v>
      </c>
      <c r="B959" s="1" t="s">
        <v>6126</v>
      </c>
      <c r="C959" s="1" t="s">
        <v>10688</v>
      </c>
      <c r="D959" s="1" t="s">
        <v>10689</v>
      </c>
      <c r="E959" s="1" t="s">
        <v>8419</v>
      </c>
      <c r="F959" s="1" t="s">
        <v>6087</v>
      </c>
      <c r="G959" s="1" t="s">
        <v>10661</v>
      </c>
      <c r="H959" s="1" t="s">
        <v>6089</v>
      </c>
      <c r="I959" s="1"/>
      <c r="J959" s="1"/>
      <c r="K959" s="1" t="s">
        <v>6090</v>
      </c>
      <c r="L959" s="1" t="s">
        <v>10690</v>
      </c>
      <c r="M959" s="1" t="s">
        <v>10691</v>
      </c>
      <c r="N959" s="1"/>
      <c r="O959" s="1"/>
      <c r="P959" s="1"/>
      <c r="Q959" s="1"/>
      <c r="R959" s="1" t="s">
        <v>10692</v>
      </c>
      <c r="S959" s="1" t="s">
        <v>10693</v>
      </c>
      <c r="T959" s="1" t="s">
        <v>10666</v>
      </c>
      <c r="U959" s="1" t="s">
        <v>6096</v>
      </c>
      <c r="V959" s="1" t="s">
        <v>6097</v>
      </c>
      <c r="W959" s="1" t="s">
        <v>10667</v>
      </c>
    </row>
    <row r="960" spans="1:23" ht="48" customHeight="1">
      <c r="A960" s="1" t="s">
        <v>5337</v>
      </c>
      <c r="B960" s="1" t="s">
        <v>6134</v>
      </c>
      <c r="C960" s="1" t="s">
        <v>10694</v>
      </c>
      <c r="D960" s="1" t="s">
        <v>10695</v>
      </c>
      <c r="E960" s="1" t="s">
        <v>10696</v>
      </c>
      <c r="F960" s="1" t="s">
        <v>6138</v>
      </c>
      <c r="G960" s="1" t="s">
        <v>10661</v>
      </c>
      <c r="H960" s="1" t="s">
        <v>6089</v>
      </c>
      <c r="I960" s="1"/>
      <c r="J960" s="1"/>
      <c r="K960" s="1" t="s">
        <v>6090</v>
      </c>
      <c r="L960" s="1" t="s">
        <v>10697</v>
      </c>
      <c r="M960" s="1" t="s">
        <v>10698</v>
      </c>
      <c r="N960" s="1"/>
      <c r="O960" s="1"/>
      <c r="P960" s="1"/>
      <c r="Q960" s="1"/>
      <c r="R960" s="1" t="s">
        <v>10699</v>
      </c>
      <c r="S960" s="1" t="s">
        <v>10700</v>
      </c>
      <c r="T960" s="1" t="s">
        <v>10666</v>
      </c>
      <c r="U960" s="1" t="s">
        <v>6096</v>
      </c>
      <c r="V960" s="1" t="s">
        <v>6143</v>
      </c>
      <c r="W960" s="1" t="s">
        <v>10667</v>
      </c>
    </row>
    <row r="961" spans="1:23" ht="48" customHeight="1">
      <c r="A961" s="1" t="s">
        <v>5337</v>
      </c>
      <c r="B961" s="1" t="s">
        <v>6144</v>
      </c>
      <c r="C961" s="1" t="s">
        <v>10701</v>
      </c>
      <c r="D961" s="1" t="s">
        <v>4747</v>
      </c>
      <c r="E961" s="1" t="s">
        <v>10702</v>
      </c>
      <c r="F961" s="1" t="s">
        <v>6138</v>
      </c>
      <c r="G961" s="1" t="s">
        <v>10661</v>
      </c>
      <c r="H961" s="1" t="s">
        <v>6089</v>
      </c>
      <c r="I961" s="1"/>
      <c r="J961" s="1"/>
      <c r="K961" s="1" t="s">
        <v>6090</v>
      </c>
      <c r="L961" s="1" t="s">
        <v>10703</v>
      </c>
      <c r="M961" s="1" t="s">
        <v>10704</v>
      </c>
      <c r="N961" s="1"/>
      <c r="O961" s="1"/>
      <c r="P961" s="1"/>
      <c r="Q961" s="1"/>
      <c r="R961" s="1" t="s">
        <v>10699</v>
      </c>
      <c r="S961" s="1" t="s">
        <v>10700</v>
      </c>
      <c r="T961" s="1" t="s">
        <v>10666</v>
      </c>
      <c r="U961" s="1" t="s">
        <v>6096</v>
      </c>
      <c r="V961" s="1" t="s">
        <v>6143</v>
      </c>
      <c r="W961" s="1" t="s">
        <v>10667</v>
      </c>
    </row>
    <row r="962" spans="1:23" ht="48" customHeight="1">
      <c r="A962" s="1" t="s">
        <v>5337</v>
      </c>
      <c r="B962" s="1" t="s">
        <v>6149</v>
      </c>
      <c r="C962" s="1" t="s">
        <v>10705</v>
      </c>
      <c r="D962" s="1" t="s">
        <v>10706</v>
      </c>
      <c r="E962" s="1" t="s">
        <v>10707</v>
      </c>
      <c r="F962" s="1" t="s">
        <v>6138</v>
      </c>
      <c r="G962" s="1" t="s">
        <v>10661</v>
      </c>
      <c r="H962" s="1" t="s">
        <v>6089</v>
      </c>
      <c r="I962" s="1"/>
      <c r="J962" s="1"/>
      <c r="K962" s="1" t="s">
        <v>6090</v>
      </c>
      <c r="L962" s="1" t="s">
        <v>10708</v>
      </c>
      <c r="M962" s="1" t="s">
        <v>10709</v>
      </c>
      <c r="N962" s="1"/>
      <c r="O962" s="1"/>
      <c r="P962" s="1"/>
      <c r="Q962" s="1"/>
      <c r="R962" s="1" t="s">
        <v>10699</v>
      </c>
      <c r="S962" s="1" t="s">
        <v>10700</v>
      </c>
      <c r="T962" s="1" t="s">
        <v>10666</v>
      </c>
      <c r="U962" s="1" t="s">
        <v>6096</v>
      </c>
      <c r="V962" s="1" t="s">
        <v>6143</v>
      </c>
      <c r="W962" s="1" t="s">
        <v>10667</v>
      </c>
    </row>
    <row r="963" spans="1:23" ht="48" customHeight="1">
      <c r="A963" s="1" t="s">
        <v>5337</v>
      </c>
      <c r="B963" s="1" t="s">
        <v>6154</v>
      </c>
      <c r="C963" s="1" t="s">
        <v>10710</v>
      </c>
      <c r="D963" s="1" t="s">
        <v>10711</v>
      </c>
      <c r="E963" s="1" t="s">
        <v>10712</v>
      </c>
      <c r="F963" s="1" t="s">
        <v>6138</v>
      </c>
      <c r="G963" s="1" t="s">
        <v>10661</v>
      </c>
      <c r="H963" s="1" t="s">
        <v>6089</v>
      </c>
      <c r="I963" s="1"/>
      <c r="J963" s="1"/>
      <c r="K963" s="1" t="s">
        <v>6090</v>
      </c>
      <c r="L963" s="1" t="s">
        <v>10713</v>
      </c>
      <c r="M963" s="1" t="s">
        <v>10714</v>
      </c>
      <c r="N963" s="1"/>
      <c r="O963" s="1"/>
      <c r="P963" s="1"/>
      <c r="Q963" s="1"/>
      <c r="R963" s="1" t="s">
        <v>10699</v>
      </c>
      <c r="S963" s="1" t="s">
        <v>10700</v>
      </c>
      <c r="T963" s="1" t="s">
        <v>10666</v>
      </c>
      <c r="U963" s="1" t="s">
        <v>6096</v>
      </c>
      <c r="V963" s="1" t="s">
        <v>6143</v>
      </c>
      <c r="W963" s="1" t="s">
        <v>10667</v>
      </c>
    </row>
    <row r="964" spans="1:23" ht="48" customHeight="1">
      <c r="A964" s="1" t="s">
        <v>5337</v>
      </c>
      <c r="B964" s="1" t="s">
        <v>6159</v>
      </c>
      <c r="C964" s="1" t="s">
        <v>4747</v>
      </c>
      <c r="D964" s="1" t="s">
        <v>4747</v>
      </c>
      <c r="E964" s="1" t="s">
        <v>10715</v>
      </c>
      <c r="F964" s="1" t="s">
        <v>6163</v>
      </c>
      <c r="G964" s="1" t="s">
        <v>10661</v>
      </c>
      <c r="H964" s="1" t="s">
        <v>6089</v>
      </c>
      <c r="I964" s="1"/>
      <c r="J964" s="1"/>
      <c r="K964" s="1" t="s">
        <v>6090</v>
      </c>
      <c r="L964" s="1" t="s">
        <v>10716</v>
      </c>
      <c r="M964" s="1" t="s">
        <v>10717</v>
      </c>
      <c r="N964" s="1"/>
      <c r="O964" s="1"/>
      <c r="P964" s="1"/>
      <c r="Q964" s="1"/>
      <c r="R964" s="1" t="s">
        <v>10718</v>
      </c>
      <c r="S964" s="1" t="s">
        <v>10719</v>
      </c>
      <c r="T964" s="1" t="s">
        <v>10666</v>
      </c>
      <c r="U964" s="1" t="s">
        <v>6096</v>
      </c>
      <c r="V964" s="1" t="s">
        <v>6168</v>
      </c>
      <c r="W964" s="1" t="s">
        <v>10667</v>
      </c>
    </row>
    <row r="965" spans="1:23" ht="48" customHeight="1">
      <c r="A965" s="1" t="s">
        <v>5337</v>
      </c>
      <c r="B965" s="1" t="s">
        <v>6169</v>
      </c>
      <c r="C965" s="1" t="s">
        <v>10720</v>
      </c>
      <c r="D965" s="1" t="s">
        <v>4747</v>
      </c>
      <c r="E965" s="1" t="s">
        <v>10721</v>
      </c>
      <c r="F965" s="1" t="s">
        <v>6163</v>
      </c>
      <c r="G965" s="1" t="s">
        <v>10661</v>
      </c>
      <c r="H965" s="1" t="s">
        <v>6089</v>
      </c>
      <c r="I965" s="1"/>
      <c r="J965" s="1"/>
      <c r="K965" s="1" t="s">
        <v>6090</v>
      </c>
      <c r="L965" s="1" t="s">
        <v>10722</v>
      </c>
      <c r="M965" s="1" t="s">
        <v>10723</v>
      </c>
      <c r="N965" s="1"/>
      <c r="O965" s="1"/>
      <c r="P965" s="1"/>
      <c r="Q965" s="1"/>
      <c r="R965" s="1" t="s">
        <v>10724</v>
      </c>
      <c r="S965" s="1" t="s">
        <v>7154</v>
      </c>
      <c r="T965" s="1" t="s">
        <v>10666</v>
      </c>
      <c r="U965" s="1" t="s">
        <v>6096</v>
      </c>
      <c r="V965" s="1" t="s">
        <v>6168</v>
      </c>
      <c r="W965" s="1" t="s">
        <v>10667</v>
      </c>
    </row>
    <row r="966" spans="1:23" ht="96" customHeight="1">
      <c r="A966" s="1" t="s">
        <v>5337</v>
      </c>
      <c r="B966" s="1" t="s">
        <v>6176</v>
      </c>
      <c r="C966" s="1" t="s">
        <v>10725</v>
      </c>
      <c r="D966" s="1" t="s">
        <v>4747</v>
      </c>
      <c r="E966" s="1" t="s">
        <v>10726</v>
      </c>
      <c r="F966" s="1" t="s">
        <v>6138</v>
      </c>
      <c r="G966" s="1" t="s">
        <v>10661</v>
      </c>
      <c r="H966" s="1" t="s">
        <v>6089</v>
      </c>
      <c r="I966" s="1"/>
      <c r="J966" s="1"/>
      <c r="K966" s="1" t="s">
        <v>6090</v>
      </c>
      <c r="L966" s="1" t="s">
        <v>10727</v>
      </c>
      <c r="M966" s="1" t="s">
        <v>10728</v>
      </c>
      <c r="N966" s="1"/>
      <c r="O966" s="1"/>
      <c r="P966" s="1"/>
      <c r="Q966" s="1"/>
      <c r="R966" s="1" t="s">
        <v>10729</v>
      </c>
      <c r="S966" s="1" t="s">
        <v>10730</v>
      </c>
      <c r="T966" s="1" t="s">
        <v>10666</v>
      </c>
      <c r="U966" s="1" t="s">
        <v>6096</v>
      </c>
      <c r="V966" s="1" t="s">
        <v>6184</v>
      </c>
      <c r="W966" s="1" t="s">
        <v>10667</v>
      </c>
    </row>
    <row r="967" spans="1:23" ht="96" customHeight="1">
      <c r="A967" s="1" t="s">
        <v>5337</v>
      </c>
      <c r="B967" s="1" t="s">
        <v>6185</v>
      </c>
      <c r="C967" s="1" t="s">
        <v>10731</v>
      </c>
      <c r="D967" s="1" t="s">
        <v>4747</v>
      </c>
      <c r="E967" s="1" t="s">
        <v>10732</v>
      </c>
      <c r="F967" s="1" t="s">
        <v>6138</v>
      </c>
      <c r="G967" s="1" t="s">
        <v>10661</v>
      </c>
      <c r="H967" s="1" t="s">
        <v>6089</v>
      </c>
      <c r="I967" s="1"/>
      <c r="J967" s="1"/>
      <c r="K967" s="1" t="s">
        <v>6090</v>
      </c>
      <c r="L967" s="1" t="s">
        <v>10733</v>
      </c>
      <c r="M967" s="1" t="s">
        <v>10734</v>
      </c>
      <c r="N967" s="1"/>
      <c r="O967" s="1"/>
      <c r="P967" s="1"/>
      <c r="Q967" s="1"/>
      <c r="R967" s="1" t="s">
        <v>10735</v>
      </c>
      <c r="S967" s="1" t="s">
        <v>10736</v>
      </c>
      <c r="T967" s="1" t="s">
        <v>10666</v>
      </c>
      <c r="U967" s="1" t="s">
        <v>6096</v>
      </c>
      <c r="V967" s="1" t="s">
        <v>6184</v>
      </c>
      <c r="W967" s="1" t="s">
        <v>10667</v>
      </c>
    </row>
    <row r="968" spans="1:23" ht="48" customHeight="1">
      <c r="A968" s="1" t="s">
        <v>5337</v>
      </c>
      <c r="B968" s="1" t="s">
        <v>6189</v>
      </c>
      <c r="C968" s="1" t="s">
        <v>4747</v>
      </c>
      <c r="D968" s="1" t="s">
        <v>4747</v>
      </c>
      <c r="E968" s="1" t="s">
        <v>4747</v>
      </c>
      <c r="F968" s="1" t="s">
        <v>6186</v>
      </c>
      <c r="G968" s="1" t="s">
        <v>10661</v>
      </c>
      <c r="H968" s="1" t="s">
        <v>6089</v>
      </c>
      <c r="I968" s="1"/>
      <c r="J968" s="1"/>
      <c r="K968" s="1" t="s">
        <v>6090</v>
      </c>
      <c r="L968" s="1" t="s">
        <v>10737</v>
      </c>
      <c r="M968" s="1" t="s">
        <v>10738</v>
      </c>
      <c r="N968" s="1"/>
      <c r="O968" s="1"/>
      <c r="P968" s="1"/>
      <c r="Q968" s="1"/>
      <c r="R968" s="1"/>
      <c r="S968" s="1"/>
      <c r="T968" s="1"/>
      <c r="U968" s="1"/>
      <c r="V968" s="1"/>
      <c r="W968" s="1"/>
    </row>
    <row r="969" spans="1:23" ht="48" customHeight="1">
      <c r="A969" s="1" t="s">
        <v>5337</v>
      </c>
      <c r="B969" s="1" t="s">
        <v>6196</v>
      </c>
      <c r="C969" s="1" t="s">
        <v>6197</v>
      </c>
      <c r="D969" s="1" t="s">
        <v>4747</v>
      </c>
      <c r="E969" s="1"/>
      <c r="F969" s="1" t="s">
        <v>6110</v>
      </c>
      <c r="G969" s="1" t="s">
        <v>10661</v>
      </c>
      <c r="H969" s="1" t="s">
        <v>6089</v>
      </c>
      <c r="I969" s="1"/>
      <c r="J969" s="1"/>
      <c r="K969" s="1" t="s">
        <v>6090</v>
      </c>
      <c r="L969" s="1" t="s">
        <v>10739</v>
      </c>
      <c r="M969" s="1" t="s">
        <v>10740</v>
      </c>
      <c r="N969" s="1"/>
      <c r="O969" s="1"/>
      <c r="P969" s="1"/>
      <c r="Q969" s="1"/>
      <c r="R969" s="1"/>
      <c r="S969" s="1"/>
      <c r="T969" s="1"/>
      <c r="U969" s="1"/>
      <c r="V969" s="1"/>
      <c r="W969" s="1"/>
    </row>
    <row r="970" spans="1:23" ht="48" customHeight="1">
      <c r="A970" s="1" t="s">
        <v>5337</v>
      </c>
      <c r="B970" s="1" t="s">
        <v>6200</v>
      </c>
      <c r="C970" s="1" t="s">
        <v>4747</v>
      </c>
      <c r="D970" s="1" t="s">
        <v>4747</v>
      </c>
      <c r="E970" s="1" t="s">
        <v>4747</v>
      </c>
      <c r="F970" s="1" t="s">
        <v>6186</v>
      </c>
      <c r="G970" s="1" t="s">
        <v>10661</v>
      </c>
      <c r="H970" s="1" t="s">
        <v>6089</v>
      </c>
      <c r="I970" s="1"/>
      <c r="J970" s="1"/>
      <c r="K970" s="1" t="s">
        <v>6090</v>
      </c>
      <c r="L970" s="1" t="s">
        <v>10741</v>
      </c>
      <c r="M970" s="1" t="s">
        <v>10742</v>
      </c>
      <c r="N970" s="1"/>
      <c r="O970" s="1"/>
      <c r="P970" s="1"/>
      <c r="Q970" s="1"/>
      <c r="R970" s="1"/>
      <c r="S970" s="1"/>
      <c r="T970" s="1"/>
      <c r="U970" s="1"/>
      <c r="V970" s="1"/>
      <c r="W970" s="1"/>
    </row>
    <row r="971" spans="1:23" ht="96" customHeight="1">
      <c r="A971" s="1" t="s">
        <v>5337</v>
      </c>
      <c r="B971" s="1" t="s">
        <v>5583</v>
      </c>
      <c r="C971" s="1" t="s">
        <v>10743</v>
      </c>
      <c r="D971" s="1" t="s">
        <v>4747</v>
      </c>
      <c r="E971" s="1" t="s">
        <v>10744</v>
      </c>
      <c r="F971" s="1" t="s">
        <v>6138</v>
      </c>
      <c r="G971" s="1" t="s">
        <v>10661</v>
      </c>
      <c r="H971" s="1" t="s">
        <v>6089</v>
      </c>
      <c r="I971" s="1"/>
      <c r="J971" s="1"/>
      <c r="K971" s="1" t="s">
        <v>6090</v>
      </c>
      <c r="L971" s="1" t="s">
        <v>10745</v>
      </c>
      <c r="M971" s="1" t="s">
        <v>10746</v>
      </c>
      <c r="N971" s="1"/>
      <c r="O971" s="1"/>
      <c r="P971" s="1"/>
      <c r="Q971" s="1"/>
      <c r="R971" s="1" t="s">
        <v>10747</v>
      </c>
      <c r="S971" s="1" t="s">
        <v>10748</v>
      </c>
      <c r="T971" s="1" t="s">
        <v>10666</v>
      </c>
      <c r="U971" s="1" t="s">
        <v>6096</v>
      </c>
      <c r="V971" s="1" t="s">
        <v>6184</v>
      </c>
      <c r="W971" s="1" t="s">
        <v>10667</v>
      </c>
    </row>
    <row r="972" spans="1:23" ht="48" customHeight="1">
      <c r="A972" s="1" t="s">
        <v>5337</v>
      </c>
      <c r="B972" s="1" t="s">
        <v>6209</v>
      </c>
      <c r="C972" s="1" t="s">
        <v>4747</v>
      </c>
      <c r="D972" s="1" t="s">
        <v>4747</v>
      </c>
      <c r="E972" s="1" t="s">
        <v>4747</v>
      </c>
      <c r="F972" s="1" t="s">
        <v>6186</v>
      </c>
      <c r="G972" s="1" t="s">
        <v>10661</v>
      </c>
      <c r="H972" s="1" t="s">
        <v>6089</v>
      </c>
      <c r="I972" s="1"/>
      <c r="J972" s="1"/>
      <c r="K972" s="1" t="s">
        <v>6090</v>
      </c>
      <c r="L972" s="1" t="s">
        <v>10749</v>
      </c>
      <c r="M972" s="1" t="s">
        <v>10750</v>
      </c>
      <c r="N972" s="1"/>
      <c r="O972" s="1"/>
      <c r="P972" s="1"/>
      <c r="Q972" s="1"/>
      <c r="R972" s="1"/>
      <c r="S972" s="1"/>
      <c r="T972" s="1"/>
      <c r="U972" s="1"/>
      <c r="V972" s="1"/>
      <c r="W972" s="1"/>
    </row>
    <row r="973" spans="1:23" ht="48" customHeight="1">
      <c r="A973" s="1" t="s">
        <v>5337</v>
      </c>
      <c r="B973" s="1" t="s">
        <v>6212</v>
      </c>
      <c r="C973" s="1" t="s">
        <v>4747</v>
      </c>
      <c r="D973" s="1" t="s">
        <v>4747</v>
      </c>
      <c r="E973" s="1" t="s">
        <v>4747</v>
      </c>
      <c r="F973" s="1" t="s">
        <v>6186</v>
      </c>
      <c r="G973" s="1" t="s">
        <v>10661</v>
      </c>
      <c r="H973" s="1" t="s">
        <v>6089</v>
      </c>
      <c r="I973" s="1"/>
      <c r="J973" s="1"/>
      <c r="K973" s="1" t="s">
        <v>6090</v>
      </c>
      <c r="L973" s="1" t="s">
        <v>10751</v>
      </c>
      <c r="M973" s="1" t="s">
        <v>10752</v>
      </c>
      <c r="N973" s="1"/>
      <c r="O973" s="1"/>
      <c r="P973" s="1"/>
      <c r="Q973" s="1"/>
      <c r="R973" s="1"/>
      <c r="S973" s="1"/>
      <c r="T973" s="1"/>
      <c r="U973" s="1"/>
      <c r="V973" s="1"/>
      <c r="W973" s="1"/>
    </row>
    <row r="974" spans="1:23" ht="48" customHeight="1">
      <c r="A974" s="1" t="s">
        <v>5337</v>
      </c>
      <c r="B974" s="1" t="s">
        <v>6215</v>
      </c>
      <c r="C974" s="1"/>
      <c r="D974" s="1" t="s">
        <v>4747</v>
      </c>
      <c r="E974" s="1"/>
      <c r="F974" s="1" t="s">
        <v>6216</v>
      </c>
      <c r="G974" s="1"/>
      <c r="H974" s="1" t="s">
        <v>6089</v>
      </c>
      <c r="I974" s="1"/>
      <c r="J974" s="1"/>
      <c r="K974" s="1" t="s">
        <v>6090</v>
      </c>
      <c r="L974" s="1"/>
      <c r="M974" s="1" t="s">
        <v>10753</v>
      </c>
      <c r="N974" s="1"/>
      <c r="O974" s="1"/>
      <c r="P974" s="1"/>
      <c r="Q974" s="1"/>
      <c r="R974" s="1"/>
      <c r="S974" s="1"/>
      <c r="T974" s="1"/>
      <c r="U974" s="1"/>
      <c r="V974" s="1"/>
      <c r="W974" s="1"/>
    </row>
    <row r="975" spans="1:23" ht="48" customHeight="1">
      <c r="A975" s="1" t="s">
        <v>5337</v>
      </c>
      <c r="B975" s="1" t="s">
        <v>6218</v>
      </c>
      <c r="C975" s="1" t="s">
        <v>10754</v>
      </c>
      <c r="D975" s="1" t="s">
        <v>4747</v>
      </c>
      <c r="E975" s="1"/>
      <c r="F975" s="1" t="s">
        <v>6110</v>
      </c>
      <c r="G975" s="1" t="s">
        <v>10661</v>
      </c>
      <c r="H975" s="1" t="s">
        <v>6089</v>
      </c>
      <c r="I975" s="1"/>
      <c r="J975" s="1"/>
      <c r="K975" s="1" t="s">
        <v>6090</v>
      </c>
      <c r="L975" s="1" t="s">
        <v>10755</v>
      </c>
      <c r="M975" s="1" t="s">
        <v>10756</v>
      </c>
      <c r="N975" s="1"/>
      <c r="O975" s="1"/>
      <c r="P975" s="1"/>
      <c r="Q975" s="1"/>
      <c r="R975" s="1"/>
      <c r="S975" s="1"/>
      <c r="T975" s="1"/>
      <c r="U975" s="1"/>
      <c r="V975" s="1"/>
      <c r="W975" s="1"/>
    </row>
    <row r="976" spans="1:23" ht="48" customHeight="1">
      <c r="A976" s="1" t="s">
        <v>5337</v>
      </c>
      <c r="B976" s="1" t="s">
        <v>6222</v>
      </c>
      <c r="C976" s="1" t="s">
        <v>10757</v>
      </c>
      <c r="D976" s="1" t="s">
        <v>4747</v>
      </c>
      <c r="E976" s="1"/>
      <c r="F976" s="1" t="s">
        <v>6110</v>
      </c>
      <c r="G976" s="1" t="s">
        <v>10661</v>
      </c>
      <c r="H976" s="1" t="s">
        <v>6089</v>
      </c>
      <c r="I976" s="1"/>
      <c r="J976" s="1"/>
      <c r="K976" s="1" t="s">
        <v>6090</v>
      </c>
      <c r="L976" s="1" t="s">
        <v>10758</v>
      </c>
      <c r="M976" s="1" t="s">
        <v>10759</v>
      </c>
      <c r="N976" s="1"/>
      <c r="O976" s="1"/>
      <c r="P976" s="1"/>
      <c r="Q976" s="1"/>
      <c r="R976" s="1"/>
      <c r="S976" s="1"/>
      <c r="T976" s="1"/>
      <c r="U976" s="1"/>
      <c r="V976" s="1"/>
      <c r="W976" s="1"/>
    </row>
    <row r="977" spans="1:23" ht="48" customHeight="1">
      <c r="A977" s="1" t="s">
        <v>5337</v>
      </c>
      <c r="B977" s="1" t="s">
        <v>6227</v>
      </c>
      <c r="C977" s="1" t="s">
        <v>10760</v>
      </c>
      <c r="D977" s="1" t="s">
        <v>10761</v>
      </c>
      <c r="E977" s="1"/>
      <c r="F977" s="1" t="s">
        <v>6110</v>
      </c>
      <c r="G977" s="1" t="s">
        <v>10661</v>
      </c>
      <c r="H977" s="1" t="s">
        <v>6089</v>
      </c>
      <c r="I977" s="1"/>
      <c r="J977" s="1"/>
      <c r="K977" s="1" t="s">
        <v>6090</v>
      </c>
      <c r="L977" s="1" t="s">
        <v>10762</v>
      </c>
      <c r="M977" s="1" t="s">
        <v>10763</v>
      </c>
      <c r="N977" s="1"/>
      <c r="O977" s="1"/>
      <c r="P977" s="1"/>
      <c r="Q977" s="1"/>
      <c r="R977" s="1"/>
      <c r="S977" s="1"/>
      <c r="T977" s="1"/>
      <c r="U977" s="1"/>
      <c r="V977" s="1"/>
      <c r="W977" s="1"/>
    </row>
    <row r="978" spans="1:23" ht="48" customHeight="1">
      <c r="A978" s="1" t="s">
        <v>5337</v>
      </c>
      <c r="B978" s="1" t="s">
        <v>6232</v>
      </c>
      <c r="C978" s="1" t="s">
        <v>10627</v>
      </c>
      <c r="D978" s="1" t="s">
        <v>4747</v>
      </c>
      <c r="E978" s="1" t="s">
        <v>10627</v>
      </c>
      <c r="F978" s="1" t="s">
        <v>6186</v>
      </c>
      <c r="G978" s="1" t="s">
        <v>10661</v>
      </c>
      <c r="H978" s="1" t="s">
        <v>6089</v>
      </c>
      <c r="I978" s="1"/>
      <c r="J978" s="1"/>
      <c r="K978" s="1" t="s">
        <v>6090</v>
      </c>
      <c r="L978" s="1" t="s">
        <v>10764</v>
      </c>
      <c r="M978" s="1" t="s">
        <v>10765</v>
      </c>
      <c r="N978" s="1"/>
      <c r="O978" s="1"/>
      <c r="P978" s="1"/>
      <c r="Q978" s="1"/>
      <c r="R978" s="1"/>
      <c r="S978" s="1"/>
      <c r="T978" s="1"/>
      <c r="U978" s="1"/>
      <c r="V978" s="1"/>
      <c r="W978" s="1"/>
    </row>
    <row r="979" spans="1:23" ht="60" customHeight="1">
      <c r="A979" s="1" t="s">
        <v>5337</v>
      </c>
      <c r="B979" s="1" t="s">
        <v>6236</v>
      </c>
      <c r="C979" s="1" t="s">
        <v>10766</v>
      </c>
      <c r="D979" s="1" t="s">
        <v>10767</v>
      </c>
      <c r="E979" s="1" t="s">
        <v>10768</v>
      </c>
      <c r="F979" s="1" t="s">
        <v>6163</v>
      </c>
      <c r="G979" s="1" t="s">
        <v>10661</v>
      </c>
      <c r="H979" s="1" t="s">
        <v>6089</v>
      </c>
      <c r="I979" s="1"/>
      <c r="J979" s="1"/>
      <c r="K979" s="1" t="s">
        <v>6090</v>
      </c>
      <c r="L979" s="1" t="s">
        <v>10769</v>
      </c>
      <c r="M979" s="1" t="s">
        <v>10770</v>
      </c>
      <c r="N979" s="1"/>
      <c r="O979" s="1"/>
      <c r="P979" s="1"/>
      <c r="Q979" s="1"/>
      <c r="R979" s="1" t="s">
        <v>10771</v>
      </c>
      <c r="S979" s="1" t="s">
        <v>7616</v>
      </c>
      <c r="T979" s="1" t="s">
        <v>10666</v>
      </c>
      <c r="U979" s="1" t="s">
        <v>6096</v>
      </c>
      <c r="V979" s="1" t="s">
        <v>6244</v>
      </c>
      <c r="W979" s="1" t="s">
        <v>10667</v>
      </c>
    </row>
    <row r="980" spans="1:23" ht="48" customHeight="1">
      <c r="A980" s="1" t="s">
        <v>5337</v>
      </c>
      <c r="B980" s="1" t="s">
        <v>6245</v>
      </c>
      <c r="C980" s="1" t="s">
        <v>10772</v>
      </c>
      <c r="D980" s="1"/>
      <c r="E980" s="1"/>
      <c r="F980" s="1" t="s">
        <v>6216</v>
      </c>
      <c r="G980" s="1" t="s">
        <v>10661</v>
      </c>
      <c r="H980" s="1"/>
      <c r="I980" s="1"/>
      <c r="J980" s="1"/>
      <c r="K980" s="1" t="s">
        <v>6090</v>
      </c>
      <c r="L980" s="1" t="s">
        <v>10773</v>
      </c>
      <c r="M980" s="1"/>
      <c r="N980" s="1"/>
      <c r="O980" s="1"/>
      <c r="P980" s="1"/>
      <c r="Q980" s="1"/>
      <c r="R980" s="1"/>
      <c r="S980" s="1"/>
      <c r="T980" s="1"/>
      <c r="U980" s="1"/>
      <c r="V980" s="1"/>
      <c r="W980" s="1"/>
    </row>
    <row r="981" spans="1:23" ht="48" customHeight="1">
      <c r="A981" s="1" t="s">
        <v>5337</v>
      </c>
      <c r="B981" s="1" t="s">
        <v>6248</v>
      </c>
      <c r="C981" s="1" t="s">
        <v>10774</v>
      </c>
      <c r="D981" s="1"/>
      <c r="E981" s="1"/>
      <c r="F981" s="1" t="s">
        <v>6216</v>
      </c>
      <c r="G981" s="1" t="s">
        <v>10661</v>
      </c>
      <c r="H981" s="1"/>
      <c r="I981" s="1"/>
      <c r="J981" s="1"/>
      <c r="K981" s="1" t="s">
        <v>6090</v>
      </c>
      <c r="L981" s="1" t="s">
        <v>10775</v>
      </c>
      <c r="M981" s="1"/>
      <c r="N981" s="1"/>
      <c r="O981" s="1"/>
      <c r="P981" s="1"/>
      <c r="Q981" s="1"/>
      <c r="R981" s="1"/>
      <c r="S981" s="1"/>
      <c r="T981" s="1"/>
      <c r="U981" s="1"/>
      <c r="V981" s="1"/>
      <c r="W981" s="1"/>
    </row>
    <row r="982" spans="1:23" ht="48" customHeight="1">
      <c r="A982" s="1" t="s">
        <v>5352</v>
      </c>
      <c r="B982" s="1" t="s">
        <v>6083</v>
      </c>
      <c r="C982" s="1" t="s">
        <v>10776</v>
      </c>
      <c r="D982" s="1" t="s">
        <v>10777</v>
      </c>
      <c r="E982" s="1" t="s">
        <v>6086</v>
      </c>
      <c r="F982" s="1" t="s">
        <v>6087</v>
      </c>
      <c r="G982" s="1" t="s">
        <v>10778</v>
      </c>
      <c r="H982" s="1" t="s">
        <v>6089</v>
      </c>
      <c r="I982" s="1"/>
      <c r="J982" s="1"/>
      <c r="K982" s="1" t="s">
        <v>6090</v>
      </c>
      <c r="L982" s="1" t="s">
        <v>10779</v>
      </c>
      <c r="M982" s="1" t="s">
        <v>10780</v>
      </c>
      <c r="N982" s="1"/>
      <c r="O982" s="1"/>
      <c r="P982" s="1"/>
      <c r="Q982" s="1"/>
      <c r="R982" s="1" t="s">
        <v>10781</v>
      </c>
      <c r="S982" s="1" t="s">
        <v>10782</v>
      </c>
      <c r="T982" s="1" t="s">
        <v>10783</v>
      </c>
      <c r="U982" s="1" t="s">
        <v>6096</v>
      </c>
      <c r="V982" s="1" t="s">
        <v>6097</v>
      </c>
      <c r="W982" s="1" t="s">
        <v>10784</v>
      </c>
    </row>
    <row r="983" spans="1:23" ht="48" customHeight="1">
      <c r="A983" s="1" t="s">
        <v>5352</v>
      </c>
      <c r="B983" s="1" t="s">
        <v>6099</v>
      </c>
      <c r="C983" s="1" t="s">
        <v>10785</v>
      </c>
      <c r="D983" s="1" t="s">
        <v>6102</v>
      </c>
      <c r="E983" s="1" t="s">
        <v>6102</v>
      </c>
      <c r="F983" s="1" t="s">
        <v>6087</v>
      </c>
      <c r="G983" s="1" t="s">
        <v>10778</v>
      </c>
      <c r="H983" s="1" t="s">
        <v>6089</v>
      </c>
      <c r="I983" s="1"/>
      <c r="J983" s="1"/>
      <c r="K983" s="1" t="s">
        <v>6090</v>
      </c>
      <c r="L983" s="1" t="s">
        <v>10786</v>
      </c>
      <c r="M983" s="1" t="s">
        <v>10787</v>
      </c>
      <c r="N983" s="1"/>
      <c r="O983" s="1"/>
      <c r="P983" s="1"/>
      <c r="Q983" s="1"/>
      <c r="R983" s="1" t="s">
        <v>10788</v>
      </c>
      <c r="S983" s="1" t="s">
        <v>10789</v>
      </c>
      <c r="T983" s="1" t="s">
        <v>10783</v>
      </c>
      <c r="U983" s="1" t="s">
        <v>6096</v>
      </c>
      <c r="V983" s="1" t="s">
        <v>6097</v>
      </c>
      <c r="W983" s="1" t="s">
        <v>10784</v>
      </c>
    </row>
    <row r="984" spans="1:23" ht="48" customHeight="1">
      <c r="A984" s="1" t="s">
        <v>5352</v>
      </c>
      <c r="B984" s="1" t="s">
        <v>6107</v>
      </c>
      <c r="C984" s="1" t="s">
        <v>10790</v>
      </c>
      <c r="D984" s="1" t="s">
        <v>10791</v>
      </c>
      <c r="E984" s="1"/>
      <c r="F984" s="1" t="s">
        <v>6110</v>
      </c>
      <c r="G984" s="1" t="s">
        <v>10778</v>
      </c>
      <c r="H984" s="1" t="s">
        <v>6089</v>
      </c>
      <c r="I984" s="1"/>
      <c r="J984" s="1"/>
      <c r="K984" s="1" t="s">
        <v>6090</v>
      </c>
      <c r="L984" s="1" t="s">
        <v>10792</v>
      </c>
      <c r="M984" s="1" t="s">
        <v>10793</v>
      </c>
      <c r="N984" s="1"/>
      <c r="O984" s="1"/>
      <c r="P984" s="1"/>
      <c r="Q984" s="1"/>
      <c r="R984" s="1"/>
      <c r="S984" s="1"/>
      <c r="T984" s="1"/>
      <c r="U984" s="1"/>
      <c r="V984" s="1"/>
      <c r="W984" s="1"/>
    </row>
    <row r="985" spans="1:23" ht="48" customHeight="1">
      <c r="A985" s="1" t="s">
        <v>5352</v>
      </c>
      <c r="B985" s="1" t="s">
        <v>6113</v>
      </c>
      <c r="C985" s="1" t="s">
        <v>10794</v>
      </c>
      <c r="D985" s="1" t="s">
        <v>10795</v>
      </c>
      <c r="E985" s="1"/>
      <c r="F985" s="1" t="s">
        <v>6110</v>
      </c>
      <c r="G985" s="1" t="s">
        <v>10778</v>
      </c>
      <c r="H985" s="1" t="s">
        <v>6089</v>
      </c>
      <c r="I985" s="1"/>
      <c r="J985" s="1"/>
      <c r="K985" s="1" t="s">
        <v>6090</v>
      </c>
      <c r="L985" s="1" t="s">
        <v>10796</v>
      </c>
      <c r="M985" s="1" t="s">
        <v>10797</v>
      </c>
      <c r="N985" s="1"/>
      <c r="O985" s="1"/>
      <c r="P985" s="1"/>
      <c r="Q985" s="1"/>
      <c r="R985" s="1"/>
      <c r="S985" s="1"/>
      <c r="T985" s="1"/>
      <c r="U985" s="1"/>
      <c r="V985" s="1"/>
      <c r="W985" s="1"/>
    </row>
    <row r="986" spans="1:23" ht="48" customHeight="1">
      <c r="A986" s="1" t="s">
        <v>5352</v>
      </c>
      <c r="B986" s="1" t="s">
        <v>6118</v>
      </c>
      <c r="C986" s="1" t="s">
        <v>10798</v>
      </c>
      <c r="D986" s="1" t="s">
        <v>7773</v>
      </c>
      <c r="E986" s="1" t="s">
        <v>10799</v>
      </c>
      <c r="F986" s="1" t="s">
        <v>6087</v>
      </c>
      <c r="G986" s="1" t="s">
        <v>10778</v>
      </c>
      <c r="H986" s="1" t="s">
        <v>6089</v>
      </c>
      <c r="I986" s="1"/>
      <c r="J986" s="1"/>
      <c r="K986" s="1" t="s">
        <v>6090</v>
      </c>
      <c r="L986" s="1" t="s">
        <v>10800</v>
      </c>
      <c r="M986" s="1" t="s">
        <v>10801</v>
      </c>
      <c r="N986" s="1"/>
      <c r="O986" s="1"/>
      <c r="P986" s="1"/>
      <c r="Q986" s="1"/>
      <c r="R986" s="1" t="s">
        <v>10802</v>
      </c>
      <c r="S986" s="1" t="s">
        <v>10803</v>
      </c>
      <c r="T986" s="1" t="s">
        <v>10783</v>
      </c>
      <c r="U986" s="1" t="s">
        <v>6096</v>
      </c>
      <c r="V986" s="1" t="s">
        <v>6097</v>
      </c>
      <c r="W986" s="1" t="s">
        <v>10784</v>
      </c>
    </row>
    <row r="987" spans="1:23" ht="48" customHeight="1">
      <c r="A987" s="1" t="s">
        <v>5352</v>
      </c>
      <c r="B987" s="1" t="s">
        <v>6126</v>
      </c>
      <c r="C987" s="1" t="s">
        <v>10804</v>
      </c>
      <c r="D987" s="1" t="s">
        <v>10805</v>
      </c>
      <c r="E987" s="1" t="s">
        <v>6129</v>
      </c>
      <c r="F987" s="1" t="s">
        <v>6087</v>
      </c>
      <c r="G987" s="1" t="s">
        <v>10778</v>
      </c>
      <c r="H987" s="1" t="s">
        <v>6089</v>
      </c>
      <c r="I987" s="1"/>
      <c r="J987" s="1"/>
      <c r="K987" s="1" t="s">
        <v>6090</v>
      </c>
      <c r="L987" s="1" t="s">
        <v>10806</v>
      </c>
      <c r="M987" s="1" t="s">
        <v>10807</v>
      </c>
      <c r="N987" s="1"/>
      <c r="O987" s="1"/>
      <c r="P987" s="1"/>
      <c r="Q987" s="1"/>
      <c r="R987" s="1" t="s">
        <v>10808</v>
      </c>
      <c r="S987" s="1" t="s">
        <v>10809</v>
      </c>
      <c r="T987" s="1" t="s">
        <v>10783</v>
      </c>
      <c r="U987" s="1" t="s">
        <v>6096</v>
      </c>
      <c r="V987" s="1" t="s">
        <v>6097</v>
      </c>
      <c r="W987" s="1" t="s">
        <v>10784</v>
      </c>
    </row>
    <row r="988" spans="1:23" ht="48" customHeight="1">
      <c r="A988" s="1" t="s">
        <v>5352</v>
      </c>
      <c r="B988" s="1" t="s">
        <v>6134</v>
      </c>
      <c r="C988" s="1" t="s">
        <v>10810</v>
      </c>
      <c r="D988" s="1" t="s">
        <v>10811</v>
      </c>
      <c r="E988" s="1" t="s">
        <v>10812</v>
      </c>
      <c r="F988" s="1" t="s">
        <v>6138</v>
      </c>
      <c r="G988" s="1" t="s">
        <v>10778</v>
      </c>
      <c r="H988" s="1" t="s">
        <v>6089</v>
      </c>
      <c r="I988" s="1"/>
      <c r="J988" s="1"/>
      <c r="K988" s="1" t="s">
        <v>6090</v>
      </c>
      <c r="L988" s="1" t="s">
        <v>10813</v>
      </c>
      <c r="M988" s="1" t="s">
        <v>10814</v>
      </c>
      <c r="N988" s="1"/>
      <c r="O988" s="1"/>
      <c r="P988" s="1"/>
      <c r="Q988" s="1"/>
      <c r="R988" s="1" t="s">
        <v>10815</v>
      </c>
      <c r="S988" s="1" t="s">
        <v>10816</v>
      </c>
      <c r="T988" s="1" t="s">
        <v>10783</v>
      </c>
      <c r="U988" s="1" t="s">
        <v>6096</v>
      </c>
      <c r="V988" s="1" t="s">
        <v>6143</v>
      </c>
      <c r="W988" s="1" t="s">
        <v>10784</v>
      </c>
    </row>
    <row r="989" spans="1:23" ht="48" customHeight="1">
      <c r="A989" s="1" t="s">
        <v>5352</v>
      </c>
      <c r="B989" s="1" t="s">
        <v>6144</v>
      </c>
      <c r="C989" s="1" t="s">
        <v>4747</v>
      </c>
      <c r="D989" s="1" t="s">
        <v>4747</v>
      </c>
      <c r="E989" s="1" t="s">
        <v>10817</v>
      </c>
      <c r="F989" s="1" t="s">
        <v>6138</v>
      </c>
      <c r="G989" s="1" t="s">
        <v>10778</v>
      </c>
      <c r="H989" s="1" t="s">
        <v>6089</v>
      </c>
      <c r="I989" s="1"/>
      <c r="J989" s="1"/>
      <c r="K989" s="1" t="s">
        <v>6090</v>
      </c>
      <c r="L989" s="1" t="s">
        <v>10818</v>
      </c>
      <c r="M989" s="1" t="s">
        <v>10819</v>
      </c>
      <c r="N989" s="1"/>
      <c r="O989" s="1"/>
      <c r="P989" s="1"/>
      <c r="Q989" s="1"/>
      <c r="R989" s="1" t="s">
        <v>10815</v>
      </c>
      <c r="S989" s="1" t="s">
        <v>10816</v>
      </c>
      <c r="T989" s="1" t="s">
        <v>10783</v>
      </c>
      <c r="U989" s="1" t="s">
        <v>6096</v>
      </c>
      <c r="V989" s="1" t="s">
        <v>6143</v>
      </c>
      <c r="W989" s="1" t="s">
        <v>10784</v>
      </c>
    </row>
    <row r="990" spans="1:23" ht="48" customHeight="1">
      <c r="A990" s="1" t="s">
        <v>5352</v>
      </c>
      <c r="B990" s="1" t="s">
        <v>6149</v>
      </c>
      <c r="C990" s="1" t="s">
        <v>4747</v>
      </c>
      <c r="D990" s="1" t="s">
        <v>10820</v>
      </c>
      <c r="E990" s="1" t="s">
        <v>10821</v>
      </c>
      <c r="F990" s="1" t="s">
        <v>6138</v>
      </c>
      <c r="G990" s="1" t="s">
        <v>10778</v>
      </c>
      <c r="H990" s="1" t="s">
        <v>6089</v>
      </c>
      <c r="I990" s="1"/>
      <c r="J990" s="1"/>
      <c r="K990" s="1" t="s">
        <v>6090</v>
      </c>
      <c r="L990" s="1" t="s">
        <v>10822</v>
      </c>
      <c r="M990" s="1" t="s">
        <v>10823</v>
      </c>
      <c r="N990" s="1"/>
      <c r="O990" s="1"/>
      <c r="P990" s="1"/>
      <c r="Q990" s="1"/>
      <c r="R990" s="1" t="s">
        <v>10815</v>
      </c>
      <c r="S990" s="1" t="s">
        <v>10816</v>
      </c>
      <c r="T990" s="1" t="s">
        <v>10783</v>
      </c>
      <c r="U990" s="1" t="s">
        <v>6096</v>
      </c>
      <c r="V990" s="1" t="s">
        <v>6143</v>
      </c>
      <c r="W990" s="1" t="s">
        <v>10784</v>
      </c>
    </row>
    <row r="991" spans="1:23" ht="48" customHeight="1">
      <c r="A991" s="1" t="s">
        <v>5352</v>
      </c>
      <c r="B991" s="1" t="s">
        <v>6154</v>
      </c>
      <c r="C991" s="1" t="s">
        <v>5361</v>
      </c>
      <c r="D991" s="1" t="s">
        <v>10824</v>
      </c>
      <c r="E991" s="1" t="s">
        <v>10825</v>
      </c>
      <c r="F991" s="1" t="s">
        <v>6138</v>
      </c>
      <c r="G991" s="1" t="s">
        <v>10778</v>
      </c>
      <c r="H991" s="1" t="s">
        <v>6089</v>
      </c>
      <c r="I991" s="1"/>
      <c r="J991" s="1"/>
      <c r="K991" s="1" t="s">
        <v>6090</v>
      </c>
      <c r="L991" s="1" t="s">
        <v>10826</v>
      </c>
      <c r="M991" s="1" t="s">
        <v>10827</v>
      </c>
      <c r="N991" s="1"/>
      <c r="O991" s="1"/>
      <c r="P991" s="1"/>
      <c r="Q991" s="1"/>
      <c r="R991" s="1" t="s">
        <v>10815</v>
      </c>
      <c r="S991" s="1" t="s">
        <v>10816</v>
      </c>
      <c r="T991" s="1" t="s">
        <v>10783</v>
      </c>
      <c r="U991" s="1" t="s">
        <v>6096</v>
      </c>
      <c r="V991" s="1" t="s">
        <v>6143</v>
      </c>
      <c r="W991" s="1" t="s">
        <v>10784</v>
      </c>
    </row>
    <row r="992" spans="1:23" ht="48" customHeight="1">
      <c r="A992" s="1" t="s">
        <v>5352</v>
      </c>
      <c r="B992" s="1" t="s">
        <v>6159</v>
      </c>
      <c r="C992" s="1" t="s">
        <v>10828</v>
      </c>
      <c r="D992" s="1" t="s">
        <v>4747</v>
      </c>
      <c r="E992" s="1" t="s">
        <v>10829</v>
      </c>
      <c r="F992" s="1" t="s">
        <v>6163</v>
      </c>
      <c r="G992" s="1" t="s">
        <v>10778</v>
      </c>
      <c r="H992" s="1" t="s">
        <v>6089</v>
      </c>
      <c r="I992" s="1"/>
      <c r="J992" s="1"/>
      <c r="K992" s="1" t="s">
        <v>6090</v>
      </c>
      <c r="L992" s="1" t="s">
        <v>10830</v>
      </c>
      <c r="M992" s="1" t="s">
        <v>10831</v>
      </c>
      <c r="N992" s="1"/>
      <c r="O992" s="1"/>
      <c r="P992" s="1"/>
      <c r="Q992" s="1"/>
      <c r="R992" s="1" t="s">
        <v>10832</v>
      </c>
      <c r="S992" s="1" t="s">
        <v>6738</v>
      </c>
      <c r="T992" s="1" t="s">
        <v>10783</v>
      </c>
      <c r="U992" s="1" t="s">
        <v>6096</v>
      </c>
      <c r="V992" s="1" t="s">
        <v>6168</v>
      </c>
      <c r="W992" s="1" t="s">
        <v>10784</v>
      </c>
    </row>
    <row r="993" spans="1:23" ht="48" customHeight="1">
      <c r="A993" s="1" t="s">
        <v>5352</v>
      </c>
      <c r="B993" s="1" t="s">
        <v>6169</v>
      </c>
      <c r="C993" s="1" t="s">
        <v>4747</v>
      </c>
      <c r="D993" s="1" t="s">
        <v>4747</v>
      </c>
      <c r="E993" s="1" t="s">
        <v>4747</v>
      </c>
      <c r="F993" s="1" t="s">
        <v>6186</v>
      </c>
      <c r="G993" s="1" t="s">
        <v>10778</v>
      </c>
      <c r="H993" s="1" t="s">
        <v>6089</v>
      </c>
      <c r="I993" s="1"/>
      <c r="J993" s="1"/>
      <c r="K993" s="1" t="s">
        <v>6090</v>
      </c>
      <c r="L993" s="1" t="s">
        <v>10833</v>
      </c>
      <c r="M993" s="1" t="s">
        <v>10834</v>
      </c>
      <c r="N993" s="1"/>
      <c r="O993" s="1"/>
      <c r="P993" s="1"/>
      <c r="Q993" s="1"/>
      <c r="R993" s="1"/>
      <c r="S993" s="1"/>
      <c r="T993" s="1"/>
      <c r="U993" s="1"/>
      <c r="V993" s="1"/>
      <c r="W993" s="1"/>
    </row>
    <row r="994" spans="1:23" ht="96" customHeight="1">
      <c r="A994" s="1" t="s">
        <v>5352</v>
      </c>
      <c r="B994" s="1" t="s">
        <v>6176</v>
      </c>
      <c r="C994" s="1" t="s">
        <v>10835</v>
      </c>
      <c r="D994" s="1" t="s">
        <v>10836</v>
      </c>
      <c r="E994" s="1" t="s">
        <v>10837</v>
      </c>
      <c r="F994" s="1" t="s">
        <v>6138</v>
      </c>
      <c r="G994" s="1" t="s">
        <v>10778</v>
      </c>
      <c r="H994" s="1" t="s">
        <v>6089</v>
      </c>
      <c r="I994" s="1"/>
      <c r="J994" s="1"/>
      <c r="K994" s="1" t="s">
        <v>6090</v>
      </c>
      <c r="L994" s="1" t="s">
        <v>10838</v>
      </c>
      <c r="M994" s="1" t="s">
        <v>10839</v>
      </c>
      <c r="N994" s="1"/>
      <c r="O994" s="1"/>
      <c r="P994" s="1"/>
      <c r="Q994" s="1"/>
      <c r="R994" s="1" t="s">
        <v>10840</v>
      </c>
      <c r="S994" s="1" t="s">
        <v>10841</v>
      </c>
      <c r="T994" s="1" t="s">
        <v>10783</v>
      </c>
      <c r="U994" s="1" t="s">
        <v>6096</v>
      </c>
      <c r="V994" s="1" t="s">
        <v>6184</v>
      </c>
      <c r="W994" s="1" t="s">
        <v>10784</v>
      </c>
    </row>
    <row r="995" spans="1:23" ht="96" customHeight="1">
      <c r="A995" s="1" t="s">
        <v>5352</v>
      </c>
      <c r="B995" s="1" t="s">
        <v>6185</v>
      </c>
      <c r="C995" s="1" t="s">
        <v>10842</v>
      </c>
      <c r="D995" s="1" t="s">
        <v>4747</v>
      </c>
      <c r="E995" s="1" t="s">
        <v>10843</v>
      </c>
      <c r="F995" s="1" t="s">
        <v>6138</v>
      </c>
      <c r="G995" s="1" t="s">
        <v>10778</v>
      </c>
      <c r="H995" s="1" t="s">
        <v>6089</v>
      </c>
      <c r="I995" s="1"/>
      <c r="J995" s="1"/>
      <c r="K995" s="1" t="s">
        <v>6090</v>
      </c>
      <c r="L995" s="1" t="s">
        <v>10844</v>
      </c>
      <c r="M995" s="1" t="s">
        <v>10845</v>
      </c>
      <c r="N995" s="1"/>
      <c r="O995" s="1"/>
      <c r="P995" s="1"/>
      <c r="Q995" s="1"/>
      <c r="R995" s="1" t="s">
        <v>10846</v>
      </c>
      <c r="S995" s="1" t="s">
        <v>10847</v>
      </c>
      <c r="T995" s="1" t="s">
        <v>10783</v>
      </c>
      <c r="U995" s="1" t="s">
        <v>6096</v>
      </c>
      <c r="V995" s="1" t="s">
        <v>6184</v>
      </c>
      <c r="W995" s="1" t="s">
        <v>10784</v>
      </c>
    </row>
    <row r="996" spans="1:23" ht="96" customHeight="1">
      <c r="A996" s="1" t="s">
        <v>5352</v>
      </c>
      <c r="B996" s="1" t="s">
        <v>6189</v>
      </c>
      <c r="C996" s="1" t="s">
        <v>10848</v>
      </c>
      <c r="D996" s="1" t="s">
        <v>4747</v>
      </c>
      <c r="E996" s="1" t="s">
        <v>10849</v>
      </c>
      <c r="F996" s="1" t="s">
        <v>6138</v>
      </c>
      <c r="G996" s="1" t="s">
        <v>10778</v>
      </c>
      <c r="H996" s="1" t="s">
        <v>6089</v>
      </c>
      <c r="I996" s="1"/>
      <c r="J996" s="1"/>
      <c r="K996" s="1" t="s">
        <v>6090</v>
      </c>
      <c r="L996" s="1" t="s">
        <v>10850</v>
      </c>
      <c r="M996" s="1" t="s">
        <v>10851</v>
      </c>
      <c r="N996" s="1"/>
      <c r="O996" s="1"/>
      <c r="P996" s="1"/>
      <c r="Q996" s="1"/>
      <c r="R996" s="1" t="s">
        <v>10852</v>
      </c>
      <c r="S996" s="1" t="s">
        <v>10853</v>
      </c>
      <c r="T996" s="1" t="s">
        <v>10783</v>
      </c>
      <c r="U996" s="1" t="s">
        <v>6096</v>
      </c>
      <c r="V996" s="1" t="s">
        <v>6184</v>
      </c>
      <c r="W996" s="1" t="s">
        <v>10784</v>
      </c>
    </row>
    <row r="997" spans="1:23" ht="48" customHeight="1">
      <c r="A997" s="1" t="s">
        <v>5352</v>
      </c>
      <c r="B997" s="1" t="s">
        <v>6196</v>
      </c>
      <c r="C997" s="1" t="s">
        <v>10854</v>
      </c>
      <c r="D997" s="1" t="s">
        <v>4747</v>
      </c>
      <c r="E997" s="1"/>
      <c r="F997" s="1" t="s">
        <v>6110</v>
      </c>
      <c r="G997" s="1" t="s">
        <v>10778</v>
      </c>
      <c r="H997" s="1" t="s">
        <v>6089</v>
      </c>
      <c r="I997" s="1"/>
      <c r="J997" s="1"/>
      <c r="K997" s="1" t="s">
        <v>6090</v>
      </c>
      <c r="L997" s="1" t="s">
        <v>10855</v>
      </c>
      <c r="M997" s="1" t="s">
        <v>10856</v>
      </c>
      <c r="N997" s="1"/>
      <c r="O997" s="1"/>
      <c r="P997" s="1"/>
      <c r="Q997" s="1"/>
      <c r="R997" s="1"/>
      <c r="S997" s="1"/>
      <c r="T997" s="1"/>
      <c r="U997" s="1"/>
      <c r="V997" s="1"/>
      <c r="W997" s="1"/>
    </row>
    <row r="998" spans="1:23" ht="72" customHeight="1">
      <c r="A998" s="1" t="s">
        <v>5352</v>
      </c>
      <c r="B998" s="1" t="s">
        <v>6200</v>
      </c>
      <c r="C998" s="1" t="s">
        <v>10857</v>
      </c>
      <c r="D998" s="1" t="s">
        <v>10858</v>
      </c>
      <c r="E998" s="1" t="s">
        <v>10859</v>
      </c>
      <c r="F998" s="1" t="s">
        <v>6163</v>
      </c>
      <c r="G998" s="1" t="s">
        <v>10778</v>
      </c>
      <c r="H998" s="1" t="s">
        <v>6089</v>
      </c>
      <c r="I998" s="1"/>
      <c r="J998" s="1"/>
      <c r="K998" s="1" t="s">
        <v>6090</v>
      </c>
      <c r="L998" s="1" t="s">
        <v>10860</v>
      </c>
      <c r="M998" s="1" t="s">
        <v>10861</v>
      </c>
      <c r="N998" s="1"/>
      <c r="O998" s="1"/>
      <c r="P998" s="1"/>
      <c r="Q998" s="1"/>
      <c r="R998" s="1" t="s">
        <v>10862</v>
      </c>
      <c r="S998" s="1" t="s">
        <v>10863</v>
      </c>
      <c r="T998" s="1" t="s">
        <v>10783</v>
      </c>
      <c r="U998" s="1" t="s">
        <v>6096</v>
      </c>
      <c r="V998" s="1" t="s">
        <v>6168</v>
      </c>
      <c r="W998" s="1" t="s">
        <v>10784</v>
      </c>
    </row>
    <row r="999" spans="1:23" ht="96" customHeight="1">
      <c r="A999" s="1" t="s">
        <v>5352</v>
      </c>
      <c r="B999" s="1" t="s">
        <v>5583</v>
      </c>
      <c r="C999" s="1" t="s">
        <v>5788</v>
      </c>
      <c r="D999" s="1" t="s">
        <v>10864</v>
      </c>
      <c r="E999" s="1" t="s">
        <v>10865</v>
      </c>
      <c r="F999" s="1" t="s">
        <v>6138</v>
      </c>
      <c r="G999" s="1" t="s">
        <v>10778</v>
      </c>
      <c r="H999" s="1" t="s">
        <v>6089</v>
      </c>
      <c r="I999" s="1"/>
      <c r="J999" s="1"/>
      <c r="K999" s="1" t="s">
        <v>6090</v>
      </c>
      <c r="L999" s="1" t="s">
        <v>10866</v>
      </c>
      <c r="M999" s="1" t="s">
        <v>10867</v>
      </c>
      <c r="N999" s="1"/>
      <c r="O999" s="1"/>
      <c r="P999" s="1"/>
      <c r="Q999" s="1"/>
      <c r="R999" s="1" t="s">
        <v>10868</v>
      </c>
      <c r="S999" s="1" t="s">
        <v>10869</v>
      </c>
      <c r="T999" s="1" t="s">
        <v>10783</v>
      </c>
      <c r="U999" s="1" t="s">
        <v>6096</v>
      </c>
      <c r="V999" s="1" t="s">
        <v>6184</v>
      </c>
      <c r="W999" s="1" t="s">
        <v>10784</v>
      </c>
    </row>
    <row r="1000" spans="1:23" ht="48" customHeight="1">
      <c r="A1000" s="1" t="s">
        <v>5352</v>
      </c>
      <c r="B1000" s="1" t="s">
        <v>6209</v>
      </c>
      <c r="C1000" s="1" t="s">
        <v>10870</v>
      </c>
      <c r="D1000" s="1" t="s">
        <v>10871</v>
      </c>
      <c r="E1000" s="1" t="s">
        <v>10872</v>
      </c>
      <c r="F1000" s="1" t="s">
        <v>6163</v>
      </c>
      <c r="G1000" s="1" t="s">
        <v>10778</v>
      </c>
      <c r="H1000" s="1" t="s">
        <v>6089</v>
      </c>
      <c r="I1000" s="1"/>
      <c r="J1000" s="1"/>
      <c r="K1000" s="1" t="s">
        <v>6090</v>
      </c>
      <c r="L1000" s="1" t="s">
        <v>10873</v>
      </c>
      <c r="M1000" s="1" t="s">
        <v>10874</v>
      </c>
      <c r="N1000" s="1"/>
      <c r="O1000" s="1"/>
      <c r="P1000" s="1"/>
      <c r="Q1000" s="1"/>
      <c r="R1000" s="1" t="s">
        <v>10875</v>
      </c>
      <c r="S1000" s="1" t="s">
        <v>10876</v>
      </c>
      <c r="T1000" s="1" t="s">
        <v>10783</v>
      </c>
      <c r="U1000" s="1" t="s">
        <v>6096</v>
      </c>
      <c r="V1000" s="1" t="s">
        <v>6168</v>
      </c>
      <c r="W1000" s="1" t="s">
        <v>10784</v>
      </c>
    </row>
    <row r="1001" spans="1:23" ht="48" customHeight="1">
      <c r="A1001" s="1" t="s">
        <v>5352</v>
      </c>
      <c r="B1001" s="1" t="s">
        <v>6212</v>
      </c>
      <c r="C1001" s="1" t="s">
        <v>10877</v>
      </c>
      <c r="D1001" s="1" t="s">
        <v>10878</v>
      </c>
      <c r="E1001" s="1" t="s">
        <v>10879</v>
      </c>
      <c r="F1001" s="1" t="s">
        <v>6163</v>
      </c>
      <c r="G1001" s="1" t="s">
        <v>10778</v>
      </c>
      <c r="H1001" s="1" t="s">
        <v>6089</v>
      </c>
      <c r="I1001" s="1"/>
      <c r="J1001" s="1"/>
      <c r="K1001" s="1" t="s">
        <v>6090</v>
      </c>
      <c r="L1001" s="1" t="s">
        <v>10880</v>
      </c>
      <c r="M1001" s="1" t="s">
        <v>10881</v>
      </c>
      <c r="N1001" s="1"/>
      <c r="O1001" s="1"/>
      <c r="P1001" s="1"/>
      <c r="Q1001" s="1"/>
      <c r="R1001" s="1" t="s">
        <v>10882</v>
      </c>
      <c r="S1001" s="1" t="s">
        <v>6738</v>
      </c>
      <c r="T1001" s="1" t="s">
        <v>10783</v>
      </c>
      <c r="U1001" s="1" t="s">
        <v>6096</v>
      </c>
      <c r="V1001" s="1" t="s">
        <v>6168</v>
      </c>
      <c r="W1001" s="1" t="s">
        <v>10784</v>
      </c>
    </row>
    <row r="1002" spans="1:23" ht="48" customHeight="1">
      <c r="A1002" s="1" t="s">
        <v>5352</v>
      </c>
      <c r="B1002" s="1" t="s">
        <v>6215</v>
      </c>
      <c r="C1002" s="1"/>
      <c r="D1002" s="1" t="s">
        <v>4747</v>
      </c>
      <c r="E1002" s="1"/>
      <c r="F1002" s="1" t="s">
        <v>6216</v>
      </c>
      <c r="G1002" s="1"/>
      <c r="H1002" s="1" t="s">
        <v>6089</v>
      </c>
      <c r="I1002" s="1"/>
      <c r="J1002" s="1"/>
      <c r="K1002" s="1" t="s">
        <v>6090</v>
      </c>
      <c r="L1002" s="1"/>
      <c r="M1002" s="1" t="s">
        <v>10883</v>
      </c>
      <c r="N1002" s="1"/>
      <c r="O1002" s="1"/>
      <c r="P1002" s="1"/>
      <c r="Q1002" s="1"/>
      <c r="R1002" s="1"/>
      <c r="S1002" s="1"/>
      <c r="T1002" s="1"/>
      <c r="U1002" s="1"/>
      <c r="V1002" s="1"/>
      <c r="W1002" s="1"/>
    </row>
    <row r="1003" spans="1:23" ht="48" customHeight="1">
      <c r="A1003" s="1" t="s">
        <v>5352</v>
      </c>
      <c r="B1003" s="1" t="s">
        <v>6218</v>
      </c>
      <c r="C1003" s="1" t="s">
        <v>10884</v>
      </c>
      <c r="D1003" s="1" t="s">
        <v>4747</v>
      </c>
      <c r="E1003" s="1"/>
      <c r="F1003" s="1" t="s">
        <v>6110</v>
      </c>
      <c r="G1003" s="1" t="s">
        <v>10778</v>
      </c>
      <c r="H1003" s="1" t="s">
        <v>6089</v>
      </c>
      <c r="I1003" s="1"/>
      <c r="J1003" s="1"/>
      <c r="K1003" s="1" t="s">
        <v>6090</v>
      </c>
      <c r="L1003" s="1" t="s">
        <v>10885</v>
      </c>
      <c r="M1003" s="1" t="s">
        <v>10886</v>
      </c>
      <c r="N1003" s="1"/>
      <c r="O1003" s="1"/>
      <c r="P1003" s="1"/>
      <c r="Q1003" s="1"/>
      <c r="R1003" s="1"/>
      <c r="S1003" s="1"/>
      <c r="T1003" s="1"/>
      <c r="U1003" s="1"/>
      <c r="V1003" s="1"/>
      <c r="W1003" s="1"/>
    </row>
    <row r="1004" spans="1:23" ht="48" customHeight="1">
      <c r="A1004" s="1" t="s">
        <v>5352</v>
      </c>
      <c r="B1004" s="1" t="s">
        <v>6222</v>
      </c>
      <c r="C1004" s="1" t="s">
        <v>4747</v>
      </c>
      <c r="D1004" s="1" t="s">
        <v>4747</v>
      </c>
      <c r="E1004" s="1" t="s">
        <v>4747</v>
      </c>
      <c r="F1004" s="1" t="s">
        <v>6186</v>
      </c>
      <c r="G1004" s="1" t="s">
        <v>10778</v>
      </c>
      <c r="H1004" s="1" t="s">
        <v>6089</v>
      </c>
      <c r="I1004" s="1"/>
      <c r="J1004" s="1"/>
      <c r="K1004" s="1" t="s">
        <v>6090</v>
      </c>
      <c r="L1004" s="1" t="s">
        <v>10887</v>
      </c>
      <c r="M1004" s="1" t="s">
        <v>10888</v>
      </c>
      <c r="N1004" s="1"/>
      <c r="O1004" s="1"/>
      <c r="P1004" s="1"/>
      <c r="Q1004" s="1"/>
      <c r="R1004" s="1"/>
      <c r="S1004" s="1"/>
      <c r="T1004" s="1"/>
      <c r="U1004" s="1"/>
      <c r="V1004" s="1"/>
      <c r="W1004" s="1"/>
    </row>
    <row r="1005" spans="1:23" ht="48" customHeight="1">
      <c r="A1005" s="1" t="s">
        <v>5352</v>
      </c>
      <c r="B1005" s="1" t="s">
        <v>6227</v>
      </c>
      <c r="C1005" s="1" t="s">
        <v>6522</v>
      </c>
      <c r="D1005" s="1" t="s">
        <v>6891</v>
      </c>
      <c r="E1005" s="1"/>
      <c r="F1005" s="1" t="s">
        <v>6110</v>
      </c>
      <c r="G1005" s="1" t="s">
        <v>10778</v>
      </c>
      <c r="H1005" s="1" t="s">
        <v>6089</v>
      </c>
      <c r="I1005" s="1"/>
      <c r="J1005" s="1"/>
      <c r="K1005" s="1" t="s">
        <v>6090</v>
      </c>
      <c r="L1005" s="1" t="s">
        <v>10889</v>
      </c>
      <c r="M1005" s="1" t="s">
        <v>10890</v>
      </c>
      <c r="N1005" s="1"/>
      <c r="O1005" s="1"/>
      <c r="P1005" s="1"/>
      <c r="Q1005" s="1"/>
      <c r="R1005" s="1"/>
      <c r="S1005" s="1"/>
      <c r="T1005" s="1"/>
      <c r="U1005" s="1"/>
      <c r="V1005" s="1"/>
      <c r="W1005" s="1"/>
    </row>
    <row r="1006" spans="1:23" ht="48" customHeight="1">
      <c r="A1006" s="1" t="s">
        <v>5352</v>
      </c>
      <c r="B1006" s="1" t="s">
        <v>6232</v>
      </c>
      <c r="C1006" s="1" t="s">
        <v>4747</v>
      </c>
      <c r="D1006" s="1" t="s">
        <v>4747</v>
      </c>
      <c r="E1006" s="1" t="s">
        <v>4747</v>
      </c>
      <c r="F1006" s="1" t="s">
        <v>6186</v>
      </c>
      <c r="G1006" s="1" t="s">
        <v>10778</v>
      </c>
      <c r="H1006" s="1" t="s">
        <v>6089</v>
      </c>
      <c r="I1006" s="1"/>
      <c r="J1006" s="1"/>
      <c r="K1006" s="1" t="s">
        <v>6090</v>
      </c>
      <c r="L1006" s="1" t="s">
        <v>10891</v>
      </c>
      <c r="M1006" s="1" t="s">
        <v>10892</v>
      </c>
      <c r="N1006" s="1"/>
      <c r="O1006" s="1"/>
      <c r="P1006" s="1"/>
      <c r="Q1006" s="1"/>
      <c r="R1006" s="1"/>
      <c r="S1006" s="1"/>
      <c r="T1006" s="1"/>
      <c r="U1006" s="1"/>
      <c r="V1006" s="1"/>
      <c r="W1006" s="1"/>
    </row>
    <row r="1007" spans="1:23" ht="96" customHeight="1">
      <c r="A1007" s="1" t="s">
        <v>5352</v>
      </c>
      <c r="B1007" s="1" t="s">
        <v>6236</v>
      </c>
      <c r="C1007" s="1" t="s">
        <v>5353</v>
      </c>
      <c r="D1007" s="1" t="s">
        <v>10893</v>
      </c>
      <c r="E1007" s="1" t="s">
        <v>10894</v>
      </c>
      <c r="F1007" s="1" t="s">
        <v>6163</v>
      </c>
      <c r="G1007" s="1" t="s">
        <v>10778</v>
      </c>
      <c r="H1007" s="1" t="s">
        <v>6089</v>
      </c>
      <c r="I1007" s="1"/>
      <c r="J1007" s="1"/>
      <c r="K1007" s="1" t="s">
        <v>6090</v>
      </c>
      <c r="L1007" s="1" t="s">
        <v>10895</v>
      </c>
      <c r="M1007" s="1" t="s">
        <v>10896</v>
      </c>
      <c r="N1007" s="1"/>
      <c r="O1007" s="1"/>
      <c r="P1007" s="1"/>
      <c r="Q1007" s="1"/>
      <c r="R1007" s="1" t="s">
        <v>10897</v>
      </c>
      <c r="S1007" s="1" t="s">
        <v>10898</v>
      </c>
      <c r="T1007" s="1" t="s">
        <v>10783</v>
      </c>
      <c r="U1007" s="1" t="s">
        <v>6096</v>
      </c>
      <c r="V1007" s="1" t="s">
        <v>6244</v>
      </c>
      <c r="W1007" s="1" t="s">
        <v>10784</v>
      </c>
    </row>
    <row r="1008" spans="1:23" ht="48" customHeight="1">
      <c r="A1008" s="1" t="s">
        <v>5352</v>
      </c>
      <c r="B1008" s="1" t="s">
        <v>6245</v>
      </c>
      <c r="C1008" s="1" t="s">
        <v>10899</v>
      </c>
      <c r="D1008" s="1"/>
      <c r="E1008" s="1"/>
      <c r="F1008" s="1" t="s">
        <v>6216</v>
      </c>
      <c r="G1008" s="1" t="s">
        <v>10778</v>
      </c>
      <c r="H1008" s="1"/>
      <c r="I1008" s="1"/>
      <c r="J1008" s="1"/>
      <c r="K1008" s="1" t="s">
        <v>6090</v>
      </c>
      <c r="L1008" s="1" t="s">
        <v>10900</v>
      </c>
      <c r="M1008" s="1"/>
      <c r="N1008" s="1"/>
      <c r="O1008" s="1"/>
      <c r="P1008" s="1"/>
      <c r="Q1008" s="1"/>
      <c r="R1008" s="1"/>
      <c r="S1008" s="1"/>
      <c r="T1008" s="1"/>
      <c r="U1008" s="1"/>
      <c r="V1008" s="1"/>
      <c r="W1008" s="1"/>
    </row>
    <row r="1009" spans="1:23" ht="48" customHeight="1">
      <c r="A1009" s="1" t="s">
        <v>5352</v>
      </c>
      <c r="B1009" s="1" t="s">
        <v>6248</v>
      </c>
      <c r="C1009" s="1" t="s">
        <v>10901</v>
      </c>
      <c r="D1009" s="1"/>
      <c r="E1009" s="1"/>
      <c r="F1009" s="1" t="s">
        <v>6216</v>
      </c>
      <c r="G1009" s="1" t="s">
        <v>10778</v>
      </c>
      <c r="H1009" s="1"/>
      <c r="I1009" s="1"/>
      <c r="J1009" s="1"/>
      <c r="K1009" s="1" t="s">
        <v>6090</v>
      </c>
      <c r="L1009" s="1" t="s">
        <v>10902</v>
      </c>
      <c r="M1009" s="1"/>
      <c r="N1009" s="1"/>
      <c r="O1009" s="1"/>
      <c r="P1009" s="1"/>
      <c r="Q1009" s="1"/>
      <c r="R1009" s="1"/>
      <c r="S1009" s="1"/>
      <c r="T1009" s="1"/>
      <c r="U1009" s="1"/>
      <c r="V1009" s="1"/>
      <c r="W1009" s="1"/>
    </row>
    <row r="1010" spans="1:23" ht="48" customHeight="1">
      <c r="A1010" s="1" t="s">
        <v>5369</v>
      </c>
      <c r="B1010" s="1" t="s">
        <v>6083</v>
      </c>
      <c r="C1010" s="1" t="s">
        <v>10903</v>
      </c>
      <c r="D1010" s="1" t="s">
        <v>10904</v>
      </c>
      <c r="E1010" s="1" t="s">
        <v>6771</v>
      </c>
      <c r="F1010" s="1" t="s">
        <v>6772</v>
      </c>
      <c r="G1010" s="1" t="s">
        <v>10905</v>
      </c>
      <c r="H1010" s="1" t="s">
        <v>6089</v>
      </c>
      <c r="I1010" s="1"/>
      <c r="J1010" s="1"/>
      <c r="K1010" s="1" t="s">
        <v>6090</v>
      </c>
      <c r="L1010" s="1" t="s">
        <v>10906</v>
      </c>
      <c r="M1010" s="1" t="s">
        <v>10907</v>
      </c>
      <c r="N1010" s="1"/>
      <c r="O1010" s="1" t="s">
        <v>10908</v>
      </c>
      <c r="P1010" s="1" t="s">
        <v>10909</v>
      </c>
      <c r="Q1010" s="1" t="s">
        <v>6462</v>
      </c>
      <c r="R1010" s="1" t="s">
        <v>10910</v>
      </c>
      <c r="S1010" s="1" t="s">
        <v>10911</v>
      </c>
      <c r="T1010" s="1" t="s">
        <v>10912</v>
      </c>
      <c r="U1010" s="1" t="s">
        <v>6096</v>
      </c>
      <c r="V1010" s="1" t="s">
        <v>6097</v>
      </c>
      <c r="W1010" s="1" t="s">
        <v>10913</v>
      </c>
    </row>
    <row r="1011" spans="1:23" ht="48" customHeight="1">
      <c r="A1011" s="1" t="s">
        <v>5369</v>
      </c>
      <c r="B1011" s="1" t="s">
        <v>6099</v>
      </c>
      <c r="C1011" s="1" t="s">
        <v>10914</v>
      </c>
      <c r="D1011" s="1" t="s">
        <v>7060</v>
      </c>
      <c r="E1011" s="1" t="s">
        <v>7060</v>
      </c>
      <c r="F1011" s="1" t="s">
        <v>6087</v>
      </c>
      <c r="G1011" s="1" t="s">
        <v>10905</v>
      </c>
      <c r="H1011" s="1" t="s">
        <v>6089</v>
      </c>
      <c r="I1011" s="1"/>
      <c r="J1011" s="1"/>
      <c r="K1011" s="1" t="s">
        <v>6090</v>
      </c>
      <c r="L1011" s="1" t="s">
        <v>10915</v>
      </c>
      <c r="M1011" s="1" t="s">
        <v>10916</v>
      </c>
      <c r="N1011" s="1"/>
      <c r="O1011" s="1"/>
      <c r="P1011" s="1"/>
      <c r="Q1011" s="1"/>
      <c r="R1011" s="1" t="s">
        <v>10917</v>
      </c>
      <c r="S1011" s="1" t="s">
        <v>10911</v>
      </c>
      <c r="T1011" s="1" t="s">
        <v>10912</v>
      </c>
      <c r="U1011" s="1" t="s">
        <v>6096</v>
      </c>
      <c r="V1011" s="1" t="s">
        <v>6097</v>
      </c>
      <c r="W1011" s="1" t="s">
        <v>10913</v>
      </c>
    </row>
    <row r="1012" spans="1:23" ht="48" customHeight="1">
      <c r="A1012" s="1" t="s">
        <v>5369</v>
      </c>
      <c r="B1012" s="1" t="s">
        <v>6107</v>
      </c>
      <c r="C1012" s="1" t="s">
        <v>10918</v>
      </c>
      <c r="D1012" s="1" t="s">
        <v>10919</v>
      </c>
      <c r="E1012" s="1"/>
      <c r="F1012" s="1" t="s">
        <v>6110</v>
      </c>
      <c r="G1012" s="1" t="s">
        <v>10905</v>
      </c>
      <c r="H1012" s="1" t="s">
        <v>6089</v>
      </c>
      <c r="I1012" s="1"/>
      <c r="J1012" s="1"/>
      <c r="K1012" s="1" t="s">
        <v>6090</v>
      </c>
      <c r="L1012" s="1" t="s">
        <v>10920</v>
      </c>
      <c r="M1012" s="1" t="s">
        <v>10921</v>
      </c>
      <c r="N1012" s="1"/>
      <c r="O1012" s="1"/>
      <c r="P1012" s="1"/>
      <c r="Q1012" s="1"/>
      <c r="R1012" s="1"/>
      <c r="S1012" s="1"/>
      <c r="T1012" s="1"/>
      <c r="U1012" s="1"/>
      <c r="V1012" s="1"/>
      <c r="W1012" s="1"/>
    </row>
    <row r="1013" spans="1:23" ht="48" customHeight="1">
      <c r="A1013" s="1" t="s">
        <v>5369</v>
      </c>
      <c r="B1013" s="1" t="s">
        <v>6113</v>
      </c>
      <c r="C1013" s="1" t="s">
        <v>10922</v>
      </c>
      <c r="D1013" s="1" t="s">
        <v>10923</v>
      </c>
      <c r="E1013" s="1"/>
      <c r="F1013" s="1" t="s">
        <v>6110</v>
      </c>
      <c r="G1013" s="1" t="s">
        <v>10905</v>
      </c>
      <c r="H1013" s="1" t="s">
        <v>6089</v>
      </c>
      <c r="I1013" s="1"/>
      <c r="J1013" s="1"/>
      <c r="K1013" s="1" t="s">
        <v>6090</v>
      </c>
      <c r="L1013" s="1" t="s">
        <v>10924</v>
      </c>
      <c r="M1013" s="1" t="s">
        <v>10925</v>
      </c>
      <c r="N1013" s="1"/>
      <c r="O1013" s="1"/>
      <c r="P1013" s="1"/>
      <c r="Q1013" s="1"/>
      <c r="R1013" s="1"/>
      <c r="S1013" s="1"/>
      <c r="T1013" s="1"/>
      <c r="U1013" s="1"/>
      <c r="V1013" s="1"/>
      <c r="W1013" s="1"/>
    </row>
    <row r="1014" spans="1:23" ht="48" customHeight="1">
      <c r="A1014" s="1" t="s">
        <v>5369</v>
      </c>
      <c r="B1014" s="1" t="s">
        <v>6118</v>
      </c>
      <c r="C1014" s="1" t="s">
        <v>10926</v>
      </c>
      <c r="D1014" s="1" t="s">
        <v>10927</v>
      </c>
      <c r="E1014" s="1" t="s">
        <v>10928</v>
      </c>
      <c r="F1014" s="1" t="s">
        <v>6087</v>
      </c>
      <c r="G1014" s="1" t="s">
        <v>10905</v>
      </c>
      <c r="H1014" s="1" t="s">
        <v>6089</v>
      </c>
      <c r="I1014" s="1"/>
      <c r="J1014" s="1"/>
      <c r="K1014" s="1" t="s">
        <v>6090</v>
      </c>
      <c r="L1014" s="1" t="s">
        <v>10929</v>
      </c>
      <c r="M1014" s="1" t="s">
        <v>10930</v>
      </c>
      <c r="N1014" s="1"/>
      <c r="O1014" s="1"/>
      <c r="P1014" s="1"/>
      <c r="Q1014" s="1"/>
      <c r="R1014" s="1" t="s">
        <v>10931</v>
      </c>
      <c r="S1014" s="1" t="s">
        <v>10932</v>
      </c>
      <c r="T1014" s="1" t="s">
        <v>10912</v>
      </c>
      <c r="U1014" s="1" t="s">
        <v>6096</v>
      </c>
      <c r="V1014" s="1" t="s">
        <v>6097</v>
      </c>
      <c r="W1014" s="1" t="s">
        <v>10913</v>
      </c>
    </row>
    <row r="1015" spans="1:23" ht="48" customHeight="1">
      <c r="A1015" s="1" t="s">
        <v>5369</v>
      </c>
      <c r="B1015" s="1" t="s">
        <v>6126</v>
      </c>
      <c r="C1015" s="1" t="s">
        <v>10933</v>
      </c>
      <c r="D1015" s="1" t="s">
        <v>10934</v>
      </c>
      <c r="E1015" s="1" t="s">
        <v>6129</v>
      </c>
      <c r="F1015" s="1" t="s">
        <v>6087</v>
      </c>
      <c r="G1015" s="1" t="s">
        <v>10905</v>
      </c>
      <c r="H1015" s="1" t="s">
        <v>6089</v>
      </c>
      <c r="I1015" s="1"/>
      <c r="J1015" s="1"/>
      <c r="K1015" s="1" t="s">
        <v>6090</v>
      </c>
      <c r="L1015" s="1" t="s">
        <v>10935</v>
      </c>
      <c r="M1015" s="1" t="s">
        <v>10936</v>
      </c>
      <c r="N1015" s="1"/>
      <c r="O1015" s="1"/>
      <c r="P1015" s="1"/>
      <c r="Q1015" s="1"/>
      <c r="R1015" s="1" t="s">
        <v>10937</v>
      </c>
      <c r="S1015" s="1" t="s">
        <v>10938</v>
      </c>
      <c r="T1015" s="1" t="s">
        <v>10912</v>
      </c>
      <c r="U1015" s="1" t="s">
        <v>6096</v>
      </c>
      <c r="V1015" s="1" t="s">
        <v>6097</v>
      </c>
      <c r="W1015" s="1" t="s">
        <v>10913</v>
      </c>
    </row>
    <row r="1016" spans="1:23" ht="48" customHeight="1">
      <c r="A1016" s="1" t="s">
        <v>5369</v>
      </c>
      <c r="B1016" s="1" t="s">
        <v>6134</v>
      </c>
      <c r="C1016" s="1" t="s">
        <v>10939</v>
      </c>
      <c r="D1016" s="1" t="s">
        <v>10940</v>
      </c>
      <c r="E1016" s="1" t="s">
        <v>10941</v>
      </c>
      <c r="F1016" s="1" t="s">
        <v>6138</v>
      </c>
      <c r="G1016" s="1" t="s">
        <v>10905</v>
      </c>
      <c r="H1016" s="1" t="s">
        <v>6089</v>
      </c>
      <c r="I1016" s="1"/>
      <c r="J1016" s="1"/>
      <c r="K1016" s="1" t="s">
        <v>6090</v>
      </c>
      <c r="L1016" s="1" t="s">
        <v>10942</v>
      </c>
      <c r="M1016" s="1" t="s">
        <v>10943</v>
      </c>
      <c r="N1016" s="1"/>
      <c r="O1016" s="1"/>
      <c r="P1016" s="1"/>
      <c r="Q1016" s="1"/>
      <c r="R1016" s="1" t="s">
        <v>10944</v>
      </c>
      <c r="S1016" s="1" t="s">
        <v>10945</v>
      </c>
      <c r="T1016" s="1" t="s">
        <v>10912</v>
      </c>
      <c r="U1016" s="1" t="s">
        <v>6096</v>
      </c>
      <c r="V1016" s="1" t="s">
        <v>6143</v>
      </c>
      <c r="W1016" s="1" t="s">
        <v>10913</v>
      </c>
    </row>
    <row r="1017" spans="1:23" ht="48" customHeight="1">
      <c r="A1017" s="1" t="s">
        <v>5369</v>
      </c>
      <c r="B1017" s="1" t="s">
        <v>6144</v>
      </c>
      <c r="C1017" s="1" t="s">
        <v>10946</v>
      </c>
      <c r="D1017" s="1" t="s">
        <v>4747</v>
      </c>
      <c r="E1017" s="1" t="s">
        <v>10947</v>
      </c>
      <c r="F1017" s="1" t="s">
        <v>6138</v>
      </c>
      <c r="G1017" s="1" t="s">
        <v>10905</v>
      </c>
      <c r="H1017" s="1" t="s">
        <v>6089</v>
      </c>
      <c r="I1017" s="1"/>
      <c r="J1017" s="1"/>
      <c r="K1017" s="1" t="s">
        <v>6090</v>
      </c>
      <c r="L1017" s="1" t="s">
        <v>10948</v>
      </c>
      <c r="M1017" s="1" t="s">
        <v>10949</v>
      </c>
      <c r="N1017" s="1"/>
      <c r="O1017" s="1"/>
      <c r="P1017" s="1"/>
      <c r="Q1017" s="1"/>
      <c r="R1017" s="1" t="s">
        <v>10944</v>
      </c>
      <c r="S1017" s="1" t="s">
        <v>10945</v>
      </c>
      <c r="T1017" s="1" t="s">
        <v>10912</v>
      </c>
      <c r="U1017" s="1" t="s">
        <v>6096</v>
      </c>
      <c r="V1017" s="1" t="s">
        <v>6143</v>
      </c>
      <c r="W1017" s="1" t="s">
        <v>10913</v>
      </c>
    </row>
    <row r="1018" spans="1:23" ht="48" customHeight="1">
      <c r="A1018" s="1" t="s">
        <v>5369</v>
      </c>
      <c r="B1018" s="1" t="s">
        <v>6149</v>
      </c>
      <c r="C1018" s="1" t="s">
        <v>10950</v>
      </c>
      <c r="D1018" s="1" t="s">
        <v>10951</v>
      </c>
      <c r="E1018" s="1" t="s">
        <v>10952</v>
      </c>
      <c r="F1018" s="1" t="s">
        <v>6138</v>
      </c>
      <c r="G1018" s="1" t="s">
        <v>10905</v>
      </c>
      <c r="H1018" s="1" t="s">
        <v>6089</v>
      </c>
      <c r="I1018" s="1"/>
      <c r="J1018" s="1"/>
      <c r="K1018" s="1" t="s">
        <v>6090</v>
      </c>
      <c r="L1018" s="1" t="s">
        <v>10953</v>
      </c>
      <c r="M1018" s="1" t="s">
        <v>10954</v>
      </c>
      <c r="N1018" s="1"/>
      <c r="O1018" s="1"/>
      <c r="P1018" s="1"/>
      <c r="Q1018" s="1"/>
      <c r="R1018" s="1" t="s">
        <v>10944</v>
      </c>
      <c r="S1018" s="1" t="s">
        <v>10945</v>
      </c>
      <c r="T1018" s="1" t="s">
        <v>10912</v>
      </c>
      <c r="U1018" s="1" t="s">
        <v>6096</v>
      </c>
      <c r="V1018" s="1" t="s">
        <v>6143</v>
      </c>
      <c r="W1018" s="1" t="s">
        <v>10913</v>
      </c>
    </row>
    <row r="1019" spans="1:23" ht="48" customHeight="1">
      <c r="A1019" s="1" t="s">
        <v>5369</v>
      </c>
      <c r="B1019" s="1" t="s">
        <v>6154</v>
      </c>
      <c r="C1019" s="1" t="s">
        <v>10955</v>
      </c>
      <c r="D1019" s="1" t="s">
        <v>10956</v>
      </c>
      <c r="E1019" s="1" t="s">
        <v>10957</v>
      </c>
      <c r="F1019" s="1" t="s">
        <v>6138</v>
      </c>
      <c r="G1019" s="1" t="s">
        <v>10905</v>
      </c>
      <c r="H1019" s="1" t="s">
        <v>6089</v>
      </c>
      <c r="I1019" s="1"/>
      <c r="J1019" s="1"/>
      <c r="K1019" s="1" t="s">
        <v>6090</v>
      </c>
      <c r="L1019" s="1" t="s">
        <v>10958</v>
      </c>
      <c r="M1019" s="1" t="s">
        <v>10959</v>
      </c>
      <c r="N1019" s="1"/>
      <c r="O1019" s="1"/>
      <c r="P1019" s="1"/>
      <c r="Q1019" s="1"/>
      <c r="R1019" s="1" t="s">
        <v>10944</v>
      </c>
      <c r="S1019" s="1" t="s">
        <v>10945</v>
      </c>
      <c r="T1019" s="1" t="s">
        <v>10912</v>
      </c>
      <c r="U1019" s="1" t="s">
        <v>6096</v>
      </c>
      <c r="V1019" s="1" t="s">
        <v>6143</v>
      </c>
      <c r="W1019" s="1" t="s">
        <v>10913</v>
      </c>
    </row>
    <row r="1020" spans="1:23" ht="60" customHeight="1">
      <c r="A1020" s="1" t="s">
        <v>5369</v>
      </c>
      <c r="B1020" s="1" t="s">
        <v>6159</v>
      </c>
      <c r="C1020" s="1" t="s">
        <v>4747</v>
      </c>
      <c r="D1020" s="1" t="s">
        <v>4747</v>
      </c>
      <c r="E1020" s="1" t="s">
        <v>10960</v>
      </c>
      <c r="F1020" s="1" t="s">
        <v>6349</v>
      </c>
      <c r="G1020" s="1" t="s">
        <v>10905</v>
      </c>
      <c r="H1020" s="1" t="s">
        <v>6089</v>
      </c>
      <c r="I1020" s="1"/>
      <c r="J1020" s="1"/>
      <c r="K1020" s="1" t="s">
        <v>6090</v>
      </c>
      <c r="L1020" s="1" t="s">
        <v>10961</v>
      </c>
      <c r="M1020" s="1" t="s">
        <v>10962</v>
      </c>
      <c r="N1020" s="1"/>
      <c r="O1020" s="1" t="s">
        <v>10963</v>
      </c>
      <c r="P1020" s="1" t="s">
        <v>10909</v>
      </c>
      <c r="Q1020" s="1" t="s">
        <v>6462</v>
      </c>
      <c r="R1020" s="1" t="s">
        <v>10964</v>
      </c>
      <c r="S1020" s="1" t="s">
        <v>6353</v>
      </c>
      <c r="T1020" s="1" t="s">
        <v>10912</v>
      </c>
      <c r="U1020" s="1" t="s">
        <v>6096</v>
      </c>
      <c r="V1020" s="1" t="s">
        <v>10965</v>
      </c>
      <c r="W1020" s="1" t="s">
        <v>10913</v>
      </c>
    </row>
    <row r="1021" spans="1:23" ht="48" customHeight="1">
      <c r="A1021" s="1" t="s">
        <v>5369</v>
      </c>
      <c r="B1021" s="1" t="s">
        <v>6169</v>
      </c>
      <c r="C1021" s="1" t="s">
        <v>4747</v>
      </c>
      <c r="D1021" s="1" t="s">
        <v>4747</v>
      </c>
      <c r="E1021" s="1" t="s">
        <v>10966</v>
      </c>
      <c r="F1021" s="1" t="s">
        <v>6163</v>
      </c>
      <c r="G1021" s="1" t="s">
        <v>10905</v>
      </c>
      <c r="H1021" s="1" t="s">
        <v>6089</v>
      </c>
      <c r="I1021" s="1"/>
      <c r="J1021" s="1"/>
      <c r="K1021" s="1" t="s">
        <v>6090</v>
      </c>
      <c r="L1021" s="1" t="s">
        <v>10967</v>
      </c>
      <c r="M1021" s="1" t="s">
        <v>10968</v>
      </c>
      <c r="N1021" s="1"/>
      <c r="O1021" s="1" t="s">
        <v>10969</v>
      </c>
      <c r="P1021" s="1" t="s">
        <v>10909</v>
      </c>
      <c r="Q1021" s="1" t="s">
        <v>6462</v>
      </c>
      <c r="R1021" s="1" t="s">
        <v>10970</v>
      </c>
      <c r="S1021" s="1" t="s">
        <v>6353</v>
      </c>
      <c r="T1021" s="1" t="s">
        <v>10912</v>
      </c>
      <c r="U1021" s="1" t="s">
        <v>6096</v>
      </c>
      <c r="V1021" s="1" t="s">
        <v>6168</v>
      </c>
      <c r="W1021" s="1" t="s">
        <v>10913</v>
      </c>
    </row>
    <row r="1022" spans="1:23" ht="96" customHeight="1">
      <c r="A1022" s="1" t="s">
        <v>5369</v>
      </c>
      <c r="B1022" s="1" t="s">
        <v>6176</v>
      </c>
      <c r="C1022" s="1" t="s">
        <v>10971</v>
      </c>
      <c r="D1022" s="1" t="s">
        <v>4747</v>
      </c>
      <c r="E1022" s="1" t="s">
        <v>10972</v>
      </c>
      <c r="F1022" s="1" t="s">
        <v>6138</v>
      </c>
      <c r="G1022" s="1" t="s">
        <v>10905</v>
      </c>
      <c r="H1022" s="1" t="s">
        <v>6089</v>
      </c>
      <c r="I1022" s="1"/>
      <c r="J1022" s="1"/>
      <c r="K1022" s="1" t="s">
        <v>6090</v>
      </c>
      <c r="L1022" s="1" t="s">
        <v>10973</v>
      </c>
      <c r="M1022" s="1" t="s">
        <v>10974</v>
      </c>
      <c r="N1022" s="1"/>
      <c r="O1022" s="1"/>
      <c r="P1022" s="1"/>
      <c r="Q1022" s="1"/>
      <c r="R1022" s="1" t="s">
        <v>10975</v>
      </c>
      <c r="S1022" s="1" t="s">
        <v>10976</v>
      </c>
      <c r="T1022" s="1" t="s">
        <v>10912</v>
      </c>
      <c r="U1022" s="1" t="s">
        <v>6096</v>
      </c>
      <c r="V1022" s="1" t="s">
        <v>6184</v>
      </c>
      <c r="W1022" s="1" t="s">
        <v>10913</v>
      </c>
    </row>
    <row r="1023" spans="1:23" ht="48" customHeight="1">
      <c r="A1023" s="1" t="s">
        <v>5369</v>
      </c>
      <c r="B1023" s="1" t="s">
        <v>6185</v>
      </c>
      <c r="C1023" s="1" t="s">
        <v>4747</v>
      </c>
      <c r="D1023" s="1" t="s">
        <v>4747</v>
      </c>
      <c r="E1023" s="1" t="s">
        <v>4747</v>
      </c>
      <c r="F1023" s="1" t="s">
        <v>6186</v>
      </c>
      <c r="G1023" s="1" t="s">
        <v>10905</v>
      </c>
      <c r="H1023" s="1" t="s">
        <v>6089</v>
      </c>
      <c r="I1023" s="1"/>
      <c r="J1023" s="1"/>
      <c r="K1023" s="1" t="s">
        <v>6090</v>
      </c>
      <c r="L1023" s="1" t="s">
        <v>10977</v>
      </c>
      <c r="M1023" s="1" t="s">
        <v>10978</v>
      </c>
      <c r="N1023" s="1"/>
      <c r="O1023" s="1"/>
      <c r="P1023" s="1"/>
      <c r="Q1023" s="1"/>
      <c r="R1023" s="1"/>
      <c r="S1023" s="1"/>
      <c r="T1023" s="1"/>
      <c r="U1023" s="1"/>
      <c r="V1023" s="1"/>
      <c r="W1023" s="1"/>
    </row>
    <row r="1024" spans="1:23" ht="96" customHeight="1">
      <c r="A1024" s="1" t="s">
        <v>5369</v>
      </c>
      <c r="B1024" s="1" t="s">
        <v>6189</v>
      </c>
      <c r="C1024" s="1" t="s">
        <v>10979</v>
      </c>
      <c r="D1024" s="1" t="s">
        <v>4747</v>
      </c>
      <c r="E1024" s="1" t="s">
        <v>10980</v>
      </c>
      <c r="F1024" s="1" t="s">
        <v>6138</v>
      </c>
      <c r="G1024" s="1" t="s">
        <v>10905</v>
      </c>
      <c r="H1024" s="1" t="s">
        <v>6089</v>
      </c>
      <c r="I1024" s="1"/>
      <c r="J1024" s="1"/>
      <c r="K1024" s="1" t="s">
        <v>6090</v>
      </c>
      <c r="L1024" s="1" t="s">
        <v>10981</v>
      </c>
      <c r="M1024" s="1" t="s">
        <v>10982</v>
      </c>
      <c r="N1024" s="1"/>
      <c r="O1024" s="1"/>
      <c r="P1024" s="1"/>
      <c r="Q1024" s="1"/>
      <c r="R1024" s="1" t="s">
        <v>10983</v>
      </c>
      <c r="S1024" s="1" t="s">
        <v>10984</v>
      </c>
      <c r="T1024" s="1" t="s">
        <v>10912</v>
      </c>
      <c r="U1024" s="1" t="s">
        <v>6096</v>
      </c>
      <c r="V1024" s="1" t="s">
        <v>6184</v>
      </c>
      <c r="W1024" s="1" t="s">
        <v>10913</v>
      </c>
    </row>
    <row r="1025" spans="1:23" ht="48" customHeight="1">
      <c r="A1025" s="1" t="s">
        <v>5369</v>
      </c>
      <c r="B1025" s="1" t="s">
        <v>6196</v>
      </c>
      <c r="C1025" s="1" t="s">
        <v>6197</v>
      </c>
      <c r="D1025" s="1" t="s">
        <v>4747</v>
      </c>
      <c r="E1025" s="1"/>
      <c r="F1025" s="1" t="s">
        <v>6110</v>
      </c>
      <c r="G1025" s="1" t="s">
        <v>10905</v>
      </c>
      <c r="H1025" s="1" t="s">
        <v>6089</v>
      </c>
      <c r="I1025" s="1"/>
      <c r="J1025" s="1"/>
      <c r="K1025" s="1" t="s">
        <v>6090</v>
      </c>
      <c r="L1025" s="1" t="s">
        <v>10985</v>
      </c>
      <c r="M1025" s="1" t="s">
        <v>10986</v>
      </c>
      <c r="N1025" s="1"/>
      <c r="O1025" s="1"/>
      <c r="P1025" s="1"/>
      <c r="Q1025" s="1"/>
      <c r="R1025" s="1"/>
      <c r="S1025" s="1"/>
      <c r="T1025" s="1"/>
      <c r="U1025" s="1"/>
      <c r="V1025" s="1"/>
      <c r="W1025" s="1"/>
    </row>
    <row r="1026" spans="1:23" ht="48" customHeight="1">
      <c r="A1026" s="1" t="s">
        <v>5369</v>
      </c>
      <c r="B1026" s="1" t="s">
        <v>6200</v>
      </c>
      <c r="C1026" s="1" t="s">
        <v>4747</v>
      </c>
      <c r="D1026" s="1" t="s">
        <v>4747</v>
      </c>
      <c r="E1026" s="1" t="s">
        <v>4747</v>
      </c>
      <c r="F1026" s="1" t="s">
        <v>6186</v>
      </c>
      <c r="G1026" s="1" t="s">
        <v>10905</v>
      </c>
      <c r="H1026" s="1" t="s">
        <v>6089</v>
      </c>
      <c r="I1026" s="1"/>
      <c r="J1026" s="1"/>
      <c r="K1026" s="1" t="s">
        <v>6090</v>
      </c>
      <c r="L1026" s="1" t="s">
        <v>10987</v>
      </c>
      <c r="M1026" s="1" t="s">
        <v>10988</v>
      </c>
      <c r="N1026" s="1"/>
      <c r="O1026" s="1"/>
      <c r="P1026" s="1"/>
      <c r="Q1026" s="1"/>
      <c r="R1026" s="1"/>
      <c r="S1026" s="1"/>
      <c r="T1026" s="1"/>
      <c r="U1026" s="1"/>
      <c r="V1026" s="1"/>
      <c r="W1026" s="1"/>
    </row>
    <row r="1027" spans="1:23" ht="96" customHeight="1">
      <c r="A1027" s="1" t="s">
        <v>5369</v>
      </c>
      <c r="B1027" s="1" t="s">
        <v>5583</v>
      </c>
      <c r="C1027" s="1" t="s">
        <v>10989</v>
      </c>
      <c r="D1027" s="1" t="s">
        <v>4747</v>
      </c>
      <c r="E1027" s="1" t="s">
        <v>10990</v>
      </c>
      <c r="F1027" s="1" t="s">
        <v>6138</v>
      </c>
      <c r="G1027" s="1" t="s">
        <v>10905</v>
      </c>
      <c r="H1027" s="1" t="s">
        <v>6089</v>
      </c>
      <c r="I1027" s="1"/>
      <c r="J1027" s="1"/>
      <c r="K1027" s="1" t="s">
        <v>6090</v>
      </c>
      <c r="L1027" s="1" t="s">
        <v>10991</v>
      </c>
      <c r="M1027" s="1" t="s">
        <v>10992</v>
      </c>
      <c r="N1027" s="1"/>
      <c r="O1027" s="1"/>
      <c r="P1027" s="1"/>
      <c r="Q1027" s="1"/>
      <c r="R1027" s="1" t="s">
        <v>10993</v>
      </c>
      <c r="S1027" s="1" t="s">
        <v>10994</v>
      </c>
      <c r="T1027" s="1" t="s">
        <v>10912</v>
      </c>
      <c r="U1027" s="1" t="s">
        <v>6096</v>
      </c>
      <c r="V1027" s="1" t="s">
        <v>6184</v>
      </c>
      <c r="W1027" s="1" t="s">
        <v>10913</v>
      </c>
    </row>
    <row r="1028" spans="1:23" ht="48" customHeight="1">
      <c r="A1028" s="1" t="s">
        <v>5369</v>
      </c>
      <c r="B1028" s="1" t="s">
        <v>6209</v>
      </c>
      <c r="C1028" s="1" t="s">
        <v>4747</v>
      </c>
      <c r="D1028" s="1" t="s">
        <v>4747</v>
      </c>
      <c r="E1028" s="1" t="s">
        <v>4747</v>
      </c>
      <c r="F1028" s="1" t="s">
        <v>6186</v>
      </c>
      <c r="G1028" s="1" t="s">
        <v>10905</v>
      </c>
      <c r="H1028" s="1" t="s">
        <v>6089</v>
      </c>
      <c r="I1028" s="1"/>
      <c r="J1028" s="1"/>
      <c r="K1028" s="1" t="s">
        <v>6090</v>
      </c>
      <c r="L1028" s="1" t="s">
        <v>10995</v>
      </c>
      <c r="M1028" s="1" t="s">
        <v>10996</v>
      </c>
      <c r="N1028" s="1"/>
      <c r="O1028" s="1"/>
      <c r="P1028" s="1"/>
      <c r="Q1028" s="1"/>
      <c r="R1028" s="1"/>
      <c r="S1028" s="1"/>
      <c r="T1028" s="1"/>
      <c r="U1028" s="1"/>
      <c r="V1028" s="1"/>
      <c r="W1028" s="1"/>
    </row>
    <row r="1029" spans="1:23" ht="48" customHeight="1">
      <c r="A1029" s="1" t="s">
        <v>5369</v>
      </c>
      <c r="B1029" s="1" t="s">
        <v>6212</v>
      </c>
      <c r="C1029" s="1" t="s">
        <v>4747</v>
      </c>
      <c r="D1029" s="1" t="s">
        <v>4747</v>
      </c>
      <c r="E1029" s="1" t="s">
        <v>4747</v>
      </c>
      <c r="F1029" s="1" t="s">
        <v>6186</v>
      </c>
      <c r="G1029" s="1" t="s">
        <v>10905</v>
      </c>
      <c r="H1029" s="1" t="s">
        <v>6089</v>
      </c>
      <c r="I1029" s="1"/>
      <c r="J1029" s="1"/>
      <c r="K1029" s="1" t="s">
        <v>6090</v>
      </c>
      <c r="L1029" s="1" t="s">
        <v>10997</v>
      </c>
      <c r="M1029" s="1" t="s">
        <v>10998</v>
      </c>
      <c r="N1029" s="1"/>
      <c r="O1029" s="1"/>
      <c r="P1029" s="1"/>
      <c r="Q1029" s="1"/>
      <c r="R1029" s="1"/>
      <c r="S1029" s="1"/>
      <c r="T1029" s="1"/>
      <c r="U1029" s="1"/>
      <c r="V1029" s="1"/>
      <c r="W1029" s="1"/>
    </row>
    <row r="1030" spans="1:23" ht="48" customHeight="1">
      <c r="A1030" s="1" t="s">
        <v>5369</v>
      </c>
      <c r="B1030" s="1" t="s">
        <v>6215</v>
      </c>
      <c r="C1030" s="1"/>
      <c r="D1030" s="1" t="s">
        <v>4747</v>
      </c>
      <c r="E1030" s="1"/>
      <c r="F1030" s="1" t="s">
        <v>6216</v>
      </c>
      <c r="G1030" s="1"/>
      <c r="H1030" s="1" t="s">
        <v>6089</v>
      </c>
      <c r="I1030" s="1"/>
      <c r="J1030" s="1"/>
      <c r="K1030" s="1" t="s">
        <v>6090</v>
      </c>
      <c r="L1030" s="1"/>
      <c r="M1030" s="1" t="s">
        <v>10999</v>
      </c>
      <c r="N1030" s="1"/>
      <c r="O1030" s="1"/>
      <c r="P1030" s="1"/>
      <c r="Q1030" s="1"/>
      <c r="R1030" s="1"/>
      <c r="S1030" s="1"/>
      <c r="T1030" s="1"/>
      <c r="U1030" s="1"/>
      <c r="V1030" s="1"/>
      <c r="W1030" s="1"/>
    </row>
    <row r="1031" spans="1:23" ht="48" customHeight="1">
      <c r="A1031" s="1" t="s">
        <v>5369</v>
      </c>
      <c r="B1031" s="1" t="s">
        <v>6218</v>
      </c>
      <c r="C1031" s="1" t="s">
        <v>11000</v>
      </c>
      <c r="D1031" s="1" t="s">
        <v>4747</v>
      </c>
      <c r="E1031" s="1"/>
      <c r="F1031" s="1" t="s">
        <v>6110</v>
      </c>
      <c r="G1031" s="1" t="s">
        <v>10905</v>
      </c>
      <c r="H1031" s="1" t="s">
        <v>6089</v>
      </c>
      <c r="I1031" s="1"/>
      <c r="J1031" s="1"/>
      <c r="K1031" s="1" t="s">
        <v>6090</v>
      </c>
      <c r="L1031" s="1" t="s">
        <v>11001</v>
      </c>
      <c r="M1031" s="1" t="s">
        <v>11002</v>
      </c>
      <c r="N1031" s="1"/>
      <c r="O1031" s="1"/>
      <c r="P1031" s="1"/>
      <c r="Q1031" s="1"/>
      <c r="R1031" s="1"/>
      <c r="S1031" s="1"/>
      <c r="T1031" s="1"/>
      <c r="U1031" s="1"/>
      <c r="V1031" s="1"/>
      <c r="W1031" s="1"/>
    </row>
    <row r="1032" spans="1:23" ht="48" customHeight="1">
      <c r="A1032" s="1" t="s">
        <v>5369</v>
      </c>
      <c r="B1032" s="1" t="s">
        <v>6222</v>
      </c>
      <c r="C1032" s="1" t="s">
        <v>11003</v>
      </c>
      <c r="D1032" s="1" t="s">
        <v>11004</v>
      </c>
      <c r="E1032" s="1"/>
      <c r="F1032" s="1" t="s">
        <v>6110</v>
      </c>
      <c r="G1032" s="1" t="s">
        <v>10905</v>
      </c>
      <c r="H1032" s="1" t="s">
        <v>6089</v>
      </c>
      <c r="I1032" s="1"/>
      <c r="J1032" s="1"/>
      <c r="K1032" s="1" t="s">
        <v>6090</v>
      </c>
      <c r="L1032" s="1" t="s">
        <v>11005</v>
      </c>
      <c r="M1032" s="1" t="s">
        <v>11006</v>
      </c>
      <c r="N1032" s="1"/>
      <c r="O1032" s="1"/>
      <c r="P1032" s="1"/>
      <c r="Q1032" s="1"/>
      <c r="R1032" s="1"/>
      <c r="S1032" s="1"/>
      <c r="T1032" s="1"/>
      <c r="U1032" s="1"/>
      <c r="V1032" s="1"/>
      <c r="W1032" s="1"/>
    </row>
    <row r="1033" spans="1:23" ht="48" customHeight="1">
      <c r="A1033" s="1" t="s">
        <v>5369</v>
      </c>
      <c r="B1033" s="1" t="s">
        <v>6227</v>
      </c>
      <c r="C1033" s="1" t="s">
        <v>11007</v>
      </c>
      <c r="D1033" s="1" t="s">
        <v>4747</v>
      </c>
      <c r="E1033" s="1"/>
      <c r="F1033" s="1" t="s">
        <v>6110</v>
      </c>
      <c r="G1033" s="1" t="s">
        <v>10905</v>
      </c>
      <c r="H1033" s="1" t="s">
        <v>6089</v>
      </c>
      <c r="I1033" s="1"/>
      <c r="J1033" s="1"/>
      <c r="K1033" s="1" t="s">
        <v>6090</v>
      </c>
      <c r="L1033" s="1" t="s">
        <v>11008</v>
      </c>
      <c r="M1033" s="1" t="s">
        <v>11009</v>
      </c>
      <c r="N1033" s="1"/>
      <c r="O1033" s="1"/>
      <c r="P1033" s="1"/>
      <c r="Q1033" s="1"/>
      <c r="R1033" s="1"/>
      <c r="S1033" s="1"/>
      <c r="T1033" s="1"/>
      <c r="U1033" s="1"/>
      <c r="V1033" s="1"/>
      <c r="W1033" s="1"/>
    </row>
    <row r="1034" spans="1:23" ht="48" customHeight="1">
      <c r="A1034" s="1" t="s">
        <v>5369</v>
      </c>
      <c r="B1034" s="1" t="s">
        <v>6232</v>
      </c>
      <c r="C1034" s="1" t="s">
        <v>4747</v>
      </c>
      <c r="D1034" s="1" t="s">
        <v>4747</v>
      </c>
      <c r="E1034" s="1" t="s">
        <v>4747</v>
      </c>
      <c r="F1034" s="1" t="s">
        <v>6186</v>
      </c>
      <c r="G1034" s="1" t="s">
        <v>10905</v>
      </c>
      <c r="H1034" s="1" t="s">
        <v>6089</v>
      </c>
      <c r="I1034" s="1"/>
      <c r="J1034" s="1"/>
      <c r="K1034" s="1" t="s">
        <v>6090</v>
      </c>
      <c r="L1034" s="1" t="s">
        <v>11010</v>
      </c>
      <c r="M1034" s="1" t="s">
        <v>11011</v>
      </c>
      <c r="N1034" s="1"/>
      <c r="O1034" s="1"/>
      <c r="P1034" s="1"/>
      <c r="Q1034" s="1"/>
      <c r="R1034" s="1"/>
      <c r="S1034" s="1"/>
      <c r="T1034" s="1"/>
      <c r="U1034" s="1"/>
      <c r="V1034" s="1"/>
      <c r="W1034" s="1"/>
    </row>
    <row r="1035" spans="1:23" ht="48" customHeight="1">
      <c r="A1035" s="1" t="s">
        <v>5369</v>
      </c>
      <c r="B1035" s="1" t="s">
        <v>6236</v>
      </c>
      <c r="C1035" s="1" t="s">
        <v>11012</v>
      </c>
      <c r="D1035" s="1" t="s">
        <v>11013</v>
      </c>
      <c r="E1035" s="1" t="s">
        <v>11014</v>
      </c>
      <c r="F1035" s="1" t="s">
        <v>6163</v>
      </c>
      <c r="G1035" s="1" t="s">
        <v>10905</v>
      </c>
      <c r="H1035" s="1" t="s">
        <v>6089</v>
      </c>
      <c r="I1035" s="1"/>
      <c r="J1035" s="1"/>
      <c r="K1035" s="1" t="s">
        <v>6090</v>
      </c>
      <c r="L1035" s="1" t="s">
        <v>11015</v>
      </c>
      <c r="M1035" s="1" t="s">
        <v>11016</v>
      </c>
      <c r="N1035" s="1"/>
      <c r="O1035" s="1"/>
      <c r="P1035" s="1"/>
      <c r="Q1035" s="1"/>
      <c r="R1035" s="1" t="s">
        <v>11017</v>
      </c>
      <c r="S1035" s="1" t="s">
        <v>11018</v>
      </c>
      <c r="T1035" s="1" t="s">
        <v>10912</v>
      </c>
      <c r="U1035" s="1" t="s">
        <v>6096</v>
      </c>
      <c r="V1035" s="1" t="s">
        <v>6244</v>
      </c>
      <c r="W1035" s="1" t="s">
        <v>10913</v>
      </c>
    </row>
    <row r="1036" spans="1:23" ht="48" customHeight="1">
      <c r="A1036" s="1" t="s">
        <v>5369</v>
      </c>
      <c r="B1036" s="1" t="s">
        <v>6245</v>
      </c>
      <c r="C1036" s="1" t="s">
        <v>11019</v>
      </c>
      <c r="D1036" s="1"/>
      <c r="E1036" s="1"/>
      <c r="F1036" s="1" t="s">
        <v>6216</v>
      </c>
      <c r="G1036" s="1" t="s">
        <v>10905</v>
      </c>
      <c r="H1036" s="1"/>
      <c r="I1036" s="1"/>
      <c r="J1036" s="1"/>
      <c r="K1036" s="1" t="s">
        <v>6090</v>
      </c>
      <c r="L1036" s="1" t="s">
        <v>11020</v>
      </c>
      <c r="M1036" s="1"/>
      <c r="N1036" s="1"/>
      <c r="O1036" s="1"/>
      <c r="P1036" s="1"/>
      <c r="Q1036" s="1"/>
      <c r="R1036" s="1"/>
      <c r="S1036" s="1"/>
      <c r="T1036" s="1"/>
      <c r="U1036" s="1"/>
      <c r="V1036" s="1"/>
      <c r="W1036" s="1"/>
    </row>
    <row r="1037" spans="1:23" ht="48" customHeight="1">
      <c r="A1037" s="1" t="s">
        <v>5369</v>
      </c>
      <c r="B1037" s="1" t="s">
        <v>6248</v>
      </c>
      <c r="C1037" s="1" t="s">
        <v>11021</v>
      </c>
      <c r="D1037" s="1"/>
      <c r="E1037" s="1"/>
      <c r="F1037" s="1" t="s">
        <v>6216</v>
      </c>
      <c r="G1037" s="1" t="s">
        <v>10905</v>
      </c>
      <c r="H1037" s="1"/>
      <c r="I1037" s="1"/>
      <c r="J1037" s="1"/>
      <c r="K1037" s="1" t="s">
        <v>6090</v>
      </c>
      <c r="L1037" s="1" t="s">
        <v>11022</v>
      </c>
      <c r="M1037" s="1"/>
      <c r="N1037" s="1"/>
      <c r="O1037" s="1"/>
      <c r="P1037" s="1"/>
      <c r="Q1037" s="1"/>
      <c r="R1037" s="1"/>
      <c r="S1037" s="1"/>
      <c r="T1037" s="1"/>
      <c r="U1037" s="1"/>
      <c r="V1037" s="1"/>
      <c r="W1037" s="1"/>
    </row>
    <row r="1038" spans="1:23" ht="48" customHeight="1">
      <c r="A1038" s="1" t="s">
        <v>5389</v>
      </c>
      <c r="B1038" s="1" t="s">
        <v>6083</v>
      </c>
      <c r="C1038" s="1" t="s">
        <v>11023</v>
      </c>
      <c r="D1038" s="1" t="s">
        <v>11024</v>
      </c>
      <c r="E1038" s="1" t="s">
        <v>8150</v>
      </c>
      <c r="F1038" s="1" t="s">
        <v>6087</v>
      </c>
      <c r="G1038" s="1" t="s">
        <v>11025</v>
      </c>
      <c r="H1038" s="1" t="s">
        <v>6089</v>
      </c>
      <c r="I1038" s="1"/>
      <c r="J1038" s="1"/>
      <c r="K1038" s="1" t="s">
        <v>6090</v>
      </c>
      <c r="L1038" s="1" t="s">
        <v>11026</v>
      </c>
      <c r="M1038" s="1" t="s">
        <v>11027</v>
      </c>
      <c r="N1038" s="1"/>
      <c r="O1038" s="1"/>
      <c r="P1038" s="1"/>
      <c r="Q1038" s="1"/>
      <c r="R1038" s="1" t="s">
        <v>11028</v>
      </c>
      <c r="S1038" s="1" t="s">
        <v>11029</v>
      </c>
      <c r="T1038" s="1" t="s">
        <v>11030</v>
      </c>
      <c r="U1038" s="1" t="s">
        <v>6096</v>
      </c>
      <c r="V1038" s="1" t="s">
        <v>6097</v>
      </c>
      <c r="W1038" s="1" t="s">
        <v>11031</v>
      </c>
    </row>
    <row r="1039" spans="1:23" ht="48" customHeight="1">
      <c r="A1039" s="1" t="s">
        <v>5389</v>
      </c>
      <c r="B1039" s="1" t="s">
        <v>6099</v>
      </c>
      <c r="C1039" s="1" t="s">
        <v>11032</v>
      </c>
      <c r="D1039" s="1" t="s">
        <v>11033</v>
      </c>
      <c r="E1039" s="1" t="s">
        <v>7060</v>
      </c>
      <c r="F1039" s="1" t="s">
        <v>6087</v>
      </c>
      <c r="G1039" s="1" t="s">
        <v>11025</v>
      </c>
      <c r="H1039" s="1" t="s">
        <v>6089</v>
      </c>
      <c r="I1039" s="1"/>
      <c r="J1039" s="1"/>
      <c r="K1039" s="1" t="s">
        <v>6090</v>
      </c>
      <c r="L1039" s="1" t="s">
        <v>11034</v>
      </c>
      <c r="M1039" s="1" t="s">
        <v>11035</v>
      </c>
      <c r="N1039" s="1"/>
      <c r="O1039" s="1"/>
      <c r="P1039" s="1"/>
      <c r="Q1039" s="1"/>
      <c r="R1039" s="1" t="s">
        <v>11028</v>
      </c>
      <c r="S1039" s="1" t="s">
        <v>11029</v>
      </c>
      <c r="T1039" s="1" t="s">
        <v>11030</v>
      </c>
      <c r="U1039" s="1" t="s">
        <v>6096</v>
      </c>
      <c r="V1039" s="1" t="s">
        <v>6097</v>
      </c>
      <c r="W1039" s="1" t="s">
        <v>11031</v>
      </c>
    </row>
    <row r="1040" spans="1:23" ht="48" customHeight="1">
      <c r="A1040" s="1" t="s">
        <v>5389</v>
      </c>
      <c r="B1040" s="1" t="s">
        <v>6107</v>
      </c>
      <c r="C1040" s="1" t="s">
        <v>11036</v>
      </c>
      <c r="D1040" s="1" t="s">
        <v>11037</v>
      </c>
      <c r="E1040" s="1"/>
      <c r="F1040" s="1" t="s">
        <v>6110</v>
      </c>
      <c r="G1040" s="1" t="s">
        <v>11025</v>
      </c>
      <c r="H1040" s="1" t="s">
        <v>6089</v>
      </c>
      <c r="I1040" s="1"/>
      <c r="J1040" s="1"/>
      <c r="K1040" s="1" t="s">
        <v>6090</v>
      </c>
      <c r="L1040" s="1" t="s">
        <v>11038</v>
      </c>
      <c r="M1040" s="1" t="s">
        <v>11039</v>
      </c>
      <c r="N1040" s="1"/>
      <c r="O1040" s="1"/>
      <c r="P1040" s="1"/>
      <c r="Q1040" s="1"/>
      <c r="R1040" s="1"/>
      <c r="S1040" s="1"/>
      <c r="T1040" s="1"/>
      <c r="U1040" s="1"/>
      <c r="V1040" s="1"/>
      <c r="W1040" s="1"/>
    </row>
    <row r="1041" spans="1:23" ht="48" customHeight="1">
      <c r="A1041" s="1" t="s">
        <v>5389</v>
      </c>
      <c r="B1041" s="1" t="s">
        <v>6113</v>
      </c>
      <c r="C1041" s="1" t="s">
        <v>11040</v>
      </c>
      <c r="D1041" s="1" t="s">
        <v>11041</v>
      </c>
      <c r="E1041" s="1"/>
      <c r="F1041" s="1" t="s">
        <v>6110</v>
      </c>
      <c r="G1041" s="1" t="s">
        <v>11025</v>
      </c>
      <c r="H1041" s="1" t="s">
        <v>6089</v>
      </c>
      <c r="I1041" s="1"/>
      <c r="J1041" s="1"/>
      <c r="K1041" s="1" t="s">
        <v>6090</v>
      </c>
      <c r="L1041" s="1" t="s">
        <v>11042</v>
      </c>
      <c r="M1041" s="1" t="s">
        <v>11043</v>
      </c>
      <c r="N1041" s="1"/>
      <c r="O1041" s="1"/>
      <c r="P1041" s="1"/>
      <c r="Q1041" s="1"/>
      <c r="R1041" s="1"/>
      <c r="S1041" s="1"/>
      <c r="T1041" s="1"/>
      <c r="U1041" s="1"/>
      <c r="V1041" s="1"/>
      <c r="W1041" s="1"/>
    </row>
    <row r="1042" spans="1:23" ht="48" customHeight="1">
      <c r="A1042" s="1" t="s">
        <v>5389</v>
      </c>
      <c r="B1042" s="1" t="s">
        <v>6118</v>
      </c>
      <c r="C1042" s="1" t="s">
        <v>11044</v>
      </c>
      <c r="D1042" s="1" t="s">
        <v>11045</v>
      </c>
      <c r="E1042" s="1" t="s">
        <v>11046</v>
      </c>
      <c r="F1042" s="1" t="s">
        <v>6087</v>
      </c>
      <c r="G1042" s="1" t="s">
        <v>11025</v>
      </c>
      <c r="H1042" s="1" t="s">
        <v>6089</v>
      </c>
      <c r="I1042" s="1"/>
      <c r="J1042" s="1"/>
      <c r="K1042" s="1" t="s">
        <v>6090</v>
      </c>
      <c r="L1042" s="1" t="s">
        <v>11047</v>
      </c>
      <c r="M1042" s="1" t="s">
        <v>11048</v>
      </c>
      <c r="N1042" s="1"/>
      <c r="O1042" s="1"/>
      <c r="P1042" s="1"/>
      <c r="Q1042" s="1"/>
      <c r="R1042" s="1" t="s">
        <v>11049</v>
      </c>
      <c r="S1042" s="1" t="s">
        <v>11050</v>
      </c>
      <c r="T1042" s="1" t="s">
        <v>11030</v>
      </c>
      <c r="U1042" s="1" t="s">
        <v>6096</v>
      </c>
      <c r="V1042" s="1" t="s">
        <v>6097</v>
      </c>
      <c r="W1042" s="1" t="s">
        <v>11031</v>
      </c>
    </row>
    <row r="1043" spans="1:23" ht="48" customHeight="1">
      <c r="A1043" s="1" t="s">
        <v>5389</v>
      </c>
      <c r="B1043" s="1" t="s">
        <v>6126</v>
      </c>
      <c r="C1043" s="1" t="s">
        <v>11051</v>
      </c>
      <c r="D1043" s="1" t="s">
        <v>11052</v>
      </c>
      <c r="E1043" s="1" t="s">
        <v>6129</v>
      </c>
      <c r="F1043" s="1" t="s">
        <v>6087</v>
      </c>
      <c r="G1043" s="1" t="s">
        <v>11025</v>
      </c>
      <c r="H1043" s="1" t="s">
        <v>6089</v>
      </c>
      <c r="I1043" s="1"/>
      <c r="J1043" s="1"/>
      <c r="K1043" s="1" t="s">
        <v>6090</v>
      </c>
      <c r="L1043" s="1" t="s">
        <v>11053</v>
      </c>
      <c r="M1043" s="1" t="s">
        <v>11054</v>
      </c>
      <c r="N1043" s="1"/>
      <c r="O1043" s="1"/>
      <c r="P1043" s="1"/>
      <c r="Q1043" s="1"/>
      <c r="R1043" s="1" t="s">
        <v>11055</v>
      </c>
      <c r="S1043" s="1" t="s">
        <v>11056</v>
      </c>
      <c r="T1043" s="1" t="s">
        <v>11030</v>
      </c>
      <c r="U1043" s="1" t="s">
        <v>6096</v>
      </c>
      <c r="V1043" s="1" t="s">
        <v>6097</v>
      </c>
      <c r="W1043" s="1" t="s">
        <v>11031</v>
      </c>
    </row>
    <row r="1044" spans="1:23" ht="48" customHeight="1">
      <c r="A1044" s="1" t="s">
        <v>5389</v>
      </c>
      <c r="B1044" s="1" t="s">
        <v>6134</v>
      </c>
      <c r="C1044" s="1" t="s">
        <v>11057</v>
      </c>
      <c r="D1044" s="1" t="s">
        <v>11058</v>
      </c>
      <c r="E1044" s="1" t="s">
        <v>11059</v>
      </c>
      <c r="F1044" s="1" t="s">
        <v>6138</v>
      </c>
      <c r="G1044" s="1" t="s">
        <v>11025</v>
      </c>
      <c r="H1044" s="1" t="s">
        <v>6089</v>
      </c>
      <c r="I1044" s="1"/>
      <c r="J1044" s="1"/>
      <c r="K1044" s="1" t="s">
        <v>6090</v>
      </c>
      <c r="L1044" s="1" t="s">
        <v>11060</v>
      </c>
      <c r="M1044" s="1" t="s">
        <v>11061</v>
      </c>
      <c r="N1044" s="1"/>
      <c r="O1044" s="1"/>
      <c r="P1044" s="1"/>
      <c r="Q1044" s="1"/>
      <c r="R1044" s="1" t="s">
        <v>11062</v>
      </c>
      <c r="S1044" s="1" t="s">
        <v>6294</v>
      </c>
      <c r="T1044" s="1" t="s">
        <v>11030</v>
      </c>
      <c r="U1044" s="1" t="s">
        <v>6096</v>
      </c>
      <c r="V1044" s="1" t="s">
        <v>6143</v>
      </c>
      <c r="W1044" s="1" t="s">
        <v>11031</v>
      </c>
    </row>
    <row r="1045" spans="1:23" ht="48" customHeight="1">
      <c r="A1045" s="1" t="s">
        <v>5389</v>
      </c>
      <c r="B1045" s="1" t="s">
        <v>6144</v>
      </c>
      <c r="C1045" s="1" t="s">
        <v>11063</v>
      </c>
      <c r="D1045" s="1" t="s">
        <v>4747</v>
      </c>
      <c r="E1045" s="1" t="s">
        <v>11064</v>
      </c>
      <c r="F1045" s="1" t="s">
        <v>6138</v>
      </c>
      <c r="G1045" s="1" t="s">
        <v>11025</v>
      </c>
      <c r="H1045" s="1" t="s">
        <v>6089</v>
      </c>
      <c r="I1045" s="1"/>
      <c r="J1045" s="1"/>
      <c r="K1045" s="1" t="s">
        <v>6090</v>
      </c>
      <c r="L1045" s="1" t="s">
        <v>11065</v>
      </c>
      <c r="M1045" s="1" t="s">
        <v>11066</v>
      </c>
      <c r="N1045" s="1"/>
      <c r="O1045" s="1"/>
      <c r="P1045" s="1"/>
      <c r="Q1045" s="1"/>
      <c r="R1045" s="1" t="s">
        <v>11062</v>
      </c>
      <c r="S1045" s="1" t="s">
        <v>6294</v>
      </c>
      <c r="T1045" s="1" t="s">
        <v>11030</v>
      </c>
      <c r="U1045" s="1" t="s">
        <v>6096</v>
      </c>
      <c r="V1045" s="1" t="s">
        <v>6143</v>
      </c>
      <c r="W1045" s="1" t="s">
        <v>11031</v>
      </c>
    </row>
    <row r="1046" spans="1:23" ht="48" customHeight="1">
      <c r="A1046" s="1" t="s">
        <v>5389</v>
      </c>
      <c r="B1046" s="1" t="s">
        <v>6149</v>
      </c>
      <c r="C1046" s="1" t="s">
        <v>11067</v>
      </c>
      <c r="D1046" s="1" t="s">
        <v>11068</v>
      </c>
      <c r="E1046" s="1" t="s">
        <v>11069</v>
      </c>
      <c r="F1046" s="1" t="s">
        <v>6138</v>
      </c>
      <c r="G1046" s="1" t="s">
        <v>11025</v>
      </c>
      <c r="H1046" s="1" t="s">
        <v>6089</v>
      </c>
      <c r="I1046" s="1"/>
      <c r="J1046" s="1"/>
      <c r="K1046" s="1" t="s">
        <v>6090</v>
      </c>
      <c r="L1046" s="1" t="s">
        <v>11070</v>
      </c>
      <c r="M1046" s="1" t="s">
        <v>11071</v>
      </c>
      <c r="N1046" s="1"/>
      <c r="O1046" s="1"/>
      <c r="P1046" s="1"/>
      <c r="Q1046" s="1"/>
      <c r="R1046" s="1" t="s">
        <v>11062</v>
      </c>
      <c r="S1046" s="1" t="s">
        <v>6294</v>
      </c>
      <c r="T1046" s="1" t="s">
        <v>11030</v>
      </c>
      <c r="U1046" s="1" t="s">
        <v>6096</v>
      </c>
      <c r="V1046" s="1" t="s">
        <v>6143</v>
      </c>
      <c r="W1046" s="1" t="s">
        <v>11031</v>
      </c>
    </row>
    <row r="1047" spans="1:23" ht="48" customHeight="1">
      <c r="A1047" s="1" t="s">
        <v>5389</v>
      </c>
      <c r="B1047" s="1" t="s">
        <v>6154</v>
      </c>
      <c r="C1047" s="1" t="s">
        <v>11072</v>
      </c>
      <c r="D1047" s="1" t="s">
        <v>11073</v>
      </c>
      <c r="E1047" s="1" t="s">
        <v>11074</v>
      </c>
      <c r="F1047" s="1" t="s">
        <v>6138</v>
      </c>
      <c r="G1047" s="1" t="s">
        <v>11025</v>
      </c>
      <c r="H1047" s="1" t="s">
        <v>6089</v>
      </c>
      <c r="I1047" s="1"/>
      <c r="J1047" s="1"/>
      <c r="K1047" s="1" t="s">
        <v>6090</v>
      </c>
      <c r="L1047" s="1" t="s">
        <v>11075</v>
      </c>
      <c r="M1047" s="1" t="s">
        <v>11076</v>
      </c>
      <c r="N1047" s="1"/>
      <c r="O1047" s="1"/>
      <c r="P1047" s="1"/>
      <c r="Q1047" s="1"/>
      <c r="R1047" s="1" t="s">
        <v>11062</v>
      </c>
      <c r="S1047" s="1" t="s">
        <v>6294</v>
      </c>
      <c r="T1047" s="1" t="s">
        <v>11030</v>
      </c>
      <c r="U1047" s="1" t="s">
        <v>6096</v>
      </c>
      <c r="V1047" s="1" t="s">
        <v>6143</v>
      </c>
      <c r="W1047" s="1" t="s">
        <v>11031</v>
      </c>
    </row>
    <row r="1048" spans="1:23" ht="60" customHeight="1">
      <c r="A1048" s="1" t="s">
        <v>5389</v>
      </c>
      <c r="B1048" s="1" t="s">
        <v>6159</v>
      </c>
      <c r="C1048" s="1" t="s">
        <v>5399</v>
      </c>
      <c r="D1048" s="1" t="s">
        <v>4747</v>
      </c>
      <c r="E1048" s="1" t="s">
        <v>11077</v>
      </c>
      <c r="F1048" s="1" t="s">
        <v>6349</v>
      </c>
      <c r="G1048" s="1" t="s">
        <v>11025</v>
      </c>
      <c r="H1048" s="1" t="s">
        <v>6089</v>
      </c>
      <c r="I1048" s="1"/>
      <c r="J1048" s="1"/>
      <c r="K1048" s="1" t="s">
        <v>6090</v>
      </c>
      <c r="L1048" s="1" t="s">
        <v>11078</v>
      </c>
      <c r="M1048" s="1" t="s">
        <v>11079</v>
      </c>
      <c r="N1048" s="1"/>
      <c r="O1048" s="1"/>
      <c r="P1048" s="1"/>
      <c r="Q1048" s="1"/>
      <c r="R1048" s="1" t="s">
        <v>11080</v>
      </c>
      <c r="S1048" s="1" t="s">
        <v>11081</v>
      </c>
      <c r="T1048" s="1" t="s">
        <v>11030</v>
      </c>
      <c r="U1048" s="1" t="s">
        <v>6096</v>
      </c>
      <c r="V1048" s="1" t="s">
        <v>11082</v>
      </c>
      <c r="W1048" s="1" t="s">
        <v>11031</v>
      </c>
    </row>
    <row r="1049" spans="1:23" ht="48" customHeight="1">
      <c r="A1049" s="1" t="s">
        <v>5389</v>
      </c>
      <c r="B1049" s="1" t="s">
        <v>6169</v>
      </c>
      <c r="C1049" s="1" t="s">
        <v>4747</v>
      </c>
      <c r="D1049" s="1" t="s">
        <v>4747</v>
      </c>
      <c r="E1049" s="1" t="s">
        <v>4747</v>
      </c>
      <c r="F1049" s="1" t="s">
        <v>6186</v>
      </c>
      <c r="G1049" s="1" t="s">
        <v>11025</v>
      </c>
      <c r="H1049" s="1" t="s">
        <v>6089</v>
      </c>
      <c r="I1049" s="1"/>
      <c r="J1049" s="1"/>
      <c r="K1049" s="1" t="s">
        <v>6090</v>
      </c>
      <c r="L1049" s="1" t="s">
        <v>11083</v>
      </c>
      <c r="M1049" s="1" t="s">
        <v>11084</v>
      </c>
      <c r="N1049" s="1"/>
      <c r="O1049" s="1"/>
      <c r="P1049" s="1"/>
      <c r="Q1049" s="1"/>
      <c r="R1049" s="1"/>
      <c r="S1049" s="1"/>
      <c r="T1049" s="1"/>
      <c r="U1049" s="1"/>
      <c r="V1049" s="1"/>
      <c r="W1049" s="1"/>
    </row>
    <row r="1050" spans="1:23" ht="96" customHeight="1">
      <c r="A1050" s="1" t="s">
        <v>5389</v>
      </c>
      <c r="B1050" s="1" t="s">
        <v>6176</v>
      </c>
      <c r="C1050" s="1" t="s">
        <v>11085</v>
      </c>
      <c r="D1050" s="1" t="s">
        <v>4747</v>
      </c>
      <c r="E1050" s="1" t="s">
        <v>11086</v>
      </c>
      <c r="F1050" s="1" t="s">
        <v>6138</v>
      </c>
      <c r="G1050" s="1" t="s">
        <v>11025</v>
      </c>
      <c r="H1050" s="1" t="s">
        <v>6089</v>
      </c>
      <c r="I1050" s="1"/>
      <c r="J1050" s="1"/>
      <c r="K1050" s="1" t="s">
        <v>6090</v>
      </c>
      <c r="L1050" s="1" t="s">
        <v>11087</v>
      </c>
      <c r="M1050" s="1" t="s">
        <v>11088</v>
      </c>
      <c r="N1050" s="1"/>
      <c r="O1050" s="1"/>
      <c r="P1050" s="1"/>
      <c r="Q1050" s="1"/>
      <c r="R1050" s="1" t="s">
        <v>11089</v>
      </c>
      <c r="S1050" s="1" t="s">
        <v>11090</v>
      </c>
      <c r="T1050" s="1" t="s">
        <v>11030</v>
      </c>
      <c r="U1050" s="1" t="s">
        <v>6096</v>
      </c>
      <c r="V1050" s="1" t="s">
        <v>6184</v>
      </c>
      <c r="W1050" s="1" t="s">
        <v>11031</v>
      </c>
    </row>
    <row r="1051" spans="1:23" ht="96" customHeight="1">
      <c r="A1051" s="1" t="s">
        <v>5389</v>
      </c>
      <c r="B1051" s="1" t="s">
        <v>6185</v>
      </c>
      <c r="C1051" s="1" t="s">
        <v>11091</v>
      </c>
      <c r="D1051" s="1" t="s">
        <v>4747</v>
      </c>
      <c r="E1051" s="1" t="s">
        <v>11092</v>
      </c>
      <c r="F1051" s="1" t="s">
        <v>6138</v>
      </c>
      <c r="G1051" s="1" t="s">
        <v>11025</v>
      </c>
      <c r="H1051" s="1" t="s">
        <v>6089</v>
      </c>
      <c r="I1051" s="1"/>
      <c r="J1051" s="1"/>
      <c r="K1051" s="1" t="s">
        <v>6090</v>
      </c>
      <c r="L1051" s="1" t="s">
        <v>11093</v>
      </c>
      <c r="M1051" s="1" t="s">
        <v>11094</v>
      </c>
      <c r="N1051" s="1"/>
      <c r="O1051" s="1"/>
      <c r="P1051" s="1"/>
      <c r="Q1051" s="1"/>
      <c r="R1051" s="1" t="s">
        <v>11095</v>
      </c>
      <c r="S1051" s="1" t="s">
        <v>11096</v>
      </c>
      <c r="T1051" s="1" t="s">
        <v>11030</v>
      </c>
      <c r="U1051" s="1" t="s">
        <v>6096</v>
      </c>
      <c r="V1051" s="1" t="s">
        <v>6184</v>
      </c>
      <c r="W1051" s="1" t="s">
        <v>11031</v>
      </c>
    </row>
    <row r="1052" spans="1:23" ht="96" customHeight="1">
      <c r="A1052" s="1" t="s">
        <v>5389</v>
      </c>
      <c r="B1052" s="1" t="s">
        <v>6189</v>
      </c>
      <c r="C1052" s="1" t="s">
        <v>11097</v>
      </c>
      <c r="D1052" s="1" t="s">
        <v>4747</v>
      </c>
      <c r="E1052" s="1" t="s">
        <v>11098</v>
      </c>
      <c r="F1052" s="1" t="s">
        <v>6138</v>
      </c>
      <c r="G1052" s="1" t="s">
        <v>11025</v>
      </c>
      <c r="H1052" s="1" t="s">
        <v>6089</v>
      </c>
      <c r="I1052" s="1"/>
      <c r="J1052" s="1"/>
      <c r="K1052" s="1" t="s">
        <v>6090</v>
      </c>
      <c r="L1052" s="1" t="s">
        <v>11099</v>
      </c>
      <c r="M1052" s="1" t="s">
        <v>11100</v>
      </c>
      <c r="N1052" s="1"/>
      <c r="O1052" s="1"/>
      <c r="P1052" s="1"/>
      <c r="Q1052" s="1"/>
      <c r="R1052" s="1" t="s">
        <v>11101</v>
      </c>
      <c r="S1052" s="1" t="s">
        <v>11102</v>
      </c>
      <c r="T1052" s="1" t="s">
        <v>11030</v>
      </c>
      <c r="U1052" s="1" t="s">
        <v>6096</v>
      </c>
      <c r="V1052" s="1" t="s">
        <v>6184</v>
      </c>
      <c r="W1052" s="1" t="s">
        <v>11031</v>
      </c>
    </row>
    <row r="1053" spans="1:23" ht="60" customHeight="1">
      <c r="A1053" s="1" t="s">
        <v>5389</v>
      </c>
      <c r="B1053" s="1" t="s">
        <v>6196</v>
      </c>
      <c r="C1053" s="1" t="s">
        <v>11103</v>
      </c>
      <c r="D1053" s="1" t="s">
        <v>4747</v>
      </c>
      <c r="E1053" s="1" t="s">
        <v>11104</v>
      </c>
      <c r="F1053" s="1" t="s">
        <v>6349</v>
      </c>
      <c r="G1053" s="1" t="s">
        <v>11025</v>
      </c>
      <c r="H1053" s="1" t="s">
        <v>6089</v>
      </c>
      <c r="I1053" s="1"/>
      <c r="J1053" s="1"/>
      <c r="K1053" s="1" t="s">
        <v>6090</v>
      </c>
      <c r="L1053" s="1" t="s">
        <v>11105</v>
      </c>
      <c r="M1053" s="1" t="s">
        <v>11106</v>
      </c>
      <c r="N1053" s="1"/>
      <c r="O1053" s="1"/>
      <c r="P1053" s="1"/>
      <c r="Q1053" s="1"/>
      <c r="R1053" s="1" t="s">
        <v>11107</v>
      </c>
      <c r="S1053" s="1" t="s">
        <v>11108</v>
      </c>
      <c r="T1053" s="1" t="s">
        <v>11030</v>
      </c>
      <c r="U1053" s="1" t="s">
        <v>6096</v>
      </c>
      <c r="V1053" s="1" t="s">
        <v>11109</v>
      </c>
      <c r="W1053" s="1" t="s">
        <v>11031</v>
      </c>
    </row>
    <row r="1054" spans="1:23" ht="48" customHeight="1">
      <c r="A1054" s="1" t="s">
        <v>5389</v>
      </c>
      <c r="B1054" s="1" t="s">
        <v>6200</v>
      </c>
      <c r="C1054" s="1" t="s">
        <v>4747</v>
      </c>
      <c r="D1054" s="1" t="s">
        <v>4747</v>
      </c>
      <c r="E1054" s="1" t="s">
        <v>4747</v>
      </c>
      <c r="F1054" s="1" t="s">
        <v>6186</v>
      </c>
      <c r="G1054" s="1" t="s">
        <v>11025</v>
      </c>
      <c r="H1054" s="1" t="s">
        <v>6089</v>
      </c>
      <c r="I1054" s="1"/>
      <c r="J1054" s="1"/>
      <c r="K1054" s="1" t="s">
        <v>6090</v>
      </c>
      <c r="L1054" s="1" t="s">
        <v>11110</v>
      </c>
      <c r="M1054" s="1" t="s">
        <v>11111</v>
      </c>
      <c r="N1054" s="1"/>
      <c r="O1054" s="1"/>
      <c r="P1054" s="1"/>
      <c r="Q1054" s="1"/>
      <c r="R1054" s="1"/>
      <c r="S1054" s="1"/>
      <c r="T1054" s="1"/>
      <c r="U1054" s="1"/>
      <c r="V1054" s="1"/>
      <c r="W1054" s="1"/>
    </row>
    <row r="1055" spans="1:23" ht="96" customHeight="1">
      <c r="A1055" s="1" t="s">
        <v>5389</v>
      </c>
      <c r="B1055" s="1" t="s">
        <v>5583</v>
      </c>
      <c r="C1055" s="1" t="s">
        <v>11112</v>
      </c>
      <c r="D1055" s="1" t="s">
        <v>4747</v>
      </c>
      <c r="E1055" s="1" t="s">
        <v>11113</v>
      </c>
      <c r="F1055" s="1" t="s">
        <v>6138</v>
      </c>
      <c r="G1055" s="1" t="s">
        <v>11025</v>
      </c>
      <c r="H1055" s="1" t="s">
        <v>6089</v>
      </c>
      <c r="I1055" s="1"/>
      <c r="J1055" s="1"/>
      <c r="K1055" s="1" t="s">
        <v>6090</v>
      </c>
      <c r="L1055" s="1" t="s">
        <v>11114</v>
      </c>
      <c r="M1055" s="1" t="s">
        <v>11115</v>
      </c>
      <c r="N1055" s="1"/>
      <c r="O1055" s="1"/>
      <c r="P1055" s="1"/>
      <c r="Q1055" s="1"/>
      <c r="R1055" s="1" t="s">
        <v>11116</v>
      </c>
      <c r="S1055" s="1" t="s">
        <v>11117</v>
      </c>
      <c r="T1055" s="1" t="s">
        <v>11030</v>
      </c>
      <c r="U1055" s="1" t="s">
        <v>6096</v>
      </c>
      <c r="V1055" s="1" t="s">
        <v>6184</v>
      </c>
      <c r="W1055" s="1" t="s">
        <v>11031</v>
      </c>
    </row>
    <row r="1056" spans="1:23" ht="48" customHeight="1">
      <c r="A1056" s="1" t="s">
        <v>5389</v>
      </c>
      <c r="B1056" s="1" t="s">
        <v>6209</v>
      </c>
      <c r="C1056" s="1" t="s">
        <v>4747</v>
      </c>
      <c r="D1056" s="1" t="s">
        <v>4747</v>
      </c>
      <c r="E1056" s="1" t="s">
        <v>4747</v>
      </c>
      <c r="F1056" s="1" t="s">
        <v>6186</v>
      </c>
      <c r="G1056" s="1" t="s">
        <v>11025</v>
      </c>
      <c r="H1056" s="1" t="s">
        <v>6089</v>
      </c>
      <c r="I1056" s="1"/>
      <c r="J1056" s="1"/>
      <c r="K1056" s="1" t="s">
        <v>6090</v>
      </c>
      <c r="L1056" s="1" t="s">
        <v>11118</v>
      </c>
      <c r="M1056" s="1" t="s">
        <v>11119</v>
      </c>
      <c r="N1056" s="1"/>
      <c r="O1056" s="1"/>
      <c r="P1056" s="1"/>
      <c r="Q1056" s="1"/>
      <c r="R1056" s="1"/>
      <c r="S1056" s="1"/>
      <c r="T1056" s="1"/>
      <c r="U1056" s="1"/>
      <c r="V1056" s="1"/>
      <c r="W1056" s="1"/>
    </row>
    <row r="1057" spans="1:23" ht="48" customHeight="1">
      <c r="A1057" s="1" t="s">
        <v>5389</v>
      </c>
      <c r="B1057" s="1" t="s">
        <v>6212</v>
      </c>
      <c r="C1057" s="1" t="s">
        <v>4747</v>
      </c>
      <c r="D1057" s="1" t="s">
        <v>4747</v>
      </c>
      <c r="E1057" s="1" t="s">
        <v>4747</v>
      </c>
      <c r="F1057" s="1" t="s">
        <v>6186</v>
      </c>
      <c r="G1057" s="1" t="s">
        <v>11025</v>
      </c>
      <c r="H1057" s="1" t="s">
        <v>6089</v>
      </c>
      <c r="I1057" s="1"/>
      <c r="J1057" s="1"/>
      <c r="K1057" s="1" t="s">
        <v>6090</v>
      </c>
      <c r="L1057" s="1" t="s">
        <v>11120</v>
      </c>
      <c r="M1057" s="1" t="s">
        <v>11121</v>
      </c>
      <c r="N1057" s="1"/>
      <c r="O1057" s="1"/>
      <c r="P1057" s="1"/>
      <c r="Q1057" s="1"/>
      <c r="R1057" s="1"/>
      <c r="S1057" s="1"/>
      <c r="T1057" s="1"/>
      <c r="U1057" s="1"/>
      <c r="V1057" s="1"/>
      <c r="W1057" s="1"/>
    </row>
    <row r="1058" spans="1:23" ht="48" customHeight="1">
      <c r="A1058" s="1" t="s">
        <v>5389</v>
      </c>
      <c r="B1058" s="1" t="s">
        <v>6215</v>
      </c>
      <c r="C1058" s="1"/>
      <c r="D1058" s="1" t="s">
        <v>4747</v>
      </c>
      <c r="E1058" s="1"/>
      <c r="F1058" s="1" t="s">
        <v>6216</v>
      </c>
      <c r="G1058" s="1"/>
      <c r="H1058" s="1" t="s">
        <v>6089</v>
      </c>
      <c r="I1058" s="1"/>
      <c r="J1058" s="1"/>
      <c r="K1058" s="1" t="s">
        <v>6090</v>
      </c>
      <c r="L1058" s="1"/>
      <c r="M1058" s="1" t="s">
        <v>11122</v>
      </c>
      <c r="N1058" s="1"/>
      <c r="O1058" s="1"/>
      <c r="P1058" s="1"/>
      <c r="Q1058" s="1"/>
      <c r="R1058" s="1"/>
      <c r="S1058" s="1"/>
      <c r="T1058" s="1"/>
      <c r="U1058" s="1"/>
      <c r="V1058" s="1"/>
      <c r="W1058" s="1"/>
    </row>
    <row r="1059" spans="1:23" ht="48" customHeight="1">
      <c r="A1059" s="1" t="s">
        <v>5389</v>
      </c>
      <c r="B1059" s="1" t="s">
        <v>6218</v>
      </c>
      <c r="C1059" s="1" t="s">
        <v>11123</v>
      </c>
      <c r="D1059" s="1" t="s">
        <v>4747</v>
      </c>
      <c r="E1059" s="1"/>
      <c r="F1059" s="1" t="s">
        <v>6110</v>
      </c>
      <c r="G1059" s="1" t="s">
        <v>11025</v>
      </c>
      <c r="H1059" s="1" t="s">
        <v>6089</v>
      </c>
      <c r="I1059" s="1"/>
      <c r="J1059" s="1"/>
      <c r="K1059" s="1" t="s">
        <v>6090</v>
      </c>
      <c r="L1059" s="1" t="s">
        <v>11124</v>
      </c>
      <c r="M1059" s="1" t="s">
        <v>11125</v>
      </c>
      <c r="N1059" s="1"/>
      <c r="O1059" s="1"/>
      <c r="P1059" s="1"/>
      <c r="Q1059" s="1"/>
      <c r="R1059" s="1"/>
      <c r="S1059" s="1"/>
      <c r="T1059" s="1"/>
      <c r="U1059" s="1"/>
      <c r="V1059" s="1"/>
      <c r="W1059" s="1"/>
    </row>
    <row r="1060" spans="1:23" ht="48" customHeight="1">
      <c r="A1060" s="1" t="s">
        <v>5389</v>
      </c>
      <c r="B1060" s="1" t="s">
        <v>6222</v>
      </c>
      <c r="C1060" s="1" t="s">
        <v>11126</v>
      </c>
      <c r="D1060" s="1" t="s">
        <v>11127</v>
      </c>
      <c r="E1060" s="1"/>
      <c r="F1060" s="1" t="s">
        <v>6110</v>
      </c>
      <c r="G1060" s="1" t="s">
        <v>11025</v>
      </c>
      <c r="H1060" s="1" t="s">
        <v>6089</v>
      </c>
      <c r="I1060" s="1"/>
      <c r="J1060" s="1"/>
      <c r="K1060" s="1" t="s">
        <v>6090</v>
      </c>
      <c r="L1060" s="1" t="s">
        <v>11128</v>
      </c>
      <c r="M1060" s="1" t="s">
        <v>11129</v>
      </c>
      <c r="N1060" s="1"/>
      <c r="O1060" s="1"/>
      <c r="P1060" s="1"/>
      <c r="Q1060" s="1"/>
      <c r="R1060" s="1"/>
      <c r="S1060" s="1"/>
      <c r="T1060" s="1"/>
      <c r="U1060" s="1"/>
      <c r="V1060" s="1"/>
      <c r="W1060" s="1"/>
    </row>
    <row r="1061" spans="1:23" ht="48" customHeight="1">
      <c r="A1061" s="1" t="s">
        <v>5389</v>
      </c>
      <c r="B1061" s="1" t="s">
        <v>6227</v>
      </c>
      <c r="C1061" s="1" t="s">
        <v>11130</v>
      </c>
      <c r="D1061" s="1" t="s">
        <v>11131</v>
      </c>
      <c r="E1061" s="1"/>
      <c r="F1061" s="1" t="s">
        <v>6110</v>
      </c>
      <c r="G1061" s="1" t="s">
        <v>11025</v>
      </c>
      <c r="H1061" s="1" t="s">
        <v>6089</v>
      </c>
      <c r="I1061" s="1"/>
      <c r="J1061" s="1"/>
      <c r="K1061" s="1" t="s">
        <v>6090</v>
      </c>
      <c r="L1061" s="1" t="s">
        <v>11132</v>
      </c>
      <c r="M1061" s="1" t="s">
        <v>11133</v>
      </c>
      <c r="N1061" s="1"/>
      <c r="O1061" s="1"/>
      <c r="P1061" s="1"/>
      <c r="Q1061" s="1"/>
      <c r="R1061" s="1"/>
      <c r="S1061" s="1"/>
      <c r="T1061" s="1"/>
      <c r="U1061" s="1"/>
      <c r="V1061" s="1"/>
      <c r="W1061" s="1"/>
    </row>
    <row r="1062" spans="1:23" ht="48" customHeight="1">
      <c r="A1062" s="1" t="s">
        <v>5389</v>
      </c>
      <c r="B1062" s="1" t="s">
        <v>6232</v>
      </c>
      <c r="C1062" s="1" t="s">
        <v>4747</v>
      </c>
      <c r="D1062" s="1" t="s">
        <v>4747</v>
      </c>
      <c r="E1062" s="1" t="s">
        <v>4747</v>
      </c>
      <c r="F1062" s="1" t="s">
        <v>6186</v>
      </c>
      <c r="G1062" s="1" t="s">
        <v>11025</v>
      </c>
      <c r="H1062" s="1" t="s">
        <v>6089</v>
      </c>
      <c r="I1062" s="1"/>
      <c r="J1062" s="1"/>
      <c r="K1062" s="1" t="s">
        <v>6090</v>
      </c>
      <c r="L1062" s="1" t="s">
        <v>11134</v>
      </c>
      <c r="M1062" s="1" t="s">
        <v>11135</v>
      </c>
      <c r="N1062" s="1"/>
      <c r="O1062" s="1"/>
      <c r="P1062" s="1"/>
      <c r="Q1062" s="1"/>
      <c r="R1062" s="1"/>
      <c r="S1062" s="1"/>
      <c r="T1062" s="1"/>
      <c r="U1062" s="1"/>
      <c r="V1062" s="1"/>
      <c r="W1062" s="1"/>
    </row>
    <row r="1063" spans="1:23" ht="84" customHeight="1">
      <c r="A1063" s="1" t="s">
        <v>5389</v>
      </c>
      <c r="B1063" s="1" t="s">
        <v>6236</v>
      </c>
      <c r="C1063" s="1" t="s">
        <v>11136</v>
      </c>
      <c r="D1063" s="1" t="s">
        <v>11137</v>
      </c>
      <c r="E1063" s="1" t="s">
        <v>11138</v>
      </c>
      <c r="F1063" s="1" t="s">
        <v>6163</v>
      </c>
      <c r="G1063" s="1" t="s">
        <v>11025</v>
      </c>
      <c r="H1063" s="1" t="s">
        <v>6089</v>
      </c>
      <c r="I1063" s="1"/>
      <c r="J1063" s="1"/>
      <c r="K1063" s="1" t="s">
        <v>6090</v>
      </c>
      <c r="L1063" s="1" t="s">
        <v>11139</v>
      </c>
      <c r="M1063" s="1" t="s">
        <v>11140</v>
      </c>
      <c r="N1063" s="1"/>
      <c r="O1063" s="1"/>
      <c r="P1063" s="1"/>
      <c r="Q1063" s="1"/>
      <c r="R1063" s="1" t="s">
        <v>11141</v>
      </c>
      <c r="S1063" s="1" t="s">
        <v>11018</v>
      </c>
      <c r="T1063" s="1" t="s">
        <v>11030</v>
      </c>
      <c r="U1063" s="1" t="s">
        <v>6096</v>
      </c>
      <c r="V1063" s="1" t="s">
        <v>6244</v>
      </c>
      <c r="W1063" s="1" t="s">
        <v>11031</v>
      </c>
    </row>
    <row r="1064" spans="1:23" ht="48" customHeight="1">
      <c r="A1064" s="1" t="s">
        <v>5389</v>
      </c>
      <c r="B1064" s="1" t="s">
        <v>6245</v>
      </c>
      <c r="C1064" s="1" t="s">
        <v>11142</v>
      </c>
      <c r="D1064" s="1"/>
      <c r="E1064" s="1"/>
      <c r="F1064" s="1" t="s">
        <v>6216</v>
      </c>
      <c r="G1064" s="1" t="s">
        <v>11025</v>
      </c>
      <c r="H1064" s="1"/>
      <c r="I1064" s="1"/>
      <c r="J1064" s="1"/>
      <c r="K1064" s="1" t="s">
        <v>6090</v>
      </c>
      <c r="L1064" s="1" t="s">
        <v>11143</v>
      </c>
      <c r="M1064" s="1"/>
      <c r="N1064" s="1"/>
      <c r="O1064" s="1"/>
      <c r="P1064" s="1"/>
      <c r="Q1064" s="1"/>
      <c r="R1064" s="1"/>
      <c r="S1064" s="1"/>
      <c r="T1064" s="1"/>
      <c r="U1064" s="1"/>
      <c r="V1064" s="1"/>
      <c r="W1064" s="1"/>
    </row>
    <row r="1065" spans="1:23" ht="48" customHeight="1">
      <c r="A1065" s="1" t="s">
        <v>5389</v>
      </c>
      <c r="B1065" s="1" t="s">
        <v>6248</v>
      </c>
      <c r="C1065" s="1" t="s">
        <v>11144</v>
      </c>
      <c r="D1065" s="1"/>
      <c r="E1065" s="1"/>
      <c r="F1065" s="1" t="s">
        <v>6216</v>
      </c>
      <c r="G1065" s="1" t="s">
        <v>11025</v>
      </c>
      <c r="H1065" s="1"/>
      <c r="I1065" s="1"/>
      <c r="J1065" s="1"/>
      <c r="K1065" s="1" t="s">
        <v>6090</v>
      </c>
      <c r="L1065" s="1" t="s">
        <v>11145</v>
      </c>
      <c r="M1065" s="1"/>
      <c r="N1065" s="1"/>
      <c r="O1065" s="1"/>
      <c r="P1065" s="1"/>
      <c r="Q1065" s="1"/>
      <c r="R1065" s="1"/>
      <c r="S1065" s="1"/>
      <c r="T1065" s="1"/>
      <c r="U1065" s="1"/>
      <c r="V1065" s="1"/>
      <c r="W1065" s="1"/>
    </row>
    <row r="1066" spans="1:23" ht="48" customHeight="1">
      <c r="A1066" s="1" t="s">
        <v>5413</v>
      </c>
      <c r="B1066" s="1" t="s">
        <v>6083</v>
      </c>
      <c r="C1066" s="1" t="s">
        <v>11146</v>
      </c>
      <c r="D1066" s="1" t="s">
        <v>11147</v>
      </c>
      <c r="E1066" s="1" t="s">
        <v>6402</v>
      </c>
      <c r="F1066" s="1" t="s">
        <v>6087</v>
      </c>
      <c r="G1066" s="1" t="s">
        <v>11148</v>
      </c>
      <c r="H1066" s="1" t="s">
        <v>6089</v>
      </c>
      <c r="I1066" s="1"/>
      <c r="J1066" s="1"/>
      <c r="K1066" s="1" t="s">
        <v>6090</v>
      </c>
      <c r="L1066" s="1" t="s">
        <v>11149</v>
      </c>
      <c r="M1066" s="1" t="s">
        <v>11150</v>
      </c>
      <c r="N1066" s="1"/>
      <c r="O1066" s="1"/>
      <c r="P1066" s="1"/>
      <c r="Q1066" s="1"/>
      <c r="R1066" s="1" t="s">
        <v>11151</v>
      </c>
      <c r="S1066" s="1" t="s">
        <v>11152</v>
      </c>
      <c r="T1066" s="1" t="s">
        <v>11153</v>
      </c>
      <c r="U1066" s="1" t="s">
        <v>6096</v>
      </c>
      <c r="V1066" s="1" t="s">
        <v>6097</v>
      </c>
      <c r="W1066" s="1" t="s">
        <v>11154</v>
      </c>
    </row>
    <row r="1067" spans="1:23" ht="48" customHeight="1">
      <c r="A1067" s="1" t="s">
        <v>5413</v>
      </c>
      <c r="B1067" s="1" t="s">
        <v>6099</v>
      </c>
      <c r="C1067" s="1" t="s">
        <v>11155</v>
      </c>
      <c r="D1067" s="1" t="s">
        <v>6102</v>
      </c>
      <c r="E1067" s="1" t="s">
        <v>6102</v>
      </c>
      <c r="F1067" s="1" t="s">
        <v>6087</v>
      </c>
      <c r="G1067" s="1" t="s">
        <v>11148</v>
      </c>
      <c r="H1067" s="1" t="s">
        <v>6089</v>
      </c>
      <c r="I1067" s="1"/>
      <c r="J1067" s="1"/>
      <c r="K1067" s="1" t="s">
        <v>6090</v>
      </c>
      <c r="L1067" s="1" t="s">
        <v>11156</v>
      </c>
      <c r="M1067" s="1" t="s">
        <v>11157</v>
      </c>
      <c r="N1067" s="1"/>
      <c r="O1067" s="1"/>
      <c r="P1067" s="1"/>
      <c r="Q1067" s="1"/>
      <c r="R1067" s="1" t="s">
        <v>11158</v>
      </c>
      <c r="S1067" s="1" t="s">
        <v>11159</v>
      </c>
      <c r="T1067" s="1" t="s">
        <v>11153</v>
      </c>
      <c r="U1067" s="1" t="s">
        <v>6096</v>
      </c>
      <c r="V1067" s="1" t="s">
        <v>6097</v>
      </c>
      <c r="W1067" s="1" t="s">
        <v>11154</v>
      </c>
    </row>
    <row r="1068" spans="1:23" ht="48" customHeight="1">
      <c r="A1068" s="1" t="s">
        <v>5413</v>
      </c>
      <c r="B1068" s="1" t="s">
        <v>6107</v>
      </c>
      <c r="C1068" s="1" t="s">
        <v>11160</v>
      </c>
      <c r="D1068" s="1" t="s">
        <v>11161</v>
      </c>
      <c r="E1068" s="1"/>
      <c r="F1068" s="1" t="s">
        <v>6110</v>
      </c>
      <c r="G1068" s="1" t="s">
        <v>11148</v>
      </c>
      <c r="H1068" s="1" t="s">
        <v>6089</v>
      </c>
      <c r="I1068" s="1"/>
      <c r="J1068" s="1"/>
      <c r="K1068" s="1" t="s">
        <v>6090</v>
      </c>
      <c r="L1068" s="1" t="s">
        <v>11162</v>
      </c>
      <c r="M1068" s="1" t="s">
        <v>11163</v>
      </c>
      <c r="N1068" s="1"/>
      <c r="O1068" s="1"/>
      <c r="P1068" s="1"/>
      <c r="Q1068" s="1"/>
      <c r="R1068" s="1"/>
      <c r="S1068" s="1"/>
      <c r="T1068" s="1"/>
      <c r="U1068" s="1"/>
      <c r="V1068" s="1"/>
      <c r="W1068" s="1"/>
    </row>
    <row r="1069" spans="1:23" ht="48" customHeight="1">
      <c r="A1069" s="1" t="s">
        <v>5413</v>
      </c>
      <c r="B1069" s="1" t="s">
        <v>6113</v>
      </c>
      <c r="C1069" s="1" t="s">
        <v>11164</v>
      </c>
      <c r="D1069" s="1" t="s">
        <v>11165</v>
      </c>
      <c r="E1069" s="1"/>
      <c r="F1069" s="1" t="s">
        <v>6110</v>
      </c>
      <c r="G1069" s="1" t="s">
        <v>11148</v>
      </c>
      <c r="H1069" s="1" t="s">
        <v>6089</v>
      </c>
      <c r="I1069" s="1"/>
      <c r="J1069" s="1"/>
      <c r="K1069" s="1" t="s">
        <v>6090</v>
      </c>
      <c r="L1069" s="1" t="s">
        <v>11166</v>
      </c>
      <c r="M1069" s="1" t="s">
        <v>11167</v>
      </c>
      <c r="N1069" s="1"/>
      <c r="O1069" s="1"/>
      <c r="P1069" s="1"/>
      <c r="Q1069" s="1"/>
      <c r="R1069" s="1"/>
      <c r="S1069" s="1"/>
      <c r="T1069" s="1"/>
      <c r="U1069" s="1"/>
      <c r="V1069" s="1"/>
      <c r="W1069" s="1"/>
    </row>
    <row r="1070" spans="1:23" ht="48" customHeight="1">
      <c r="A1070" s="1" t="s">
        <v>5413</v>
      </c>
      <c r="B1070" s="1" t="s">
        <v>6118</v>
      </c>
      <c r="C1070" s="1" t="s">
        <v>11168</v>
      </c>
      <c r="D1070" s="1" t="s">
        <v>11169</v>
      </c>
      <c r="E1070" s="1" t="s">
        <v>11170</v>
      </c>
      <c r="F1070" s="1" t="s">
        <v>6087</v>
      </c>
      <c r="G1070" s="1" t="s">
        <v>11148</v>
      </c>
      <c r="H1070" s="1" t="s">
        <v>6089</v>
      </c>
      <c r="I1070" s="1"/>
      <c r="J1070" s="1"/>
      <c r="K1070" s="1" t="s">
        <v>6090</v>
      </c>
      <c r="L1070" s="1" t="s">
        <v>11171</v>
      </c>
      <c r="M1070" s="1" t="s">
        <v>11172</v>
      </c>
      <c r="N1070" s="1"/>
      <c r="O1070" s="1"/>
      <c r="P1070" s="1"/>
      <c r="Q1070" s="1"/>
      <c r="R1070" s="1" t="s">
        <v>11173</v>
      </c>
      <c r="S1070" s="1" t="s">
        <v>11174</v>
      </c>
      <c r="T1070" s="1" t="s">
        <v>11153</v>
      </c>
      <c r="U1070" s="1" t="s">
        <v>6096</v>
      </c>
      <c r="V1070" s="1" t="s">
        <v>6097</v>
      </c>
      <c r="W1070" s="1" t="s">
        <v>11154</v>
      </c>
    </row>
    <row r="1071" spans="1:23" ht="48" customHeight="1">
      <c r="A1071" s="1" t="s">
        <v>5413</v>
      </c>
      <c r="B1071" s="1" t="s">
        <v>6126</v>
      </c>
      <c r="C1071" s="1" t="s">
        <v>11175</v>
      </c>
      <c r="D1071" s="1" t="s">
        <v>11176</v>
      </c>
      <c r="E1071" s="1" t="s">
        <v>11177</v>
      </c>
      <c r="F1071" s="1" t="s">
        <v>6087</v>
      </c>
      <c r="G1071" s="1" t="s">
        <v>11148</v>
      </c>
      <c r="H1071" s="1" t="s">
        <v>6089</v>
      </c>
      <c r="I1071" s="1"/>
      <c r="J1071" s="1"/>
      <c r="K1071" s="1" t="s">
        <v>6090</v>
      </c>
      <c r="L1071" s="1" t="s">
        <v>11178</v>
      </c>
      <c r="M1071" s="1" t="s">
        <v>11179</v>
      </c>
      <c r="N1071" s="1"/>
      <c r="O1071" s="1"/>
      <c r="P1071" s="1"/>
      <c r="Q1071" s="1"/>
      <c r="R1071" s="1" t="s">
        <v>11180</v>
      </c>
      <c r="S1071" s="1" t="s">
        <v>11181</v>
      </c>
      <c r="T1071" s="1" t="s">
        <v>11153</v>
      </c>
      <c r="U1071" s="1" t="s">
        <v>6096</v>
      </c>
      <c r="V1071" s="1" t="s">
        <v>6097</v>
      </c>
      <c r="W1071" s="1" t="s">
        <v>11154</v>
      </c>
    </row>
    <row r="1072" spans="1:23" ht="48" customHeight="1">
      <c r="A1072" s="1" t="s">
        <v>5413</v>
      </c>
      <c r="B1072" s="1" t="s">
        <v>6134</v>
      </c>
      <c r="C1072" s="1" t="s">
        <v>11182</v>
      </c>
      <c r="D1072" s="1" t="s">
        <v>11183</v>
      </c>
      <c r="E1072" s="1" t="s">
        <v>11184</v>
      </c>
      <c r="F1072" s="1" t="s">
        <v>6138</v>
      </c>
      <c r="G1072" s="1" t="s">
        <v>11148</v>
      </c>
      <c r="H1072" s="1" t="s">
        <v>6089</v>
      </c>
      <c r="I1072" s="1"/>
      <c r="J1072" s="1"/>
      <c r="K1072" s="1" t="s">
        <v>6090</v>
      </c>
      <c r="L1072" s="1" t="s">
        <v>11185</v>
      </c>
      <c r="M1072" s="1" t="s">
        <v>11186</v>
      </c>
      <c r="N1072" s="1"/>
      <c r="O1072" s="1"/>
      <c r="P1072" s="1"/>
      <c r="Q1072" s="1"/>
      <c r="R1072" s="1" t="s">
        <v>11187</v>
      </c>
      <c r="S1072" s="1" t="s">
        <v>11188</v>
      </c>
      <c r="T1072" s="1" t="s">
        <v>11153</v>
      </c>
      <c r="U1072" s="1" t="s">
        <v>6096</v>
      </c>
      <c r="V1072" s="1" t="s">
        <v>6143</v>
      </c>
      <c r="W1072" s="1" t="s">
        <v>11154</v>
      </c>
    </row>
    <row r="1073" spans="1:23" ht="48" customHeight="1">
      <c r="A1073" s="1" t="s">
        <v>5413</v>
      </c>
      <c r="B1073" s="1" t="s">
        <v>6144</v>
      </c>
      <c r="C1073" s="1" t="s">
        <v>11189</v>
      </c>
      <c r="D1073" s="1" t="s">
        <v>11190</v>
      </c>
      <c r="E1073" s="1" t="s">
        <v>11191</v>
      </c>
      <c r="F1073" s="1" t="s">
        <v>6138</v>
      </c>
      <c r="G1073" s="1" t="s">
        <v>11148</v>
      </c>
      <c r="H1073" s="1" t="s">
        <v>6089</v>
      </c>
      <c r="I1073" s="1"/>
      <c r="J1073" s="1"/>
      <c r="K1073" s="1" t="s">
        <v>6090</v>
      </c>
      <c r="L1073" s="1" t="s">
        <v>11192</v>
      </c>
      <c r="M1073" s="1" t="s">
        <v>11193</v>
      </c>
      <c r="N1073" s="1"/>
      <c r="O1073" s="1"/>
      <c r="P1073" s="1"/>
      <c r="Q1073" s="1"/>
      <c r="R1073" s="1" t="s">
        <v>11187</v>
      </c>
      <c r="S1073" s="1" t="s">
        <v>11188</v>
      </c>
      <c r="T1073" s="1" t="s">
        <v>11153</v>
      </c>
      <c r="U1073" s="1" t="s">
        <v>6096</v>
      </c>
      <c r="V1073" s="1" t="s">
        <v>6143</v>
      </c>
      <c r="W1073" s="1" t="s">
        <v>11154</v>
      </c>
    </row>
    <row r="1074" spans="1:23" ht="48" customHeight="1">
      <c r="A1074" s="1" t="s">
        <v>5413</v>
      </c>
      <c r="B1074" s="1" t="s">
        <v>6149</v>
      </c>
      <c r="C1074" s="1" t="s">
        <v>11194</v>
      </c>
      <c r="D1074" s="1" t="s">
        <v>11195</v>
      </c>
      <c r="E1074" s="1" t="s">
        <v>11196</v>
      </c>
      <c r="F1074" s="1" t="s">
        <v>6138</v>
      </c>
      <c r="G1074" s="1" t="s">
        <v>11148</v>
      </c>
      <c r="H1074" s="1" t="s">
        <v>6089</v>
      </c>
      <c r="I1074" s="1"/>
      <c r="J1074" s="1"/>
      <c r="K1074" s="1" t="s">
        <v>6090</v>
      </c>
      <c r="L1074" s="1" t="s">
        <v>11197</v>
      </c>
      <c r="M1074" s="1" t="s">
        <v>11198</v>
      </c>
      <c r="N1074" s="1"/>
      <c r="O1074" s="1"/>
      <c r="P1074" s="1"/>
      <c r="Q1074" s="1"/>
      <c r="R1074" s="1" t="s">
        <v>11187</v>
      </c>
      <c r="S1074" s="1" t="s">
        <v>11188</v>
      </c>
      <c r="T1074" s="1" t="s">
        <v>11153</v>
      </c>
      <c r="U1074" s="1" t="s">
        <v>6096</v>
      </c>
      <c r="V1074" s="1" t="s">
        <v>6143</v>
      </c>
      <c r="W1074" s="1" t="s">
        <v>11154</v>
      </c>
    </row>
    <row r="1075" spans="1:23" ht="48" customHeight="1">
      <c r="A1075" s="1" t="s">
        <v>5413</v>
      </c>
      <c r="B1075" s="1" t="s">
        <v>6154</v>
      </c>
      <c r="C1075" s="1" t="s">
        <v>11199</v>
      </c>
      <c r="D1075" s="1" t="s">
        <v>11200</v>
      </c>
      <c r="E1075" s="1" t="s">
        <v>11201</v>
      </c>
      <c r="F1075" s="1" t="s">
        <v>6138</v>
      </c>
      <c r="G1075" s="1" t="s">
        <v>11148</v>
      </c>
      <c r="H1075" s="1" t="s">
        <v>6089</v>
      </c>
      <c r="I1075" s="1"/>
      <c r="J1075" s="1"/>
      <c r="K1075" s="1" t="s">
        <v>6090</v>
      </c>
      <c r="L1075" s="1" t="s">
        <v>11202</v>
      </c>
      <c r="M1075" s="1" t="s">
        <v>11203</v>
      </c>
      <c r="N1075" s="1"/>
      <c r="O1075" s="1"/>
      <c r="P1075" s="1"/>
      <c r="Q1075" s="1"/>
      <c r="R1075" s="1" t="s">
        <v>11187</v>
      </c>
      <c r="S1075" s="1" t="s">
        <v>11188</v>
      </c>
      <c r="T1075" s="1" t="s">
        <v>11153</v>
      </c>
      <c r="U1075" s="1" t="s">
        <v>6096</v>
      </c>
      <c r="V1075" s="1" t="s">
        <v>6143</v>
      </c>
      <c r="W1075" s="1" t="s">
        <v>11154</v>
      </c>
    </row>
    <row r="1076" spans="1:23" ht="60" customHeight="1">
      <c r="A1076" s="1" t="s">
        <v>5413</v>
      </c>
      <c r="B1076" s="1" t="s">
        <v>6159</v>
      </c>
      <c r="C1076" s="1" t="s">
        <v>4747</v>
      </c>
      <c r="D1076" s="1" t="s">
        <v>8320</v>
      </c>
      <c r="E1076" s="1" t="s">
        <v>11204</v>
      </c>
      <c r="F1076" s="1" t="s">
        <v>6349</v>
      </c>
      <c r="G1076" s="1" t="s">
        <v>11148</v>
      </c>
      <c r="H1076" s="1" t="s">
        <v>6089</v>
      </c>
      <c r="I1076" s="1"/>
      <c r="J1076" s="1"/>
      <c r="K1076" s="1" t="s">
        <v>6090</v>
      </c>
      <c r="L1076" s="1" t="s">
        <v>11205</v>
      </c>
      <c r="M1076" s="1" t="s">
        <v>11206</v>
      </c>
      <c r="N1076" s="1"/>
      <c r="O1076" s="1"/>
      <c r="P1076" s="1"/>
      <c r="Q1076" s="1"/>
      <c r="R1076" s="1" t="s">
        <v>11207</v>
      </c>
      <c r="S1076" s="1" t="s">
        <v>11208</v>
      </c>
      <c r="T1076" s="1" t="s">
        <v>11153</v>
      </c>
      <c r="U1076" s="1" t="s">
        <v>6096</v>
      </c>
      <c r="V1076" s="1" t="s">
        <v>11209</v>
      </c>
      <c r="W1076" s="1" t="s">
        <v>11154</v>
      </c>
    </row>
    <row r="1077" spans="1:23" ht="48" customHeight="1">
      <c r="A1077" s="1" t="s">
        <v>5413</v>
      </c>
      <c r="B1077" s="1" t="s">
        <v>6169</v>
      </c>
      <c r="C1077" s="1" t="s">
        <v>4747</v>
      </c>
      <c r="D1077" s="1" t="s">
        <v>4747</v>
      </c>
      <c r="E1077" s="1" t="s">
        <v>4747</v>
      </c>
      <c r="F1077" s="1" t="s">
        <v>6186</v>
      </c>
      <c r="G1077" s="1" t="s">
        <v>11148</v>
      </c>
      <c r="H1077" s="1" t="s">
        <v>6089</v>
      </c>
      <c r="I1077" s="1"/>
      <c r="J1077" s="1"/>
      <c r="K1077" s="1" t="s">
        <v>6090</v>
      </c>
      <c r="L1077" s="1" t="s">
        <v>11210</v>
      </c>
      <c r="M1077" s="1" t="s">
        <v>11211</v>
      </c>
      <c r="N1077" s="1"/>
      <c r="O1077" s="1"/>
      <c r="P1077" s="1"/>
      <c r="Q1077" s="1"/>
      <c r="R1077" s="1"/>
      <c r="S1077" s="1"/>
      <c r="T1077" s="1"/>
      <c r="U1077" s="1"/>
      <c r="V1077" s="1"/>
      <c r="W1077" s="1"/>
    </row>
    <row r="1078" spans="1:23" ht="48" customHeight="1">
      <c r="A1078" s="1" t="s">
        <v>5413</v>
      </c>
      <c r="B1078" s="1" t="s">
        <v>6176</v>
      </c>
      <c r="C1078" s="1" t="s">
        <v>4747</v>
      </c>
      <c r="D1078" s="1" t="s">
        <v>4747</v>
      </c>
      <c r="E1078" s="1" t="s">
        <v>4747</v>
      </c>
      <c r="F1078" s="1" t="s">
        <v>6186</v>
      </c>
      <c r="G1078" s="1" t="s">
        <v>11148</v>
      </c>
      <c r="H1078" s="1" t="s">
        <v>6089</v>
      </c>
      <c r="I1078" s="1"/>
      <c r="J1078" s="1"/>
      <c r="K1078" s="1" t="s">
        <v>6090</v>
      </c>
      <c r="L1078" s="1" t="s">
        <v>11212</v>
      </c>
      <c r="M1078" s="1" t="s">
        <v>11213</v>
      </c>
      <c r="N1078" s="1"/>
      <c r="O1078" s="1"/>
      <c r="P1078" s="1"/>
      <c r="Q1078" s="1"/>
      <c r="R1078" s="1"/>
      <c r="S1078" s="1"/>
      <c r="T1078" s="1"/>
      <c r="U1078" s="1"/>
      <c r="V1078" s="1"/>
      <c r="W1078" s="1"/>
    </row>
    <row r="1079" spans="1:23" ht="48" customHeight="1">
      <c r="A1079" s="1" t="s">
        <v>5413</v>
      </c>
      <c r="B1079" s="1" t="s">
        <v>6185</v>
      </c>
      <c r="C1079" s="1" t="s">
        <v>4747</v>
      </c>
      <c r="D1079" s="1" t="s">
        <v>4747</v>
      </c>
      <c r="E1079" s="1" t="s">
        <v>4747</v>
      </c>
      <c r="F1079" s="1" t="s">
        <v>6186</v>
      </c>
      <c r="G1079" s="1" t="s">
        <v>11148</v>
      </c>
      <c r="H1079" s="1" t="s">
        <v>6089</v>
      </c>
      <c r="I1079" s="1"/>
      <c r="J1079" s="1"/>
      <c r="K1079" s="1" t="s">
        <v>6090</v>
      </c>
      <c r="L1079" s="1" t="s">
        <v>11214</v>
      </c>
      <c r="M1079" s="1" t="s">
        <v>11215</v>
      </c>
      <c r="N1079" s="1"/>
      <c r="O1079" s="1"/>
      <c r="P1079" s="1"/>
      <c r="Q1079" s="1"/>
      <c r="R1079" s="1"/>
      <c r="S1079" s="1"/>
      <c r="T1079" s="1"/>
      <c r="U1079" s="1"/>
      <c r="V1079" s="1"/>
      <c r="W1079" s="1"/>
    </row>
    <row r="1080" spans="1:23" ht="96" customHeight="1">
      <c r="A1080" s="1" t="s">
        <v>5413</v>
      </c>
      <c r="B1080" s="1" t="s">
        <v>6189</v>
      </c>
      <c r="C1080" s="1" t="s">
        <v>11216</v>
      </c>
      <c r="D1080" s="1" t="s">
        <v>4747</v>
      </c>
      <c r="E1080" s="1" t="s">
        <v>11217</v>
      </c>
      <c r="F1080" s="1" t="s">
        <v>6138</v>
      </c>
      <c r="G1080" s="1" t="s">
        <v>11148</v>
      </c>
      <c r="H1080" s="1" t="s">
        <v>6089</v>
      </c>
      <c r="I1080" s="1"/>
      <c r="J1080" s="1"/>
      <c r="K1080" s="1" t="s">
        <v>6090</v>
      </c>
      <c r="L1080" s="1" t="s">
        <v>11218</v>
      </c>
      <c r="M1080" s="1" t="s">
        <v>11219</v>
      </c>
      <c r="N1080" s="1"/>
      <c r="O1080" s="1"/>
      <c r="P1080" s="1"/>
      <c r="Q1080" s="1"/>
      <c r="R1080" s="1" t="s">
        <v>11220</v>
      </c>
      <c r="S1080" s="1" t="s">
        <v>11221</v>
      </c>
      <c r="T1080" s="1" t="s">
        <v>11153</v>
      </c>
      <c r="U1080" s="1" t="s">
        <v>6096</v>
      </c>
      <c r="V1080" s="1" t="s">
        <v>6184</v>
      </c>
      <c r="W1080" s="1" t="s">
        <v>11154</v>
      </c>
    </row>
    <row r="1081" spans="1:23" ht="48" customHeight="1">
      <c r="A1081" s="1" t="s">
        <v>5413</v>
      </c>
      <c r="B1081" s="1" t="s">
        <v>6196</v>
      </c>
      <c r="C1081" s="1" t="s">
        <v>6197</v>
      </c>
      <c r="D1081" s="1" t="s">
        <v>4747</v>
      </c>
      <c r="E1081" s="1"/>
      <c r="F1081" s="1" t="s">
        <v>6110</v>
      </c>
      <c r="G1081" s="1" t="s">
        <v>11148</v>
      </c>
      <c r="H1081" s="1" t="s">
        <v>6089</v>
      </c>
      <c r="I1081" s="1"/>
      <c r="J1081" s="1"/>
      <c r="K1081" s="1" t="s">
        <v>6090</v>
      </c>
      <c r="L1081" s="1" t="s">
        <v>11222</v>
      </c>
      <c r="M1081" s="1" t="s">
        <v>11223</v>
      </c>
      <c r="N1081" s="1"/>
      <c r="O1081" s="1"/>
      <c r="P1081" s="1"/>
      <c r="Q1081" s="1"/>
      <c r="R1081" s="1"/>
      <c r="S1081" s="1"/>
      <c r="T1081" s="1"/>
      <c r="U1081" s="1"/>
      <c r="V1081" s="1"/>
      <c r="W1081" s="1"/>
    </row>
    <row r="1082" spans="1:23" ht="48" customHeight="1">
      <c r="A1082" s="1" t="s">
        <v>5413</v>
      </c>
      <c r="B1082" s="1" t="s">
        <v>6200</v>
      </c>
      <c r="C1082" s="1" t="s">
        <v>4747</v>
      </c>
      <c r="D1082" s="1" t="s">
        <v>4747</v>
      </c>
      <c r="E1082" s="1" t="s">
        <v>4747</v>
      </c>
      <c r="F1082" s="1" t="s">
        <v>6186</v>
      </c>
      <c r="G1082" s="1" t="s">
        <v>11148</v>
      </c>
      <c r="H1082" s="1" t="s">
        <v>6089</v>
      </c>
      <c r="I1082" s="1"/>
      <c r="J1082" s="1"/>
      <c r="K1082" s="1" t="s">
        <v>6090</v>
      </c>
      <c r="L1082" s="1" t="s">
        <v>11224</v>
      </c>
      <c r="M1082" s="1" t="s">
        <v>11225</v>
      </c>
      <c r="N1082" s="1"/>
      <c r="O1082" s="1"/>
      <c r="P1082" s="1"/>
      <c r="Q1082" s="1"/>
      <c r="R1082" s="1"/>
      <c r="S1082" s="1"/>
      <c r="T1082" s="1"/>
      <c r="U1082" s="1"/>
      <c r="V1082" s="1"/>
      <c r="W1082" s="1"/>
    </row>
    <row r="1083" spans="1:23" ht="96" customHeight="1">
      <c r="A1083" s="1" t="s">
        <v>5413</v>
      </c>
      <c r="B1083" s="1" t="s">
        <v>5583</v>
      </c>
      <c r="C1083" s="1" t="s">
        <v>11226</v>
      </c>
      <c r="D1083" s="1" t="s">
        <v>4747</v>
      </c>
      <c r="E1083" s="1" t="s">
        <v>11227</v>
      </c>
      <c r="F1083" s="1" t="s">
        <v>6138</v>
      </c>
      <c r="G1083" s="1" t="s">
        <v>11148</v>
      </c>
      <c r="H1083" s="1" t="s">
        <v>6089</v>
      </c>
      <c r="I1083" s="1"/>
      <c r="J1083" s="1"/>
      <c r="K1083" s="1" t="s">
        <v>6090</v>
      </c>
      <c r="L1083" s="1" t="s">
        <v>11228</v>
      </c>
      <c r="M1083" s="1" t="s">
        <v>11229</v>
      </c>
      <c r="N1083" s="1"/>
      <c r="O1083" s="1"/>
      <c r="P1083" s="1"/>
      <c r="Q1083" s="1"/>
      <c r="R1083" s="1" t="s">
        <v>11230</v>
      </c>
      <c r="S1083" s="1" t="s">
        <v>11231</v>
      </c>
      <c r="T1083" s="1" t="s">
        <v>11153</v>
      </c>
      <c r="U1083" s="1" t="s">
        <v>6096</v>
      </c>
      <c r="V1083" s="1" t="s">
        <v>6184</v>
      </c>
      <c r="W1083" s="1" t="s">
        <v>11154</v>
      </c>
    </row>
    <row r="1084" spans="1:23" ht="48" customHeight="1">
      <c r="A1084" s="1" t="s">
        <v>5413</v>
      </c>
      <c r="B1084" s="1" t="s">
        <v>6209</v>
      </c>
      <c r="C1084" s="1" t="s">
        <v>4747</v>
      </c>
      <c r="D1084" s="1" t="s">
        <v>4747</v>
      </c>
      <c r="E1084" s="1" t="s">
        <v>4747</v>
      </c>
      <c r="F1084" s="1" t="s">
        <v>6186</v>
      </c>
      <c r="G1084" s="1" t="s">
        <v>11148</v>
      </c>
      <c r="H1084" s="1" t="s">
        <v>6089</v>
      </c>
      <c r="I1084" s="1"/>
      <c r="J1084" s="1"/>
      <c r="K1084" s="1" t="s">
        <v>6090</v>
      </c>
      <c r="L1084" s="1" t="s">
        <v>11232</v>
      </c>
      <c r="M1084" s="1" t="s">
        <v>11233</v>
      </c>
      <c r="N1084" s="1"/>
      <c r="O1084" s="1"/>
      <c r="P1084" s="1"/>
      <c r="Q1084" s="1"/>
      <c r="R1084" s="1"/>
      <c r="S1084" s="1"/>
      <c r="T1084" s="1"/>
      <c r="U1084" s="1"/>
      <c r="V1084" s="1"/>
      <c r="W1084" s="1"/>
    </row>
    <row r="1085" spans="1:23" ht="48" customHeight="1">
      <c r="A1085" s="1" t="s">
        <v>5413</v>
      </c>
      <c r="B1085" s="1" t="s">
        <v>6212</v>
      </c>
      <c r="C1085" s="1" t="s">
        <v>4747</v>
      </c>
      <c r="D1085" s="1" t="s">
        <v>4747</v>
      </c>
      <c r="E1085" s="1" t="s">
        <v>4747</v>
      </c>
      <c r="F1085" s="1" t="s">
        <v>6186</v>
      </c>
      <c r="G1085" s="1" t="s">
        <v>11148</v>
      </c>
      <c r="H1085" s="1" t="s">
        <v>6089</v>
      </c>
      <c r="I1085" s="1"/>
      <c r="J1085" s="1"/>
      <c r="K1085" s="1" t="s">
        <v>6090</v>
      </c>
      <c r="L1085" s="1" t="s">
        <v>11234</v>
      </c>
      <c r="M1085" s="1" t="s">
        <v>11235</v>
      </c>
      <c r="N1085" s="1"/>
      <c r="O1085" s="1"/>
      <c r="P1085" s="1"/>
      <c r="Q1085" s="1"/>
      <c r="R1085" s="1"/>
      <c r="S1085" s="1"/>
      <c r="T1085" s="1"/>
      <c r="U1085" s="1"/>
      <c r="V1085" s="1"/>
      <c r="W1085" s="1"/>
    </row>
    <row r="1086" spans="1:23" ht="48" customHeight="1">
      <c r="A1086" s="1" t="s">
        <v>5413</v>
      </c>
      <c r="B1086" s="1" t="s">
        <v>6215</v>
      </c>
      <c r="C1086" s="1"/>
      <c r="D1086" s="1" t="s">
        <v>4747</v>
      </c>
      <c r="E1086" s="1"/>
      <c r="F1086" s="1" t="s">
        <v>6216</v>
      </c>
      <c r="G1086" s="1"/>
      <c r="H1086" s="1" t="s">
        <v>6089</v>
      </c>
      <c r="I1086" s="1"/>
      <c r="J1086" s="1"/>
      <c r="K1086" s="1" t="s">
        <v>6090</v>
      </c>
      <c r="L1086" s="1"/>
      <c r="M1086" s="1" t="s">
        <v>11236</v>
      </c>
      <c r="N1086" s="1"/>
      <c r="O1086" s="1"/>
      <c r="P1086" s="1"/>
      <c r="Q1086" s="1"/>
      <c r="R1086" s="1"/>
      <c r="S1086" s="1"/>
      <c r="T1086" s="1"/>
      <c r="U1086" s="1"/>
      <c r="V1086" s="1"/>
      <c r="W1086" s="1"/>
    </row>
    <row r="1087" spans="1:23" ht="48" customHeight="1">
      <c r="A1087" s="1" t="s">
        <v>5413</v>
      </c>
      <c r="B1087" s="1" t="s">
        <v>6218</v>
      </c>
      <c r="C1087" s="1" t="s">
        <v>11237</v>
      </c>
      <c r="D1087" s="1" t="s">
        <v>4747</v>
      </c>
      <c r="E1087" s="1"/>
      <c r="F1087" s="1" t="s">
        <v>6110</v>
      </c>
      <c r="G1087" s="1" t="s">
        <v>11148</v>
      </c>
      <c r="H1087" s="1" t="s">
        <v>6089</v>
      </c>
      <c r="I1087" s="1"/>
      <c r="J1087" s="1"/>
      <c r="K1087" s="1" t="s">
        <v>6090</v>
      </c>
      <c r="L1087" s="1" t="s">
        <v>11238</v>
      </c>
      <c r="M1087" s="1" t="s">
        <v>11239</v>
      </c>
      <c r="N1087" s="1"/>
      <c r="O1087" s="1"/>
      <c r="P1087" s="1"/>
      <c r="Q1087" s="1"/>
      <c r="R1087" s="1"/>
      <c r="S1087" s="1"/>
      <c r="T1087" s="1"/>
      <c r="U1087" s="1"/>
      <c r="V1087" s="1"/>
      <c r="W1087" s="1"/>
    </row>
    <row r="1088" spans="1:23" ht="48" customHeight="1">
      <c r="A1088" s="1" t="s">
        <v>5413</v>
      </c>
      <c r="B1088" s="1" t="s">
        <v>6222</v>
      </c>
      <c r="C1088" s="1" t="s">
        <v>11240</v>
      </c>
      <c r="D1088" s="1" t="s">
        <v>4747</v>
      </c>
      <c r="E1088" s="1"/>
      <c r="F1088" s="1" t="s">
        <v>6110</v>
      </c>
      <c r="G1088" s="1" t="s">
        <v>11148</v>
      </c>
      <c r="H1088" s="1" t="s">
        <v>6089</v>
      </c>
      <c r="I1088" s="1"/>
      <c r="J1088" s="1"/>
      <c r="K1088" s="1" t="s">
        <v>6090</v>
      </c>
      <c r="L1088" s="1" t="s">
        <v>11241</v>
      </c>
      <c r="M1088" s="1" t="s">
        <v>11242</v>
      </c>
      <c r="N1088" s="1"/>
      <c r="O1088" s="1"/>
      <c r="P1088" s="1"/>
      <c r="Q1088" s="1"/>
      <c r="R1088" s="1"/>
      <c r="S1088" s="1"/>
      <c r="T1088" s="1"/>
      <c r="U1088" s="1"/>
      <c r="V1088" s="1"/>
      <c r="W1088" s="1"/>
    </row>
    <row r="1089" spans="1:23" ht="48" customHeight="1">
      <c r="A1089" s="1" t="s">
        <v>5413</v>
      </c>
      <c r="B1089" s="1" t="s">
        <v>6227</v>
      </c>
      <c r="C1089" s="1" t="s">
        <v>11243</v>
      </c>
      <c r="D1089" s="1" t="s">
        <v>4747</v>
      </c>
      <c r="E1089" s="1"/>
      <c r="F1089" s="1" t="s">
        <v>6110</v>
      </c>
      <c r="G1089" s="1" t="s">
        <v>11148</v>
      </c>
      <c r="H1089" s="1" t="s">
        <v>6089</v>
      </c>
      <c r="I1089" s="1"/>
      <c r="J1089" s="1"/>
      <c r="K1089" s="1" t="s">
        <v>6090</v>
      </c>
      <c r="L1089" s="1" t="s">
        <v>11244</v>
      </c>
      <c r="M1089" s="1" t="s">
        <v>11245</v>
      </c>
      <c r="N1089" s="1"/>
      <c r="O1089" s="1"/>
      <c r="P1089" s="1"/>
      <c r="Q1089" s="1"/>
      <c r="R1089" s="1"/>
      <c r="S1089" s="1"/>
      <c r="T1089" s="1"/>
      <c r="U1089" s="1"/>
      <c r="V1089" s="1"/>
      <c r="W1089" s="1"/>
    </row>
    <row r="1090" spans="1:23" ht="48" customHeight="1">
      <c r="A1090" s="1" t="s">
        <v>5413</v>
      </c>
      <c r="B1090" s="1" t="s">
        <v>6232</v>
      </c>
      <c r="C1090" s="1" t="s">
        <v>5795</v>
      </c>
      <c r="D1090" s="1" t="s">
        <v>6627</v>
      </c>
      <c r="E1090" s="1"/>
      <c r="F1090" s="1" t="s">
        <v>6110</v>
      </c>
      <c r="G1090" s="1" t="s">
        <v>11148</v>
      </c>
      <c r="H1090" s="1" t="s">
        <v>6089</v>
      </c>
      <c r="I1090" s="1"/>
      <c r="J1090" s="1"/>
      <c r="K1090" s="1" t="s">
        <v>6090</v>
      </c>
      <c r="L1090" s="1" t="s">
        <v>11246</v>
      </c>
      <c r="M1090" s="1" t="s">
        <v>11247</v>
      </c>
      <c r="N1090" s="1"/>
      <c r="O1090" s="1"/>
      <c r="P1090" s="1"/>
      <c r="Q1090" s="1"/>
      <c r="R1090" s="1"/>
      <c r="S1090" s="1"/>
      <c r="T1090" s="1"/>
      <c r="U1090" s="1"/>
      <c r="V1090" s="1"/>
      <c r="W1090" s="1"/>
    </row>
    <row r="1091" spans="1:23" ht="72" customHeight="1">
      <c r="A1091" s="1" t="s">
        <v>5413</v>
      </c>
      <c r="B1091" s="1" t="s">
        <v>6236</v>
      </c>
      <c r="C1091" s="1" t="s">
        <v>11248</v>
      </c>
      <c r="D1091" s="1" t="s">
        <v>11249</v>
      </c>
      <c r="E1091" s="1" t="s">
        <v>11250</v>
      </c>
      <c r="F1091" s="1" t="s">
        <v>6163</v>
      </c>
      <c r="G1091" s="1" t="s">
        <v>11148</v>
      </c>
      <c r="H1091" s="1" t="s">
        <v>6089</v>
      </c>
      <c r="I1091" s="1"/>
      <c r="J1091" s="1"/>
      <c r="K1091" s="1" t="s">
        <v>6090</v>
      </c>
      <c r="L1091" s="1" t="s">
        <v>11251</v>
      </c>
      <c r="M1091" s="1" t="s">
        <v>11252</v>
      </c>
      <c r="N1091" s="1"/>
      <c r="O1091" s="1"/>
      <c r="P1091" s="1"/>
      <c r="Q1091" s="1"/>
      <c r="R1091" s="1" t="s">
        <v>11253</v>
      </c>
      <c r="S1091" s="1" t="s">
        <v>11254</v>
      </c>
      <c r="T1091" s="1" t="s">
        <v>11153</v>
      </c>
      <c r="U1091" s="1" t="s">
        <v>6096</v>
      </c>
      <c r="V1091" s="1" t="s">
        <v>6244</v>
      </c>
      <c r="W1091" s="1" t="s">
        <v>11154</v>
      </c>
    </row>
    <row r="1092" spans="1:23" ht="48" customHeight="1">
      <c r="A1092" s="1" t="s">
        <v>5413</v>
      </c>
      <c r="B1092" s="1" t="s">
        <v>6245</v>
      </c>
      <c r="C1092" s="1" t="s">
        <v>11255</v>
      </c>
      <c r="D1092" s="1"/>
      <c r="E1092" s="1"/>
      <c r="F1092" s="1" t="s">
        <v>6216</v>
      </c>
      <c r="G1092" s="1" t="s">
        <v>11148</v>
      </c>
      <c r="H1092" s="1"/>
      <c r="I1092" s="1"/>
      <c r="J1092" s="1"/>
      <c r="K1092" s="1" t="s">
        <v>6090</v>
      </c>
      <c r="L1092" s="1" t="s">
        <v>11256</v>
      </c>
      <c r="M1092" s="1"/>
      <c r="N1092" s="1"/>
      <c r="O1092" s="1"/>
      <c r="P1092" s="1"/>
      <c r="Q1092" s="1"/>
      <c r="R1092" s="1"/>
      <c r="S1092" s="1"/>
      <c r="T1092" s="1"/>
      <c r="U1092" s="1"/>
      <c r="V1092" s="1"/>
      <c r="W1092" s="1"/>
    </row>
    <row r="1093" spans="1:23" ht="48" customHeight="1">
      <c r="A1093" s="1" t="s">
        <v>5413</v>
      </c>
      <c r="B1093" s="1" t="s">
        <v>6248</v>
      </c>
      <c r="C1093" s="1" t="s">
        <v>11257</v>
      </c>
      <c r="D1093" s="1"/>
      <c r="E1093" s="1"/>
      <c r="F1093" s="1" t="s">
        <v>6216</v>
      </c>
      <c r="G1093" s="1" t="s">
        <v>11148</v>
      </c>
      <c r="H1093" s="1"/>
      <c r="I1093" s="1"/>
      <c r="J1093" s="1"/>
      <c r="K1093" s="1" t="s">
        <v>6090</v>
      </c>
      <c r="L1093" s="1" t="s">
        <v>11258</v>
      </c>
      <c r="M1093" s="1"/>
      <c r="N1093" s="1"/>
      <c r="O1093" s="1"/>
      <c r="P1093" s="1"/>
      <c r="Q1093" s="1"/>
      <c r="R1093" s="1"/>
      <c r="S1093" s="1"/>
      <c r="T1093" s="1"/>
      <c r="U1093" s="1"/>
      <c r="V1093" s="1"/>
      <c r="W1093" s="1"/>
    </row>
    <row r="1094" spans="1:23" ht="48" customHeight="1">
      <c r="A1094" s="1" t="s">
        <v>5465</v>
      </c>
      <c r="B1094" s="1" t="s">
        <v>6083</v>
      </c>
      <c r="C1094" s="1"/>
      <c r="D1094" s="1"/>
      <c r="E1094" s="1" t="s">
        <v>11259</v>
      </c>
      <c r="F1094" s="1" t="s">
        <v>11260</v>
      </c>
      <c r="G1094" s="1"/>
      <c r="H1094" s="1"/>
      <c r="I1094" s="1"/>
      <c r="J1094" s="1"/>
      <c r="K1094" s="1"/>
      <c r="L1094" s="1"/>
      <c r="M1094" s="1"/>
      <c r="N1094" s="1"/>
      <c r="O1094" s="1"/>
      <c r="P1094" s="1"/>
      <c r="Q1094" s="1"/>
      <c r="R1094" s="1" t="s">
        <v>11259</v>
      </c>
      <c r="S1094" s="1" t="s">
        <v>11261</v>
      </c>
      <c r="T1094" s="1" t="s">
        <v>11262</v>
      </c>
      <c r="U1094" s="1" t="s">
        <v>11263</v>
      </c>
      <c r="V1094" s="1" t="s">
        <v>11264</v>
      </c>
      <c r="W1094" s="1" t="s">
        <v>11265</v>
      </c>
    </row>
    <row r="1095" spans="1:23" ht="48" customHeight="1">
      <c r="A1095" s="1" t="s">
        <v>5465</v>
      </c>
      <c r="B1095" s="1" t="s">
        <v>6099</v>
      </c>
      <c r="C1095" s="1"/>
      <c r="D1095" s="1"/>
      <c r="E1095" s="1" t="s">
        <v>7060</v>
      </c>
      <c r="F1095" s="1" t="s">
        <v>11260</v>
      </c>
      <c r="G1095" s="1"/>
      <c r="H1095" s="1"/>
      <c r="I1095" s="1"/>
      <c r="J1095" s="1"/>
      <c r="K1095" s="1"/>
      <c r="L1095" s="1"/>
      <c r="M1095" s="1"/>
      <c r="N1095" s="1"/>
      <c r="O1095" s="1"/>
      <c r="P1095" s="1"/>
      <c r="Q1095" s="1"/>
      <c r="R1095" s="1" t="s">
        <v>7060</v>
      </c>
      <c r="S1095" s="1" t="s">
        <v>11266</v>
      </c>
      <c r="T1095" s="1" t="s">
        <v>11262</v>
      </c>
      <c r="U1095" s="1" t="s">
        <v>11263</v>
      </c>
      <c r="V1095" s="1" t="s">
        <v>11264</v>
      </c>
      <c r="W1095" s="1" t="s">
        <v>11265</v>
      </c>
    </row>
    <row r="1096" spans="1:23" ht="48" customHeight="1">
      <c r="A1096" s="1" t="s">
        <v>5465</v>
      </c>
      <c r="B1096" s="1" t="s">
        <v>6107</v>
      </c>
      <c r="C1096" s="1"/>
      <c r="D1096" s="1"/>
      <c r="E1096" s="1" t="s">
        <v>11267</v>
      </c>
      <c r="F1096" s="1" t="s">
        <v>11260</v>
      </c>
      <c r="G1096" s="1"/>
      <c r="H1096" s="1"/>
      <c r="I1096" s="1"/>
      <c r="J1096" s="1"/>
      <c r="K1096" s="1"/>
      <c r="L1096" s="1"/>
      <c r="M1096" s="1"/>
      <c r="N1096" s="1"/>
      <c r="O1096" s="1"/>
      <c r="P1096" s="1"/>
      <c r="Q1096" s="1"/>
      <c r="R1096" s="1" t="s">
        <v>11267</v>
      </c>
      <c r="S1096" s="1" t="s">
        <v>11268</v>
      </c>
      <c r="T1096" s="1" t="s">
        <v>11262</v>
      </c>
      <c r="U1096" s="1" t="s">
        <v>11263</v>
      </c>
      <c r="V1096" s="1" t="s">
        <v>11264</v>
      </c>
      <c r="W1096" s="1" t="s">
        <v>11265</v>
      </c>
    </row>
    <row r="1097" spans="1:23" ht="48" customHeight="1">
      <c r="A1097" s="1" t="s">
        <v>5465</v>
      </c>
      <c r="B1097" s="1" t="s">
        <v>6113</v>
      </c>
      <c r="C1097" s="1"/>
      <c r="D1097" s="1"/>
      <c r="E1097" s="1" t="s">
        <v>11269</v>
      </c>
      <c r="F1097" s="1" t="s">
        <v>11260</v>
      </c>
      <c r="G1097" s="1"/>
      <c r="H1097" s="1"/>
      <c r="I1097" s="1"/>
      <c r="J1097" s="1"/>
      <c r="K1097" s="1"/>
      <c r="L1097" s="1"/>
      <c r="M1097" s="1"/>
      <c r="N1097" s="1"/>
      <c r="O1097" s="1"/>
      <c r="P1097" s="1"/>
      <c r="Q1097" s="1"/>
      <c r="R1097" s="1" t="s">
        <v>11269</v>
      </c>
      <c r="S1097" s="1" t="s">
        <v>11270</v>
      </c>
      <c r="T1097" s="1" t="s">
        <v>11262</v>
      </c>
      <c r="U1097" s="1" t="s">
        <v>11263</v>
      </c>
      <c r="V1097" s="1" t="s">
        <v>11264</v>
      </c>
      <c r="W1097" s="1" t="s">
        <v>11265</v>
      </c>
    </row>
    <row r="1098" spans="1:23" ht="48" customHeight="1">
      <c r="A1098" s="1" t="s">
        <v>5465</v>
      </c>
      <c r="B1098" s="1" t="s">
        <v>6118</v>
      </c>
      <c r="C1098" s="1"/>
      <c r="D1098" s="1"/>
      <c r="E1098" s="1" t="s">
        <v>11271</v>
      </c>
      <c r="F1098" s="1" t="s">
        <v>11260</v>
      </c>
      <c r="G1098" s="1"/>
      <c r="H1098" s="1"/>
      <c r="I1098" s="1"/>
      <c r="J1098" s="1"/>
      <c r="K1098" s="1"/>
      <c r="L1098" s="1"/>
      <c r="M1098" s="1"/>
      <c r="N1098" s="1"/>
      <c r="O1098" s="1"/>
      <c r="P1098" s="1"/>
      <c r="Q1098" s="1"/>
      <c r="R1098" s="1" t="s">
        <v>11271</v>
      </c>
      <c r="S1098" s="1" t="s">
        <v>11272</v>
      </c>
      <c r="T1098" s="1" t="s">
        <v>11262</v>
      </c>
      <c r="U1098" s="1" t="s">
        <v>11263</v>
      </c>
      <c r="V1098" s="1" t="s">
        <v>11264</v>
      </c>
      <c r="W1098" s="1" t="s">
        <v>11265</v>
      </c>
    </row>
    <row r="1099" spans="1:23" ht="48" customHeight="1">
      <c r="A1099" s="1" t="s">
        <v>5465</v>
      </c>
      <c r="B1099" s="1" t="s">
        <v>6126</v>
      </c>
      <c r="C1099" s="1"/>
      <c r="D1099" s="1"/>
      <c r="E1099" s="1" t="s">
        <v>11273</v>
      </c>
      <c r="F1099" s="1" t="s">
        <v>11260</v>
      </c>
      <c r="G1099" s="1"/>
      <c r="H1099" s="1"/>
      <c r="I1099" s="1"/>
      <c r="J1099" s="1"/>
      <c r="K1099" s="1"/>
      <c r="L1099" s="1"/>
      <c r="M1099" s="1"/>
      <c r="N1099" s="1"/>
      <c r="O1099" s="1"/>
      <c r="P1099" s="1"/>
      <c r="Q1099" s="1"/>
      <c r="R1099" s="1" t="s">
        <v>11273</v>
      </c>
      <c r="S1099" s="1" t="s">
        <v>11274</v>
      </c>
      <c r="T1099" s="1" t="s">
        <v>11262</v>
      </c>
      <c r="U1099" s="1" t="s">
        <v>11263</v>
      </c>
      <c r="V1099" s="1" t="s">
        <v>11264</v>
      </c>
      <c r="W1099" s="1" t="s">
        <v>11265</v>
      </c>
    </row>
    <row r="1100" spans="1:23" ht="48" customHeight="1">
      <c r="A1100" s="1" t="s">
        <v>5465</v>
      </c>
      <c r="B1100" s="1" t="s">
        <v>6134</v>
      </c>
      <c r="C1100" s="1"/>
      <c r="D1100" s="1"/>
      <c r="E1100" s="1" t="s">
        <v>11275</v>
      </c>
      <c r="F1100" s="1" t="s">
        <v>11260</v>
      </c>
      <c r="G1100" s="1"/>
      <c r="H1100" s="1"/>
      <c r="I1100" s="1"/>
      <c r="J1100" s="1"/>
      <c r="K1100" s="1"/>
      <c r="L1100" s="1"/>
      <c r="M1100" s="1"/>
      <c r="N1100" s="1"/>
      <c r="O1100" s="1"/>
      <c r="P1100" s="1"/>
      <c r="Q1100" s="1"/>
      <c r="R1100" s="1" t="s">
        <v>11275</v>
      </c>
      <c r="S1100" s="1" t="s">
        <v>11276</v>
      </c>
      <c r="T1100" s="1" t="s">
        <v>11262</v>
      </c>
      <c r="U1100" s="1" t="s">
        <v>11263</v>
      </c>
      <c r="V1100" s="1" t="s">
        <v>11264</v>
      </c>
      <c r="W1100" s="1" t="s">
        <v>11265</v>
      </c>
    </row>
    <row r="1101" spans="1:23" ht="48" customHeight="1">
      <c r="A1101" s="1" t="s">
        <v>5465</v>
      </c>
      <c r="B1101" s="1" t="s">
        <v>6144</v>
      </c>
      <c r="C1101" s="1"/>
      <c r="D1101" s="1"/>
      <c r="E1101" s="1" t="s">
        <v>11277</v>
      </c>
      <c r="F1101" s="1" t="s">
        <v>11260</v>
      </c>
      <c r="G1101" s="1"/>
      <c r="H1101" s="1"/>
      <c r="I1101" s="1"/>
      <c r="J1101" s="1"/>
      <c r="K1101" s="1"/>
      <c r="L1101" s="1"/>
      <c r="M1101" s="1"/>
      <c r="N1101" s="1"/>
      <c r="O1101" s="1"/>
      <c r="P1101" s="1"/>
      <c r="Q1101" s="1"/>
      <c r="R1101" s="1" t="s">
        <v>11277</v>
      </c>
      <c r="S1101" s="1" t="s">
        <v>11278</v>
      </c>
      <c r="T1101" s="1" t="s">
        <v>11262</v>
      </c>
      <c r="U1101" s="1" t="s">
        <v>11263</v>
      </c>
      <c r="V1101" s="1" t="s">
        <v>11264</v>
      </c>
      <c r="W1101" s="1" t="s">
        <v>11265</v>
      </c>
    </row>
    <row r="1102" spans="1:23" ht="48" customHeight="1">
      <c r="A1102" s="1" t="s">
        <v>5465</v>
      </c>
      <c r="B1102" s="1" t="s">
        <v>6149</v>
      </c>
      <c r="C1102" s="1"/>
      <c r="D1102" s="1"/>
      <c r="E1102" s="1" t="s">
        <v>11279</v>
      </c>
      <c r="F1102" s="1" t="s">
        <v>11260</v>
      </c>
      <c r="G1102" s="1"/>
      <c r="H1102" s="1"/>
      <c r="I1102" s="1"/>
      <c r="J1102" s="1"/>
      <c r="K1102" s="1"/>
      <c r="L1102" s="1"/>
      <c r="M1102" s="1"/>
      <c r="N1102" s="1"/>
      <c r="O1102" s="1"/>
      <c r="P1102" s="1"/>
      <c r="Q1102" s="1"/>
      <c r="R1102" s="1" t="s">
        <v>11279</v>
      </c>
      <c r="S1102" s="1" t="s">
        <v>11280</v>
      </c>
      <c r="T1102" s="1" t="s">
        <v>11262</v>
      </c>
      <c r="U1102" s="1" t="s">
        <v>11263</v>
      </c>
      <c r="V1102" s="1" t="s">
        <v>11264</v>
      </c>
      <c r="W1102" s="1" t="s">
        <v>11265</v>
      </c>
    </row>
    <row r="1103" spans="1:23" ht="48" customHeight="1">
      <c r="A1103" s="1" t="s">
        <v>5465</v>
      </c>
      <c r="B1103" s="1" t="s">
        <v>6154</v>
      </c>
      <c r="C1103" s="1"/>
      <c r="D1103" s="1"/>
      <c r="E1103" s="1" t="s">
        <v>11281</v>
      </c>
      <c r="F1103" s="1" t="s">
        <v>11260</v>
      </c>
      <c r="G1103" s="1"/>
      <c r="H1103" s="1"/>
      <c r="I1103" s="1"/>
      <c r="J1103" s="1"/>
      <c r="K1103" s="1"/>
      <c r="L1103" s="1"/>
      <c r="M1103" s="1"/>
      <c r="N1103" s="1"/>
      <c r="O1103" s="1"/>
      <c r="P1103" s="1"/>
      <c r="Q1103" s="1"/>
      <c r="R1103" s="1" t="s">
        <v>11281</v>
      </c>
      <c r="S1103" s="1" t="s">
        <v>11282</v>
      </c>
      <c r="T1103" s="1" t="s">
        <v>11262</v>
      </c>
      <c r="U1103" s="1" t="s">
        <v>11263</v>
      </c>
      <c r="V1103" s="1" t="s">
        <v>11264</v>
      </c>
      <c r="W1103" s="1" t="s">
        <v>11265</v>
      </c>
    </row>
    <row r="1104" spans="1:23" ht="48" customHeight="1">
      <c r="A1104" s="1" t="s">
        <v>5465</v>
      </c>
      <c r="B1104" s="1" t="s">
        <v>6159</v>
      </c>
      <c r="C1104" s="1"/>
      <c r="D1104" s="1"/>
      <c r="E1104" s="1" t="s">
        <v>11283</v>
      </c>
      <c r="F1104" s="1" t="s">
        <v>11260</v>
      </c>
      <c r="G1104" s="1"/>
      <c r="H1104" s="1"/>
      <c r="I1104" s="1"/>
      <c r="J1104" s="1"/>
      <c r="K1104" s="1"/>
      <c r="L1104" s="1"/>
      <c r="M1104" s="1"/>
      <c r="N1104" s="1"/>
      <c r="O1104" s="1"/>
      <c r="P1104" s="1"/>
      <c r="Q1104" s="1"/>
      <c r="R1104" s="1" t="s">
        <v>11283</v>
      </c>
      <c r="S1104" s="1" t="s">
        <v>11284</v>
      </c>
      <c r="T1104" s="1" t="s">
        <v>11262</v>
      </c>
      <c r="U1104" s="1" t="s">
        <v>11263</v>
      </c>
      <c r="V1104" s="1" t="s">
        <v>11264</v>
      </c>
      <c r="W1104" s="1" t="s">
        <v>11265</v>
      </c>
    </row>
    <row r="1105" spans="1:23" ht="60" customHeight="1">
      <c r="A1105" s="1" t="s">
        <v>5465</v>
      </c>
      <c r="B1105" s="1" t="s">
        <v>6169</v>
      </c>
      <c r="C1105" s="1"/>
      <c r="D1105" s="1"/>
      <c r="E1105" s="1" t="s">
        <v>11285</v>
      </c>
      <c r="F1105" s="1" t="s">
        <v>11260</v>
      </c>
      <c r="G1105" s="1"/>
      <c r="H1105" s="1"/>
      <c r="I1105" s="1"/>
      <c r="J1105" s="1"/>
      <c r="K1105" s="1"/>
      <c r="L1105" s="1"/>
      <c r="M1105" s="1"/>
      <c r="N1105" s="1"/>
      <c r="O1105" s="1"/>
      <c r="P1105" s="1"/>
      <c r="Q1105" s="1"/>
      <c r="R1105" s="1" t="s">
        <v>11285</v>
      </c>
      <c r="S1105" s="1" t="s">
        <v>11286</v>
      </c>
      <c r="T1105" s="1" t="s">
        <v>11262</v>
      </c>
      <c r="U1105" s="1" t="s">
        <v>11263</v>
      </c>
      <c r="V1105" s="1" t="s">
        <v>11264</v>
      </c>
      <c r="W1105" s="1" t="s">
        <v>11265</v>
      </c>
    </row>
    <row r="1106" spans="1:23" ht="48" customHeight="1">
      <c r="A1106" s="1" t="s">
        <v>5465</v>
      </c>
      <c r="B1106" s="1" t="s">
        <v>6176</v>
      </c>
      <c r="C1106" s="1"/>
      <c r="D1106" s="1"/>
      <c r="E1106" s="1" t="s">
        <v>11287</v>
      </c>
      <c r="F1106" s="1" t="s">
        <v>11260</v>
      </c>
      <c r="G1106" s="1"/>
      <c r="H1106" s="1"/>
      <c r="I1106" s="1"/>
      <c r="J1106" s="1"/>
      <c r="K1106" s="1"/>
      <c r="L1106" s="1"/>
      <c r="M1106" s="1"/>
      <c r="N1106" s="1"/>
      <c r="O1106" s="1"/>
      <c r="P1106" s="1"/>
      <c r="Q1106" s="1"/>
      <c r="R1106" s="1" t="s">
        <v>11287</v>
      </c>
      <c r="S1106" s="1" t="s">
        <v>11288</v>
      </c>
      <c r="T1106" s="1" t="s">
        <v>11262</v>
      </c>
      <c r="U1106" s="1" t="s">
        <v>11263</v>
      </c>
      <c r="V1106" s="1" t="s">
        <v>11264</v>
      </c>
      <c r="W1106" s="1" t="s">
        <v>11265</v>
      </c>
    </row>
    <row r="1107" spans="1:23" ht="48" customHeight="1">
      <c r="A1107" s="1" t="s">
        <v>5465</v>
      </c>
      <c r="B1107" s="1" t="s">
        <v>6185</v>
      </c>
      <c r="C1107" s="1"/>
      <c r="D1107" s="1"/>
      <c r="E1107" s="1" t="s">
        <v>11289</v>
      </c>
      <c r="F1107" s="1" t="s">
        <v>11260</v>
      </c>
      <c r="G1107" s="1"/>
      <c r="H1107" s="1"/>
      <c r="I1107" s="1"/>
      <c r="J1107" s="1"/>
      <c r="K1107" s="1"/>
      <c r="L1107" s="1"/>
      <c r="M1107" s="1"/>
      <c r="N1107" s="1"/>
      <c r="O1107" s="1"/>
      <c r="P1107" s="1"/>
      <c r="Q1107" s="1"/>
      <c r="R1107" s="1" t="s">
        <v>11289</v>
      </c>
      <c r="S1107" s="1" t="s">
        <v>11290</v>
      </c>
      <c r="T1107" s="1" t="s">
        <v>11262</v>
      </c>
      <c r="U1107" s="1" t="s">
        <v>11263</v>
      </c>
      <c r="V1107" s="1" t="s">
        <v>11264</v>
      </c>
      <c r="W1107" s="1" t="s">
        <v>11265</v>
      </c>
    </row>
    <row r="1108" spans="1:23" ht="48" customHeight="1">
      <c r="A1108" s="1" t="s">
        <v>5465</v>
      </c>
      <c r="B1108" s="1" t="s">
        <v>6189</v>
      </c>
      <c r="C1108" s="1"/>
      <c r="D1108" s="1"/>
      <c r="E1108" s="1" t="s">
        <v>11291</v>
      </c>
      <c r="F1108" s="1" t="s">
        <v>11260</v>
      </c>
      <c r="G1108" s="1"/>
      <c r="H1108" s="1"/>
      <c r="I1108" s="1"/>
      <c r="J1108" s="1"/>
      <c r="K1108" s="1"/>
      <c r="L1108" s="1"/>
      <c r="M1108" s="1"/>
      <c r="N1108" s="1"/>
      <c r="O1108" s="1"/>
      <c r="P1108" s="1"/>
      <c r="Q1108" s="1"/>
      <c r="R1108" s="1" t="s">
        <v>11291</v>
      </c>
      <c r="S1108" s="1" t="s">
        <v>11292</v>
      </c>
      <c r="T1108" s="1" t="s">
        <v>11262</v>
      </c>
      <c r="U1108" s="1" t="s">
        <v>11263</v>
      </c>
      <c r="V1108" s="1" t="s">
        <v>11264</v>
      </c>
      <c r="W1108" s="1" t="s">
        <v>11265</v>
      </c>
    </row>
    <row r="1109" spans="1:23" ht="48" customHeight="1">
      <c r="A1109" s="1" t="s">
        <v>5465</v>
      </c>
      <c r="B1109" s="1" t="s">
        <v>6196</v>
      </c>
      <c r="C1109" s="1"/>
      <c r="D1109" s="1"/>
      <c r="E1109" s="1" t="s">
        <v>11293</v>
      </c>
      <c r="F1109" s="1" t="s">
        <v>11260</v>
      </c>
      <c r="G1109" s="1"/>
      <c r="H1109" s="1"/>
      <c r="I1109" s="1"/>
      <c r="J1109" s="1"/>
      <c r="K1109" s="1"/>
      <c r="L1109" s="1"/>
      <c r="M1109" s="1"/>
      <c r="N1109" s="1"/>
      <c r="O1109" s="1"/>
      <c r="P1109" s="1"/>
      <c r="Q1109" s="1"/>
      <c r="R1109" s="1" t="s">
        <v>11293</v>
      </c>
      <c r="S1109" s="1" t="s">
        <v>11294</v>
      </c>
      <c r="T1109" s="1" t="s">
        <v>11262</v>
      </c>
      <c r="U1109" s="1" t="s">
        <v>11263</v>
      </c>
      <c r="V1109" s="1" t="s">
        <v>11264</v>
      </c>
      <c r="W1109" s="1" t="s">
        <v>11265</v>
      </c>
    </row>
    <row r="1110" spans="1:23" ht="48" customHeight="1">
      <c r="A1110" s="1" t="s">
        <v>5465</v>
      </c>
      <c r="B1110" s="1" t="s">
        <v>6200</v>
      </c>
      <c r="C1110" s="1"/>
      <c r="D1110" s="1"/>
      <c r="E1110" s="1" t="s">
        <v>11295</v>
      </c>
      <c r="F1110" s="1" t="s">
        <v>11260</v>
      </c>
      <c r="G1110" s="1"/>
      <c r="H1110" s="1"/>
      <c r="I1110" s="1"/>
      <c r="J1110" s="1"/>
      <c r="K1110" s="1"/>
      <c r="L1110" s="1"/>
      <c r="M1110" s="1"/>
      <c r="N1110" s="1"/>
      <c r="O1110" s="1"/>
      <c r="P1110" s="1"/>
      <c r="Q1110" s="1"/>
      <c r="R1110" s="1" t="s">
        <v>11295</v>
      </c>
      <c r="S1110" s="1" t="s">
        <v>11296</v>
      </c>
      <c r="T1110" s="1" t="s">
        <v>11262</v>
      </c>
      <c r="U1110" s="1" t="s">
        <v>11263</v>
      </c>
      <c r="V1110" s="1" t="s">
        <v>11264</v>
      </c>
      <c r="W1110" s="1" t="s">
        <v>11265</v>
      </c>
    </row>
    <row r="1111" spans="1:23" ht="48" customHeight="1">
      <c r="A1111" s="1" t="s">
        <v>5465</v>
      </c>
      <c r="B1111" s="1" t="s">
        <v>5583</v>
      </c>
      <c r="C1111" s="1"/>
      <c r="D1111" s="1"/>
      <c r="E1111" s="1" t="s">
        <v>11297</v>
      </c>
      <c r="F1111" s="1" t="s">
        <v>11260</v>
      </c>
      <c r="G1111" s="1"/>
      <c r="H1111" s="1"/>
      <c r="I1111" s="1"/>
      <c r="J1111" s="1"/>
      <c r="K1111" s="1"/>
      <c r="L1111" s="1"/>
      <c r="M1111" s="1"/>
      <c r="N1111" s="1"/>
      <c r="O1111" s="1"/>
      <c r="P1111" s="1"/>
      <c r="Q1111" s="1"/>
      <c r="R1111" s="1" t="s">
        <v>11297</v>
      </c>
      <c r="S1111" s="1" t="s">
        <v>11298</v>
      </c>
      <c r="T1111" s="1" t="s">
        <v>11262</v>
      </c>
      <c r="U1111" s="1" t="s">
        <v>11263</v>
      </c>
      <c r="V1111" s="1" t="s">
        <v>11264</v>
      </c>
      <c r="W1111" s="1" t="s">
        <v>11265</v>
      </c>
    </row>
    <row r="1112" spans="1:23" ht="48" customHeight="1">
      <c r="A1112" s="1" t="s">
        <v>5465</v>
      </c>
      <c r="B1112" s="1" t="s">
        <v>6209</v>
      </c>
      <c r="C1112" s="1"/>
      <c r="D1112" s="1"/>
      <c r="E1112" s="1" t="s">
        <v>11299</v>
      </c>
      <c r="F1112" s="1" t="s">
        <v>11260</v>
      </c>
      <c r="G1112" s="1"/>
      <c r="H1112" s="1"/>
      <c r="I1112" s="1"/>
      <c r="J1112" s="1"/>
      <c r="K1112" s="1"/>
      <c r="L1112" s="1"/>
      <c r="M1112" s="1"/>
      <c r="N1112" s="1"/>
      <c r="O1112" s="1"/>
      <c r="P1112" s="1"/>
      <c r="Q1112" s="1"/>
      <c r="R1112" s="1" t="s">
        <v>11299</v>
      </c>
      <c r="S1112" s="1" t="s">
        <v>11300</v>
      </c>
      <c r="T1112" s="1" t="s">
        <v>11262</v>
      </c>
      <c r="U1112" s="1" t="s">
        <v>11263</v>
      </c>
      <c r="V1112" s="1" t="s">
        <v>11264</v>
      </c>
      <c r="W1112" s="1" t="s">
        <v>11265</v>
      </c>
    </row>
    <row r="1113" spans="1:23" ht="48" customHeight="1">
      <c r="A1113" s="1" t="s">
        <v>5465</v>
      </c>
      <c r="B1113" s="1" t="s">
        <v>6212</v>
      </c>
      <c r="C1113" s="1"/>
      <c r="D1113" s="1"/>
      <c r="E1113" s="1" t="s">
        <v>11301</v>
      </c>
      <c r="F1113" s="1" t="s">
        <v>11260</v>
      </c>
      <c r="G1113" s="1"/>
      <c r="H1113" s="1"/>
      <c r="I1113" s="1"/>
      <c r="J1113" s="1"/>
      <c r="K1113" s="1"/>
      <c r="L1113" s="1"/>
      <c r="M1113" s="1"/>
      <c r="N1113" s="1"/>
      <c r="O1113" s="1"/>
      <c r="P1113" s="1"/>
      <c r="Q1113" s="1"/>
      <c r="R1113" s="1" t="s">
        <v>11301</v>
      </c>
      <c r="S1113" s="1" t="s">
        <v>11302</v>
      </c>
      <c r="T1113" s="1" t="s">
        <v>11262</v>
      </c>
      <c r="U1113" s="1" t="s">
        <v>11263</v>
      </c>
      <c r="V1113" s="1" t="s">
        <v>11264</v>
      </c>
      <c r="W1113" s="1" t="s">
        <v>11265</v>
      </c>
    </row>
    <row r="1114" spans="1:23" ht="48" customHeight="1">
      <c r="A1114" s="1" t="s">
        <v>5465</v>
      </c>
      <c r="B1114" s="1" t="s">
        <v>6215</v>
      </c>
      <c r="C1114" s="1"/>
      <c r="D1114" s="1"/>
      <c r="E1114" s="1" t="s">
        <v>11303</v>
      </c>
      <c r="F1114" s="1" t="s">
        <v>11260</v>
      </c>
      <c r="G1114" s="1"/>
      <c r="H1114" s="1"/>
      <c r="I1114" s="1"/>
      <c r="J1114" s="1"/>
      <c r="K1114" s="1"/>
      <c r="L1114" s="1"/>
      <c r="M1114" s="1"/>
      <c r="N1114" s="1"/>
      <c r="O1114" s="1"/>
      <c r="P1114" s="1"/>
      <c r="Q1114" s="1"/>
      <c r="R1114" s="1" t="s">
        <v>11303</v>
      </c>
      <c r="S1114" s="1" t="s">
        <v>11304</v>
      </c>
      <c r="T1114" s="1" t="s">
        <v>11262</v>
      </c>
      <c r="U1114" s="1" t="s">
        <v>11263</v>
      </c>
      <c r="V1114" s="1" t="s">
        <v>11264</v>
      </c>
      <c r="W1114" s="1" t="s">
        <v>11265</v>
      </c>
    </row>
    <row r="1115" spans="1:23" ht="48" customHeight="1">
      <c r="A1115" s="1" t="s">
        <v>5465</v>
      </c>
      <c r="B1115" s="1" t="s">
        <v>6218</v>
      </c>
      <c r="C1115" s="1"/>
      <c r="D1115" s="1"/>
      <c r="E1115" s="1" t="s">
        <v>11305</v>
      </c>
      <c r="F1115" s="1" t="s">
        <v>11260</v>
      </c>
      <c r="G1115" s="1"/>
      <c r="H1115" s="1"/>
      <c r="I1115" s="1"/>
      <c r="J1115" s="1"/>
      <c r="K1115" s="1"/>
      <c r="L1115" s="1"/>
      <c r="M1115" s="1"/>
      <c r="N1115" s="1"/>
      <c r="O1115" s="1"/>
      <c r="P1115" s="1"/>
      <c r="Q1115" s="1"/>
      <c r="R1115" s="1" t="s">
        <v>11305</v>
      </c>
      <c r="S1115" s="1" t="s">
        <v>11306</v>
      </c>
      <c r="T1115" s="1" t="s">
        <v>11262</v>
      </c>
      <c r="U1115" s="1" t="s">
        <v>11263</v>
      </c>
      <c r="V1115" s="1" t="s">
        <v>11264</v>
      </c>
      <c r="W1115" s="1" t="s">
        <v>11265</v>
      </c>
    </row>
    <row r="1116" spans="1:23" ht="48" customHeight="1">
      <c r="A1116" s="1" t="s">
        <v>5465</v>
      </c>
      <c r="B1116" s="1" t="s">
        <v>6222</v>
      </c>
      <c r="C1116" s="1"/>
      <c r="D1116" s="1"/>
      <c r="E1116" s="1" t="s">
        <v>11307</v>
      </c>
      <c r="F1116" s="1" t="s">
        <v>11260</v>
      </c>
      <c r="G1116" s="1"/>
      <c r="H1116" s="1"/>
      <c r="I1116" s="1"/>
      <c r="J1116" s="1"/>
      <c r="K1116" s="1"/>
      <c r="L1116" s="1"/>
      <c r="M1116" s="1"/>
      <c r="N1116" s="1"/>
      <c r="O1116" s="1"/>
      <c r="P1116" s="1"/>
      <c r="Q1116" s="1"/>
      <c r="R1116" s="1" t="s">
        <v>11307</v>
      </c>
      <c r="S1116" s="1" t="s">
        <v>11308</v>
      </c>
      <c r="T1116" s="1" t="s">
        <v>11262</v>
      </c>
      <c r="U1116" s="1" t="s">
        <v>11263</v>
      </c>
      <c r="V1116" s="1" t="s">
        <v>11264</v>
      </c>
      <c r="W1116" s="1" t="s">
        <v>11265</v>
      </c>
    </row>
    <row r="1117" spans="1:23" ht="48" customHeight="1">
      <c r="A1117" s="1" t="s">
        <v>5465</v>
      </c>
      <c r="B1117" s="1" t="s">
        <v>6227</v>
      </c>
      <c r="C1117" s="1"/>
      <c r="D1117" s="1"/>
      <c r="E1117" s="1" t="s">
        <v>11309</v>
      </c>
      <c r="F1117" s="1" t="s">
        <v>11260</v>
      </c>
      <c r="G1117" s="1"/>
      <c r="H1117" s="1"/>
      <c r="I1117" s="1"/>
      <c r="J1117" s="1"/>
      <c r="K1117" s="1"/>
      <c r="L1117" s="1"/>
      <c r="M1117" s="1"/>
      <c r="N1117" s="1"/>
      <c r="O1117" s="1"/>
      <c r="P1117" s="1"/>
      <c r="Q1117" s="1"/>
      <c r="R1117" s="1" t="s">
        <v>11309</v>
      </c>
      <c r="S1117" s="1" t="s">
        <v>11310</v>
      </c>
      <c r="T1117" s="1" t="s">
        <v>11262</v>
      </c>
      <c r="U1117" s="1" t="s">
        <v>11263</v>
      </c>
      <c r="V1117" s="1" t="s">
        <v>11264</v>
      </c>
      <c r="W1117" s="1" t="s">
        <v>11265</v>
      </c>
    </row>
    <row r="1118" spans="1:23" ht="48" customHeight="1">
      <c r="A1118" s="1" t="s">
        <v>5465</v>
      </c>
      <c r="B1118" s="1" t="s">
        <v>6232</v>
      </c>
      <c r="C1118" s="1"/>
      <c r="D1118" s="1"/>
      <c r="E1118" s="1" t="s">
        <v>11311</v>
      </c>
      <c r="F1118" s="1" t="s">
        <v>11260</v>
      </c>
      <c r="G1118" s="1"/>
      <c r="H1118" s="1"/>
      <c r="I1118" s="1"/>
      <c r="J1118" s="1"/>
      <c r="K1118" s="1"/>
      <c r="L1118" s="1"/>
      <c r="M1118" s="1"/>
      <c r="N1118" s="1"/>
      <c r="O1118" s="1"/>
      <c r="P1118" s="1"/>
      <c r="Q1118" s="1"/>
      <c r="R1118" s="1" t="s">
        <v>11311</v>
      </c>
      <c r="S1118" s="1" t="s">
        <v>11312</v>
      </c>
      <c r="T1118" s="1" t="s">
        <v>11262</v>
      </c>
      <c r="U1118" s="1" t="s">
        <v>11263</v>
      </c>
      <c r="V1118" s="1" t="s">
        <v>11264</v>
      </c>
      <c r="W1118" s="1" t="s">
        <v>11265</v>
      </c>
    </row>
    <row r="1119" spans="1:23" ht="48" customHeight="1">
      <c r="A1119" s="1" t="s">
        <v>5465</v>
      </c>
      <c r="B1119" s="1" t="s">
        <v>6236</v>
      </c>
      <c r="C1119" s="1"/>
      <c r="D1119" s="1"/>
      <c r="E1119" s="1" t="s">
        <v>11313</v>
      </c>
      <c r="F1119" s="1" t="s">
        <v>11260</v>
      </c>
      <c r="G1119" s="1"/>
      <c r="H1119" s="1"/>
      <c r="I1119" s="1"/>
      <c r="J1119" s="1"/>
      <c r="K1119" s="1"/>
      <c r="L1119" s="1"/>
      <c r="M1119" s="1"/>
      <c r="N1119" s="1"/>
      <c r="O1119" s="1"/>
      <c r="P1119" s="1"/>
      <c r="Q1119" s="1"/>
      <c r="R1119" s="1" t="s">
        <v>11313</v>
      </c>
      <c r="S1119" s="1" t="s">
        <v>11314</v>
      </c>
      <c r="T1119" s="1" t="s">
        <v>11262</v>
      </c>
      <c r="U1119" s="1" t="s">
        <v>11263</v>
      </c>
      <c r="V1119" s="1" t="s">
        <v>11264</v>
      </c>
      <c r="W1119" s="1" t="s">
        <v>11265</v>
      </c>
    </row>
    <row r="1120" spans="1:23" ht="48" customHeight="1">
      <c r="A1120" s="1" t="s">
        <v>5465</v>
      </c>
      <c r="B1120" s="1" t="s">
        <v>6245</v>
      </c>
      <c r="C1120" s="1"/>
      <c r="D1120" s="1"/>
      <c r="E1120" s="1" t="s">
        <v>11315</v>
      </c>
      <c r="F1120" s="1" t="s">
        <v>11260</v>
      </c>
      <c r="G1120" s="1"/>
      <c r="H1120" s="1"/>
      <c r="I1120" s="1"/>
      <c r="J1120" s="1"/>
      <c r="K1120" s="1"/>
      <c r="L1120" s="1"/>
      <c r="M1120" s="1"/>
      <c r="N1120" s="1"/>
      <c r="O1120" s="1"/>
      <c r="P1120" s="1"/>
      <c r="Q1120" s="1"/>
      <c r="R1120" s="1" t="s">
        <v>11315</v>
      </c>
      <c r="S1120" s="1" t="s">
        <v>11316</v>
      </c>
      <c r="T1120" s="1" t="s">
        <v>11262</v>
      </c>
      <c r="U1120" s="1" t="s">
        <v>11263</v>
      </c>
      <c r="V1120" s="1" t="s">
        <v>11264</v>
      </c>
      <c r="W1120" s="1" t="s">
        <v>11265</v>
      </c>
    </row>
    <row r="1121" spans="1:23" ht="48" customHeight="1">
      <c r="A1121" s="1" t="s">
        <v>5465</v>
      </c>
      <c r="B1121" s="1" t="s">
        <v>6248</v>
      </c>
      <c r="C1121" s="1"/>
      <c r="D1121" s="1"/>
      <c r="E1121" s="1" t="s">
        <v>11317</v>
      </c>
      <c r="F1121" s="1" t="s">
        <v>11260</v>
      </c>
      <c r="G1121" s="1"/>
      <c r="H1121" s="1"/>
      <c r="I1121" s="1"/>
      <c r="J1121" s="1"/>
      <c r="K1121" s="1"/>
      <c r="L1121" s="1"/>
      <c r="M1121" s="1"/>
      <c r="N1121" s="1"/>
      <c r="O1121" s="1"/>
      <c r="P1121" s="1"/>
      <c r="Q1121" s="1"/>
      <c r="R1121" s="1" t="s">
        <v>11317</v>
      </c>
      <c r="S1121" s="1" t="s">
        <v>11280</v>
      </c>
      <c r="T1121" s="1" t="s">
        <v>11262</v>
      </c>
      <c r="U1121" s="1" t="s">
        <v>11263</v>
      </c>
      <c r="V1121" s="1" t="s">
        <v>11264</v>
      </c>
      <c r="W1121" s="1" t="s">
        <v>11265</v>
      </c>
    </row>
    <row r="1122" spans="1:23" ht="48" customHeight="1">
      <c r="A1122" s="1" t="s">
        <v>5504</v>
      </c>
      <c r="B1122" s="1" t="s">
        <v>6083</v>
      </c>
      <c r="C1122" s="1"/>
      <c r="D1122" s="1"/>
      <c r="E1122" s="1" t="s">
        <v>11318</v>
      </c>
      <c r="F1122" s="1" t="s">
        <v>11260</v>
      </c>
      <c r="G1122" s="1"/>
      <c r="H1122" s="1"/>
      <c r="I1122" s="1"/>
      <c r="J1122" s="1"/>
      <c r="K1122" s="1"/>
      <c r="L1122" s="1"/>
      <c r="M1122" s="1"/>
      <c r="N1122" s="1"/>
      <c r="O1122" s="1"/>
      <c r="P1122" s="1"/>
      <c r="Q1122" s="1"/>
      <c r="R1122" s="1" t="s">
        <v>11318</v>
      </c>
      <c r="S1122" s="1" t="s">
        <v>11319</v>
      </c>
      <c r="T1122" s="1" t="s">
        <v>11320</v>
      </c>
      <c r="U1122" s="1" t="s">
        <v>11263</v>
      </c>
      <c r="V1122" s="1" t="s">
        <v>11264</v>
      </c>
      <c r="W1122" s="1" t="s">
        <v>11321</v>
      </c>
    </row>
    <row r="1123" spans="1:23" ht="48" customHeight="1">
      <c r="A1123" s="1" t="s">
        <v>5504</v>
      </c>
      <c r="B1123" s="1" t="s">
        <v>6099</v>
      </c>
      <c r="C1123" s="1"/>
      <c r="D1123" s="1"/>
      <c r="E1123" s="1" t="s">
        <v>6102</v>
      </c>
      <c r="F1123" s="1" t="s">
        <v>11260</v>
      </c>
      <c r="G1123" s="1"/>
      <c r="H1123" s="1"/>
      <c r="I1123" s="1"/>
      <c r="J1123" s="1"/>
      <c r="K1123" s="1"/>
      <c r="L1123" s="1"/>
      <c r="M1123" s="1"/>
      <c r="N1123" s="1"/>
      <c r="O1123" s="1"/>
      <c r="P1123" s="1"/>
      <c r="Q1123" s="1"/>
      <c r="R1123" s="1" t="s">
        <v>6102</v>
      </c>
      <c r="S1123" s="1" t="s">
        <v>11322</v>
      </c>
      <c r="T1123" s="1" t="s">
        <v>11320</v>
      </c>
      <c r="U1123" s="1" t="s">
        <v>11263</v>
      </c>
      <c r="V1123" s="1" t="s">
        <v>11264</v>
      </c>
      <c r="W1123" s="1" t="s">
        <v>11321</v>
      </c>
    </row>
    <row r="1124" spans="1:23" ht="48" customHeight="1">
      <c r="A1124" s="1" t="s">
        <v>5504</v>
      </c>
      <c r="B1124" s="1" t="s">
        <v>6107</v>
      </c>
      <c r="C1124" s="1"/>
      <c r="D1124" s="1"/>
      <c r="E1124" s="1" t="s">
        <v>11323</v>
      </c>
      <c r="F1124" s="1" t="s">
        <v>11260</v>
      </c>
      <c r="G1124" s="1"/>
      <c r="H1124" s="1"/>
      <c r="I1124" s="1"/>
      <c r="J1124" s="1"/>
      <c r="K1124" s="1"/>
      <c r="L1124" s="1"/>
      <c r="M1124" s="1"/>
      <c r="N1124" s="1"/>
      <c r="O1124" s="1"/>
      <c r="P1124" s="1"/>
      <c r="Q1124" s="1"/>
      <c r="R1124" s="1" t="s">
        <v>11323</v>
      </c>
      <c r="S1124" s="1" t="s">
        <v>11324</v>
      </c>
      <c r="T1124" s="1" t="s">
        <v>11320</v>
      </c>
      <c r="U1124" s="1" t="s">
        <v>11263</v>
      </c>
      <c r="V1124" s="1" t="s">
        <v>11264</v>
      </c>
      <c r="W1124" s="1" t="s">
        <v>11321</v>
      </c>
    </row>
    <row r="1125" spans="1:23" ht="48" customHeight="1">
      <c r="A1125" s="1" t="s">
        <v>5504</v>
      </c>
      <c r="B1125" s="1" t="s">
        <v>6113</v>
      </c>
      <c r="C1125" s="1"/>
      <c r="D1125" s="1"/>
      <c r="E1125" s="1" t="s">
        <v>11325</v>
      </c>
      <c r="F1125" s="1" t="s">
        <v>11260</v>
      </c>
      <c r="G1125" s="1"/>
      <c r="H1125" s="1"/>
      <c r="I1125" s="1"/>
      <c r="J1125" s="1"/>
      <c r="K1125" s="1"/>
      <c r="L1125" s="1"/>
      <c r="M1125" s="1"/>
      <c r="N1125" s="1"/>
      <c r="O1125" s="1"/>
      <c r="P1125" s="1"/>
      <c r="Q1125" s="1"/>
      <c r="R1125" s="1" t="s">
        <v>11325</v>
      </c>
      <c r="S1125" s="1" t="s">
        <v>11326</v>
      </c>
      <c r="T1125" s="1" t="s">
        <v>11320</v>
      </c>
      <c r="U1125" s="1" t="s">
        <v>11263</v>
      </c>
      <c r="V1125" s="1" t="s">
        <v>11264</v>
      </c>
      <c r="W1125" s="1" t="s">
        <v>11321</v>
      </c>
    </row>
    <row r="1126" spans="1:23" ht="48" customHeight="1">
      <c r="A1126" s="1" t="s">
        <v>5504</v>
      </c>
      <c r="B1126" s="1" t="s">
        <v>6118</v>
      </c>
      <c r="C1126" s="1"/>
      <c r="D1126" s="1"/>
      <c r="E1126" s="1" t="s">
        <v>11327</v>
      </c>
      <c r="F1126" s="1" t="s">
        <v>11260</v>
      </c>
      <c r="G1126" s="1"/>
      <c r="H1126" s="1"/>
      <c r="I1126" s="1"/>
      <c r="J1126" s="1"/>
      <c r="K1126" s="1"/>
      <c r="L1126" s="1"/>
      <c r="M1126" s="1"/>
      <c r="N1126" s="1"/>
      <c r="O1126" s="1"/>
      <c r="P1126" s="1"/>
      <c r="Q1126" s="1"/>
      <c r="R1126" s="1" t="s">
        <v>11327</v>
      </c>
      <c r="S1126" s="1" t="s">
        <v>11328</v>
      </c>
      <c r="T1126" s="1" t="s">
        <v>11320</v>
      </c>
      <c r="U1126" s="1" t="s">
        <v>11263</v>
      </c>
      <c r="V1126" s="1" t="s">
        <v>11264</v>
      </c>
      <c r="W1126" s="1" t="s">
        <v>11321</v>
      </c>
    </row>
    <row r="1127" spans="1:23" ht="48" customHeight="1">
      <c r="A1127" s="1" t="s">
        <v>5504</v>
      </c>
      <c r="B1127" s="1" t="s">
        <v>6126</v>
      </c>
      <c r="C1127" s="1"/>
      <c r="D1127" s="1"/>
      <c r="E1127" s="1" t="s">
        <v>11329</v>
      </c>
      <c r="F1127" s="1" t="s">
        <v>11260</v>
      </c>
      <c r="G1127" s="1"/>
      <c r="H1127" s="1"/>
      <c r="I1127" s="1"/>
      <c r="J1127" s="1"/>
      <c r="K1127" s="1"/>
      <c r="L1127" s="1"/>
      <c r="M1127" s="1"/>
      <c r="N1127" s="1"/>
      <c r="O1127" s="1"/>
      <c r="P1127" s="1"/>
      <c r="Q1127" s="1"/>
      <c r="R1127" s="1" t="s">
        <v>11329</v>
      </c>
      <c r="S1127" s="1" t="s">
        <v>11330</v>
      </c>
      <c r="T1127" s="1" t="s">
        <v>11320</v>
      </c>
      <c r="U1127" s="1" t="s">
        <v>11263</v>
      </c>
      <c r="V1127" s="1" t="s">
        <v>11264</v>
      </c>
      <c r="W1127" s="1" t="s">
        <v>11321</v>
      </c>
    </row>
    <row r="1128" spans="1:23" ht="48" customHeight="1">
      <c r="A1128" s="1" t="s">
        <v>5504</v>
      </c>
      <c r="B1128" s="1" t="s">
        <v>6134</v>
      </c>
      <c r="C1128" s="1"/>
      <c r="D1128" s="1"/>
      <c r="E1128" s="1" t="s">
        <v>11331</v>
      </c>
      <c r="F1128" s="1" t="s">
        <v>11260</v>
      </c>
      <c r="G1128" s="1"/>
      <c r="H1128" s="1"/>
      <c r="I1128" s="1"/>
      <c r="J1128" s="1"/>
      <c r="K1128" s="1"/>
      <c r="L1128" s="1"/>
      <c r="M1128" s="1"/>
      <c r="N1128" s="1"/>
      <c r="O1128" s="1"/>
      <c r="P1128" s="1"/>
      <c r="Q1128" s="1"/>
      <c r="R1128" s="1" t="s">
        <v>11331</v>
      </c>
      <c r="S1128" s="1" t="s">
        <v>11332</v>
      </c>
      <c r="T1128" s="1" t="s">
        <v>11320</v>
      </c>
      <c r="U1128" s="1" t="s">
        <v>11263</v>
      </c>
      <c r="V1128" s="1" t="s">
        <v>11264</v>
      </c>
      <c r="W1128" s="1" t="s">
        <v>11321</v>
      </c>
    </row>
    <row r="1129" spans="1:23" ht="48" customHeight="1">
      <c r="A1129" s="1" t="s">
        <v>5504</v>
      </c>
      <c r="B1129" s="1" t="s">
        <v>6144</v>
      </c>
      <c r="C1129" s="1"/>
      <c r="D1129" s="1"/>
      <c r="E1129" s="1" t="s">
        <v>11333</v>
      </c>
      <c r="F1129" s="1" t="s">
        <v>11260</v>
      </c>
      <c r="G1129" s="1"/>
      <c r="H1129" s="1"/>
      <c r="I1129" s="1"/>
      <c r="J1129" s="1"/>
      <c r="K1129" s="1"/>
      <c r="L1129" s="1"/>
      <c r="M1129" s="1"/>
      <c r="N1129" s="1"/>
      <c r="O1129" s="1"/>
      <c r="P1129" s="1"/>
      <c r="Q1129" s="1"/>
      <c r="R1129" s="1" t="s">
        <v>11333</v>
      </c>
      <c r="S1129" s="1" t="s">
        <v>11328</v>
      </c>
      <c r="T1129" s="1" t="s">
        <v>11320</v>
      </c>
      <c r="U1129" s="1" t="s">
        <v>11263</v>
      </c>
      <c r="V1129" s="1" t="s">
        <v>11264</v>
      </c>
      <c r="W1129" s="1" t="s">
        <v>11321</v>
      </c>
    </row>
    <row r="1130" spans="1:23" ht="48" customHeight="1">
      <c r="A1130" s="1" t="s">
        <v>5504</v>
      </c>
      <c r="B1130" s="1" t="s">
        <v>6149</v>
      </c>
      <c r="C1130" s="1"/>
      <c r="D1130" s="1"/>
      <c r="E1130" s="1" t="s">
        <v>11334</v>
      </c>
      <c r="F1130" s="1" t="s">
        <v>11260</v>
      </c>
      <c r="G1130" s="1"/>
      <c r="H1130" s="1"/>
      <c r="I1130" s="1"/>
      <c r="J1130" s="1"/>
      <c r="K1130" s="1"/>
      <c r="L1130" s="1"/>
      <c r="M1130" s="1"/>
      <c r="N1130" s="1"/>
      <c r="O1130" s="1"/>
      <c r="P1130" s="1"/>
      <c r="Q1130" s="1"/>
      <c r="R1130" s="1" t="s">
        <v>11334</v>
      </c>
      <c r="S1130" s="1" t="s">
        <v>11335</v>
      </c>
      <c r="T1130" s="1" t="s">
        <v>11320</v>
      </c>
      <c r="U1130" s="1" t="s">
        <v>11263</v>
      </c>
      <c r="V1130" s="1" t="s">
        <v>11264</v>
      </c>
      <c r="W1130" s="1" t="s">
        <v>11321</v>
      </c>
    </row>
    <row r="1131" spans="1:23" ht="48" customHeight="1">
      <c r="A1131" s="1" t="s">
        <v>5504</v>
      </c>
      <c r="B1131" s="1" t="s">
        <v>6154</v>
      </c>
      <c r="C1131" s="1"/>
      <c r="D1131" s="1"/>
      <c r="E1131" s="1" t="s">
        <v>11336</v>
      </c>
      <c r="F1131" s="1" t="s">
        <v>11260</v>
      </c>
      <c r="G1131" s="1"/>
      <c r="H1131" s="1"/>
      <c r="I1131" s="1"/>
      <c r="J1131" s="1"/>
      <c r="K1131" s="1"/>
      <c r="L1131" s="1"/>
      <c r="M1131" s="1"/>
      <c r="N1131" s="1"/>
      <c r="O1131" s="1"/>
      <c r="P1131" s="1"/>
      <c r="Q1131" s="1"/>
      <c r="R1131" s="1" t="s">
        <v>11336</v>
      </c>
      <c r="S1131" s="1" t="s">
        <v>11330</v>
      </c>
      <c r="T1131" s="1" t="s">
        <v>11320</v>
      </c>
      <c r="U1131" s="1" t="s">
        <v>11263</v>
      </c>
      <c r="V1131" s="1" t="s">
        <v>11264</v>
      </c>
      <c r="W1131" s="1" t="s">
        <v>11321</v>
      </c>
    </row>
    <row r="1132" spans="1:23" ht="48" customHeight="1">
      <c r="A1132" s="1" t="s">
        <v>5504</v>
      </c>
      <c r="B1132" s="1" t="s">
        <v>6159</v>
      </c>
      <c r="C1132" s="1"/>
      <c r="D1132" s="1"/>
      <c r="E1132" s="1" t="s">
        <v>11337</v>
      </c>
      <c r="F1132" s="1" t="s">
        <v>11260</v>
      </c>
      <c r="G1132" s="1"/>
      <c r="H1132" s="1"/>
      <c r="I1132" s="1"/>
      <c r="J1132" s="1"/>
      <c r="K1132" s="1"/>
      <c r="L1132" s="1"/>
      <c r="M1132" s="1"/>
      <c r="N1132" s="1"/>
      <c r="O1132" s="1"/>
      <c r="P1132" s="1"/>
      <c r="Q1132" s="1"/>
      <c r="R1132" s="1" t="s">
        <v>11337</v>
      </c>
      <c r="S1132" s="1" t="s">
        <v>11338</v>
      </c>
      <c r="T1132" s="1" t="s">
        <v>11320</v>
      </c>
      <c r="U1132" s="1" t="s">
        <v>11263</v>
      </c>
      <c r="V1132" s="1" t="s">
        <v>11264</v>
      </c>
      <c r="W1132" s="1" t="s">
        <v>11321</v>
      </c>
    </row>
    <row r="1133" spans="1:23" ht="48" customHeight="1">
      <c r="A1133" s="1" t="s">
        <v>5504</v>
      </c>
      <c r="B1133" s="1" t="s">
        <v>6169</v>
      </c>
      <c r="C1133" s="1"/>
      <c r="D1133" s="1"/>
      <c r="E1133" s="1" t="s">
        <v>11339</v>
      </c>
      <c r="F1133" s="1" t="s">
        <v>11260</v>
      </c>
      <c r="G1133" s="1"/>
      <c r="H1133" s="1"/>
      <c r="I1133" s="1"/>
      <c r="J1133" s="1"/>
      <c r="K1133" s="1"/>
      <c r="L1133" s="1"/>
      <c r="M1133" s="1"/>
      <c r="N1133" s="1"/>
      <c r="O1133" s="1"/>
      <c r="P1133" s="1"/>
      <c r="Q1133" s="1"/>
      <c r="R1133" s="1" t="s">
        <v>11339</v>
      </c>
      <c r="S1133" s="1" t="s">
        <v>11340</v>
      </c>
      <c r="T1133" s="1" t="s">
        <v>11320</v>
      </c>
      <c r="U1133" s="1" t="s">
        <v>11263</v>
      </c>
      <c r="V1133" s="1" t="s">
        <v>11264</v>
      </c>
      <c r="W1133" s="1" t="s">
        <v>11321</v>
      </c>
    </row>
    <row r="1134" spans="1:23" ht="48" customHeight="1">
      <c r="A1134" s="1" t="s">
        <v>5504</v>
      </c>
      <c r="B1134" s="1" t="s">
        <v>6176</v>
      </c>
      <c r="C1134" s="1"/>
      <c r="D1134" s="1"/>
      <c r="E1134" s="1" t="s">
        <v>11341</v>
      </c>
      <c r="F1134" s="1" t="s">
        <v>11260</v>
      </c>
      <c r="G1134" s="1"/>
      <c r="H1134" s="1"/>
      <c r="I1134" s="1"/>
      <c r="J1134" s="1"/>
      <c r="K1134" s="1"/>
      <c r="L1134" s="1"/>
      <c r="M1134" s="1"/>
      <c r="N1134" s="1"/>
      <c r="O1134" s="1"/>
      <c r="P1134" s="1"/>
      <c r="Q1134" s="1"/>
      <c r="R1134" s="1" t="s">
        <v>11341</v>
      </c>
      <c r="S1134" s="1" t="s">
        <v>11342</v>
      </c>
      <c r="T1134" s="1" t="s">
        <v>11320</v>
      </c>
      <c r="U1134" s="1" t="s">
        <v>11263</v>
      </c>
      <c r="V1134" s="1" t="s">
        <v>11264</v>
      </c>
      <c r="W1134" s="1" t="s">
        <v>11321</v>
      </c>
    </row>
    <row r="1135" spans="1:23" ht="48" customHeight="1">
      <c r="A1135" s="1" t="s">
        <v>5504</v>
      </c>
      <c r="B1135" s="1" t="s">
        <v>6185</v>
      </c>
      <c r="C1135" s="1"/>
      <c r="D1135" s="1"/>
      <c r="E1135" s="1" t="s">
        <v>11343</v>
      </c>
      <c r="F1135" s="1" t="s">
        <v>11260</v>
      </c>
      <c r="G1135" s="1"/>
      <c r="H1135" s="1"/>
      <c r="I1135" s="1"/>
      <c r="J1135" s="1"/>
      <c r="K1135" s="1"/>
      <c r="L1135" s="1"/>
      <c r="M1135" s="1"/>
      <c r="N1135" s="1"/>
      <c r="O1135" s="1"/>
      <c r="P1135" s="1"/>
      <c r="Q1135" s="1"/>
      <c r="R1135" s="1" t="s">
        <v>11343</v>
      </c>
      <c r="S1135" s="1" t="s">
        <v>11344</v>
      </c>
      <c r="T1135" s="1" t="s">
        <v>11320</v>
      </c>
      <c r="U1135" s="1" t="s">
        <v>11263</v>
      </c>
      <c r="V1135" s="1" t="s">
        <v>11264</v>
      </c>
      <c r="W1135" s="1" t="s">
        <v>11321</v>
      </c>
    </row>
    <row r="1136" spans="1:23" ht="48" customHeight="1">
      <c r="A1136" s="1" t="s">
        <v>5504</v>
      </c>
      <c r="B1136" s="1" t="s">
        <v>6189</v>
      </c>
      <c r="C1136" s="1"/>
      <c r="D1136" s="1"/>
      <c r="E1136" s="1" t="s">
        <v>11345</v>
      </c>
      <c r="F1136" s="1" t="s">
        <v>11260</v>
      </c>
      <c r="G1136" s="1"/>
      <c r="H1136" s="1"/>
      <c r="I1136" s="1"/>
      <c r="J1136" s="1"/>
      <c r="K1136" s="1"/>
      <c r="L1136" s="1"/>
      <c r="M1136" s="1"/>
      <c r="N1136" s="1"/>
      <c r="O1136" s="1"/>
      <c r="P1136" s="1"/>
      <c r="Q1136" s="1"/>
      <c r="R1136" s="1" t="s">
        <v>11345</v>
      </c>
      <c r="S1136" s="1" t="s">
        <v>11346</v>
      </c>
      <c r="T1136" s="1" t="s">
        <v>11320</v>
      </c>
      <c r="U1136" s="1" t="s">
        <v>11263</v>
      </c>
      <c r="V1136" s="1" t="s">
        <v>11264</v>
      </c>
      <c r="W1136" s="1" t="s">
        <v>11321</v>
      </c>
    </row>
    <row r="1137" spans="1:23" ht="48" customHeight="1">
      <c r="A1137" s="1" t="s">
        <v>5504</v>
      </c>
      <c r="B1137" s="1" t="s">
        <v>6196</v>
      </c>
      <c r="C1137" s="1"/>
      <c r="D1137" s="1"/>
      <c r="E1137" s="1" t="s">
        <v>11347</v>
      </c>
      <c r="F1137" s="1" t="s">
        <v>11260</v>
      </c>
      <c r="G1137" s="1"/>
      <c r="H1137" s="1"/>
      <c r="I1137" s="1"/>
      <c r="J1137" s="1"/>
      <c r="K1137" s="1"/>
      <c r="L1137" s="1"/>
      <c r="M1137" s="1"/>
      <c r="N1137" s="1"/>
      <c r="O1137" s="1"/>
      <c r="P1137" s="1"/>
      <c r="Q1137" s="1"/>
      <c r="R1137" s="1" t="s">
        <v>11347</v>
      </c>
      <c r="S1137" s="1" t="s">
        <v>11348</v>
      </c>
      <c r="T1137" s="1" t="s">
        <v>11320</v>
      </c>
      <c r="U1137" s="1" t="s">
        <v>11263</v>
      </c>
      <c r="V1137" s="1" t="s">
        <v>11264</v>
      </c>
      <c r="W1137" s="1" t="s">
        <v>11321</v>
      </c>
    </row>
    <row r="1138" spans="1:23" ht="48" customHeight="1">
      <c r="A1138" s="1" t="s">
        <v>5504</v>
      </c>
      <c r="B1138" s="1" t="s">
        <v>6200</v>
      </c>
      <c r="C1138" s="1"/>
      <c r="D1138" s="1"/>
      <c r="E1138" s="1" t="s">
        <v>11349</v>
      </c>
      <c r="F1138" s="1" t="s">
        <v>11260</v>
      </c>
      <c r="G1138" s="1"/>
      <c r="H1138" s="1"/>
      <c r="I1138" s="1"/>
      <c r="J1138" s="1"/>
      <c r="K1138" s="1"/>
      <c r="L1138" s="1"/>
      <c r="M1138" s="1"/>
      <c r="N1138" s="1"/>
      <c r="O1138" s="1"/>
      <c r="P1138" s="1"/>
      <c r="Q1138" s="1"/>
      <c r="R1138" s="1" t="s">
        <v>11349</v>
      </c>
      <c r="S1138" s="1" t="s">
        <v>11350</v>
      </c>
      <c r="T1138" s="1" t="s">
        <v>11320</v>
      </c>
      <c r="U1138" s="1" t="s">
        <v>11263</v>
      </c>
      <c r="V1138" s="1" t="s">
        <v>11264</v>
      </c>
      <c r="W1138" s="1" t="s">
        <v>11321</v>
      </c>
    </row>
    <row r="1139" spans="1:23" ht="48" customHeight="1">
      <c r="A1139" s="1" t="s">
        <v>5504</v>
      </c>
      <c r="B1139" s="1" t="s">
        <v>5583</v>
      </c>
      <c r="C1139" s="1"/>
      <c r="D1139" s="1"/>
      <c r="E1139" s="1" t="s">
        <v>11351</v>
      </c>
      <c r="F1139" s="1" t="s">
        <v>11260</v>
      </c>
      <c r="G1139" s="1"/>
      <c r="H1139" s="1"/>
      <c r="I1139" s="1"/>
      <c r="J1139" s="1"/>
      <c r="K1139" s="1"/>
      <c r="L1139" s="1"/>
      <c r="M1139" s="1"/>
      <c r="N1139" s="1"/>
      <c r="O1139" s="1"/>
      <c r="P1139" s="1"/>
      <c r="Q1139" s="1"/>
      <c r="R1139" s="1" t="s">
        <v>11351</v>
      </c>
      <c r="S1139" s="1" t="s">
        <v>11344</v>
      </c>
      <c r="T1139" s="1" t="s">
        <v>11320</v>
      </c>
      <c r="U1139" s="1" t="s">
        <v>11263</v>
      </c>
      <c r="V1139" s="1" t="s">
        <v>11264</v>
      </c>
      <c r="W1139" s="1" t="s">
        <v>11321</v>
      </c>
    </row>
    <row r="1140" spans="1:23" ht="48" customHeight="1">
      <c r="A1140" s="1" t="s">
        <v>5504</v>
      </c>
      <c r="B1140" s="1" t="s">
        <v>6209</v>
      </c>
      <c r="C1140" s="1"/>
      <c r="D1140" s="1"/>
      <c r="E1140" s="1" t="s">
        <v>11352</v>
      </c>
      <c r="F1140" s="1" t="s">
        <v>11260</v>
      </c>
      <c r="G1140" s="1"/>
      <c r="H1140" s="1"/>
      <c r="I1140" s="1"/>
      <c r="J1140" s="1"/>
      <c r="K1140" s="1"/>
      <c r="L1140" s="1"/>
      <c r="M1140" s="1"/>
      <c r="N1140" s="1"/>
      <c r="O1140" s="1"/>
      <c r="P1140" s="1"/>
      <c r="Q1140" s="1"/>
      <c r="R1140" s="1" t="s">
        <v>11352</v>
      </c>
      <c r="S1140" s="1" t="s">
        <v>11353</v>
      </c>
      <c r="T1140" s="1" t="s">
        <v>11320</v>
      </c>
      <c r="U1140" s="1" t="s">
        <v>11263</v>
      </c>
      <c r="V1140" s="1" t="s">
        <v>11264</v>
      </c>
      <c r="W1140" s="1" t="s">
        <v>11321</v>
      </c>
    </row>
    <row r="1141" spans="1:23" ht="48" customHeight="1">
      <c r="A1141" s="1" t="s">
        <v>5504</v>
      </c>
      <c r="B1141" s="1" t="s">
        <v>6212</v>
      </c>
      <c r="C1141" s="1"/>
      <c r="D1141" s="1"/>
      <c r="E1141" s="1" t="s">
        <v>11354</v>
      </c>
      <c r="F1141" s="1" t="s">
        <v>11260</v>
      </c>
      <c r="G1141" s="1"/>
      <c r="H1141" s="1"/>
      <c r="I1141" s="1"/>
      <c r="J1141" s="1"/>
      <c r="K1141" s="1"/>
      <c r="L1141" s="1"/>
      <c r="M1141" s="1"/>
      <c r="N1141" s="1"/>
      <c r="O1141" s="1"/>
      <c r="P1141" s="1"/>
      <c r="Q1141" s="1"/>
      <c r="R1141" s="1" t="s">
        <v>11354</v>
      </c>
      <c r="S1141" s="1" t="s">
        <v>11355</v>
      </c>
      <c r="T1141" s="1" t="s">
        <v>11320</v>
      </c>
      <c r="U1141" s="1" t="s">
        <v>11263</v>
      </c>
      <c r="V1141" s="1" t="s">
        <v>11264</v>
      </c>
      <c r="W1141" s="1" t="s">
        <v>11321</v>
      </c>
    </row>
    <row r="1142" spans="1:23" ht="48" customHeight="1">
      <c r="A1142" s="1" t="s">
        <v>5504</v>
      </c>
      <c r="B1142" s="1" t="s">
        <v>6215</v>
      </c>
      <c r="C1142" s="1"/>
      <c r="D1142" s="1"/>
      <c r="E1142" s="1" t="s">
        <v>11356</v>
      </c>
      <c r="F1142" s="1" t="s">
        <v>11260</v>
      </c>
      <c r="G1142" s="1"/>
      <c r="H1142" s="1"/>
      <c r="I1142" s="1"/>
      <c r="J1142" s="1"/>
      <c r="K1142" s="1"/>
      <c r="L1142" s="1"/>
      <c r="M1142" s="1"/>
      <c r="N1142" s="1"/>
      <c r="O1142" s="1"/>
      <c r="P1142" s="1"/>
      <c r="Q1142" s="1"/>
      <c r="R1142" s="1" t="s">
        <v>11356</v>
      </c>
      <c r="S1142" s="1" t="s">
        <v>11357</v>
      </c>
      <c r="T1142" s="1" t="s">
        <v>11320</v>
      </c>
      <c r="U1142" s="1" t="s">
        <v>11263</v>
      </c>
      <c r="V1142" s="1" t="s">
        <v>11264</v>
      </c>
      <c r="W1142" s="1" t="s">
        <v>11321</v>
      </c>
    </row>
    <row r="1143" spans="1:23" ht="48" customHeight="1">
      <c r="A1143" s="1" t="s">
        <v>5504</v>
      </c>
      <c r="B1143" s="1" t="s">
        <v>6218</v>
      </c>
      <c r="C1143" s="1"/>
      <c r="D1143" s="1"/>
      <c r="E1143" s="1" t="s">
        <v>11358</v>
      </c>
      <c r="F1143" s="1" t="s">
        <v>11260</v>
      </c>
      <c r="G1143" s="1"/>
      <c r="H1143" s="1"/>
      <c r="I1143" s="1"/>
      <c r="J1143" s="1"/>
      <c r="K1143" s="1"/>
      <c r="L1143" s="1"/>
      <c r="M1143" s="1"/>
      <c r="N1143" s="1"/>
      <c r="O1143" s="1"/>
      <c r="P1143" s="1"/>
      <c r="Q1143" s="1"/>
      <c r="R1143" s="1" t="s">
        <v>11358</v>
      </c>
      <c r="S1143" s="1" t="s">
        <v>11359</v>
      </c>
      <c r="T1143" s="1" t="s">
        <v>11320</v>
      </c>
      <c r="U1143" s="1" t="s">
        <v>11263</v>
      </c>
      <c r="V1143" s="1" t="s">
        <v>11264</v>
      </c>
      <c r="W1143" s="1" t="s">
        <v>11321</v>
      </c>
    </row>
    <row r="1144" spans="1:23" ht="48" customHeight="1">
      <c r="A1144" s="1" t="s">
        <v>5504</v>
      </c>
      <c r="B1144" s="1" t="s">
        <v>6222</v>
      </c>
      <c r="C1144" s="1"/>
      <c r="D1144" s="1"/>
      <c r="E1144" s="1" t="s">
        <v>11360</v>
      </c>
      <c r="F1144" s="1" t="s">
        <v>11260</v>
      </c>
      <c r="G1144" s="1"/>
      <c r="H1144" s="1"/>
      <c r="I1144" s="1"/>
      <c r="J1144" s="1"/>
      <c r="K1144" s="1"/>
      <c r="L1144" s="1"/>
      <c r="M1144" s="1"/>
      <c r="N1144" s="1"/>
      <c r="O1144" s="1"/>
      <c r="P1144" s="1"/>
      <c r="Q1144" s="1"/>
      <c r="R1144" s="1" t="s">
        <v>11360</v>
      </c>
      <c r="S1144" s="1" t="s">
        <v>11328</v>
      </c>
      <c r="T1144" s="1" t="s">
        <v>11320</v>
      </c>
      <c r="U1144" s="1" t="s">
        <v>11263</v>
      </c>
      <c r="V1144" s="1" t="s">
        <v>11264</v>
      </c>
      <c r="W1144" s="1" t="s">
        <v>11321</v>
      </c>
    </row>
    <row r="1145" spans="1:23" ht="48" customHeight="1">
      <c r="A1145" s="1" t="s">
        <v>5504</v>
      </c>
      <c r="B1145" s="1" t="s">
        <v>6227</v>
      </c>
      <c r="C1145" s="1"/>
      <c r="D1145" s="1"/>
      <c r="E1145" s="1" t="s">
        <v>11361</v>
      </c>
      <c r="F1145" s="1" t="s">
        <v>11260</v>
      </c>
      <c r="G1145" s="1"/>
      <c r="H1145" s="1"/>
      <c r="I1145" s="1"/>
      <c r="J1145" s="1"/>
      <c r="K1145" s="1"/>
      <c r="L1145" s="1"/>
      <c r="M1145" s="1"/>
      <c r="N1145" s="1"/>
      <c r="O1145" s="1"/>
      <c r="P1145" s="1"/>
      <c r="Q1145" s="1"/>
      <c r="R1145" s="1" t="s">
        <v>11361</v>
      </c>
      <c r="S1145" s="1" t="s">
        <v>11362</v>
      </c>
      <c r="T1145" s="1" t="s">
        <v>11320</v>
      </c>
      <c r="U1145" s="1" t="s">
        <v>11263</v>
      </c>
      <c r="V1145" s="1" t="s">
        <v>11264</v>
      </c>
      <c r="W1145" s="1" t="s">
        <v>11321</v>
      </c>
    </row>
    <row r="1146" spans="1:23" ht="48" customHeight="1">
      <c r="A1146" s="1" t="s">
        <v>5504</v>
      </c>
      <c r="B1146" s="1" t="s">
        <v>6232</v>
      </c>
      <c r="C1146" s="1"/>
      <c r="D1146" s="1"/>
      <c r="E1146" s="1" t="s">
        <v>11363</v>
      </c>
      <c r="F1146" s="1" t="s">
        <v>11260</v>
      </c>
      <c r="G1146" s="1"/>
      <c r="H1146" s="1"/>
      <c r="I1146" s="1"/>
      <c r="J1146" s="1"/>
      <c r="K1146" s="1"/>
      <c r="L1146" s="1"/>
      <c r="M1146" s="1"/>
      <c r="N1146" s="1"/>
      <c r="O1146" s="1"/>
      <c r="P1146" s="1"/>
      <c r="Q1146" s="1"/>
      <c r="R1146" s="1" t="s">
        <v>11363</v>
      </c>
      <c r="S1146" s="1" t="s">
        <v>11364</v>
      </c>
      <c r="T1146" s="1" t="s">
        <v>11320</v>
      </c>
      <c r="U1146" s="1" t="s">
        <v>11263</v>
      </c>
      <c r="V1146" s="1" t="s">
        <v>11264</v>
      </c>
      <c r="W1146" s="1" t="s">
        <v>11321</v>
      </c>
    </row>
    <row r="1147" spans="1:23" ht="48" customHeight="1">
      <c r="A1147" s="1" t="s">
        <v>5504</v>
      </c>
      <c r="B1147" s="1" t="s">
        <v>6236</v>
      </c>
      <c r="C1147" s="1"/>
      <c r="D1147" s="1"/>
      <c r="E1147" s="1" t="s">
        <v>11365</v>
      </c>
      <c r="F1147" s="1" t="s">
        <v>11260</v>
      </c>
      <c r="G1147" s="1"/>
      <c r="H1147" s="1"/>
      <c r="I1147" s="1"/>
      <c r="J1147" s="1"/>
      <c r="K1147" s="1"/>
      <c r="L1147" s="1"/>
      <c r="M1147" s="1"/>
      <c r="N1147" s="1"/>
      <c r="O1147" s="1"/>
      <c r="P1147" s="1"/>
      <c r="Q1147" s="1"/>
      <c r="R1147" s="1" t="s">
        <v>11365</v>
      </c>
      <c r="S1147" s="1" t="s">
        <v>11366</v>
      </c>
      <c r="T1147" s="1" t="s">
        <v>11320</v>
      </c>
      <c r="U1147" s="1" t="s">
        <v>11263</v>
      </c>
      <c r="V1147" s="1" t="s">
        <v>11264</v>
      </c>
      <c r="W1147" s="1" t="s">
        <v>11321</v>
      </c>
    </row>
    <row r="1148" spans="1:23" ht="48" customHeight="1">
      <c r="A1148" s="1" t="s">
        <v>5504</v>
      </c>
      <c r="B1148" s="1" t="s">
        <v>6245</v>
      </c>
      <c r="C1148" s="1"/>
      <c r="D1148" s="1"/>
      <c r="E1148" s="1" t="s">
        <v>11367</v>
      </c>
      <c r="F1148" s="1" t="s">
        <v>11260</v>
      </c>
      <c r="G1148" s="1"/>
      <c r="H1148" s="1"/>
      <c r="I1148" s="1"/>
      <c r="J1148" s="1"/>
      <c r="K1148" s="1"/>
      <c r="L1148" s="1"/>
      <c r="M1148" s="1"/>
      <c r="N1148" s="1"/>
      <c r="O1148" s="1"/>
      <c r="P1148" s="1"/>
      <c r="Q1148" s="1"/>
      <c r="R1148" s="1" t="s">
        <v>11367</v>
      </c>
      <c r="S1148" s="1" t="s">
        <v>11368</v>
      </c>
      <c r="T1148" s="1" t="s">
        <v>11320</v>
      </c>
      <c r="U1148" s="1" t="s">
        <v>11263</v>
      </c>
      <c r="V1148" s="1" t="s">
        <v>11264</v>
      </c>
      <c r="W1148" s="1" t="s">
        <v>11321</v>
      </c>
    </row>
    <row r="1149" spans="1:23" ht="48" customHeight="1">
      <c r="A1149" s="1" t="s">
        <v>5504</v>
      </c>
      <c r="B1149" s="1" t="s">
        <v>6248</v>
      </c>
      <c r="C1149" s="1"/>
      <c r="D1149" s="1"/>
      <c r="E1149" s="1" t="s">
        <v>11369</v>
      </c>
      <c r="F1149" s="1" t="s">
        <v>11260</v>
      </c>
      <c r="G1149" s="1"/>
      <c r="H1149" s="1"/>
      <c r="I1149" s="1"/>
      <c r="J1149" s="1"/>
      <c r="K1149" s="1"/>
      <c r="L1149" s="1"/>
      <c r="M1149" s="1"/>
      <c r="N1149" s="1"/>
      <c r="O1149" s="1"/>
      <c r="P1149" s="1"/>
      <c r="Q1149" s="1"/>
      <c r="R1149" s="1" t="s">
        <v>11369</v>
      </c>
      <c r="S1149" s="1" t="s">
        <v>11370</v>
      </c>
      <c r="T1149" s="1" t="s">
        <v>11320</v>
      </c>
      <c r="U1149" s="1" t="s">
        <v>11263</v>
      </c>
      <c r="V1149" s="1" t="s">
        <v>11264</v>
      </c>
      <c r="W1149" s="1" t="s">
        <v>11321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3"/>
  <sheetViews>
    <sheetView showGridLines="0" workbookViewId="0"/>
  </sheetViews>
  <sheetFormatPr baseColWidth="10" defaultColWidth="8.83203125" defaultRowHeight="15"/>
  <cols>
    <col min="1" max="3" width="16" customWidth="1"/>
    <col min="4" max="4" width="34" customWidth="1"/>
  </cols>
  <sheetData>
    <row r="1" spans="1:4" ht="38" customHeight="1">
      <c r="A1" s="2" t="s">
        <v>11371</v>
      </c>
      <c r="B1" s="2" t="s">
        <v>11372</v>
      </c>
      <c r="C1" s="2" t="s">
        <v>11373</v>
      </c>
      <c r="D1" s="2" t="s">
        <v>11374</v>
      </c>
    </row>
    <row r="2" spans="1:4" ht="15" customHeight="1">
      <c r="A2" s="1">
        <v>2015</v>
      </c>
      <c r="B2" s="1">
        <f>COUNTIFS('S4a studies'!$E$2:$E$42,A2)</f>
        <v>0</v>
      </c>
      <c r="C2" s="1">
        <v>41</v>
      </c>
      <c r="D2" s="3">
        <f t="shared" ref="D2:D13" si="0">B2/C2</f>
        <v>0</v>
      </c>
    </row>
    <row r="3" spans="1:4" ht="15" customHeight="1">
      <c r="A3" s="1">
        <v>2016</v>
      </c>
      <c r="B3" s="1">
        <f>COUNTIFS('S4a studies'!$E$2:$E$42,A3)</f>
        <v>3</v>
      </c>
      <c r="C3" s="1">
        <v>41</v>
      </c>
      <c r="D3" s="3">
        <f t="shared" si="0"/>
        <v>7.3170731707317069E-2</v>
      </c>
    </row>
    <row r="4" spans="1:4" ht="15" customHeight="1">
      <c r="A4" s="1">
        <v>2017</v>
      </c>
      <c r="B4" s="1">
        <f>COUNTIFS('S4a studies'!$E$2:$E$42,A4)</f>
        <v>0</v>
      </c>
      <c r="C4" s="1">
        <v>41</v>
      </c>
      <c r="D4" s="3">
        <f t="shared" si="0"/>
        <v>0</v>
      </c>
    </row>
    <row r="5" spans="1:4" ht="15" customHeight="1">
      <c r="A5" s="1">
        <v>2018</v>
      </c>
      <c r="B5" s="1">
        <f>COUNTIFS('S4a studies'!$E$2:$E$42,A5)</f>
        <v>1</v>
      </c>
      <c r="C5" s="1">
        <v>41</v>
      </c>
      <c r="D5" s="3">
        <f t="shared" si="0"/>
        <v>2.4390243902439025E-2</v>
      </c>
    </row>
    <row r="6" spans="1:4" ht="15" customHeight="1">
      <c r="A6" s="1">
        <v>2019</v>
      </c>
      <c r="B6" s="1">
        <f>COUNTIFS('S4a studies'!$E$2:$E$42,A6)</f>
        <v>5</v>
      </c>
      <c r="C6" s="1">
        <v>41</v>
      </c>
      <c r="D6" s="3">
        <f t="shared" si="0"/>
        <v>0.12195121951219512</v>
      </c>
    </row>
    <row r="7" spans="1:4" ht="15" customHeight="1">
      <c r="A7" s="1">
        <v>2020</v>
      </c>
      <c r="B7" s="1">
        <f>COUNTIFS('S4a studies'!$E$2:$E$42,A7)</f>
        <v>5</v>
      </c>
      <c r="C7" s="1">
        <v>41</v>
      </c>
      <c r="D7" s="3">
        <f t="shared" si="0"/>
        <v>0.12195121951219512</v>
      </c>
    </row>
    <row r="8" spans="1:4" ht="15" customHeight="1">
      <c r="A8" s="1">
        <v>2021</v>
      </c>
      <c r="B8" s="1">
        <f>COUNTIFS('S4a studies'!$E$2:$E$42,A8)</f>
        <v>2</v>
      </c>
      <c r="C8" s="1">
        <v>41</v>
      </c>
      <c r="D8" s="3">
        <f t="shared" si="0"/>
        <v>4.878048780487805E-2</v>
      </c>
    </row>
    <row r="9" spans="1:4" ht="15" customHeight="1">
      <c r="A9" s="1">
        <v>2022</v>
      </c>
      <c r="B9" s="1">
        <f>COUNTIFS('S4a studies'!$E$2:$E$42,A9)</f>
        <v>6</v>
      </c>
      <c r="C9" s="1">
        <v>41</v>
      </c>
      <c r="D9" s="3">
        <f t="shared" si="0"/>
        <v>0.14634146341463414</v>
      </c>
    </row>
    <row r="10" spans="1:4" ht="15" customHeight="1">
      <c r="A10" s="1">
        <v>2023</v>
      </c>
      <c r="B10" s="1">
        <f>COUNTIFS('S4a studies'!$E$2:$E$42,A10)</f>
        <v>3</v>
      </c>
      <c r="C10" s="1">
        <v>41</v>
      </c>
      <c r="D10" s="3">
        <f t="shared" si="0"/>
        <v>7.3170731707317069E-2</v>
      </c>
    </row>
    <row r="11" spans="1:4" ht="15" customHeight="1">
      <c r="A11" s="1">
        <v>2024</v>
      </c>
      <c r="B11" s="1">
        <f>COUNTIFS('S4a studies'!$E$2:$E$42,A11)</f>
        <v>6</v>
      </c>
      <c r="C11" s="1">
        <v>41</v>
      </c>
      <c r="D11" s="3">
        <f t="shared" si="0"/>
        <v>0.14634146341463414</v>
      </c>
    </row>
    <row r="12" spans="1:4" ht="15" customHeight="1">
      <c r="A12" s="1">
        <v>2025</v>
      </c>
      <c r="B12" s="1">
        <f>COUNTIFS('S4a studies'!$E$2:$E$42,A12)</f>
        <v>3</v>
      </c>
      <c r="C12" s="1">
        <v>41</v>
      </c>
      <c r="D12" s="3">
        <f t="shared" si="0"/>
        <v>7.3170731707317069E-2</v>
      </c>
    </row>
    <row r="13" spans="1:4" ht="15" customHeight="1">
      <c r="A13" s="1">
        <v>2026</v>
      </c>
      <c r="B13" s="1">
        <f>COUNTIFS('S4a studies'!$E$2:$E$42,A13)</f>
        <v>7</v>
      </c>
      <c r="C13" s="1">
        <v>41</v>
      </c>
      <c r="D13" s="3">
        <f t="shared" si="0"/>
        <v>0.17073170731707318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E42"/>
  <sheetViews>
    <sheetView showGridLines="0" workbookViewId="0">
      <pane xSplit="1" ySplit="1" topLeftCell="B2" activePane="bottomRight" state="frozen"/>
      <selection pane="topRight"/>
      <selection pane="bottomLeft"/>
      <selection pane="bottomRight" activeCell="B2" sqref="B2"/>
    </sheetView>
  </sheetViews>
  <sheetFormatPr baseColWidth="10" defaultColWidth="8.83203125" defaultRowHeight="15"/>
  <cols>
    <col min="1" max="6" width="34" customWidth="1"/>
    <col min="7" max="7" width="58" customWidth="1"/>
    <col min="8" max="10" width="34" customWidth="1"/>
    <col min="11" max="11" width="58" customWidth="1"/>
    <col min="12" max="21" width="34" customWidth="1"/>
    <col min="22" max="23" width="58" customWidth="1"/>
    <col min="24" max="31" width="34" customWidth="1"/>
  </cols>
  <sheetData>
    <row r="1" spans="1:31" ht="38" customHeight="1">
      <c r="A1" s="2" t="s">
        <v>37</v>
      </c>
      <c r="B1" s="2" t="s">
        <v>5799</v>
      </c>
      <c r="C1" s="2" t="s">
        <v>11375</v>
      </c>
      <c r="D1" s="2" t="s">
        <v>11376</v>
      </c>
      <c r="E1" s="2" t="s">
        <v>11377</v>
      </c>
      <c r="F1" s="2" t="s">
        <v>11378</v>
      </c>
      <c r="G1" s="2" t="s">
        <v>11379</v>
      </c>
      <c r="H1" s="2" t="s">
        <v>11380</v>
      </c>
      <c r="I1" s="2" t="s">
        <v>11381</v>
      </c>
      <c r="J1" s="2" t="s">
        <v>11382</v>
      </c>
      <c r="K1" s="2" t="s">
        <v>11383</v>
      </c>
      <c r="L1" s="2" t="s">
        <v>11384</v>
      </c>
      <c r="M1" s="2" t="s">
        <v>11385</v>
      </c>
      <c r="N1" s="2" t="s">
        <v>11386</v>
      </c>
      <c r="O1" s="2" t="s">
        <v>11387</v>
      </c>
      <c r="P1" s="2" t="s">
        <v>11388</v>
      </c>
      <c r="Q1" s="2" t="s">
        <v>11389</v>
      </c>
      <c r="R1" s="2" t="s">
        <v>11390</v>
      </c>
      <c r="S1" s="2" t="s">
        <v>11391</v>
      </c>
      <c r="T1" s="2" t="s">
        <v>11392</v>
      </c>
      <c r="U1" s="2" t="s">
        <v>11393</v>
      </c>
      <c r="V1" s="2" t="s">
        <v>11394</v>
      </c>
      <c r="W1" s="2" t="s">
        <v>11395</v>
      </c>
      <c r="X1" s="2" t="s">
        <v>11396</v>
      </c>
      <c r="Y1" s="2" t="s">
        <v>11397</v>
      </c>
      <c r="Z1" s="2" t="s">
        <v>6129</v>
      </c>
      <c r="AA1" s="2" t="s">
        <v>8810</v>
      </c>
      <c r="AB1" s="2" t="s">
        <v>11398</v>
      </c>
      <c r="AC1" s="2" t="s">
        <v>8419</v>
      </c>
      <c r="AD1" s="2" t="s">
        <v>11399</v>
      </c>
      <c r="AE1" s="2" t="s">
        <v>11400</v>
      </c>
    </row>
    <row r="2" spans="1:31" ht="36" customHeight="1">
      <c r="A2" s="1" t="s">
        <v>4687</v>
      </c>
      <c r="B2" s="1" t="s">
        <v>5824</v>
      </c>
      <c r="C2" s="1" t="s">
        <v>6084</v>
      </c>
      <c r="D2" s="1" t="s">
        <v>6085</v>
      </c>
      <c r="E2" s="1" t="s">
        <v>11401</v>
      </c>
      <c r="F2" s="1" t="s">
        <v>6086</v>
      </c>
      <c r="G2" s="1" t="s">
        <v>11402</v>
      </c>
      <c r="H2" s="1" t="s">
        <v>6100</v>
      </c>
      <c r="I2" s="1" t="s">
        <v>6101</v>
      </c>
      <c r="J2" s="1" t="s">
        <v>6102</v>
      </c>
      <c r="K2" s="1" t="s">
        <v>11403</v>
      </c>
      <c r="L2" s="1" t="s">
        <v>6129</v>
      </c>
      <c r="M2" s="1" t="s">
        <v>11404</v>
      </c>
      <c r="N2" s="1" t="s">
        <v>11405</v>
      </c>
      <c r="O2" s="1" t="s">
        <v>11406</v>
      </c>
      <c r="P2" s="1" t="s">
        <v>6095</v>
      </c>
      <c r="Q2" s="1"/>
      <c r="R2" s="1"/>
      <c r="S2" s="1"/>
      <c r="T2" s="1" t="str">
        <f t="shared" ref="T2:T40" si="0">IF(AND(Q2&lt;&gt;"",R2&lt;&gt;"",S2&lt;&gt;""),"Reviewer confirmation recorded","Source checked; reviewer sign-off not recorded")</f>
        <v>Source checked; reviewer sign-off not recorded</v>
      </c>
      <c r="U2" s="1" t="s">
        <v>6121</v>
      </c>
      <c r="V2" s="1" t="s">
        <v>11407</v>
      </c>
      <c r="W2" s="1" t="s">
        <v>11408</v>
      </c>
      <c r="X2" s="1" t="s">
        <v>11409</v>
      </c>
      <c r="Y2" s="1">
        <f t="shared" ref="Y2:Y40" si="1">IF(ISNUMBER(SEARCH("Ergonomic fatigue prediction (model-derived)",L2)),1,0)</f>
        <v>0</v>
      </c>
      <c r="Z2" s="1">
        <f t="shared" ref="Z2:Z40" si="2">IF(ISNUMBER(SEARCH("Movement/posture/gait monitoring",L2)),1,0)</f>
        <v>1</v>
      </c>
      <c r="AA2" s="1">
        <f t="shared" ref="AA2:AA40" si="3">IF(ISNUMBER(SEARCH("Muscle contraction/force monitoring",L2)),1,0)</f>
        <v>0</v>
      </c>
      <c r="AB2" s="1">
        <f t="shared" ref="AB2:AB40" si="4">IF(ISNUMBER(SEARCH("Pulse/heartbeat",L2)),1,0)</f>
        <v>0</v>
      </c>
      <c r="AC2" s="1">
        <f t="shared" ref="AC2:AC40" si="5">IF(ISNUMBER(SEARCH("Respiration",L2)),1,0)</f>
        <v>0</v>
      </c>
      <c r="AD2" s="1">
        <f t="shared" ref="AD2:AD40" si="6">IF(ISNUMBER(SEARCH("Robotic-hand/HMI interaction",L2)),1,0)</f>
        <v>0</v>
      </c>
      <c r="AE2" s="1">
        <f t="shared" ref="AE2:AE40" si="7">IF(ISNUMBER(SEARCH("Speech/swallowing/facial motion",L2)),1,0)</f>
        <v>0</v>
      </c>
    </row>
    <row r="3" spans="1:31" ht="36" customHeight="1">
      <c r="A3" s="1" t="s">
        <v>4701</v>
      </c>
      <c r="B3" s="1" t="s">
        <v>5831</v>
      </c>
      <c r="C3" s="1" t="s">
        <v>6251</v>
      </c>
      <c r="D3" s="1" t="s">
        <v>6252</v>
      </c>
      <c r="E3" s="1" t="s">
        <v>11401</v>
      </c>
      <c r="F3" s="1" t="s">
        <v>6086</v>
      </c>
      <c r="G3" s="1" t="s">
        <v>11410</v>
      </c>
      <c r="H3" s="1" t="s">
        <v>6260</v>
      </c>
      <c r="I3" s="1" t="s">
        <v>6102</v>
      </c>
      <c r="J3" s="1" t="s">
        <v>6102</v>
      </c>
      <c r="K3" s="1" t="s">
        <v>11411</v>
      </c>
      <c r="L3" s="1" t="s">
        <v>6281</v>
      </c>
      <c r="M3" s="1" t="s">
        <v>11404</v>
      </c>
      <c r="N3" s="1" t="s">
        <v>11405</v>
      </c>
      <c r="O3" s="1" t="s">
        <v>11406</v>
      </c>
      <c r="P3" s="1" t="s">
        <v>6258</v>
      </c>
      <c r="Q3" s="1"/>
      <c r="R3" s="1"/>
      <c r="S3" s="1"/>
      <c r="T3" s="1" t="str">
        <f t="shared" si="0"/>
        <v>Source checked; reviewer sign-off not recorded</v>
      </c>
      <c r="U3" s="1" t="s">
        <v>6274</v>
      </c>
      <c r="V3" s="1" t="s">
        <v>11412</v>
      </c>
      <c r="W3" s="1" t="s">
        <v>11413</v>
      </c>
      <c r="X3" s="1" t="s">
        <v>11409</v>
      </c>
      <c r="Y3" s="1">
        <f t="shared" si="1"/>
        <v>0</v>
      </c>
      <c r="Z3" s="1">
        <f t="shared" si="2"/>
        <v>1</v>
      </c>
      <c r="AA3" s="1">
        <f t="shared" si="3"/>
        <v>0</v>
      </c>
      <c r="AB3" s="1">
        <f t="shared" si="4"/>
        <v>1</v>
      </c>
      <c r="AC3" s="1">
        <f t="shared" si="5"/>
        <v>1</v>
      </c>
      <c r="AD3" s="1">
        <f t="shared" si="6"/>
        <v>0</v>
      </c>
      <c r="AE3" s="1">
        <f t="shared" si="7"/>
        <v>0</v>
      </c>
    </row>
    <row r="4" spans="1:31" ht="36" customHeight="1">
      <c r="A4" s="1" t="s">
        <v>4725</v>
      </c>
      <c r="B4" s="1" t="s">
        <v>5836</v>
      </c>
      <c r="C4" s="1" t="s">
        <v>6400</v>
      </c>
      <c r="D4" s="1" t="s">
        <v>6401</v>
      </c>
      <c r="E4" s="1" t="s">
        <v>11414</v>
      </c>
      <c r="F4" s="1" t="s">
        <v>6402</v>
      </c>
      <c r="G4" s="1" t="s">
        <v>11415</v>
      </c>
      <c r="H4" s="1" t="s">
        <v>6409</v>
      </c>
      <c r="I4" s="1" t="s">
        <v>6102</v>
      </c>
      <c r="J4" s="1" t="s">
        <v>6102</v>
      </c>
      <c r="K4" s="1" t="s">
        <v>11416</v>
      </c>
      <c r="L4" s="1" t="s">
        <v>6431</v>
      </c>
      <c r="M4" s="1" t="s">
        <v>11404</v>
      </c>
      <c r="N4" s="1" t="s">
        <v>11405</v>
      </c>
      <c r="O4" s="1" t="s">
        <v>11406</v>
      </c>
      <c r="P4" s="1" t="s">
        <v>6407</v>
      </c>
      <c r="Q4" s="1"/>
      <c r="R4" s="1"/>
      <c r="S4" s="1"/>
      <c r="T4" s="1" t="str">
        <f t="shared" si="0"/>
        <v>Source checked; reviewer sign-off not recorded</v>
      </c>
      <c r="U4" s="1" t="s">
        <v>6424</v>
      </c>
      <c r="V4" s="1" t="s">
        <v>11417</v>
      </c>
      <c r="W4" s="1" t="s">
        <v>11418</v>
      </c>
      <c r="X4" s="1" t="s">
        <v>11409</v>
      </c>
      <c r="Y4" s="1">
        <f t="shared" si="1"/>
        <v>0</v>
      </c>
      <c r="Z4" s="1">
        <f t="shared" si="2"/>
        <v>1</v>
      </c>
      <c r="AA4" s="1">
        <f t="shared" si="3"/>
        <v>0</v>
      </c>
      <c r="AB4" s="1">
        <f t="shared" si="4"/>
        <v>1</v>
      </c>
      <c r="AC4" s="1">
        <f t="shared" si="5"/>
        <v>0</v>
      </c>
      <c r="AD4" s="1">
        <f t="shared" si="6"/>
        <v>0</v>
      </c>
      <c r="AE4" s="1">
        <f t="shared" si="7"/>
        <v>1</v>
      </c>
    </row>
    <row r="5" spans="1:31" ht="36" customHeight="1">
      <c r="A5" s="1" t="s">
        <v>4762</v>
      </c>
      <c r="B5" s="1" t="s">
        <v>5843</v>
      </c>
      <c r="C5" s="1" t="s">
        <v>6539</v>
      </c>
      <c r="D5" s="1" t="s">
        <v>6540</v>
      </c>
      <c r="E5" s="1" t="s">
        <v>11401</v>
      </c>
      <c r="F5" s="1" t="s">
        <v>6086</v>
      </c>
      <c r="G5" s="1" t="s">
        <v>11419</v>
      </c>
      <c r="H5" s="1" t="s">
        <v>6549</v>
      </c>
      <c r="I5" s="1" t="s">
        <v>6102</v>
      </c>
      <c r="J5" s="1" t="s">
        <v>6102</v>
      </c>
      <c r="K5" s="1" t="s">
        <v>11420</v>
      </c>
      <c r="L5" s="1" t="s">
        <v>6129</v>
      </c>
      <c r="M5" s="1" t="s">
        <v>11404</v>
      </c>
      <c r="N5" s="1" t="s">
        <v>11405</v>
      </c>
      <c r="O5" s="1" t="s">
        <v>11406</v>
      </c>
      <c r="P5" s="1" t="s">
        <v>6547</v>
      </c>
      <c r="Q5" s="1"/>
      <c r="R5" s="1"/>
      <c r="S5" s="1"/>
      <c r="T5" s="1" t="str">
        <f t="shared" si="0"/>
        <v>Source checked; reviewer sign-off not recorded</v>
      </c>
      <c r="U5" s="1" t="s">
        <v>6565</v>
      </c>
      <c r="V5" s="1" t="s">
        <v>11421</v>
      </c>
      <c r="W5" s="1" t="s">
        <v>11422</v>
      </c>
      <c r="X5" s="1" t="s">
        <v>11409</v>
      </c>
      <c r="Y5" s="1">
        <f t="shared" si="1"/>
        <v>0</v>
      </c>
      <c r="Z5" s="1">
        <f t="shared" si="2"/>
        <v>1</v>
      </c>
      <c r="AA5" s="1">
        <f t="shared" si="3"/>
        <v>0</v>
      </c>
      <c r="AB5" s="1">
        <f t="shared" si="4"/>
        <v>0</v>
      </c>
      <c r="AC5" s="1">
        <f t="shared" si="5"/>
        <v>0</v>
      </c>
      <c r="AD5" s="1">
        <f t="shared" si="6"/>
        <v>0</v>
      </c>
      <c r="AE5" s="1">
        <f t="shared" si="7"/>
        <v>0</v>
      </c>
    </row>
    <row r="6" spans="1:31" ht="48" customHeight="1">
      <c r="A6" s="1" t="s">
        <v>5845</v>
      </c>
      <c r="B6" s="1" t="s">
        <v>5850</v>
      </c>
      <c r="C6" s="1" t="s">
        <v>6641</v>
      </c>
      <c r="D6" s="1" t="s">
        <v>6642</v>
      </c>
      <c r="E6" s="1" t="s">
        <v>11423</v>
      </c>
      <c r="F6" s="1" t="s">
        <v>6643</v>
      </c>
      <c r="G6" s="1" t="s">
        <v>11424</v>
      </c>
      <c r="H6" s="1" t="s">
        <v>6651</v>
      </c>
      <c r="I6" s="1" t="s">
        <v>6652</v>
      </c>
      <c r="J6" s="1" t="s">
        <v>6102</v>
      </c>
      <c r="K6" s="1" t="s">
        <v>11425</v>
      </c>
      <c r="L6" s="1" t="s">
        <v>6129</v>
      </c>
      <c r="M6" s="1" t="s">
        <v>11404</v>
      </c>
      <c r="N6" s="1" t="s">
        <v>11405</v>
      </c>
      <c r="O6" s="1" t="s">
        <v>11406</v>
      </c>
      <c r="P6" s="1" t="s">
        <v>6649</v>
      </c>
      <c r="Q6" s="1"/>
      <c r="R6" s="1"/>
      <c r="S6" s="1"/>
      <c r="T6" s="1" t="str">
        <f t="shared" si="0"/>
        <v>Source checked; reviewer sign-off not recorded</v>
      </c>
      <c r="U6" s="1" t="s">
        <v>6667</v>
      </c>
      <c r="V6" s="1" t="s">
        <v>11426</v>
      </c>
      <c r="W6" s="1" t="s">
        <v>11427</v>
      </c>
      <c r="X6" s="1" t="s">
        <v>11409</v>
      </c>
      <c r="Y6" s="1">
        <f t="shared" si="1"/>
        <v>0</v>
      </c>
      <c r="Z6" s="1">
        <f t="shared" si="2"/>
        <v>1</v>
      </c>
      <c r="AA6" s="1">
        <f t="shared" si="3"/>
        <v>0</v>
      </c>
      <c r="AB6" s="1">
        <f t="shared" si="4"/>
        <v>0</v>
      </c>
      <c r="AC6" s="1">
        <f t="shared" si="5"/>
        <v>0</v>
      </c>
      <c r="AD6" s="1">
        <f t="shared" si="6"/>
        <v>0</v>
      </c>
      <c r="AE6" s="1">
        <f t="shared" si="7"/>
        <v>0</v>
      </c>
    </row>
    <row r="7" spans="1:31" ht="48" customHeight="1">
      <c r="A7" s="1" t="s">
        <v>4771</v>
      </c>
      <c r="B7" s="1" t="s">
        <v>5856</v>
      </c>
      <c r="C7" s="1" t="s">
        <v>6769</v>
      </c>
      <c r="D7" s="1" t="s">
        <v>6770</v>
      </c>
      <c r="E7" s="1" t="s">
        <v>11428</v>
      </c>
      <c r="F7" s="1" t="s">
        <v>6771</v>
      </c>
      <c r="G7" s="1" t="s">
        <v>11429</v>
      </c>
      <c r="H7" s="1" t="s">
        <v>6781</v>
      </c>
      <c r="I7" s="1" t="s">
        <v>6102</v>
      </c>
      <c r="J7" s="1" t="s">
        <v>6102</v>
      </c>
      <c r="K7" s="1" t="s">
        <v>11430</v>
      </c>
      <c r="L7" s="1" t="s">
        <v>6802</v>
      </c>
      <c r="M7" s="1" t="s">
        <v>11404</v>
      </c>
      <c r="N7" s="1" t="s">
        <v>10627</v>
      </c>
      <c r="O7" s="1" t="s">
        <v>11406</v>
      </c>
      <c r="P7" s="1" t="s">
        <v>6779</v>
      </c>
      <c r="Q7" s="1"/>
      <c r="R7" s="1"/>
      <c r="S7" s="1"/>
      <c r="T7" s="1" t="str">
        <f t="shared" si="0"/>
        <v>Source checked; reviewer sign-off not recorded</v>
      </c>
      <c r="U7" s="1" t="s">
        <v>6795</v>
      </c>
      <c r="V7" s="1" t="s">
        <v>11431</v>
      </c>
      <c r="W7" s="1" t="s">
        <v>11432</v>
      </c>
      <c r="X7" s="1" t="s">
        <v>11433</v>
      </c>
      <c r="Y7" s="1">
        <f t="shared" si="1"/>
        <v>0</v>
      </c>
      <c r="Z7" s="1">
        <f t="shared" si="2"/>
        <v>1</v>
      </c>
      <c r="AA7" s="1">
        <f t="shared" si="3"/>
        <v>0</v>
      </c>
      <c r="AB7" s="1">
        <f t="shared" si="4"/>
        <v>0</v>
      </c>
      <c r="AC7" s="1">
        <f t="shared" si="5"/>
        <v>1</v>
      </c>
      <c r="AD7" s="1">
        <f t="shared" si="6"/>
        <v>0</v>
      </c>
      <c r="AE7" s="1">
        <f t="shared" si="7"/>
        <v>0</v>
      </c>
    </row>
    <row r="8" spans="1:31" ht="48" customHeight="1">
      <c r="A8" s="1" t="s">
        <v>4786</v>
      </c>
      <c r="B8" s="1" t="s">
        <v>5863</v>
      </c>
      <c r="C8" s="1" t="s">
        <v>6910</v>
      </c>
      <c r="D8" s="1" t="s">
        <v>6911</v>
      </c>
      <c r="E8" s="1" t="s">
        <v>11423</v>
      </c>
      <c r="F8" s="1" t="s">
        <v>6643</v>
      </c>
      <c r="G8" s="1" t="s">
        <v>11434</v>
      </c>
      <c r="H8" s="1" t="s">
        <v>6919</v>
      </c>
      <c r="I8" s="1" t="s">
        <v>6101</v>
      </c>
      <c r="J8" s="1" t="s">
        <v>6102</v>
      </c>
      <c r="K8" s="1" t="s">
        <v>11435</v>
      </c>
      <c r="L8" s="1" t="s">
        <v>6281</v>
      </c>
      <c r="M8" s="1" t="s">
        <v>11404</v>
      </c>
      <c r="N8" s="1" t="s">
        <v>11405</v>
      </c>
      <c r="O8" s="1" t="s">
        <v>11406</v>
      </c>
      <c r="P8" s="1" t="s">
        <v>6917</v>
      </c>
      <c r="Q8" s="1"/>
      <c r="R8" s="1"/>
      <c r="S8" s="1"/>
      <c r="T8" s="1" t="str">
        <f t="shared" si="0"/>
        <v>Source checked; reviewer sign-off not recorded</v>
      </c>
      <c r="U8" s="1" t="s">
        <v>6932</v>
      </c>
      <c r="V8" s="1" t="s">
        <v>11436</v>
      </c>
      <c r="W8" s="1" t="s">
        <v>11437</v>
      </c>
      <c r="X8" s="1" t="s">
        <v>11409</v>
      </c>
      <c r="Y8" s="1">
        <f t="shared" si="1"/>
        <v>0</v>
      </c>
      <c r="Z8" s="1">
        <f t="shared" si="2"/>
        <v>1</v>
      </c>
      <c r="AA8" s="1">
        <f t="shared" si="3"/>
        <v>0</v>
      </c>
      <c r="AB8" s="1">
        <f t="shared" si="4"/>
        <v>1</v>
      </c>
      <c r="AC8" s="1">
        <f t="shared" si="5"/>
        <v>1</v>
      </c>
      <c r="AD8" s="1">
        <f t="shared" si="6"/>
        <v>0</v>
      </c>
      <c r="AE8" s="1">
        <f t="shared" si="7"/>
        <v>0</v>
      </c>
    </row>
    <row r="9" spans="1:31" ht="48" customHeight="1">
      <c r="A9" s="1" t="s">
        <v>4825</v>
      </c>
      <c r="B9" s="1" t="s">
        <v>5869</v>
      </c>
      <c r="C9" s="1" t="s">
        <v>7049</v>
      </c>
      <c r="D9" s="1" t="s">
        <v>7050</v>
      </c>
      <c r="E9" s="1" t="s">
        <v>11414</v>
      </c>
      <c r="F9" s="1" t="s">
        <v>6402</v>
      </c>
      <c r="G9" s="1" t="s">
        <v>11438</v>
      </c>
      <c r="H9" s="1" t="s">
        <v>7058</v>
      </c>
      <c r="I9" s="1" t="s">
        <v>7059</v>
      </c>
      <c r="J9" s="1" t="s">
        <v>7060</v>
      </c>
      <c r="K9" s="1" t="s">
        <v>11439</v>
      </c>
      <c r="L9" s="1" t="s">
        <v>6129</v>
      </c>
      <c r="M9" s="1" t="s">
        <v>11404</v>
      </c>
      <c r="N9" s="1" t="s">
        <v>11405</v>
      </c>
      <c r="O9" s="1" t="s">
        <v>11406</v>
      </c>
      <c r="P9" s="1" t="s">
        <v>7056</v>
      </c>
      <c r="Q9" s="1"/>
      <c r="R9" s="1"/>
      <c r="S9" s="1"/>
      <c r="T9" s="1" t="str">
        <f t="shared" si="0"/>
        <v>Source checked; reviewer sign-off not recorded</v>
      </c>
      <c r="U9" s="1" t="s">
        <v>7075</v>
      </c>
      <c r="V9" s="1" t="s">
        <v>11440</v>
      </c>
      <c r="W9" s="1" t="s">
        <v>11441</v>
      </c>
      <c r="X9" s="1" t="s">
        <v>11409</v>
      </c>
      <c r="Y9" s="1">
        <f t="shared" si="1"/>
        <v>0</v>
      </c>
      <c r="Z9" s="1">
        <f t="shared" si="2"/>
        <v>1</v>
      </c>
      <c r="AA9" s="1">
        <f t="shared" si="3"/>
        <v>0</v>
      </c>
      <c r="AB9" s="1">
        <f t="shared" si="4"/>
        <v>0</v>
      </c>
      <c r="AC9" s="1">
        <f t="shared" si="5"/>
        <v>0</v>
      </c>
      <c r="AD9" s="1">
        <f t="shared" si="6"/>
        <v>0</v>
      </c>
      <c r="AE9" s="1">
        <f t="shared" si="7"/>
        <v>0</v>
      </c>
    </row>
    <row r="10" spans="1:31" ht="36" customHeight="1">
      <c r="A10" s="1" t="s">
        <v>4833</v>
      </c>
      <c r="B10" s="1" t="s">
        <v>5874</v>
      </c>
      <c r="C10" s="1" t="s">
        <v>7184</v>
      </c>
      <c r="D10" s="1" t="s">
        <v>7185</v>
      </c>
      <c r="E10" s="1" t="s">
        <v>11442</v>
      </c>
      <c r="F10" s="1" t="s">
        <v>7186</v>
      </c>
      <c r="G10" s="1" t="s">
        <v>11443</v>
      </c>
      <c r="H10" s="1" t="s">
        <v>7194</v>
      </c>
      <c r="I10" s="1" t="s">
        <v>7195</v>
      </c>
      <c r="J10" s="1" t="s">
        <v>6102</v>
      </c>
      <c r="K10" s="1" t="s">
        <v>11444</v>
      </c>
      <c r="L10" s="1" t="s">
        <v>7217</v>
      </c>
      <c r="M10" s="1" t="s">
        <v>11404</v>
      </c>
      <c r="N10" s="1" t="s">
        <v>11405</v>
      </c>
      <c r="O10" s="1" t="s">
        <v>11406</v>
      </c>
      <c r="P10" s="1" t="s">
        <v>7192</v>
      </c>
      <c r="Q10" s="1"/>
      <c r="R10" s="1"/>
      <c r="S10" s="1"/>
      <c r="T10" s="1" t="str">
        <f t="shared" si="0"/>
        <v>Source checked; reviewer sign-off not recorded</v>
      </c>
      <c r="U10" s="1" t="s">
        <v>7210</v>
      </c>
      <c r="V10" s="1" t="s">
        <v>11445</v>
      </c>
      <c r="W10" s="1" t="s">
        <v>11446</v>
      </c>
      <c r="X10" s="1" t="s">
        <v>11409</v>
      </c>
      <c r="Y10" s="1">
        <f t="shared" si="1"/>
        <v>0</v>
      </c>
      <c r="Z10" s="1">
        <f t="shared" si="2"/>
        <v>1</v>
      </c>
      <c r="AA10" s="1">
        <f t="shared" si="3"/>
        <v>0</v>
      </c>
      <c r="AB10" s="1">
        <f t="shared" si="4"/>
        <v>1</v>
      </c>
      <c r="AC10" s="1">
        <f t="shared" si="5"/>
        <v>1</v>
      </c>
      <c r="AD10" s="1">
        <f t="shared" si="6"/>
        <v>0</v>
      </c>
      <c r="AE10" s="1">
        <f t="shared" si="7"/>
        <v>1</v>
      </c>
    </row>
    <row r="11" spans="1:31" ht="48" customHeight="1">
      <c r="A11" s="1" t="s">
        <v>4868</v>
      </c>
      <c r="B11" s="1" t="s">
        <v>5880</v>
      </c>
      <c r="C11" s="1" t="s">
        <v>7325</v>
      </c>
      <c r="D11" s="1" t="s">
        <v>7326</v>
      </c>
      <c r="E11" s="1" t="s">
        <v>11447</v>
      </c>
      <c r="F11" s="1" t="s">
        <v>7327</v>
      </c>
      <c r="G11" s="1" t="s">
        <v>11448</v>
      </c>
      <c r="H11" s="1" t="s">
        <v>7335</v>
      </c>
      <c r="I11" s="1" t="s">
        <v>6102</v>
      </c>
      <c r="J11" s="1" t="s">
        <v>6102</v>
      </c>
      <c r="K11" s="1" t="s">
        <v>11449</v>
      </c>
      <c r="L11" s="1" t="s">
        <v>7357</v>
      </c>
      <c r="M11" s="1" t="s">
        <v>11404</v>
      </c>
      <c r="N11" s="1" t="s">
        <v>11405</v>
      </c>
      <c r="O11" s="1" t="s">
        <v>11406</v>
      </c>
      <c r="P11" s="1" t="s">
        <v>7333</v>
      </c>
      <c r="Q11" s="1"/>
      <c r="R11" s="1"/>
      <c r="S11" s="1"/>
      <c r="T11" s="1" t="str">
        <f t="shared" si="0"/>
        <v>Source checked; reviewer sign-off not recorded</v>
      </c>
      <c r="U11" s="1" t="s">
        <v>7350</v>
      </c>
      <c r="V11" s="1" t="s">
        <v>11450</v>
      </c>
      <c r="W11" s="1" t="s">
        <v>11451</v>
      </c>
      <c r="X11" s="1" t="s">
        <v>11409</v>
      </c>
      <c r="Y11" s="1">
        <f t="shared" si="1"/>
        <v>0</v>
      </c>
      <c r="Z11" s="1">
        <f t="shared" si="2"/>
        <v>1</v>
      </c>
      <c r="AA11" s="1">
        <f t="shared" si="3"/>
        <v>0</v>
      </c>
      <c r="AB11" s="1">
        <f t="shared" si="4"/>
        <v>0</v>
      </c>
      <c r="AC11" s="1">
        <f t="shared" si="5"/>
        <v>1</v>
      </c>
      <c r="AD11" s="1">
        <f t="shared" si="6"/>
        <v>0</v>
      </c>
      <c r="AE11" s="1">
        <f t="shared" si="7"/>
        <v>1</v>
      </c>
    </row>
    <row r="12" spans="1:31" ht="48" customHeight="1">
      <c r="A12" s="1" t="s">
        <v>4918</v>
      </c>
      <c r="B12" s="1" t="s">
        <v>5886</v>
      </c>
      <c r="C12" s="1" t="s">
        <v>7478</v>
      </c>
      <c r="D12" s="1" t="s">
        <v>7479</v>
      </c>
      <c r="E12" s="1" t="s">
        <v>11414</v>
      </c>
      <c r="F12" s="1" t="s">
        <v>6402</v>
      </c>
      <c r="G12" s="1" t="s">
        <v>11452</v>
      </c>
      <c r="H12" s="1" t="s">
        <v>7487</v>
      </c>
      <c r="I12" s="1" t="s">
        <v>6102</v>
      </c>
      <c r="J12" s="1" t="s">
        <v>6102</v>
      </c>
      <c r="K12" s="1" t="s">
        <v>11453</v>
      </c>
      <c r="L12" s="1" t="s">
        <v>6129</v>
      </c>
      <c r="M12" s="1" t="s">
        <v>11404</v>
      </c>
      <c r="N12" s="1" t="s">
        <v>11405</v>
      </c>
      <c r="O12" s="1" t="s">
        <v>11406</v>
      </c>
      <c r="P12" s="1" t="s">
        <v>7485</v>
      </c>
      <c r="Q12" s="1"/>
      <c r="R12" s="1"/>
      <c r="S12" s="1"/>
      <c r="T12" s="1" t="str">
        <f t="shared" si="0"/>
        <v>Source checked; reviewer sign-off not recorded</v>
      </c>
      <c r="U12" s="1" t="s">
        <v>7502</v>
      </c>
      <c r="V12" s="1" t="s">
        <v>11454</v>
      </c>
      <c r="W12" s="1" t="s">
        <v>11455</v>
      </c>
      <c r="X12" s="1" t="s">
        <v>11409</v>
      </c>
      <c r="Y12" s="1">
        <f t="shared" si="1"/>
        <v>0</v>
      </c>
      <c r="Z12" s="1">
        <f t="shared" si="2"/>
        <v>1</v>
      </c>
      <c r="AA12" s="1">
        <f t="shared" si="3"/>
        <v>0</v>
      </c>
      <c r="AB12" s="1">
        <f t="shared" si="4"/>
        <v>0</v>
      </c>
      <c r="AC12" s="1">
        <f t="shared" si="5"/>
        <v>0</v>
      </c>
      <c r="AD12" s="1">
        <f t="shared" si="6"/>
        <v>0</v>
      </c>
      <c r="AE12" s="1">
        <f t="shared" si="7"/>
        <v>0</v>
      </c>
    </row>
    <row r="13" spans="1:31" ht="48" customHeight="1">
      <c r="A13" s="1" t="s">
        <v>4925</v>
      </c>
      <c r="B13" s="1" t="s">
        <v>5892</v>
      </c>
      <c r="C13" s="1" t="s">
        <v>7621</v>
      </c>
      <c r="D13" s="1" t="s">
        <v>7622</v>
      </c>
      <c r="E13" s="1" t="s">
        <v>11447</v>
      </c>
      <c r="F13" s="1" t="s">
        <v>7327</v>
      </c>
      <c r="G13" s="1" t="s">
        <v>11456</v>
      </c>
      <c r="H13" s="1" t="s">
        <v>7630</v>
      </c>
      <c r="I13" s="1" t="s">
        <v>7631</v>
      </c>
      <c r="J13" s="1" t="s">
        <v>6102</v>
      </c>
      <c r="K13" s="1" t="s">
        <v>11457</v>
      </c>
      <c r="L13" s="1" t="s">
        <v>6129</v>
      </c>
      <c r="M13" s="1" t="s">
        <v>11404</v>
      </c>
      <c r="N13" s="1" t="s">
        <v>11405</v>
      </c>
      <c r="O13" s="1" t="s">
        <v>11406</v>
      </c>
      <c r="P13" s="1" t="s">
        <v>7628</v>
      </c>
      <c r="Q13" s="1"/>
      <c r="R13" s="1"/>
      <c r="S13" s="1"/>
      <c r="T13" s="1" t="str">
        <f t="shared" si="0"/>
        <v>Source checked; reviewer sign-off not recorded</v>
      </c>
      <c r="U13" s="1" t="s">
        <v>7645</v>
      </c>
      <c r="V13" s="1" t="s">
        <v>11458</v>
      </c>
      <c r="W13" s="1" t="s">
        <v>11459</v>
      </c>
      <c r="X13" s="1" t="s">
        <v>11409</v>
      </c>
      <c r="Y13" s="1">
        <f t="shared" si="1"/>
        <v>0</v>
      </c>
      <c r="Z13" s="1">
        <f t="shared" si="2"/>
        <v>1</v>
      </c>
      <c r="AA13" s="1">
        <f t="shared" si="3"/>
        <v>0</v>
      </c>
      <c r="AB13" s="1">
        <f t="shared" si="4"/>
        <v>0</v>
      </c>
      <c r="AC13" s="1">
        <f t="shared" si="5"/>
        <v>0</v>
      </c>
      <c r="AD13" s="1">
        <f t="shared" si="6"/>
        <v>0</v>
      </c>
      <c r="AE13" s="1">
        <f t="shared" si="7"/>
        <v>0</v>
      </c>
    </row>
    <row r="14" spans="1:31" ht="48" customHeight="1">
      <c r="A14" s="1" t="s">
        <v>4941</v>
      </c>
      <c r="B14" s="1" t="s">
        <v>5898</v>
      </c>
      <c r="C14" s="1" t="s">
        <v>7751</v>
      </c>
      <c r="D14" s="1" t="s">
        <v>7752</v>
      </c>
      <c r="E14" s="1" t="s">
        <v>11401</v>
      </c>
      <c r="F14" s="1" t="s">
        <v>6086</v>
      </c>
      <c r="G14" s="1" t="s">
        <v>11460</v>
      </c>
      <c r="H14" s="1" t="s">
        <v>7759</v>
      </c>
      <c r="I14" s="1" t="s">
        <v>6102</v>
      </c>
      <c r="J14" s="1" t="s">
        <v>6102</v>
      </c>
      <c r="K14" s="1" t="s">
        <v>11461</v>
      </c>
      <c r="L14" s="1" t="s">
        <v>6129</v>
      </c>
      <c r="M14" s="1" t="s">
        <v>11404</v>
      </c>
      <c r="N14" s="1" t="s">
        <v>11405</v>
      </c>
      <c r="O14" s="1" t="s">
        <v>11406</v>
      </c>
      <c r="P14" s="1" t="s">
        <v>7757</v>
      </c>
      <c r="Q14" s="1"/>
      <c r="R14" s="1"/>
      <c r="S14" s="1"/>
      <c r="T14" s="1" t="str">
        <f t="shared" si="0"/>
        <v>Source checked; reviewer sign-off not recorded</v>
      </c>
      <c r="U14" s="1" t="s">
        <v>7774</v>
      </c>
      <c r="V14" s="1" t="s">
        <v>11462</v>
      </c>
      <c r="W14" s="1" t="s">
        <v>11463</v>
      </c>
      <c r="X14" s="1" t="s">
        <v>11409</v>
      </c>
      <c r="Y14" s="1">
        <f t="shared" si="1"/>
        <v>0</v>
      </c>
      <c r="Z14" s="1">
        <f t="shared" si="2"/>
        <v>1</v>
      </c>
      <c r="AA14" s="1">
        <f t="shared" si="3"/>
        <v>0</v>
      </c>
      <c r="AB14" s="1">
        <f t="shared" si="4"/>
        <v>0</v>
      </c>
      <c r="AC14" s="1">
        <f t="shared" si="5"/>
        <v>0</v>
      </c>
      <c r="AD14" s="1">
        <f t="shared" si="6"/>
        <v>0</v>
      </c>
      <c r="AE14" s="1">
        <f t="shared" si="7"/>
        <v>0</v>
      </c>
    </row>
    <row r="15" spans="1:31" ht="36" customHeight="1">
      <c r="A15" s="1" t="s">
        <v>4950</v>
      </c>
      <c r="B15" s="1" t="s">
        <v>5903</v>
      </c>
      <c r="C15" s="1" t="s">
        <v>7887</v>
      </c>
      <c r="D15" s="1" t="s">
        <v>7888</v>
      </c>
      <c r="E15" s="1" t="s">
        <v>11401</v>
      </c>
      <c r="F15" s="1" t="s">
        <v>6086</v>
      </c>
      <c r="G15" s="1" t="s">
        <v>11464</v>
      </c>
      <c r="H15" s="1" t="s">
        <v>7895</v>
      </c>
      <c r="I15" s="1" t="s">
        <v>6102</v>
      </c>
      <c r="J15" s="1" t="s">
        <v>6102</v>
      </c>
      <c r="K15" s="1" t="s">
        <v>11465</v>
      </c>
      <c r="L15" s="1" t="s">
        <v>7217</v>
      </c>
      <c r="M15" s="1" t="s">
        <v>11404</v>
      </c>
      <c r="N15" s="1" t="s">
        <v>11405</v>
      </c>
      <c r="O15" s="1" t="s">
        <v>11406</v>
      </c>
      <c r="P15" s="1" t="s">
        <v>7893</v>
      </c>
      <c r="Q15" s="1"/>
      <c r="R15" s="1"/>
      <c r="S15" s="1"/>
      <c r="T15" s="1" t="str">
        <f t="shared" si="0"/>
        <v>Source checked; reviewer sign-off not recorded</v>
      </c>
      <c r="U15" s="1" t="s">
        <v>7910</v>
      </c>
      <c r="V15" s="1" t="s">
        <v>11466</v>
      </c>
      <c r="W15" s="1" t="s">
        <v>11467</v>
      </c>
      <c r="X15" s="1" t="s">
        <v>11409</v>
      </c>
      <c r="Y15" s="1">
        <f t="shared" si="1"/>
        <v>0</v>
      </c>
      <c r="Z15" s="1">
        <f t="shared" si="2"/>
        <v>1</v>
      </c>
      <c r="AA15" s="1">
        <f t="shared" si="3"/>
        <v>0</v>
      </c>
      <c r="AB15" s="1">
        <f t="shared" si="4"/>
        <v>1</v>
      </c>
      <c r="AC15" s="1">
        <f t="shared" si="5"/>
        <v>1</v>
      </c>
      <c r="AD15" s="1">
        <f t="shared" si="6"/>
        <v>0</v>
      </c>
      <c r="AE15" s="1">
        <f t="shared" si="7"/>
        <v>1</v>
      </c>
    </row>
    <row r="16" spans="1:31" ht="48" customHeight="1">
      <c r="A16" s="1" t="s">
        <v>4973</v>
      </c>
      <c r="B16" s="1" t="s">
        <v>5909</v>
      </c>
      <c r="C16" s="1" t="s">
        <v>8021</v>
      </c>
      <c r="D16" s="1" t="s">
        <v>8022</v>
      </c>
      <c r="E16" s="1" t="s">
        <v>11428</v>
      </c>
      <c r="F16" s="1" t="s">
        <v>6771</v>
      </c>
      <c r="G16" s="1" t="s">
        <v>11468</v>
      </c>
      <c r="H16" s="1" t="s">
        <v>7895</v>
      </c>
      <c r="I16" s="1" t="s">
        <v>6102</v>
      </c>
      <c r="J16" s="1" t="s">
        <v>6102</v>
      </c>
      <c r="K16" s="1" t="s">
        <v>11469</v>
      </c>
      <c r="L16" s="1" t="s">
        <v>8054</v>
      </c>
      <c r="M16" s="1" t="s">
        <v>11404</v>
      </c>
      <c r="N16" s="1" t="s">
        <v>11470</v>
      </c>
      <c r="O16" s="1" t="s">
        <v>11406</v>
      </c>
      <c r="P16" s="1" t="s">
        <v>8031</v>
      </c>
      <c r="Q16" s="1"/>
      <c r="R16" s="1"/>
      <c r="S16" s="1"/>
      <c r="T16" s="1" t="str">
        <f t="shared" si="0"/>
        <v>Source checked; reviewer sign-off not recorded</v>
      </c>
      <c r="U16" s="1" t="s">
        <v>8047</v>
      </c>
      <c r="V16" s="1" t="s">
        <v>11471</v>
      </c>
      <c r="W16" s="1" t="s">
        <v>11472</v>
      </c>
      <c r="X16" s="1" t="s">
        <v>11473</v>
      </c>
      <c r="Y16" s="1">
        <f t="shared" si="1"/>
        <v>0</v>
      </c>
      <c r="Z16" s="1">
        <f t="shared" si="2"/>
        <v>1</v>
      </c>
      <c r="AA16" s="1">
        <f t="shared" si="3"/>
        <v>1</v>
      </c>
      <c r="AB16" s="1">
        <f t="shared" si="4"/>
        <v>0</v>
      </c>
      <c r="AC16" s="1">
        <f t="shared" si="5"/>
        <v>0</v>
      </c>
      <c r="AD16" s="1">
        <f t="shared" si="6"/>
        <v>0</v>
      </c>
      <c r="AE16" s="1">
        <f t="shared" si="7"/>
        <v>1</v>
      </c>
    </row>
    <row r="17" spans="1:31" ht="48" customHeight="1">
      <c r="A17" s="1" t="s">
        <v>5004</v>
      </c>
      <c r="B17" s="1" t="s">
        <v>5915</v>
      </c>
      <c r="C17" s="1" t="s">
        <v>8148</v>
      </c>
      <c r="D17" s="1" t="s">
        <v>8149</v>
      </c>
      <c r="E17" s="1" t="s">
        <v>11474</v>
      </c>
      <c r="F17" s="1" t="s">
        <v>8150</v>
      </c>
      <c r="G17" s="1" t="s">
        <v>11475</v>
      </c>
      <c r="H17" s="1" t="s">
        <v>8160</v>
      </c>
      <c r="I17" s="1" t="s">
        <v>6102</v>
      </c>
      <c r="J17" s="1" t="s">
        <v>6102</v>
      </c>
      <c r="K17" s="1" t="s">
        <v>11476</v>
      </c>
      <c r="L17" s="1" t="s">
        <v>6129</v>
      </c>
      <c r="M17" s="1" t="s">
        <v>11404</v>
      </c>
      <c r="N17" s="1" t="s">
        <v>11405</v>
      </c>
      <c r="O17" s="1" t="s">
        <v>11406</v>
      </c>
      <c r="P17" s="1" t="s">
        <v>8158</v>
      </c>
      <c r="Q17" s="1"/>
      <c r="R17" s="1"/>
      <c r="S17" s="1"/>
      <c r="T17" s="1" t="str">
        <f t="shared" si="0"/>
        <v>Source checked; reviewer sign-off not recorded</v>
      </c>
      <c r="U17" s="1" t="s">
        <v>8175</v>
      </c>
      <c r="V17" s="1" t="s">
        <v>11477</v>
      </c>
      <c r="W17" s="1" t="s">
        <v>11478</v>
      </c>
      <c r="X17" s="1" t="s">
        <v>11409</v>
      </c>
      <c r="Y17" s="1">
        <f t="shared" si="1"/>
        <v>0</v>
      </c>
      <c r="Z17" s="1">
        <f t="shared" si="2"/>
        <v>1</v>
      </c>
      <c r="AA17" s="1">
        <f t="shared" si="3"/>
        <v>0</v>
      </c>
      <c r="AB17" s="1">
        <f t="shared" si="4"/>
        <v>0</v>
      </c>
      <c r="AC17" s="1">
        <f t="shared" si="5"/>
        <v>0</v>
      </c>
      <c r="AD17" s="1">
        <f t="shared" si="6"/>
        <v>0</v>
      </c>
      <c r="AE17" s="1">
        <f t="shared" si="7"/>
        <v>0</v>
      </c>
    </row>
    <row r="18" spans="1:31" ht="48" customHeight="1">
      <c r="A18" s="1" t="s">
        <v>5012</v>
      </c>
      <c r="B18" s="1" t="s">
        <v>5921</v>
      </c>
      <c r="C18" s="1" t="s">
        <v>8262</v>
      </c>
      <c r="D18" s="1" t="s">
        <v>8263</v>
      </c>
      <c r="E18" s="1" t="s">
        <v>11447</v>
      </c>
      <c r="F18" s="1" t="s">
        <v>7327</v>
      </c>
      <c r="G18" s="1" t="s">
        <v>11479</v>
      </c>
      <c r="H18" s="1" t="s">
        <v>8271</v>
      </c>
      <c r="I18" s="1" t="s">
        <v>6102</v>
      </c>
      <c r="J18" s="1" t="s">
        <v>6102</v>
      </c>
      <c r="K18" s="1" t="s">
        <v>11480</v>
      </c>
      <c r="L18" s="1" t="s">
        <v>6129</v>
      </c>
      <c r="M18" s="1" t="s">
        <v>11404</v>
      </c>
      <c r="N18" s="1" t="s">
        <v>11405</v>
      </c>
      <c r="O18" s="1" t="s">
        <v>11406</v>
      </c>
      <c r="P18" s="1" t="s">
        <v>8269</v>
      </c>
      <c r="Q18" s="1"/>
      <c r="R18" s="1"/>
      <c r="S18" s="1"/>
      <c r="T18" s="1" t="str">
        <f t="shared" si="0"/>
        <v>Source checked; reviewer sign-off not recorded</v>
      </c>
      <c r="U18" s="1" t="s">
        <v>8286</v>
      </c>
      <c r="V18" s="1" t="s">
        <v>11481</v>
      </c>
      <c r="W18" s="1" t="s">
        <v>11482</v>
      </c>
      <c r="X18" s="1" t="s">
        <v>11409</v>
      </c>
      <c r="Y18" s="1">
        <f t="shared" si="1"/>
        <v>0</v>
      </c>
      <c r="Z18" s="1">
        <f t="shared" si="2"/>
        <v>1</v>
      </c>
      <c r="AA18" s="1">
        <f t="shared" si="3"/>
        <v>0</v>
      </c>
      <c r="AB18" s="1">
        <f t="shared" si="4"/>
        <v>0</v>
      </c>
      <c r="AC18" s="1">
        <f t="shared" si="5"/>
        <v>0</v>
      </c>
      <c r="AD18" s="1">
        <f t="shared" si="6"/>
        <v>0</v>
      </c>
      <c r="AE18" s="1">
        <f t="shared" si="7"/>
        <v>0</v>
      </c>
    </row>
    <row r="19" spans="1:31" ht="36" customHeight="1">
      <c r="A19" s="1" t="s">
        <v>5041</v>
      </c>
      <c r="B19" s="1" t="s">
        <v>5927</v>
      </c>
      <c r="C19" s="1" t="s">
        <v>8389</v>
      </c>
      <c r="D19" s="1" t="s">
        <v>8390</v>
      </c>
      <c r="E19" s="1" t="s">
        <v>11428</v>
      </c>
      <c r="F19" s="1" t="s">
        <v>6771</v>
      </c>
      <c r="G19" s="1" t="s">
        <v>11483</v>
      </c>
      <c r="H19" s="1" t="s">
        <v>8399</v>
      </c>
      <c r="I19" s="1" t="s">
        <v>6101</v>
      </c>
      <c r="J19" s="1" t="s">
        <v>6102</v>
      </c>
      <c r="K19" s="1" t="s">
        <v>11484</v>
      </c>
      <c r="L19" s="1" t="s">
        <v>8419</v>
      </c>
      <c r="M19" s="1" t="s">
        <v>11404</v>
      </c>
      <c r="N19" s="1" t="s">
        <v>10627</v>
      </c>
      <c r="O19" s="1" t="s">
        <v>11406</v>
      </c>
      <c r="P19" s="1" t="s">
        <v>8397</v>
      </c>
      <c r="Q19" s="1"/>
      <c r="R19" s="1"/>
      <c r="S19" s="1"/>
      <c r="T19" s="1" t="str">
        <f t="shared" si="0"/>
        <v>Source checked; reviewer sign-off not recorded</v>
      </c>
      <c r="U19" s="1" t="s">
        <v>8413</v>
      </c>
      <c r="V19" s="1" t="s">
        <v>11485</v>
      </c>
      <c r="W19" s="1" t="s">
        <v>11486</v>
      </c>
      <c r="X19" s="1" t="s">
        <v>11433</v>
      </c>
      <c r="Y19" s="1">
        <f t="shared" si="1"/>
        <v>0</v>
      </c>
      <c r="Z19" s="1">
        <f t="shared" si="2"/>
        <v>0</v>
      </c>
      <c r="AA19" s="1">
        <f t="shared" si="3"/>
        <v>0</v>
      </c>
      <c r="AB19" s="1">
        <f t="shared" si="4"/>
        <v>0</v>
      </c>
      <c r="AC19" s="1">
        <f t="shared" si="5"/>
        <v>1</v>
      </c>
      <c r="AD19" s="1">
        <f t="shared" si="6"/>
        <v>0</v>
      </c>
      <c r="AE19" s="1">
        <f t="shared" si="7"/>
        <v>0</v>
      </c>
    </row>
    <row r="20" spans="1:31" ht="36" customHeight="1">
      <c r="A20" s="1" t="s">
        <v>5063</v>
      </c>
      <c r="B20" s="1" t="s">
        <v>5932</v>
      </c>
      <c r="C20" s="1" t="s">
        <v>8520</v>
      </c>
      <c r="D20" s="1" t="s">
        <v>8521</v>
      </c>
      <c r="E20" s="1" t="s">
        <v>11414</v>
      </c>
      <c r="F20" s="1" t="s">
        <v>6402</v>
      </c>
      <c r="G20" s="1" t="s">
        <v>11487</v>
      </c>
      <c r="H20" s="1" t="s">
        <v>8529</v>
      </c>
      <c r="I20" s="1" t="s">
        <v>8530</v>
      </c>
      <c r="J20" s="1" t="s">
        <v>8530</v>
      </c>
      <c r="K20" s="1" t="s">
        <v>11488</v>
      </c>
      <c r="L20" s="1" t="s">
        <v>6129</v>
      </c>
      <c r="M20" s="1" t="s">
        <v>11404</v>
      </c>
      <c r="N20" s="1" t="s">
        <v>11405</v>
      </c>
      <c r="O20" s="1" t="s">
        <v>11406</v>
      </c>
      <c r="P20" s="1" t="s">
        <v>8527</v>
      </c>
      <c r="Q20" s="1"/>
      <c r="R20" s="1"/>
      <c r="S20" s="1"/>
      <c r="T20" s="1" t="str">
        <f t="shared" si="0"/>
        <v>Source checked; reviewer sign-off not recorded</v>
      </c>
      <c r="U20" s="1" t="s">
        <v>8545</v>
      </c>
      <c r="V20" s="1" t="s">
        <v>11489</v>
      </c>
      <c r="W20" s="1" t="s">
        <v>11490</v>
      </c>
      <c r="X20" s="1" t="s">
        <v>11409</v>
      </c>
      <c r="Y20" s="1">
        <f t="shared" si="1"/>
        <v>0</v>
      </c>
      <c r="Z20" s="1">
        <f t="shared" si="2"/>
        <v>1</v>
      </c>
      <c r="AA20" s="1">
        <f t="shared" si="3"/>
        <v>0</v>
      </c>
      <c r="AB20" s="1">
        <f t="shared" si="4"/>
        <v>0</v>
      </c>
      <c r="AC20" s="1">
        <f t="shared" si="5"/>
        <v>0</v>
      </c>
      <c r="AD20" s="1">
        <f t="shared" si="6"/>
        <v>0</v>
      </c>
      <c r="AE20" s="1">
        <f t="shared" si="7"/>
        <v>0</v>
      </c>
    </row>
    <row r="21" spans="1:31" ht="48" customHeight="1">
      <c r="A21" s="1" t="s">
        <v>5745</v>
      </c>
      <c r="B21" s="1" t="s">
        <v>5937</v>
      </c>
      <c r="C21" s="1" t="s">
        <v>8661</v>
      </c>
      <c r="D21" s="1" t="s">
        <v>8662</v>
      </c>
      <c r="E21" s="1" t="s">
        <v>11474</v>
      </c>
      <c r="F21" s="1" t="s">
        <v>8150</v>
      </c>
      <c r="G21" s="1" t="s">
        <v>11491</v>
      </c>
      <c r="H21" s="1" t="s">
        <v>8670</v>
      </c>
      <c r="I21" s="1" t="s">
        <v>6101</v>
      </c>
      <c r="J21" s="1" t="s">
        <v>6102</v>
      </c>
      <c r="K21" s="1" t="s">
        <v>11492</v>
      </c>
      <c r="L21" s="1" t="s">
        <v>6129</v>
      </c>
      <c r="M21" s="1" t="s">
        <v>11404</v>
      </c>
      <c r="N21" s="1" t="s">
        <v>11405</v>
      </c>
      <c r="O21" s="1" t="s">
        <v>11406</v>
      </c>
      <c r="P21" s="1" t="s">
        <v>8668</v>
      </c>
      <c r="Q21" s="1"/>
      <c r="R21" s="1"/>
      <c r="S21" s="1"/>
      <c r="T21" s="1" t="str">
        <f t="shared" si="0"/>
        <v>Source checked; reviewer sign-off not recorded</v>
      </c>
      <c r="U21" s="1" t="s">
        <v>8685</v>
      </c>
      <c r="V21" s="1" t="s">
        <v>11493</v>
      </c>
      <c r="W21" s="1" t="s">
        <v>11494</v>
      </c>
      <c r="X21" s="1" t="s">
        <v>11409</v>
      </c>
      <c r="Y21" s="1">
        <f t="shared" si="1"/>
        <v>0</v>
      </c>
      <c r="Z21" s="1">
        <f t="shared" si="2"/>
        <v>1</v>
      </c>
      <c r="AA21" s="1">
        <f t="shared" si="3"/>
        <v>0</v>
      </c>
      <c r="AB21" s="1">
        <f t="shared" si="4"/>
        <v>0</v>
      </c>
      <c r="AC21" s="1">
        <f t="shared" si="5"/>
        <v>0</v>
      </c>
      <c r="AD21" s="1">
        <f t="shared" si="6"/>
        <v>0</v>
      </c>
      <c r="AE21" s="1">
        <f t="shared" si="7"/>
        <v>0</v>
      </c>
    </row>
    <row r="22" spans="1:31" ht="48" customHeight="1">
      <c r="A22" s="1" t="s">
        <v>5079</v>
      </c>
      <c r="B22" s="1" t="s">
        <v>5943</v>
      </c>
      <c r="C22" s="1" t="s">
        <v>8779</v>
      </c>
      <c r="D22" s="1" t="s">
        <v>8780</v>
      </c>
      <c r="E22" s="1" t="s">
        <v>11401</v>
      </c>
      <c r="F22" s="1" t="s">
        <v>6086</v>
      </c>
      <c r="G22" s="1" t="s">
        <v>11495</v>
      </c>
      <c r="H22" s="1" t="s">
        <v>8788</v>
      </c>
      <c r="I22" s="1" t="s">
        <v>6102</v>
      </c>
      <c r="J22" s="1" t="s">
        <v>6102</v>
      </c>
      <c r="K22" s="1" t="s">
        <v>11496</v>
      </c>
      <c r="L22" s="1" t="s">
        <v>8810</v>
      </c>
      <c r="M22" s="1" t="s">
        <v>11404</v>
      </c>
      <c r="N22" s="1" t="s">
        <v>11405</v>
      </c>
      <c r="O22" s="1" t="s">
        <v>11406</v>
      </c>
      <c r="P22" s="1" t="s">
        <v>8786</v>
      </c>
      <c r="Q22" s="1"/>
      <c r="R22" s="1"/>
      <c r="S22" s="1"/>
      <c r="T22" s="1" t="str">
        <f t="shared" si="0"/>
        <v>Source checked; reviewer sign-off not recorded</v>
      </c>
      <c r="U22" s="1" t="s">
        <v>8803</v>
      </c>
      <c r="V22" s="1" t="s">
        <v>11497</v>
      </c>
      <c r="W22" s="1" t="s">
        <v>11498</v>
      </c>
      <c r="X22" s="1" t="s">
        <v>11409</v>
      </c>
      <c r="Y22" s="1">
        <f t="shared" si="1"/>
        <v>0</v>
      </c>
      <c r="Z22" s="1">
        <f t="shared" si="2"/>
        <v>0</v>
      </c>
      <c r="AA22" s="1">
        <f t="shared" si="3"/>
        <v>1</v>
      </c>
      <c r="AB22" s="1">
        <f t="shared" si="4"/>
        <v>0</v>
      </c>
      <c r="AC22" s="1">
        <f t="shared" si="5"/>
        <v>0</v>
      </c>
      <c r="AD22" s="1">
        <f t="shared" si="6"/>
        <v>0</v>
      </c>
      <c r="AE22" s="1">
        <f t="shared" si="7"/>
        <v>0</v>
      </c>
    </row>
    <row r="23" spans="1:31" ht="36" customHeight="1">
      <c r="A23" s="1" t="s">
        <v>5087</v>
      </c>
      <c r="B23" s="1" t="s">
        <v>5949</v>
      </c>
      <c r="C23" s="1" t="s">
        <v>8909</v>
      </c>
      <c r="D23" s="1" t="s">
        <v>8910</v>
      </c>
      <c r="E23" s="1" t="s">
        <v>11401</v>
      </c>
      <c r="F23" s="1" t="s">
        <v>6086</v>
      </c>
      <c r="G23" s="1" t="s">
        <v>11499</v>
      </c>
      <c r="H23" s="1" t="s">
        <v>8399</v>
      </c>
      <c r="I23" s="1" t="s">
        <v>6101</v>
      </c>
      <c r="J23" s="1" t="s">
        <v>6102</v>
      </c>
      <c r="K23" s="1" t="s">
        <v>11500</v>
      </c>
      <c r="L23" s="1" t="s">
        <v>8419</v>
      </c>
      <c r="M23" s="1" t="s">
        <v>11404</v>
      </c>
      <c r="N23" s="1" t="s">
        <v>11405</v>
      </c>
      <c r="O23" s="1" t="s">
        <v>11406</v>
      </c>
      <c r="P23" s="1" t="s">
        <v>8916</v>
      </c>
      <c r="Q23" s="1"/>
      <c r="R23" s="1"/>
      <c r="S23" s="1"/>
      <c r="T23" s="1" t="str">
        <f t="shared" si="0"/>
        <v>Source checked; reviewer sign-off not recorded</v>
      </c>
      <c r="U23" s="1" t="s">
        <v>8932</v>
      </c>
      <c r="V23" s="1" t="s">
        <v>11501</v>
      </c>
      <c r="W23" s="1" t="s">
        <v>11502</v>
      </c>
      <c r="X23" s="1" t="s">
        <v>11409</v>
      </c>
      <c r="Y23" s="1">
        <f t="shared" si="1"/>
        <v>0</v>
      </c>
      <c r="Z23" s="1">
        <f t="shared" si="2"/>
        <v>0</v>
      </c>
      <c r="AA23" s="1">
        <f t="shared" si="3"/>
        <v>0</v>
      </c>
      <c r="AB23" s="1">
        <f t="shared" si="4"/>
        <v>0</v>
      </c>
      <c r="AC23" s="1">
        <f t="shared" si="5"/>
        <v>1</v>
      </c>
      <c r="AD23" s="1">
        <f t="shared" si="6"/>
        <v>0</v>
      </c>
      <c r="AE23" s="1">
        <f t="shared" si="7"/>
        <v>0</v>
      </c>
    </row>
    <row r="24" spans="1:31" ht="36" customHeight="1">
      <c r="A24" s="1" t="s">
        <v>5749</v>
      </c>
      <c r="B24" s="1" t="s">
        <v>5955</v>
      </c>
      <c r="C24" s="1" t="s">
        <v>9018</v>
      </c>
      <c r="D24" s="1" t="s">
        <v>9019</v>
      </c>
      <c r="E24" s="1" t="s">
        <v>11401</v>
      </c>
      <c r="F24" s="1" t="s">
        <v>6086</v>
      </c>
      <c r="G24" s="1" t="s">
        <v>11503</v>
      </c>
      <c r="H24" s="1" t="s">
        <v>9027</v>
      </c>
      <c r="I24" s="1" t="s">
        <v>9028</v>
      </c>
      <c r="J24" s="1" t="s">
        <v>6102</v>
      </c>
      <c r="K24" s="1" t="s">
        <v>11504</v>
      </c>
      <c r="L24" s="1" t="s">
        <v>7357</v>
      </c>
      <c r="M24" s="1" t="s">
        <v>11404</v>
      </c>
      <c r="N24" s="1" t="s">
        <v>11405</v>
      </c>
      <c r="O24" s="1" t="s">
        <v>11406</v>
      </c>
      <c r="P24" s="1" t="s">
        <v>9025</v>
      </c>
      <c r="Q24" s="1"/>
      <c r="R24" s="1"/>
      <c r="S24" s="1"/>
      <c r="T24" s="1" t="str">
        <f t="shared" si="0"/>
        <v>Source checked; reviewer sign-off not recorded</v>
      </c>
      <c r="U24" s="1" t="s">
        <v>9043</v>
      </c>
      <c r="V24" s="1" t="s">
        <v>11505</v>
      </c>
      <c r="W24" s="1" t="s">
        <v>11506</v>
      </c>
      <c r="X24" s="1" t="s">
        <v>11409</v>
      </c>
      <c r="Y24" s="1">
        <f t="shared" si="1"/>
        <v>0</v>
      </c>
      <c r="Z24" s="1">
        <f t="shared" si="2"/>
        <v>1</v>
      </c>
      <c r="AA24" s="1">
        <f t="shared" si="3"/>
        <v>0</v>
      </c>
      <c r="AB24" s="1">
        <f t="shared" si="4"/>
        <v>0</v>
      </c>
      <c r="AC24" s="1">
        <f t="shared" si="5"/>
        <v>1</v>
      </c>
      <c r="AD24" s="1">
        <f t="shared" si="6"/>
        <v>0</v>
      </c>
      <c r="AE24" s="1">
        <f t="shared" si="7"/>
        <v>1</v>
      </c>
    </row>
    <row r="25" spans="1:31" ht="48" customHeight="1">
      <c r="A25" s="1" t="s">
        <v>5094</v>
      </c>
      <c r="B25" s="1" t="s">
        <v>5961</v>
      </c>
      <c r="C25" s="1" t="s">
        <v>9147</v>
      </c>
      <c r="D25" s="1" t="s">
        <v>9148</v>
      </c>
      <c r="E25" s="1" t="s">
        <v>11474</v>
      </c>
      <c r="F25" s="1" t="s">
        <v>8150</v>
      </c>
      <c r="G25" s="1" t="s">
        <v>11507</v>
      </c>
      <c r="H25" s="1" t="s">
        <v>7058</v>
      </c>
      <c r="I25" s="1" t="s">
        <v>7060</v>
      </c>
      <c r="J25" s="1" t="s">
        <v>7060</v>
      </c>
      <c r="K25" s="1" t="s">
        <v>11508</v>
      </c>
      <c r="L25" s="1" t="s">
        <v>6129</v>
      </c>
      <c r="M25" s="1" t="s">
        <v>11404</v>
      </c>
      <c r="N25" s="1" t="s">
        <v>11405</v>
      </c>
      <c r="O25" s="1" t="s">
        <v>11406</v>
      </c>
      <c r="P25" s="1" t="s">
        <v>9154</v>
      </c>
      <c r="Q25" s="1"/>
      <c r="R25" s="1"/>
      <c r="S25" s="1"/>
      <c r="T25" s="1" t="str">
        <f t="shared" si="0"/>
        <v>Source checked; reviewer sign-off not recorded</v>
      </c>
      <c r="U25" s="1" t="s">
        <v>9170</v>
      </c>
      <c r="V25" s="1" t="s">
        <v>11509</v>
      </c>
      <c r="W25" s="1" t="s">
        <v>11510</v>
      </c>
      <c r="X25" s="1" t="s">
        <v>11409</v>
      </c>
      <c r="Y25" s="1">
        <f t="shared" si="1"/>
        <v>0</v>
      </c>
      <c r="Z25" s="1">
        <f t="shared" si="2"/>
        <v>1</v>
      </c>
      <c r="AA25" s="1">
        <f t="shared" si="3"/>
        <v>0</v>
      </c>
      <c r="AB25" s="1">
        <f t="shared" si="4"/>
        <v>0</v>
      </c>
      <c r="AC25" s="1">
        <f t="shared" si="5"/>
        <v>0</v>
      </c>
      <c r="AD25" s="1">
        <f t="shared" si="6"/>
        <v>0</v>
      </c>
      <c r="AE25" s="1">
        <f t="shared" si="7"/>
        <v>0</v>
      </c>
    </row>
    <row r="26" spans="1:31" ht="48" customHeight="1">
      <c r="A26" s="1" t="s">
        <v>5116</v>
      </c>
      <c r="B26" s="1" t="s">
        <v>5967</v>
      </c>
      <c r="C26" s="1" t="s">
        <v>9296</v>
      </c>
      <c r="D26" s="1" t="s">
        <v>9297</v>
      </c>
      <c r="E26" s="1" t="s">
        <v>11414</v>
      </c>
      <c r="F26" s="1" t="s">
        <v>6402</v>
      </c>
      <c r="G26" s="1" t="s">
        <v>11511</v>
      </c>
      <c r="H26" s="1" t="s">
        <v>9305</v>
      </c>
      <c r="I26" s="1" t="s">
        <v>6102</v>
      </c>
      <c r="J26" s="1" t="s">
        <v>6102</v>
      </c>
      <c r="K26" s="1" t="s">
        <v>11512</v>
      </c>
      <c r="L26" s="1" t="s">
        <v>6129</v>
      </c>
      <c r="M26" s="1" t="s">
        <v>11404</v>
      </c>
      <c r="N26" s="1" t="s">
        <v>11405</v>
      </c>
      <c r="O26" s="1" t="s">
        <v>11406</v>
      </c>
      <c r="P26" s="1" t="s">
        <v>9303</v>
      </c>
      <c r="Q26" s="1"/>
      <c r="R26" s="1"/>
      <c r="S26" s="1"/>
      <c r="T26" s="1" t="str">
        <f t="shared" si="0"/>
        <v>Source checked; reviewer sign-off not recorded</v>
      </c>
      <c r="U26" s="1" t="s">
        <v>9320</v>
      </c>
      <c r="V26" s="1" t="s">
        <v>11513</v>
      </c>
      <c r="W26" s="1" t="s">
        <v>11514</v>
      </c>
      <c r="X26" s="1" t="s">
        <v>11409</v>
      </c>
      <c r="Y26" s="1">
        <f t="shared" si="1"/>
        <v>0</v>
      </c>
      <c r="Z26" s="1">
        <f t="shared" si="2"/>
        <v>1</v>
      </c>
      <c r="AA26" s="1">
        <f t="shared" si="3"/>
        <v>0</v>
      </c>
      <c r="AB26" s="1">
        <f t="shared" si="4"/>
        <v>0</v>
      </c>
      <c r="AC26" s="1">
        <f t="shared" si="5"/>
        <v>0</v>
      </c>
      <c r="AD26" s="1">
        <f t="shared" si="6"/>
        <v>0</v>
      </c>
      <c r="AE26" s="1">
        <f t="shared" si="7"/>
        <v>0</v>
      </c>
    </row>
    <row r="27" spans="1:31" ht="36" customHeight="1">
      <c r="A27" s="1" t="s">
        <v>5133</v>
      </c>
      <c r="B27" s="1" t="s">
        <v>5973</v>
      </c>
      <c r="C27" s="1" t="s">
        <v>9429</v>
      </c>
      <c r="D27" s="1" t="s">
        <v>9430</v>
      </c>
      <c r="E27" s="1" t="s">
        <v>11447</v>
      </c>
      <c r="F27" s="1" t="s">
        <v>7327</v>
      </c>
      <c r="G27" s="1" t="s">
        <v>11515</v>
      </c>
      <c r="H27" s="1" t="s">
        <v>9438</v>
      </c>
      <c r="I27" s="1" t="s">
        <v>9439</v>
      </c>
      <c r="J27" s="1" t="s">
        <v>6102</v>
      </c>
      <c r="K27" s="1" t="s">
        <v>11516</v>
      </c>
      <c r="L27" s="1" t="s">
        <v>9460</v>
      </c>
      <c r="M27" s="1" t="s">
        <v>11404</v>
      </c>
      <c r="N27" s="1" t="s">
        <v>11405</v>
      </c>
      <c r="O27" s="1" t="s">
        <v>11406</v>
      </c>
      <c r="P27" s="1" t="s">
        <v>9436</v>
      </c>
      <c r="Q27" s="1"/>
      <c r="R27" s="1"/>
      <c r="S27" s="1"/>
      <c r="T27" s="1" t="str">
        <f t="shared" si="0"/>
        <v>Source checked; reviewer sign-off not recorded</v>
      </c>
      <c r="U27" s="1" t="s">
        <v>9453</v>
      </c>
      <c r="V27" s="1" t="s">
        <v>11517</v>
      </c>
      <c r="W27" s="1" t="s">
        <v>11518</v>
      </c>
      <c r="X27" s="1" t="s">
        <v>11409</v>
      </c>
      <c r="Y27" s="1">
        <f t="shared" si="1"/>
        <v>0</v>
      </c>
      <c r="Z27" s="1">
        <f t="shared" si="2"/>
        <v>1</v>
      </c>
      <c r="AA27" s="1">
        <f t="shared" si="3"/>
        <v>0</v>
      </c>
      <c r="AB27" s="1">
        <f t="shared" si="4"/>
        <v>0</v>
      </c>
      <c r="AC27" s="1">
        <f t="shared" si="5"/>
        <v>0</v>
      </c>
      <c r="AD27" s="1">
        <f t="shared" si="6"/>
        <v>1</v>
      </c>
      <c r="AE27" s="1">
        <f t="shared" si="7"/>
        <v>0</v>
      </c>
    </row>
    <row r="28" spans="1:31" ht="36" customHeight="1">
      <c r="A28" s="1" t="s">
        <v>5162</v>
      </c>
      <c r="B28" s="1" t="s">
        <v>5979</v>
      </c>
      <c r="C28" s="1" t="s">
        <v>9563</v>
      </c>
      <c r="D28" s="1" t="s">
        <v>9564</v>
      </c>
      <c r="E28" s="1" t="s">
        <v>11414</v>
      </c>
      <c r="F28" s="1" t="s">
        <v>6402</v>
      </c>
      <c r="G28" s="1" t="s">
        <v>11519</v>
      </c>
      <c r="H28" s="1" t="s">
        <v>9572</v>
      </c>
      <c r="I28" s="1" t="s">
        <v>6102</v>
      </c>
      <c r="J28" s="1" t="s">
        <v>6102</v>
      </c>
      <c r="K28" s="1" t="s">
        <v>11520</v>
      </c>
      <c r="L28" s="1" t="s">
        <v>9594</v>
      </c>
      <c r="M28" s="1" t="s">
        <v>11404</v>
      </c>
      <c r="N28" s="1" t="s">
        <v>11405</v>
      </c>
      <c r="O28" s="1" t="s">
        <v>11406</v>
      </c>
      <c r="P28" s="1" t="s">
        <v>9570</v>
      </c>
      <c r="Q28" s="1"/>
      <c r="R28" s="1"/>
      <c r="S28" s="1"/>
      <c r="T28" s="1" t="str">
        <f t="shared" si="0"/>
        <v>Source checked; reviewer sign-off not recorded</v>
      </c>
      <c r="U28" s="1" t="s">
        <v>9587</v>
      </c>
      <c r="V28" s="1" t="s">
        <v>11521</v>
      </c>
      <c r="W28" s="1" t="s">
        <v>11522</v>
      </c>
      <c r="X28" s="1" t="s">
        <v>11409</v>
      </c>
      <c r="Y28" s="1">
        <f t="shared" si="1"/>
        <v>0</v>
      </c>
      <c r="Z28" s="1">
        <f t="shared" si="2"/>
        <v>1</v>
      </c>
      <c r="AA28" s="1">
        <f t="shared" si="3"/>
        <v>0</v>
      </c>
      <c r="AB28" s="1">
        <f t="shared" si="4"/>
        <v>0</v>
      </c>
      <c r="AC28" s="1">
        <f t="shared" si="5"/>
        <v>0</v>
      </c>
      <c r="AD28" s="1">
        <f t="shared" si="6"/>
        <v>0</v>
      </c>
      <c r="AE28" s="1">
        <f t="shared" si="7"/>
        <v>1</v>
      </c>
    </row>
    <row r="29" spans="1:31" ht="48" customHeight="1">
      <c r="A29" s="1" t="s">
        <v>5184</v>
      </c>
      <c r="B29" s="1" t="s">
        <v>5985</v>
      </c>
      <c r="C29" s="1" t="s">
        <v>9706</v>
      </c>
      <c r="D29" s="1" t="s">
        <v>9707</v>
      </c>
      <c r="E29" s="1" t="s">
        <v>11423</v>
      </c>
      <c r="F29" s="1" t="s">
        <v>6643</v>
      </c>
      <c r="G29" s="1" t="s">
        <v>11523</v>
      </c>
      <c r="H29" s="1" t="s">
        <v>9715</v>
      </c>
      <c r="I29" s="1" t="s">
        <v>6102</v>
      </c>
      <c r="J29" s="1" t="s">
        <v>6102</v>
      </c>
      <c r="K29" s="1" t="s">
        <v>11524</v>
      </c>
      <c r="L29" s="1" t="s">
        <v>6129</v>
      </c>
      <c r="M29" s="1" t="s">
        <v>11404</v>
      </c>
      <c r="N29" s="1" t="s">
        <v>11405</v>
      </c>
      <c r="O29" s="1" t="s">
        <v>11406</v>
      </c>
      <c r="P29" s="1" t="s">
        <v>9713</v>
      </c>
      <c r="Q29" s="1"/>
      <c r="R29" s="1"/>
      <c r="S29" s="1"/>
      <c r="T29" s="1" t="str">
        <f t="shared" si="0"/>
        <v>Source checked; reviewer sign-off not recorded</v>
      </c>
      <c r="U29" s="1" t="s">
        <v>9730</v>
      </c>
      <c r="V29" s="1" t="s">
        <v>11525</v>
      </c>
      <c r="W29" s="1" t="s">
        <v>11526</v>
      </c>
      <c r="X29" s="1" t="s">
        <v>11409</v>
      </c>
      <c r="Y29" s="1">
        <f t="shared" si="1"/>
        <v>0</v>
      </c>
      <c r="Z29" s="1">
        <f t="shared" si="2"/>
        <v>1</v>
      </c>
      <c r="AA29" s="1">
        <f t="shared" si="3"/>
        <v>0</v>
      </c>
      <c r="AB29" s="1">
        <f t="shared" si="4"/>
        <v>0</v>
      </c>
      <c r="AC29" s="1">
        <f t="shared" si="5"/>
        <v>0</v>
      </c>
      <c r="AD29" s="1">
        <f t="shared" si="6"/>
        <v>0</v>
      </c>
      <c r="AE29" s="1">
        <f t="shared" si="7"/>
        <v>0</v>
      </c>
    </row>
    <row r="30" spans="1:31" ht="48" customHeight="1">
      <c r="A30" s="1" t="s">
        <v>5222</v>
      </c>
      <c r="B30" s="1" t="s">
        <v>5990</v>
      </c>
      <c r="C30" s="1" t="s">
        <v>9860</v>
      </c>
      <c r="D30" s="1" t="s">
        <v>9861</v>
      </c>
      <c r="E30" s="1" t="s">
        <v>11414</v>
      </c>
      <c r="F30" s="1" t="s">
        <v>6402</v>
      </c>
      <c r="G30" s="1" t="s">
        <v>11527</v>
      </c>
      <c r="H30" s="1" t="s">
        <v>7630</v>
      </c>
      <c r="I30" s="1" t="s">
        <v>6102</v>
      </c>
      <c r="J30" s="1" t="s">
        <v>6102</v>
      </c>
      <c r="K30" s="1" t="s">
        <v>11528</v>
      </c>
      <c r="L30" s="1" t="s">
        <v>6431</v>
      </c>
      <c r="M30" s="1" t="s">
        <v>11404</v>
      </c>
      <c r="N30" s="1" t="s">
        <v>11405</v>
      </c>
      <c r="O30" s="1" t="s">
        <v>11406</v>
      </c>
      <c r="P30" s="1" t="s">
        <v>9867</v>
      </c>
      <c r="Q30" s="1"/>
      <c r="R30" s="1"/>
      <c r="S30" s="1"/>
      <c r="T30" s="1" t="str">
        <f t="shared" si="0"/>
        <v>Source checked; reviewer sign-off not recorded</v>
      </c>
      <c r="U30" s="1" t="s">
        <v>9883</v>
      </c>
      <c r="V30" s="1" t="s">
        <v>11529</v>
      </c>
      <c r="W30" s="1" t="s">
        <v>11530</v>
      </c>
      <c r="X30" s="1" t="s">
        <v>11409</v>
      </c>
      <c r="Y30" s="1">
        <f t="shared" si="1"/>
        <v>0</v>
      </c>
      <c r="Z30" s="1">
        <f t="shared" si="2"/>
        <v>1</v>
      </c>
      <c r="AA30" s="1">
        <f t="shared" si="3"/>
        <v>0</v>
      </c>
      <c r="AB30" s="1">
        <f t="shared" si="4"/>
        <v>1</v>
      </c>
      <c r="AC30" s="1">
        <f t="shared" si="5"/>
        <v>0</v>
      </c>
      <c r="AD30" s="1">
        <f t="shared" si="6"/>
        <v>0</v>
      </c>
      <c r="AE30" s="1">
        <f t="shared" si="7"/>
        <v>1</v>
      </c>
    </row>
    <row r="31" spans="1:31" ht="36" customHeight="1">
      <c r="A31" s="1" t="s">
        <v>5776</v>
      </c>
      <c r="B31" s="1" t="s">
        <v>5995</v>
      </c>
      <c r="C31" s="1" t="s">
        <v>9993</v>
      </c>
      <c r="D31" s="1" t="s">
        <v>9994</v>
      </c>
      <c r="E31" s="1" t="s">
        <v>11414</v>
      </c>
      <c r="F31" s="1" t="s">
        <v>6402</v>
      </c>
      <c r="G31" s="1" t="s">
        <v>11531</v>
      </c>
      <c r="H31" s="1" t="s">
        <v>10002</v>
      </c>
      <c r="I31" s="1" t="s">
        <v>6102</v>
      </c>
      <c r="J31" s="1" t="s">
        <v>6102</v>
      </c>
      <c r="K31" s="1" t="s">
        <v>11532</v>
      </c>
      <c r="L31" s="1" t="s">
        <v>6129</v>
      </c>
      <c r="M31" s="1" t="s">
        <v>11404</v>
      </c>
      <c r="N31" s="1" t="s">
        <v>11405</v>
      </c>
      <c r="O31" s="1" t="s">
        <v>11406</v>
      </c>
      <c r="P31" s="1" t="s">
        <v>10000</v>
      </c>
      <c r="Q31" s="1"/>
      <c r="R31" s="1"/>
      <c r="S31" s="1"/>
      <c r="T31" s="1" t="str">
        <f t="shared" si="0"/>
        <v>Source checked; reviewer sign-off not recorded</v>
      </c>
      <c r="U31" s="1" t="s">
        <v>10017</v>
      </c>
      <c r="V31" s="1" t="s">
        <v>11533</v>
      </c>
      <c r="W31" s="1" t="s">
        <v>11534</v>
      </c>
      <c r="X31" s="1" t="s">
        <v>11409</v>
      </c>
      <c r="Y31" s="1">
        <f t="shared" si="1"/>
        <v>0</v>
      </c>
      <c r="Z31" s="1">
        <f t="shared" si="2"/>
        <v>1</v>
      </c>
      <c r="AA31" s="1">
        <f t="shared" si="3"/>
        <v>0</v>
      </c>
      <c r="AB31" s="1">
        <f t="shared" si="4"/>
        <v>0</v>
      </c>
      <c r="AC31" s="1">
        <f t="shared" si="5"/>
        <v>0</v>
      </c>
      <c r="AD31" s="1">
        <f t="shared" si="6"/>
        <v>0</v>
      </c>
      <c r="AE31" s="1">
        <f t="shared" si="7"/>
        <v>0</v>
      </c>
    </row>
    <row r="32" spans="1:31" ht="60" customHeight="1">
      <c r="A32" s="1" t="s">
        <v>5251</v>
      </c>
      <c r="B32" s="1" t="s">
        <v>6001</v>
      </c>
      <c r="C32" s="1" t="s">
        <v>10129</v>
      </c>
      <c r="D32" s="1" t="s">
        <v>10130</v>
      </c>
      <c r="E32" s="1" t="s">
        <v>11428</v>
      </c>
      <c r="F32" s="1" t="s">
        <v>6771</v>
      </c>
      <c r="G32" s="1" t="s">
        <v>11535</v>
      </c>
      <c r="H32" s="1" t="s">
        <v>10140</v>
      </c>
      <c r="I32" s="1" t="s">
        <v>7060</v>
      </c>
      <c r="J32" s="1" t="s">
        <v>7060</v>
      </c>
      <c r="K32" s="1" t="s">
        <v>11536</v>
      </c>
      <c r="L32" s="1" t="s">
        <v>6129</v>
      </c>
      <c r="M32" s="1" t="s">
        <v>11404</v>
      </c>
      <c r="N32" s="1" t="s">
        <v>10627</v>
      </c>
      <c r="O32" s="1" t="s">
        <v>11406</v>
      </c>
      <c r="P32" s="1" t="s">
        <v>10138</v>
      </c>
      <c r="Q32" s="1"/>
      <c r="R32" s="1"/>
      <c r="S32" s="1"/>
      <c r="T32" s="1" t="str">
        <f t="shared" si="0"/>
        <v>Source checked; reviewer sign-off not recorded</v>
      </c>
      <c r="U32" s="1" t="s">
        <v>10155</v>
      </c>
      <c r="V32" s="1" t="s">
        <v>11537</v>
      </c>
      <c r="W32" s="1" t="s">
        <v>11538</v>
      </c>
      <c r="X32" s="1" t="s">
        <v>11433</v>
      </c>
      <c r="Y32" s="1">
        <f t="shared" si="1"/>
        <v>0</v>
      </c>
      <c r="Z32" s="1">
        <f t="shared" si="2"/>
        <v>1</v>
      </c>
      <c r="AA32" s="1">
        <f t="shared" si="3"/>
        <v>0</v>
      </c>
      <c r="AB32" s="1">
        <f t="shared" si="4"/>
        <v>0</v>
      </c>
      <c r="AC32" s="1">
        <f t="shared" si="5"/>
        <v>0</v>
      </c>
      <c r="AD32" s="1">
        <f t="shared" si="6"/>
        <v>0</v>
      </c>
      <c r="AE32" s="1">
        <f t="shared" si="7"/>
        <v>0</v>
      </c>
    </row>
    <row r="33" spans="1:31" ht="60" customHeight="1">
      <c r="A33" s="1" t="s">
        <v>5268</v>
      </c>
      <c r="B33" s="1" t="s">
        <v>6007</v>
      </c>
      <c r="C33" s="1" t="s">
        <v>10278</v>
      </c>
      <c r="D33" s="1" t="s">
        <v>10279</v>
      </c>
      <c r="E33" s="1" t="s">
        <v>11401</v>
      </c>
      <c r="F33" s="1" t="s">
        <v>6086</v>
      </c>
      <c r="G33" s="1" t="s">
        <v>11539</v>
      </c>
      <c r="H33" s="1" t="s">
        <v>10287</v>
      </c>
      <c r="I33" s="1" t="s">
        <v>6101</v>
      </c>
      <c r="J33" s="1" t="s">
        <v>6102</v>
      </c>
      <c r="K33" s="1" t="s">
        <v>11540</v>
      </c>
      <c r="L33" s="1" t="s">
        <v>10309</v>
      </c>
      <c r="M33" s="1" t="s">
        <v>11404</v>
      </c>
      <c r="N33" s="1" t="s">
        <v>11405</v>
      </c>
      <c r="O33" s="1" t="s">
        <v>11406</v>
      </c>
      <c r="P33" s="1" t="s">
        <v>10285</v>
      </c>
      <c r="Q33" s="1"/>
      <c r="R33" s="1"/>
      <c r="S33" s="1"/>
      <c r="T33" s="1" t="str">
        <f t="shared" si="0"/>
        <v>Source checked; reviewer sign-off not recorded</v>
      </c>
      <c r="U33" s="1" t="s">
        <v>10302</v>
      </c>
      <c r="V33" s="1" t="s">
        <v>11541</v>
      </c>
      <c r="W33" s="1" t="s">
        <v>11542</v>
      </c>
      <c r="X33" s="1" t="s">
        <v>11409</v>
      </c>
      <c r="Y33" s="1">
        <f t="shared" si="1"/>
        <v>1</v>
      </c>
      <c r="Z33" s="1">
        <f t="shared" si="2"/>
        <v>1</v>
      </c>
      <c r="AA33" s="1">
        <f t="shared" si="3"/>
        <v>0</v>
      </c>
      <c r="AB33" s="1">
        <f t="shared" si="4"/>
        <v>0</v>
      </c>
      <c r="AC33" s="1">
        <f t="shared" si="5"/>
        <v>0</v>
      </c>
      <c r="AD33" s="1">
        <f t="shared" si="6"/>
        <v>0</v>
      </c>
      <c r="AE33" s="1">
        <f t="shared" si="7"/>
        <v>0</v>
      </c>
    </row>
    <row r="34" spans="1:31" ht="36" customHeight="1">
      <c r="A34" s="1" t="s">
        <v>5306</v>
      </c>
      <c r="B34" s="1" t="s">
        <v>6013</v>
      </c>
      <c r="C34" s="1" t="s">
        <v>10410</v>
      </c>
      <c r="D34" s="1" t="s">
        <v>10411</v>
      </c>
      <c r="E34" s="1" t="s">
        <v>11442</v>
      </c>
      <c r="F34" s="1" t="s">
        <v>7186</v>
      </c>
      <c r="G34" s="1" t="s">
        <v>11543</v>
      </c>
      <c r="H34" s="1" t="s">
        <v>10419</v>
      </c>
      <c r="I34" s="1" t="s">
        <v>6102</v>
      </c>
      <c r="J34" s="1" t="s">
        <v>6102</v>
      </c>
      <c r="K34" s="1" t="s">
        <v>11544</v>
      </c>
      <c r="L34" s="1" t="s">
        <v>10441</v>
      </c>
      <c r="M34" s="1" t="s">
        <v>11404</v>
      </c>
      <c r="N34" s="1" t="s">
        <v>11405</v>
      </c>
      <c r="O34" s="1" t="s">
        <v>11406</v>
      </c>
      <c r="P34" s="1" t="s">
        <v>10417</v>
      </c>
      <c r="Q34" s="1"/>
      <c r="R34" s="1"/>
      <c r="S34" s="1"/>
      <c r="T34" s="1" t="str">
        <f t="shared" si="0"/>
        <v>Source checked; reviewer sign-off not recorded</v>
      </c>
      <c r="U34" s="1" t="s">
        <v>10434</v>
      </c>
      <c r="V34" s="1" t="s">
        <v>11545</v>
      </c>
      <c r="W34" s="1" t="s">
        <v>11546</v>
      </c>
      <c r="X34" s="1" t="s">
        <v>11409</v>
      </c>
      <c r="Y34" s="1">
        <f t="shared" si="1"/>
        <v>0</v>
      </c>
      <c r="Z34" s="1">
        <f t="shared" si="2"/>
        <v>1</v>
      </c>
      <c r="AA34" s="1">
        <f t="shared" si="3"/>
        <v>0</v>
      </c>
      <c r="AB34" s="1">
        <f t="shared" si="4"/>
        <v>1</v>
      </c>
      <c r="AC34" s="1">
        <f t="shared" si="5"/>
        <v>1</v>
      </c>
      <c r="AD34" s="1">
        <f t="shared" si="6"/>
        <v>1</v>
      </c>
      <c r="AE34" s="1">
        <f t="shared" si="7"/>
        <v>1</v>
      </c>
    </row>
    <row r="35" spans="1:31" ht="36" customHeight="1">
      <c r="A35" s="1" t="s">
        <v>5330</v>
      </c>
      <c r="B35" s="1" t="s">
        <v>6019</v>
      </c>
      <c r="C35" s="1" t="s">
        <v>10555</v>
      </c>
      <c r="D35" s="1" t="s">
        <v>10556</v>
      </c>
      <c r="E35" s="1" t="s">
        <v>11401</v>
      </c>
      <c r="F35" s="1" t="s">
        <v>6086</v>
      </c>
      <c r="G35" s="1" t="s">
        <v>11547</v>
      </c>
      <c r="H35" s="1" t="s">
        <v>10564</v>
      </c>
      <c r="I35" s="1" t="s">
        <v>7060</v>
      </c>
      <c r="J35" s="1" t="s">
        <v>7060</v>
      </c>
      <c r="K35" s="1" t="s">
        <v>11548</v>
      </c>
      <c r="L35" s="1" t="s">
        <v>6129</v>
      </c>
      <c r="M35" s="1" t="s">
        <v>11404</v>
      </c>
      <c r="N35" s="1" t="s">
        <v>11405</v>
      </c>
      <c r="O35" s="1" t="s">
        <v>11406</v>
      </c>
      <c r="P35" s="1" t="s">
        <v>10562</v>
      </c>
      <c r="Q35" s="1"/>
      <c r="R35" s="1"/>
      <c r="S35" s="1"/>
      <c r="T35" s="1" t="str">
        <f t="shared" si="0"/>
        <v>Source checked; reviewer sign-off not recorded</v>
      </c>
      <c r="U35" s="1" t="s">
        <v>10579</v>
      </c>
      <c r="V35" s="1" t="s">
        <v>11549</v>
      </c>
      <c r="W35" s="1" t="s">
        <v>11550</v>
      </c>
      <c r="X35" s="1" t="s">
        <v>11409</v>
      </c>
      <c r="Y35" s="1">
        <f t="shared" si="1"/>
        <v>0</v>
      </c>
      <c r="Z35" s="1">
        <f t="shared" si="2"/>
        <v>1</v>
      </c>
      <c r="AA35" s="1">
        <f t="shared" si="3"/>
        <v>0</v>
      </c>
      <c r="AB35" s="1">
        <f t="shared" si="4"/>
        <v>0</v>
      </c>
      <c r="AC35" s="1">
        <f t="shared" si="5"/>
        <v>0</v>
      </c>
      <c r="AD35" s="1">
        <f t="shared" si="6"/>
        <v>0</v>
      </c>
      <c r="AE35" s="1">
        <f t="shared" si="7"/>
        <v>0</v>
      </c>
    </row>
    <row r="36" spans="1:31" ht="36" customHeight="1">
      <c r="A36" s="1" t="s">
        <v>5337</v>
      </c>
      <c r="B36" s="1" t="s">
        <v>6025</v>
      </c>
      <c r="C36" s="1" t="s">
        <v>10659</v>
      </c>
      <c r="D36" s="1" t="s">
        <v>10660</v>
      </c>
      <c r="E36" s="1" t="s">
        <v>11401</v>
      </c>
      <c r="F36" s="1" t="s">
        <v>6086</v>
      </c>
      <c r="G36" s="1" t="s">
        <v>11551</v>
      </c>
      <c r="H36" s="1" t="s">
        <v>10668</v>
      </c>
      <c r="I36" s="1" t="s">
        <v>6101</v>
      </c>
      <c r="J36" s="1" t="s">
        <v>6102</v>
      </c>
      <c r="K36" s="1" t="s">
        <v>11552</v>
      </c>
      <c r="L36" s="1" t="s">
        <v>8419</v>
      </c>
      <c r="M36" s="1" t="s">
        <v>11404</v>
      </c>
      <c r="N36" s="1" t="s">
        <v>11405</v>
      </c>
      <c r="O36" s="1" t="s">
        <v>11406</v>
      </c>
      <c r="P36" s="1" t="s">
        <v>10666</v>
      </c>
      <c r="Q36" s="1"/>
      <c r="R36" s="1"/>
      <c r="S36" s="1"/>
      <c r="T36" s="1" t="str">
        <f t="shared" si="0"/>
        <v>Source checked; reviewer sign-off not recorded</v>
      </c>
      <c r="U36" s="1" t="s">
        <v>10683</v>
      </c>
      <c r="V36" s="1" t="s">
        <v>11553</v>
      </c>
      <c r="W36" s="1" t="s">
        <v>11554</v>
      </c>
      <c r="X36" s="1" t="s">
        <v>11409</v>
      </c>
      <c r="Y36" s="1">
        <f t="shared" si="1"/>
        <v>0</v>
      </c>
      <c r="Z36" s="1">
        <f t="shared" si="2"/>
        <v>0</v>
      </c>
      <c r="AA36" s="1">
        <f t="shared" si="3"/>
        <v>0</v>
      </c>
      <c r="AB36" s="1">
        <f t="shared" si="4"/>
        <v>0</v>
      </c>
      <c r="AC36" s="1">
        <f t="shared" si="5"/>
        <v>1</v>
      </c>
      <c r="AD36" s="1">
        <f t="shared" si="6"/>
        <v>0</v>
      </c>
      <c r="AE36" s="1">
        <f t="shared" si="7"/>
        <v>0</v>
      </c>
    </row>
    <row r="37" spans="1:31" ht="36" customHeight="1">
      <c r="A37" s="1" t="s">
        <v>5352</v>
      </c>
      <c r="B37" s="1" t="s">
        <v>6031</v>
      </c>
      <c r="C37" s="1" t="s">
        <v>10776</v>
      </c>
      <c r="D37" s="1" t="s">
        <v>10777</v>
      </c>
      <c r="E37" s="1" t="s">
        <v>11401</v>
      </c>
      <c r="F37" s="1" t="s">
        <v>6086</v>
      </c>
      <c r="G37" s="1" t="s">
        <v>11555</v>
      </c>
      <c r="H37" s="1" t="s">
        <v>10785</v>
      </c>
      <c r="I37" s="1" t="s">
        <v>6102</v>
      </c>
      <c r="J37" s="1" t="s">
        <v>6102</v>
      </c>
      <c r="K37" s="1" t="s">
        <v>11556</v>
      </c>
      <c r="L37" s="1" t="s">
        <v>6129</v>
      </c>
      <c r="M37" s="1" t="s">
        <v>11404</v>
      </c>
      <c r="N37" s="1" t="s">
        <v>11405</v>
      </c>
      <c r="O37" s="1" t="s">
        <v>11406</v>
      </c>
      <c r="P37" s="1" t="s">
        <v>10783</v>
      </c>
      <c r="Q37" s="1"/>
      <c r="R37" s="1"/>
      <c r="S37" s="1"/>
      <c r="T37" s="1" t="str">
        <f t="shared" si="0"/>
        <v>Source checked; reviewer sign-off not recorded</v>
      </c>
      <c r="U37" s="1" t="s">
        <v>10799</v>
      </c>
      <c r="V37" s="1" t="s">
        <v>11557</v>
      </c>
      <c r="W37" s="1" t="s">
        <v>11558</v>
      </c>
      <c r="X37" s="1" t="s">
        <v>11409</v>
      </c>
      <c r="Y37" s="1">
        <f t="shared" si="1"/>
        <v>0</v>
      </c>
      <c r="Z37" s="1">
        <f t="shared" si="2"/>
        <v>1</v>
      </c>
      <c r="AA37" s="1">
        <f t="shared" si="3"/>
        <v>0</v>
      </c>
      <c r="AB37" s="1">
        <f t="shared" si="4"/>
        <v>0</v>
      </c>
      <c r="AC37" s="1">
        <f t="shared" si="5"/>
        <v>0</v>
      </c>
      <c r="AD37" s="1">
        <f t="shared" si="6"/>
        <v>0</v>
      </c>
      <c r="AE37" s="1">
        <f t="shared" si="7"/>
        <v>0</v>
      </c>
    </row>
    <row r="38" spans="1:31" ht="48" customHeight="1">
      <c r="A38" s="1" t="s">
        <v>5369</v>
      </c>
      <c r="B38" s="1" t="s">
        <v>6037</v>
      </c>
      <c r="C38" s="1" t="s">
        <v>10903</v>
      </c>
      <c r="D38" s="1" t="s">
        <v>10904</v>
      </c>
      <c r="E38" s="1" t="s">
        <v>11428</v>
      </c>
      <c r="F38" s="1" t="s">
        <v>6771</v>
      </c>
      <c r="G38" s="1" t="s">
        <v>11559</v>
      </c>
      <c r="H38" s="1" t="s">
        <v>10914</v>
      </c>
      <c r="I38" s="1" t="s">
        <v>7060</v>
      </c>
      <c r="J38" s="1" t="s">
        <v>7060</v>
      </c>
      <c r="K38" s="1" t="s">
        <v>11560</v>
      </c>
      <c r="L38" s="1" t="s">
        <v>6129</v>
      </c>
      <c r="M38" s="1" t="s">
        <v>11404</v>
      </c>
      <c r="N38" s="1" t="s">
        <v>10627</v>
      </c>
      <c r="O38" s="1" t="s">
        <v>11406</v>
      </c>
      <c r="P38" s="1" t="s">
        <v>10912</v>
      </c>
      <c r="Q38" s="1"/>
      <c r="R38" s="1"/>
      <c r="S38" s="1"/>
      <c r="T38" s="1" t="str">
        <f t="shared" si="0"/>
        <v>Source checked; reviewer sign-off not recorded</v>
      </c>
      <c r="U38" s="1" t="s">
        <v>10928</v>
      </c>
      <c r="V38" s="1" t="s">
        <v>11561</v>
      </c>
      <c r="W38" s="1" t="s">
        <v>11562</v>
      </c>
      <c r="X38" s="1" t="s">
        <v>11433</v>
      </c>
      <c r="Y38" s="1">
        <f t="shared" si="1"/>
        <v>0</v>
      </c>
      <c r="Z38" s="1">
        <f t="shared" si="2"/>
        <v>1</v>
      </c>
      <c r="AA38" s="1">
        <f t="shared" si="3"/>
        <v>0</v>
      </c>
      <c r="AB38" s="1">
        <f t="shared" si="4"/>
        <v>0</v>
      </c>
      <c r="AC38" s="1">
        <f t="shared" si="5"/>
        <v>0</v>
      </c>
      <c r="AD38" s="1">
        <f t="shared" si="6"/>
        <v>0</v>
      </c>
      <c r="AE38" s="1">
        <f t="shared" si="7"/>
        <v>0</v>
      </c>
    </row>
    <row r="39" spans="1:31" ht="48" customHeight="1">
      <c r="A39" s="1" t="s">
        <v>5389</v>
      </c>
      <c r="B39" s="1" t="s">
        <v>6043</v>
      </c>
      <c r="C39" s="1" t="s">
        <v>11023</v>
      </c>
      <c r="D39" s="1" t="s">
        <v>11024</v>
      </c>
      <c r="E39" s="1" t="s">
        <v>11474</v>
      </c>
      <c r="F39" s="1" t="s">
        <v>8150</v>
      </c>
      <c r="G39" s="1" t="s">
        <v>11563</v>
      </c>
      <c r="H39" s="1" t="s">
        <v>11032</v>
      </c>
      <c r="I39" s="1" t="s">
        <v>11033</v>
      </c>
      <c r="J39" s="1" t="s">
        <v>7060</v>
      </c>
      <c r="K39" s="1" t="s">
        <v>11563</v>
      </c>
      <c r="L39" s="1" t="s">
        <v>6129</v>
      </c>
      <c r="M39" s="1" t="s">
        <v>11404</v>
      </c>
      <c r="N39" s="1" t="s">
        <v>11405</v>
      </c>
      <c r="O39" s="1" t="s">
        <v>11406</v>
      </c>
      <c r="P39" s="1" t="s">
        <v>11030</v>
      </c>
      <c r="Q39" s="1"/>
      <c r="R39" s="1"/>
      <c r="S39" s="1"/>
      <c r="T39" s="1" t="str">
        <f t="shared" si="0"/>
        <v>Source checked; reviewer sign-off not recorded</v>
      </c>
      <c r="U39" s="1" t="s">
        <v>11046</v>
      </c>
      <c r="V39" s="1" t="s">
        <v>11564</v>
      </c>
      <c r="W39" s="1" t="s">
        <v>11565</v>
      </c>
      <c r="X39" s="1" t="s">
        <v>11409</v>
      </c>
      <c r="Y39" s="1">
        <f t="shared" si="1"/>
        <v>0</v>
      </c>
      <c r="Z39" s="1">
        <f t="shared" si="2"/>
        <v>1</v>
      </c>
      <c r="AA39" s="1">
        <f t="shared" si="3"/>
        <v>0</v>
      </c>
      <c r="AB39" s="1">
        <f t="shared" si="4"/>
        <v>0</v>
      </c>
      <c r="AC39" s="1">
        <f t="shared" si="5"/>
        <v>0</v>
      </c>
      <c r="AD39" s="1">
        <f t="shared" si="6"/>
        <v>0</v>
      </c>
      <c r="AE39" s="1">
        <f t="shared" si="7"/>
        <v>0</v>
      </c>
    </row>
    <row r="40" spans="1:31" ht="48" customHeight="1">
      <c r="A40" s="1" t="s">
        <v>5413</v>
      </c>
      <c r="B40" s="1" t="s">
        <v>6049</v>
      </c>
      <c r="C40" s="1" t="s">
        <v>11146</v>
      </c>
      <c r="D40" s="1" t="s">
        <v>11147</v>
      </c>
      <c r="E40" s="1" t="s">
        <v>11414</v>
      </c>
      <c r="F40" s="1" t="s">
        <v>6402</v>
      </c>
      <c r="G40" s="1" t="s">
        <v>11566</v>
      </c>
      <c r="H40" s="1" t="s">
        <v>11155</v>
      </c>
      <c r="I40" s="1" t="s">
        <v>6102</v>
      </c>
      <c r="J40" s="1" t="s">
        <v>6102</v>
      </c>
      <c r="K40" s="1" t="s">
        <v>11567</v>
      </c>
      <c r="L40" s="1" t="s">
        <v>11177</v>
      </c>
      <c r="M40" s="1" t="s">
        <v>11404</v>
      </c>
      <c r="N40" s="1" t="s">
        <v>11405</v>
      </c>
      <c r="O40" s="1" t="s">
        <v>11406</v>
      </c>
      <c r="P40" s="1" t="s">
        <v>11153</v>
      </c>
      <c r="Q40" s="1"/>
      <c r="R40" s="1"/>
      <c r="S40" s="1"/>
      <c r="T40" s="1" t="str">
        <f t="shared" si="0"/>
        <v>Source checked; reviewer sign-off not recorded</v>
      </c>
      <c r="U40" s="1" t="s">
        <v>11170</v>
      </c>
      <c r="V40" s="1" t="s">
        <v>11568</v>
      </c>
      <c r="W40" s="1" t="s">
        <v>11569</v>
      </c>
      <c r="X40" s="1" t="s">
        <v>11409</v>
      </c>
      <c r="Y40" s="1">
        <f t="shared" si="1"/>
        <v>0</v>
      </c>
      <c r="Z40" s="1">
        <f t="shared" si="2"/>
        <v>0</v>
      </c>
      <c r="AA40" s="1">
        <f t="shared" si="3"/>
        <v>0</v>
      </c>
      <c r="AB40" s="1">
        <f t="shared" si="4"/>
        <v>0</v>
      </c>
      <c r="AC40" s="1">
        <f t="shared" si="5"/>
        <v>1</v>
      </c>
      <c r="AD40" s="1">
        <f t="shared" si="6"/>
        <v>0</v>
      </c>
      <c r="AE40" s="1">
        <f t="shared" si="7"/>
        <v>1</v>
      </c>
    </row>
    <row r="41" spans="1:31" ht="48" customHeight="1">
      <c r="A41" s="1" t="s">
        <v>5465</v>
      </c>
      <c r="B41" s="1" t="s">
        <v>5805</v>
      </c>
      <c r="C41" s="1"/>
      <c r="D41" s="1"/>
      <c r="E41" s="1" t="s">
        <v>6402</v>
      </c>
      <c r="F41" s="1" t="s">
        <v>6402</v>
      </c>
      <c r="G41" s="1" t="s">
        <v>11570</v>
      </c>
      <c r="H41" s="1"/>
      <c r="I41" s="1"/>
      <c r="J41" s="1" t="s">
        <v>7060</v>
      </c>
      <c r="K41" s="1" t="s">
        <v>5477</v>
      </c>
      <c r="L41" s="1" t="s">
        <v>6802</v>
      </c>
      <c r="M41" s="1" t="s">
        <v>11571</v>
      </c>
      <c r="N41" s="1" t="s">
        <v>11572</v>
      </c>
      <c r="O41" s="1" t="s">
        <v>11573</v>
      </c>
      <c r="P41" s="1" t="s">
        <v>11574</v>
      </c>
      <c r="Q41" s="1"/>
      <c r="R41" s="1"/>
      <c r="S41" s="1"/>
      <c r="T41" s="1" t="s">
        <v>11575</v>
      </c>
      <c r="U41" s="1" t="s">
        <v>11570</v>
      </c>
      <c r="V41" s="1" t="s">
        <v>5477</v>
      </c>
      <c r="W41" s="1" t="s">
        <v>5498</v>
      </c>
      <c r="X41" s="1" t="s">
        <v>11576</v>
      </c>
      <c r="Y41" s="1">
        <v>0</v>
      </c>
      <c r="Z41" s="1">
        <v>1</v>
      </c>
      <c r="AA41" s="1">
        <v>0</v>
      </c>
      <c r="AB41" s="1">
        <v>0</v>
      </c>
      <c r="AC41" s="1">
        <v>1</v>
      </c>
      <c r="AD41" s="1">
        <v>0</v>
      </c>
      <c r="AE41" s="1">
        <v>0</v>
      </c>
    </row>
    <row r="42" spans="1:31" ht="72" customHeight="1">
      <c r="A42" s="1" t="s">
        <v>5504</v>
      </c>
      <c r="B42" s="1" t="s">
        <v>5810</v>
      </c>
      <c r="C42" s="1"/>
      <c r="D42" s="1"/>
      <c r="E42" s="1" t="s">
        <v>6086</v>
      </c>
      <c r="F42" s="1" t="s">
        <v>6086</v>
      </c>
      <c r="G42" s="1" t="s">
        <v>11577</v>
      </c>
      <c r="H42" s="1"/>
      <c r="I42" s="1"/>
      <c r="J42" s="1" t="s">
        <v>6102</v>
      </c>
      <c r="K42" s="1" t="s">
        <v>5511</v>
      </c>
      <c r="L42" s="1" t="s">
        <v>11578</v>
      </c>
      <c r="M42" s="1" t="s">
        <v>11571</v>
      </c>
      <c r="N42" s="1" t="s">
        <v>11579</v>
      </c>
      <c r="O42" s="1" t="s">
        <v>11573</v>
      </c>
      <c r="P42" s="1" t="s">
        <v>11320</v>
      </c>
      <c r="Q42" s="1"/>
      <c r="R42" s="1"/>
      <c r="S42" s="1"/>
      <c r="T42" s="1" t="s">
        <v>11575</v>
      </c>
      <c r="U42" s="1" t="s">
        <v>11577</v>
      </c>
      <c r="V42" s="1" t="s">
        <v>5511</v>
      </c>
      <c r="W42" s="1" t="s">
        <v>5531</v>
      </c>
      <c r="X42" s="1" t="s">
        <v>11576</v>
      </c>
      <c r="Y42" s="1">
        <v>0</v>
      </c>
      <c r="Z42" s="1">
        <v>1</v>
      </c>
      <c r="AA42" s="1">
        <v>0</v>
      </c>
      <c r="AB42" s="1">
        <v>1</v>
      </c>
      <c r="AC42" s="1">
        <v>0</v>
      </c>
      <c r="AD42" s="1">
        <v>1</v>
      </c>
      <c r="AE42" s="1">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8"/>
  <sheetViews>
    <sheetView showGridLines="0" workbookViewId="0"/>
  </sheetViews>
  <sheetFormatPr baseColWidth="10" defaultColWidth="8.83203125" defaultRowHeight="15"/>
  <cols>
    <col min="1" max="2" width="34" customWidth="1"/>
    <col min="3" max="4" width="16" customWidth="1"/>
    <col min="5" max="6" width="34" customWidth="1"/>
  </cols>
  <sheetData>
    <row r="1" spans="1:6" ht="38" customHeight="1">
      <c r="A1" s="2" t="s">
        <v>11580</v>
      </c>
      <c r="B1" s="2" t="s">
        <v>11581</v>
      </c>
      <c r="C1" s="2" t="s">
        <v>11372</v>
      </c>
      <c r="D1" s="2" t="s">
        <v>11373</v>
      </c>
      <c r="E1" s="2" t="s">
        <v>11374</v>
      </c>
      <c r="F1" s="2" t="s">
        <v>11582</v>
      </c>
    </row>
    <row r="2" spans="1:6" ht="36" customHeight="1">
      <c r="A2" s="1" t="s">
        <v>11583</v>
      </c>
      <c r="B2" s="1" t="s">
        <v>8150</v>
      </c>
      <c r="C2" s="1">
        <f>COUNTIF('S5 category proposals'!$F$2:$F$42,B2)</f>
        <v>4</v>
      </c>
      <c r="D2" s="1">
        <v>41</v>
      </c>
      <c r="E2" s="1">
        <f t="shared" ref="E2:E18" si="0">IF(D2=0,"",C2/D2)</f>
        <v>9.7560975609756101E-2</v>
      </c>
      <c r="F2" s="1" t="s">
        <v>11584</v>
      </c>
    </row>
    <row r="3" spans="1:6" ht="36" customHeight="1">
      <c r="A3" s="1" t="s">
        <v>11583</v>
      </c>
      <c r="B3" s="1" t="s">
        <v>6643</v>
      </c>
      <c r="C3" s="1">
        <f>COUNTIF('S5 category proposals'!$F$2:$F$42,B3)</f>
        <v>3</v>
      </c>
      <c r="D3" s="1">
        <v>41</v>
      </c>
      <c r="E3" s="1">
        <f t="shared" si="0"/>
        <v>7.3170731707317069E-2</v>
      </c>
      <c r="F3" s="1" t="s">
        <v>11584</v>
      </c>
    </row>
    <row r="4" spans="1:6" ht="36" customHeight="1">
      <c r="A4" s="1" t="s">
        <v>11583</v>
      </c>
      <c r="B4" s="1" t="s">
        <v>6402</v>
      </c>
      <c r="C4" s="1">
        <f>COUNTIF('S5 category proposals'!$F$2:$F$42,B4)</f>
        <v>10</v>
      </c>
      <c r="D4" s="1">
        <v>41</v>
      </c>
      <c r="E4" s="1">
        <f t="shared" si="0"/>
        <v>0.24390243902439024</v>
      </c>
      <c r="F4" s="1" t="s">
        <v>11584</v>
      </c>
    </row>
    <row r="5" spans="1:6" ht="36" customHeight="1">
      <c r="A5" s="1" t="s">
        <v>11583</v>
      </c>
      <c r="B5" s="1" t="s">
        <v>6086</v>
      </c>
      <c r="C5" s="1">
        <f>COUNTIF('S5 category proposals'!$F$2:$F$42,B5)</f>
        <v>13</v>
      </c>
      <c r="D5" s="1">
        <v>41</v>
      </c>
      <c r="E5" s="1">
        <f t="shared" si="0"/>
        <v>0.31707317073170732</v>
      </c>
      <c r="F5" s="1" t="s">
        <v>11584</v>
      </c>
    </row>
    <row r="6" spans="1:6" ht="36" customHeight="1">
      <c r="A6" s="1" t="s">
        <v>11583</v>
      </c>
      <c r="B6" s="1" t="s">
        <v>7186</v>
      </c>
      <c r="C6" s="1">
        <f>COUNTIF('S5 category proposals'!$F$2:$F$42,B6)</f>
        <v>2</v>
      </c>
      <c r="D6" s="1">
        <v>41</v>
      </c>
      <c r="E6" s="1">
        <f t="shared" si="0"/>
        <v>4.878048780487805E-2</v>
      </c>
      <c r="F6" s="1" t="s">
        <v>11584</v>
      </c>
    </row>
    <row r="7" spans="1:6" ht="36" customHeight="1">
      <c r="A7" s="1" t="s">
        <v>11583</v>
      </c>
      <c r="B7" s="1" t="s">
        <v>6771</v>
      </c>
      <c r="C7" s="1">
        <f>COUNTIF('S5 category proposals'!$F$2:$F$42,B7)</f>
        <v>5</v>
      </c>
      <c r="D7" s="1">
        <v>41</v>
      </c>
      <c r="E7" s="1">
        <f t="shared" si="0"/>
        <v>0.12195121951219512</v>
      </c>
      <c r="F7" s="1" t="s">
        <v>11584</v>
      </c>
    </row>
    <row r="8" spans="1:6" ht="36" customHeight="1">
      <c r="A8" s="1" t="s">
        <v>11583</v>
      </c>
      <c r="B8" s="1" t="s">
        <v>7327</v>
      </c>
      <c r="C8" s="1">
        <f>COUNTIF('S5 category proposals'!$F$2:$F$42,B8)</f>
        <v>4</v>
      </c>
      <c r="D8" s="1">
        <v>41</v>
      </c>
      <c r="E8" s="1">
        <f t="shared" si="0"/>
        <v>9.7560975609756101E-2</v>
      </c>
      <c r="F8" s="1" t="s">
        <v>11584</v>
      </c>
    </row>
    <row r="9" spans="1:6" ht="36" customHeight="1">
      <c r="A9" s="1" t="s">
        <v>11585</v>
      </c>
      <c r="B9" s="1" t="s">
        <v>7060</v>
      </c>
      <c r="C9" s="1">
        <f>COUNTIF('S5 category proposals'!$J$2:$J$42,B9)</f>
        <v>7</v>
      </c>
      <c r="D9" s="1">
        <v>41</v>
      </c>
      <c r="E9" s="1">
        <f t="shared" si="0"/>
        <v>0.17073170731707318</v>
      </c>
      <c r="F9" s="1" t="s">
        <v>11584</v>
      </c>
    </row>
    <row r="10" spans="1:6" ht="36" customHeight="1">
      <c r="A10" s="1" t="s">
        <v>11585</v>
      </c>
      <c r="B10" s="1" t="s">
        <v>8530</v>
      </c>
      <c r="C10" s="1">
        <f>COUNTIF('S5 category proposals'!$J$2:$J$42,B10)</f>
        <v>1</v>
      </c>
      <c r="D10" s="1">
        <v>41</v>
      </c>
      <c r="E10" s="1">
        <f t="shared" si="0"/>
        <v>2.4390243902439025E-2</v>
      </c>
      <c r="F10" s="1" t="s">
        <v>11584</v>
      </c>
    </row>
    <row r="11" spans="1:6" ht="36" customHeight="1">
      <c r="A11" s="1" t="s">
        <v>11585</v>
      </c>
      <c r="B11" s="1" t="s">
        <v>6102</v>
      </c>
      <c r="C11" s="1">
        <f>COUNTIF('S5 category proposals'!$J$2:$J$42,B11)</f>
        <v>33</v>
      </c>
      <c r="D11" s="1">
        <v>41</v>
      </c>
      <c r="E11" s="1">
        <f t="shared" si="0"/>
        <v>0.80487804878048785</v>
      </c>
      <c r="F11" s="1" t="s">
        <v>11584</v>
      </c>
    </row>
    <row r="12" spans="1:6" ht="24" customHeight="1">
      <c r="A12" s="1" t="s">
        <v>11586</v>
      </c>
      <c r="B12" s="1" t="s">
        <v>11397</v>
      </c>
      <c r="C12" s="1">
        <f>SUM('S5 category proposals'!$Y$2:$Y$42)</f>
        <v>1</v>
      </c>
      <c r="D12" s="1">
        <v>41</v>
      </c>
      <c r="E12" s="1">
        <f t="shared" si="0"/>
        <v>2.4390243902439025E-2</v>
      </c>
      <c r="F12" s="1" t="s">
        <v>11587</v>
      </c>
    </row>
    <row r="13" spans="1:6" ht="24" customHeight="1">
      <c r="A13" s="1" t="s">
        <v>11586</v>
      </c>
      <c r="B13" s="1" t="s">
        <v>6129</v>
      </c>
      <c r="C13" s="1">
        <f>SUM('S5 category proposals'!$Z$2:$Z$42)</f>
        <v>36</v>
      </c>
      <c r="D13" s="1">
        <v>41</v>
      </c>
      <c r="E13" s="1">
        <f t="shared" si="0"/>
        <v>0.87804878048780488</v>
      </c>
      <c r="F13" s="1" t="s">
        <v>11587</v>
      </c>
    </row>
    <row r="14" spans="1:6" ht="24" customHeight="1">
      <c r="A14" s="1" t="s">
        <v>11586</v>
      </c>
      <c r="B14" s="1" t="s">
        <v>8810</v>
      </c>
      <c r="C14" s="1">
        <f>SUM('S5 category proposals'!$AA$2:$AA$42)</f>
        <v>2</v>
      </c>
      <c r="D14" s="1">
        <v>41</v>
      </c>
      <c r="E14" s="1">
        <f t="shared" si="0"/>
        <v>4.878048780487805E-2</v>
      </c>
      <c r="F14" s="1" t="s">
        <v>11587</v>
      </c>
    </row>
    <row r="15" spans="1:6" ht="24" customHeight="1">
      <c r="A15" s="1" t="s">
        <v>11586</v>
      </c>
      <c r="B15" s="1" t="s">
        <v>11398</v>
      </c>
      <c r="C15" s="1">
        <f>SUM('S5 category proposals'!$AB$2:$AB$42)</f>
        <v>8</v>
      </c>
      <c r="D15" s="1">
        <v>41</v>
      </c>
      <c r="E15" s="1">
        <f t="shared" si="0"/>
        <v>0.1951219512195122</v>
      </c>
      <c r="F15" s="1" t="s">
        <v>11587</v>
      </c>
    </row>
    <row r="16" spans="1:6" ht="24" customHeight="1">
      <c r="A16" s="1" t="s">
        <v>11586</v>
      </c>
      <c r="B16" s="1" t="s">
        <v>8419</v>
      </c>
      <c r="C16" s="1">
        <f>SUM('S5 category proposals'!$AC$2:$AC$42)</f>
        <v>13</v>
      </c>
      <c r="D16" s="1">
        <v>41</v>
      </c>
      <c r="E16" s="1">
        <f t="shared" si="0"/>
        <v>0.31707317073170732</v>
      </c>
      <c r="F16" s="1" t="s">
        <v>11587</v>
      </c>
    </row>
    <row r="17" spans="1:6" ht="24" customHeight="1">
      <c r="A17" s="1" t="s">
        <v>11586</v>
      </c>
      <c r="B17" s="1" t="s">
        <v>11399</v>
      </c>
      <c r="C17" s="1">
        <f>SUM('S5 category proposals'!$AD$2:$AD$42)</f>
        <v>3</v>
      </c>
      <c r="D17" s="1">
        <v>41</v>
      </c>
      <c r="E17" s="1">
        <f t="shared" si="0"/>
        <v>7.3170731707317069E-2</v>
      </c>
      <c r="F17" s="1" t="s">
        <v>11587</v>
      </c>
    </row>
    <row r="18" spans="1:6" ht="24" customHeight="1">
      <c r="A18" s="1" t="s">
        <v>11586</v>
      </c>
      <c r="B18" s="1" t="s">
        <v>11400</v>
      </c>
      <c r="C18" s="1">
        <f>SUM('S5 category proposals'!$AE$2:$AE$42)</f>
        <v>10</v>
      </c>
      <c r="D18" s="1">
        <v>41</v>
      </c>
      <c r="E18" s="1">
        <f t="shared" si="0"/>
        <v>0.24390243902439024</v>
      </c>
      <c r="F18" s="1" t="s">
        <v>11587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5"/>
  <sheetViews>
    <sheetView showGridLines="0" workbookViewId="0"/>
  </sheetViews>
  <sheetFormatPr baseColWidth="10" defaultColWidth="8.83203125" defaultRowHeight="15"/>
  <cols>
    <col min="1" max="2" width="34" customWidth="1"/>
    <col min="3" max="3" width="16" customWidth="1"/>
    <col min="4" max="4" width="58" customWidth="1"/>
    <col min="5" max="7" width="34" customWidth="1"/>
  </cols>
  <sheetData>
    <row r="1" spans="1:7" ht="38" customHeight="1">
      <c r="A1" s="2" t="s">
        <v>11588</v>
      </c>
      <c r="B1" s="2" t="s">
        <v>11589</v>
      </c>
      <c r="C1" s="2" t="s">
        <v>11590</v>
      </c>
      <c r="D1" s="2" t="s">
        <v>11591</v>
      </c>
      <c r="E1" s="2" t="s">
        <v>11592</v>
      </c>
      <c r="F1" s="2" t="s">
        <v>11593</v>
      </c>
      <c r="G1" s="2" t="s">
        <v>9</v>
      </c>
    </row>
    <row r="2" spans="1:7" ht="36" customHeight="1">
      <c r="A2" s="1" t="s">
        <v>11594</v>
      </c>
      <c r="B2" s="1" t="s">
        <v>4834</v>
      </c>
      <c r="C2" s="1" t="s">
        <v>11595</v>
      </c>
      <c r="D2" s="1" t="s">
        <v>11596</v>
      </c>
      <c r="E2" s="1" t="s">
        <v>11597</v>
      </c>
      <c r="F2" s="1" t="s">
        <v>11598</v>
      </c>
      <c r="G2" s="1" t="s">
        <v>11599</v>
      </c>
    </row>
    <row r="3" spans="1:7" ht="24" customHeight="1">
      <c r="A3" s="1" t="s">
        <v>11594</v>
      </c>
      <c r="B3" s="1" t="s">
        <v>4834</v>
      </c>
      <c r="C3" s="1" t="s">
        <v>11600</v>
      </c>
      <c r="D3" s="1" t="s">
        <v>11601</v>
      </c>
      <c r="E3" s="1" t="s">
        <v>11602</v>
      </c>
      <c r="F3" s="1" t="s">
        <v>11603</v>
      </c>
      <c r="G3" s="1" t="s">
        <v>11604</v>
      </c>
    </row>
    <row r="4" spans="1:7" ht="24" customHeight="1">
      <c r="A4" s="1" t="s">
        <v>11594</v>
      </c>
      <c r="B4" s="1" t="s">
        <v>4834</v>
      </c>
      <c r="C4" s="1" t="s">
        <v>11605</v>
      </c>
      <c r="D4" s="1" t="s">
        <v>11606</v>
      </c>
      <c r="E4" s="1" t="s">
        <v>11607</v>
      </c>
      <c r="F4" s="1" t="s">
        <v>11603</v>
      </c>
      <c r="G4" s="1" t="s">
        <v>11608</v>
      </c>
    </row>
    <row r="5" spans="1:7" ht="24" customHeight="1">
      <c r="A5" s="1" t="s">
        <v>11594</v>
      </c>
      <c r="B5" s="1" t="s">
        <v>4834</v>
      </c>
      <c r="C5" s="1" t="s">
        <v>11609</v>
      </c>
      <c r="D5" s="1" t="s">
        <v>11610</v>
      </c>
      <c r="E5" s="1" t="s">
        <v>11611</v>
      </c>
      <c r="F5" s="1" t="s">
        <v>11598</v>
      </c>
      <c r="G5" s="1" t="s">
        <v>11612</v>
      </c>
    </row>
    <row r="6" spans="1:7" ht="36" customHeight="1">
      <c r="A6" s="1" t="s">
        <v>11594</v>
      </c>
      <c r="B6" s="1" t="s">
        <v>4834</v>
      </c>
      <c r="C6" s="1" t="s">
        <v>11613</v>
      </c>
      <c r="D6" s="1" t="s">
        <v>11614</v>
      </c>
      <c r="E6" s="1" t="s">
        <v>11615</v>
      </c>
      <c r="F6" s="1" t="s">
        <v>11603</v>
      </c>
      <c r="G6" s="1" t="s">
        <v>11616</v>
      </c>
    </row>
    <row r="7" spans="1:7" ht="24" customHeight="1">
      <c r="A7" s="1" t="s">
        <v>11617</v>
      </c>
      <c r="B7" s="1" t="s">
        <v>4703</v>
      </c>
      <c r="C7" s="1" t="s">
        <v>11618</v>
      </c>
      <c r="D7" s="1" t="s">
        <v>11619</v>
      </c>
      <c r="E7" s="1" t="s">
        <v>11620</v>
      </c>
      <c r="F7" s="1" t="s">
        <v>11598</v>
      </c>
      <c r="G7" s="1" t="s">
        <v>11621</v>
      </c>
    </row>
    <row r="8" spans="1:7" ht="24" customHeight="1">
      <c r="A8" s="1" t="s">
        <v>11617</v>
      </c>
      <c r="B8" s="1" t="s">
        <v>4703</v>
      </c>
      <c r="C8" s="1" t="s">
        <v>11622</v>
      </c>
      <c r="D8" s="1" t="s">
        <v>11623</v>
      </c>
      <c r="E8" s="1" t="s">
        <v>11624</v>
      </c>
      <c r="F8" s="1" t="s">
        <v>11598</v>
      </c>
      <c r="G8" s="1" t="s">
        <v>11625</v>
      </c>
    </row>
    <row r="9" spans="1:7" ht="24" customHeight="1">
      <c r="A9" s="1" t="s">
        <v>11617</v>
      </c>
      <c r="B9" s="1" t="s">
        <v>4703</v>
      </c>
      <c r="C9" s="1" t="s">
        <v>11626</v>
      </c>
      <c r="D9" s="1" t="s">
        <v>11627</v>
      </c>
      <c r="E9" s="1" t="s">
        <v>11628</v>
      </c>
      <c r="F9" s="1" t="s">
        <v>11598</v>
      </c>
      <c r="G9" s="1" t="s">
        <v>11629</v>
      </c>
    </row>
    <row r="10" spans="1:7" ht="24" customHeight="1">
      <c r="A10" s="1" t="s">
        <v>11617</v>
      </c>
      <c r="B10" s="1" t="s">
        <v>4703</v>
      </c>
      <c r="C10" s="1" t="s">
        <v>11630</v>
      </c>
      <c r="D10" s="1" t="s">
        <v>11631</v>
      </c>
      <c r="E10" s="1" t="s">
        <v>11632</v>
      </c>
      <c r="F10" s="1" t="s">
        <v>11598</v>
      </c>
      <c r="G10" s="1" t="s">
        <v>11633</v>
      </c>
    </row>
    <row r="11" spans="1:7" ht="36" customHeight="1">
      <c r="A11" s="1" t="s">
        <v>11617</v>
      </c>
      <c r="B11" s="1" t="s">
        <v>4703</v>
      </c>
      <c r="C11" s="1" t="s">
        <v>11634</v>
      </c>
      <c r="D11" s="1" t="s">
        <v>11635</v>
      </c>
      <c r="E11" s="1" t="s">
        <v>11636</v>
      </c>
      <c r="F11" s="1" t="s">
        <v>11598</v>
      </c>
      <c r="G11" s="1" t="s">
        <v>11637</v>
      </c>
    </row>
    <row r="12" spans="1:7" ht="24" customHeight="1">
      <c r="A12" s="1" t="s">
        <v>11638</v>
      </c>
      <c r="B12" s="1" t="s">
        <v>4835</v>
      </c>
      <c r="C12" s="1"/>
      <c r="D12" s="1" t="s">
        <v>11639</v>
      </c>
      <c r="E12" s="1"/>
      <c r="F12" s="1" t="s">
        <v>11640</v>
      </c>
      <c r="G12" s="1" t="s">
        <v>11641</v>
      </c>
    </row>
    <row r="13" spans="1:7" ht="24" customHeight="1">
      <c r="A13" s="1" t="s">
        <v>11638</v>
      </c>
      <c r="B13" s="1" t="s">
        <v>4704</v>
      </c>
      <c r="C13" s="1"/>
      <c r="D13" s="1" t="s">
        <v>11642</v>
      </c>
      <c r="E13" s="1"/>
      <c r="F13" s="1" t="s">
        <v>11640</v>
      </c>
      <c r="G13" s="1" t="s">
        <v>11643</v>
      </c>
    </row>
    <row r="14" spans="1:7" ht="72" customHeight="1">
      <c r="A14" s="1" t="s">
        <v>11644</v>
      </c>
      <c r="B14" s="1" t="s">
        <v>11645</v>
      </c>
      <c r="C14" s="1" t="s">
        <v>11646</v>
      </c>
      <c r="D14" s="1" t="s">
        <v>11647</v>
      </c>
      <c r="E14" s="1" t="s">
        <v>11648</v>
      </c>
      <c r="F14" s="1" t="s">
        <v>11649</v>
      </c>
      <c r="G14" s="1" t="s">
        <v>11650</v>
      </c>
    </row>
    <row r="15" spans="1:7" ht="132" customHeight="1">
      <c r="A15" s="1" t="s">
        <v>11651</v>
      </c>
      <c r="B15" s="1" t="s">
        <v>11652</v>
      </c>
      <c r="C15" s="1" t="s">
        <v>11653</v>
      </c>
      <c r="D15" s="1" t="s">
        <v>11654</v>
      </c>
      <c r="E15" s="1" t="s">
        <v>11655</v>
      </c>
      <c r="F15" s="1" t="s">
        <v>11656</v>
      </c>
      <c r="G15" s="1" t="s">
        <v>11657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R83"/>
  <sheetViews>
    <sheetView showGridLines="0" workbookViewId="0">
      <pane xSplit="1" ySplit="1" topLeftCell="B2" activePane="bottomRight" state="frozen"/>
      <selection pane="topRight"/>
      <selection pane="bottomLeft"/>
      <selection pane="bottomRight" activeCell="B2" sqref="B2"/>
    </sheetView>
  </sheetViews>
  <sheetFormatPr baseColWidth="10" defaultColWidth="8.83203125" defaultRowHeight="15"/>
  <cols>
    <col min="1" max="4" width="34" customWidth="1"/>
    <col min="5" max="7" width="16" customWidth="1"/>
    <col min="8" max="8" width="34" customWidth="1"/>
    <col min="9" max="14" width="58" customWidth="1"/>
    <col min="15" max="18" width="34" customWidth="1"/>
  </cols>
  <sheetData>
    <row r="1" spans="1:18" ht="38" customHeight="1">
      <c r="A1" s="2" t="s">
        <v>37</v>
      </c>
      <c r="B1" s="2" t="s">
        <v>4670</v>
      </c>
      <c r="C1" s="2" t="s">
        <v>4671</v>
      </c>
      <c r="D1" s="2" t="s">
        <v>4672</v>
      </c>
      <c r="E1" s="2" t="s">
        <v>4673</v>
      </c>
      <c r="F1" s="2" t="s">
        <v>4674</v>
      </c>
      <c r="G1" s="2" t="s">
        <v>11658</v>
      </c>
      <c r="H1" s="2" t="s">
        <v>11659</v>
      </c>
      <c r="I1" s="2" t="s">
        <v>4677</v>
      </c>
      <c r="J1" s="2" t="s">
        <v>4678</v>
      </c>
      <c r="K1" s="2" t="s">
        <v>4679</v>
      </c>
      <c r="L1" s="2" t="s">
        <v>4680</v>
      </c>
      <c r="M1" s="2" t="s">
        <v>4681</v>
      </c>
      <c r="N1" s="2" t="s">
        <v>4682</v>
      </c>
      <c r="O1" s="2" t="s">
        <v>4683</v>
      </c>
      <c r="P1" s="2" t="s">
        <v>4684</v>
      </c>
      <c r="Q1" s="2" t="s">
        <v>4685</v>
      </c>
      <c r="R1" s="2" t="s">
        <v>4686</v>
      </c>
    </row>
    <row r="2" spans="1:18" ht="36" customHeight="1">
      <c r="A2" s="1" t="s">
        <v>4687</v>
      </c>
      <c r="B2" s="1" t="s">
        <v>4702</v>
      </c>
      <c r="C2" s="1" t="s">
        <v>4834</v>
      </c>
      <c r="D2" s="1" t="s">
        <v>4835</v>
      </c>
      <c r="E2" s="1">
        <v>4</v>
      </c>
      <c r="F2" s="1">
        <v>4</v>
      </c>
      <c r="G2" s="1">
        <v>4</v>
      </c>
      <c r="H2" s="1" t="s">
        <v>4631</v>
      </c>
      <c r="I2" s="1" t="s">
        <v>11660</v>
      </c>
      <c r="J2" s="1" t="s">
        <v>4788</v>
      </c>
      <c r="K2" s="1" t="s">
        <v>11661</v>
      </c>
      <c r="L2" s="1"/>
      <c r="M2" s="1"/>
      <c r="N2" s="1"/>
      <c r="O2" s="1"/>
      <c r="P2" s="1" t="s">
        <v>11662</v>
      </c>
      <c r="Q2" s="1" t="s">
        <v>11663</v>
      </c>
      <c r="R2" s="1"/>
    </row>
    <row r="3" spans="1:18" ht="24" customHeight="1">
      <c r="A3" s="1" t="s">
        <v>4687</v>
      </c>
      <c r="B3" s="1" t="s">
        <v>4702</v>
      </c>
      <c r="C3" s="1" t="s">
        <v>4703</v>
      </c>
      <c r="D3" s="1" t="s">
        <v>4704</v>
      </c>
      <c r="E3" s="1">
        <v>4</v>
      </c>
      <c r="F3" s="1">
        <v>4</v>
      </c>
      <c r="G3" s="1">
        <v>4</v>
      </c>
      <c r="H3" s="1" t="s">
        <v>4631</v>
      </c>
      <c r="I3" s="1" t="s">
        <v>11664</v>
      </c>
      <c r="J3" s="1" t="s">
        <v>4788</v>
      </c>
      <c r="K3" s="1" t="s">
        <v>11665</v>
      </c>
      <c r="L3" s="1"/>
      <c r="M3" s="1"/>
      <c r="N3" s="1"/>
      <c r="O3" s="1"/>
      <c r="P3" s="1" t="s">
        <v>11666</v>
      </c>
      <c r="Q3" s="1" t="s">
        <v>11667</v>
      </c>
      <c r="R3" s="1"/>
    </row>
    <row r="4" spans="1:18" ht="24" customHeight="1">
      <c r="A4" s="1" t="s">
        <v>4701</v>
      </c>
      <c r="B4" s="1" t="s">
        <v>4702</v>
      </c>
      <c r="C4" s="1" t="s">
        <v>4834</v>
      </c>
      <c r="D4" s="1" t="s">
        <v>4835</v>
      </c>
      <c r="E4" s="1">
        <v>2</v>
      </c>
      <c r="F4" s="1">
        <v>2</v>
      </c>
      <c r="G4" s="1">
        <v>2</v>
      </c>
      <c r="H4" s="1" t="s">
        <v>4631</v>
      </c>
      <c r="I4" s="1" t="s">
        <v>11668</v>
      </c>
      <c r="J4" s="1" t="s">
        <v>5215</v>
      </c>
      <c r="K4" s="1" t="s">
        <v>11669</v>
      </c>
      <c r="L4" s="1"/>
      <c r="M4" s="1"/>
      <c r="N4" s="1"/>
      <c r="O4" s="1"/>
      <c r="P4" s="1" t="s">
        <v>11670</v>
      </c>
      <c r="Q4" s="1" t="s">
        <v>11671</v>
      </c>
      <c r="R4" s="1"/>
    </row>
    <row r="5" spans="1:18" ht="72" customHeight="1">
      <c r="A5" s="1" t="s">
        <v>4701</v>
      </c>
      <c r="B5" s="1" t="s">
        <v>4702</v>
      </c>
      <c r="C5" s="1" t="s">
        <v>4703</v>
      </c>
      <c r="D5" s="1" t="s">
        <v>4704</v>
      </c>
      <c r="E5" s="1">
        <v>4</v>
      </c>
      <c r="F5" s="1">
        <v>3</v>
      </c>
      <c r="G5" s="1">
        <v>4</v>
      </c>
      <c r="H5" s="1" t="s">
        <v>4691</v>
      </c>
      <c r="I5" s="1" t="s">
        <v>4705</v>
      </c>
      <c r="J5" s="1" t="s">
        <v>4706</v>
      </c>
      <c r="K5" s="1" t="s">
        <v>4707</v>
      </c>
      <c r="L5" s="1" t="s">
        <v>4708</v>
      </c>
      <c r="M5" s="1" t="s">
        <v>4709</v>
      </c>
      <c r="N5" s="1" t="s">
        <v>4710</v>
      </c>
      <c r="O5" s="1" t="s">
        <v>4697</v>
      </c>
      <c r="P5" s="1" t="s">
        <v>4711</v>
      </c>
      <c r="Q5" s="1" t="s">
        <v>4712</v>
      </c>
      <c r="R5" s="1" t="s">
        <v>4713</v>
      </c>
    </row>
    <row r="6" spans="1:18" ht="96" customHeight="1">
      <c r="A6" s="1" t="s">
        <v>4725</v>
      </c>
      <c r="B6" s="1" t="s">
        <v>4702</v>
      </c>
      <c r="C6" s="1" t="s">
        <v>4834</v>
      </c>
      <c r="D6" s="1" t="s">
        <v>4835</v>
      </c>
      <c r="E6" s="1">
        <v>2</v>
      </c>
      <c r="F6" s="1">
        <v>2</v>
      </c>
      <c r="G6" s="1">
        <v>2</v>
      </c>
      <c r="H6" s="1" t="s">
        <v>4631</v>
      </c>
      <c r="I6" s="1" t="s">
        <v>6528</v>
      </c>
      <c r="J6" s="1" t="s">
        <v>4788</v>
      </c>
      <c r="K6" s="1" t="s">
        <v>11672</v>
      </c>
      <c r="L6" s="1"/>
      <c r="M6" s="1"/>
      <c r="N6" s="1"/>
      <c r="O6" s="1"/>
      <c r="P6" s="1" t="s">
        <v>11673</v>
      </c>
      <c r="Q6" s="1" t="s">
        <v>11674</v>
      </c>
      <c r="R6" s="1"/>
    </row>
    <row r="7" spans="1:18" ht="84" customHeight="1">
      <c r="A7" s="1" t="s">
        <v>4725</v>
      </c>
      <c r="B7" s="1" t="s">
        <v>4702</v>
      </c>
      <c r="C7" s="1" t="s">
        <v>4703</v>
      </c>
      <c r="D7" s="1" t="s">
        <v>4704</v>
      </c>
      <c r="E7" s="1">
        <v>2</v>
      </c>
      <c r="F7" s="1">
        <v>3</v>
      </c>
      <c r="G7" s="1">
        <v>4</v>
      </c>
      <c r="H7" s="1" t="s">
        <v>4691</v>
      </c>
      <c r="I7" s="1" t="s">
        <v>4726</v>
      </c>
      <c r="J7" s="1"/>
      <c r="K7" s="1" t="s">
        <v>4727</v>
      </c>
      <c r="L7" s="1" t="s">
        <v>4728</v>
      </c>
      <c r="M7" s="1" t="s">
        <v>4729</v>
      </c>
      <c r="N7" s="1" t="s">
        <v>4730</v>
      </c>
      <c r="O7" s="1" t="s">
        <v>4697</v>
      </c>
      <c r="P7" s="1" t="s">
        <v>4731</v>
      </c>
      <c r="Q7" s="1" t="s">
        <v>4732</v>
      </c>
      <c r="R7" s="1" t="s">
        <v>4733</v>
      </c>
    </row>
    <row r="8" spans="1:18" ht="48" customHeight="1">
      <c r="A8" s="1" t="s">
        <v>4762</v>
      </c>
      <c r="B8" s="1" t="s">
        <v>4702</v>
      </c>
      <c r="C8" s="1" t="s">
        <v>4834</v>
      </c>
      <c r="D8" s="1" t="s">
        <v>4835</v>
      </c>
      <c r="E8" s="1">
        <v>4</v>
      </c>
      <c r="F8" s="1">
        <v>4</v>
      </c>
      <c r="G8" s="1">
        <v>4</v>
      </c>
      <c r="H8" s="1" t="s">
        <v>4631</v>
      </c>
      <c r="I8" s="1" t="s">
        <v>11675</v>
      </c>
      <c r="J8" s="1" t="s">
        <v>4845</v>
      </c>
      <c r="K8" s="1" t="s">
        <v>11676</v>
      </c>
      <c r="L8" s="1"/>
      <c r="M8" s="1"/>
      <c r="N8" s="1"/>
      <c r="O8" s="1"/>
      <c r="P8" s="1" t="s">
        <v>11677</v>
      </c>
      <c r="Q8" s="1" t="s">
        <v>11678</v>
      </c>
      <c r="R8" s="1"/>
    </row>
    <row r="9" spans="1:18" ht="24" customHeight="1">
      <c r="A9" s="1" t="s">
        <v>4762</v>
      </c>
      <c r="B9" s="1" t="s">
        <v>4702</v>
      </c>
      <c r="C9" s="1" t="s">
        <v>4703</v>
      </c>
      <c r="D9" s="1" t="s">
        <v>4704</v>
      </c>
      <c r="E9" s="1">
        <v>4</v>
      </c>
      <c r="F9" s="1">
        <v>4</v>
      </c>
      <c r="G9" s="1">
        <v>4</v>
      </c>
      <c r="H9" s="1" t="s">
        <v>4631</v>
      </c>
      <c r="I9" s="1" t="s">
        <v>11679</v>
      </c>
      <c r="J9" s="1"/>
      <c r="K9" s="1" t="s">
        <v>11680</v>
      </c>
      <c r="L9" s="1"/>
      <c r="M9" s="1"/>
      <c r="N9" s="1"/>
      <c r="O9" s="1"/>
      <c r="P9" s="1" t="s">
        <v>11681</v>
      </c>
      <c r="Q9" s="1" t="s">
        <v>11682</v>
      </c>
      <c r="R9" s="1"/>
    </row>
    <row r="10" spans="1:18" ht="60" customHeight="1">
      <c r="A10" s="1" t="s">
        <v>5845</v>
      </c>
      <c r="B10" s="1" t="s">
        <v>4702</v>
      </c>
      <c r="C10" s="1" t="s">
        <v>4834</v>
      </c>
      <c r="D10" s="1" t="s">
        <v>4835</v>
      </c>
      <c r="E10" s="1">
        <v>4</v>
      </c>
      <c r="F10" s="1">
        <v>4</v>
      </c>
      <c r="G10" s="1">
        <v>4</v>
      </c>
      <c r="H10" s="1" t="s">
        <v>4631</v>
      </c>
      <c r="I10" s="1" t="s">
        <v>11683</v>
      </c>
      <c r="J10" s="1" t="s">
        <v>5316</v>
      </c>
      <c r="K10" s="1" t="s">
        <v>11684</v>
      </c>
      <c r="L10" s="1"/>
      <c r="M10" s="1"/>
      <c r="N10" s="1"/>
      <c r="O10" s="1"/>
      <c r="P10" s="1" t="s">
        <v>11685</v>
      </c>
      <c r="Q10" s="1" t="s">
        <v>11686</v>
      </c>
      <c r="R10" s="1"/>
    </row>
    <row r="11" spans="1:18" ht="24" customHeight="1">
      <c r="A11" s="1" t="s">
        <v>5845</v>
      </c>
      <c r="B11" s="1" t="s">
        <v>4702</v>
      </c>
      <c r="C11" s="1" t="s">
        <v>4703</v>
      </c>
      <c r="D11" s="1" t="s">
        <v>4704</v>
      </c>
      <c r="E11" s="1">
        <v>4</v>
      </c>
      <c r="F11" s="1">
        <v>4</v>
      </c>
      <c r="G11" s="1">
        <v>4</v>
      </c>
      <c r="H11" s="1" t="s">
        <v>4631</v>
      </c>
      <c r="I11" s="1" t="s">
        <v>11687</v>
      </c>
      <c r="J11" s="1" t="s">
        <v>4788</v>
      </c>
      <c r="K11" s="1" t="s">
        <v>11688</v>
      </c>
      <c r="L11" s="1"/>
      <c r="M11" s="1"/>
      <c r="N11" s="1"/>
      <c r="O11" s="1"/>
      <c r="P11" s="1" t="s">
        <v>11689</v>
      </c>
      <c r="Q11" s="1" t="s">
        <v>11690</v>
      </c>
      <c r="R11" s="1"/>
    </row>
    <row r="12" spans="1:18" ht="120" customHeight="1">
      <c r="A12" s="1" t="s">
        <v>4771</v>
      </c>
      <c r="B12" s="1" t="s">
        <v>4702</v>
      </c>
      <c r="C12" s="1" t="s">
        <v>4834</v>
      </c>
      <c r="D12" s="1" t="s">
        <v>4835</v>
      </c>
      <c r="E12" s="1">
        <v>2</v>
      </c>
      <c r="F12" s="1">
        <v>2</v>
      </c>
      <c r="G12" s="1">
        <v>2</v>
      </c>
      <c r="H12" s="1" t="s">
        <v>4631</v>
      </c>
      <c r="I12" s="1" t="s">
        <v>11691</v>
      </c>
      <c r="J12" s="1" t="s">
        <v>5215</v>
      </c>
      <c r="K12" s="1" t="s">
        <v>11692</v>
      </c>
      <c r="L12" s="1"/>
      <c r="M12" s="1"/>
      <c r="N12" s="1"/>
      <c r="O12" s="1"/>
      <c r="P12" s="1" t="s">
        <v>11693</v>
      </c>
      <c r="Q12" s="1" t="s">
        <v>11694</v>
      </c>
      <c r="R12" s="1"/>
    </row>
    <row r="13" spans="1:18" ht="36" customHeight="1">
      <c r="A13" s="1" t="s">
        <v>4771</v>
      </c>
      <c r="B13" s="1" t="s">
        <v>4702</v>
      </c>
      <c r="C13" s="1" t="s">
        <v>4703</v>
      </c>
      <c r="D13" s="1" t="s">
        <v>4704</v>
      </c>
      <c r="E13" s="1">
        <v>4</v>
      </c>
      <c r="F13" s="1">
        <v>4</v>
      </c>
      <c r="G13" s="1">
        <v>4</v>
      </c>
      <c r="H13" s="1" t="s">
        <v>4631</v>
      </c>
      <c r="I13" s="1" t="s">
        <v>11695</v>
      </c>
      <c r="J13" s="1" t="s">
        <v>5215</v>
      </c>
      <c r="K13" s="1" t="s">
        <v>11696</v>
      </c>
      <c r="L13" s="1"/>
      <c r="M13" s="1"/>
      <c r="N13" s="1"/>
      <c r="O13" s="1"/>
      <c r="P13" s="1" t="s">
        <v>11697</v>
      </c>
      <c r="Q13" s="1" t="s">
        <v>11698</v>
      </c>
      <c r="R13" s="1"/>
    </row>
    <row r="14" spans="1:18" ht="36" customHeight="1">
      <c r="A14" s="1" t="s">
        <v>4786</v>
      </c>
      <c r="B14" s="1" t="s">
        <v>4702</v>
      </c>
      <c r="C14" s="1" t="s">
        <v>4834</v>
      </c>
      <c r="D14" s="1" t="s">
        <v>4835</v>
      </c>
      <c r="E14" s="1">
        <v>2</v>
      </c>
      <c r="F14" s="1">
        <v>2</v>
      </c>
      <c r="G14" s="1">
        <v>2</v>
      </c>
      <c r="H14" s="1" t="s">
        <v>4631</v>
      </c>
      <c r="I14" s="1" t="s">
        <v>11699</v>
      </c>
      <c r="J14" s="1" t="s">
        <v>5215</v>
      </c>
      <c r="K14" s="1" t="s">
        <v>11700</v>
      </c>
      <c r="L14" s="1"/>
      <c r="M14" s="1"/>
      <c r="N14" s="1"/>
      <c r="O14" s="1"/>
      <c r="P14" s="1" t="s">
        <v>11701</v>
      </c>
      <c r="Q14" s="1" t="s">
        <v>11702</v>
      </c>
      <c r="R14" s="1"/>
    </row>
    <row r="15" spans="1:18" ht="72" customHeight="1">
      <c r="A15" s="1" t="s">
        <v>4786</v>
      </c>
      <c r="B15" s="1" t="s">
        <v>4702</v>
      </c>
      <c r="C15" s="1" t="s">
        <v>4703</v>
      </c>
      <c r="D15" s="1" t="s">
        <v>4704</v>
      </c>
      <c r="E15" s="1">
        <v>4</v>
      </c>
      <c r="F15" s="1">
        <v>5</v>
      </c>
      <c r="G15" s="1">
        <v>5</v>
      </c>
      <c r="H15" s="1" t="s">
        <v>4691</v>
      </c>
      <c r="I15" s="1" t="s">
        <v>4787</v>
      </c>
      <c r="J15" s="1" t="s">
        <v>4788</v>
      </c>
      <c r="K15" s="1" t="s">
        <v>4789</v>
      </c>
      <c r="L15" s="1" t="s">
        <v>4790</v>
      </c>
      <c r="M15" s="1" t="s">
        <v>4791</v>
      </c>
      <c r="N15" s="1" t="s">
        <v>4792</v>
      </c>
      <c r="O15" s="1" t="s">
        <v>4697</v>
      </c>
      <c r="P15" s="1" t="s">
        <v>4793</v>
      </c>
      <c r="Q15" s="1" t="s">
        <v>4794</v>
      </c>
      <c r="R15" s="1" t="s">
        <v>4795</v>
      </c>
    </row>
    <row r="16" spans="1:18" ht="48" customHeight="1">
      <c r="A16" s="1" t="s">
        <v>4825</v>
      </c>
      <c r="B16" s="1" t="s">
        <v>4702</v>
      </c>
      <c r="C16" s="1" t="s">
        <v>4834</v>
      </c>
      <c r="D16" s="1" t="s">
        <v>4835</v>
      </c>
      <c r="E16" s="1">
        <v>2</v>
      </c>
      <c r="F16" s="1">
        <v>2</v>
      </c>
      <c r="G16" s="1">
        <v>2</v>
      </c>
      <c r="H16" s="1" t="s">
        <v>4631</v>
      </c>
      <c r="I16" s="1" t="s">
        <v>11703</v>
      </c>
      <c r="J16" s="1" t="s">
        <v>5215</v>
      </c>
      <c r="K16" s="1" t="s">
        <v>11704</v>
      </c>
      <c r="L16" s="1"/>
      <c r="M16" s="1"/>
      <c r="N16" s="1"/>
      <c r="O16" s="1"/>
      <c r="P16" s="1" t="s">
        <v>11705</v>
      </c>
      <c r="Q16" s="1" t="s">
        <v>11706</v>
      </c>
      <c r="R16" s="1"/>
    </row>
    <row r="17" spans="1:18" ht="15" customHeight="1">
      <c r="A17" s="1" t="s">
        <v>4825</v>
      </c>
      <c r="B17" s="1" t="s">
        <v>4702</v>
      </c>
      <c r="C17" s="1" t="s">
        <v>4703</v>
      </c>
      <c r="D17" s="1" t="s">
        <v>4704</v>
      </c>
      <c r="E17" s="1">
        <v>2</v>
      </c>
      <c r="F17" s="1">
        <v>2</v>
      </c>
      <c r="G17" s="1">
        <v>2</v>
      </c>
      <c r="H17" s="1" t="s">
        <v>4631</v>
      </c>
      <c r="I17" s="1" t="s">
        <v>11707</v>
      </c>
      <c r="J17" s="1"/>
      <c r="K17" s="1" t="s">
        <v>11708</v>
      </c>
      <c r="L17" s="1"/>
      <c r="M17" s="1"/>
      <c r="N17" s="1"/>
      <c r="O17" s="1"/>
      <c r="P17" s="1" t="s">
        <v>11709</v>
      </c>
      <c r="Q17" s="1" t="s">
        <v>11710</v>
      </c>
      <c r="R17" s="1"/>
    </row>
    <row r="18" spans="1:18" ht="84" customHeight="1">
      <c r="A18" s="1" t="s">
        <v>4833</v>
      </c>
      <c r="B18" s="1" t="s">
        <v>4702</v>
      </c>
      <c r="C18" s="1" t="s">
        <v>4834</v>
      </c>
      <c r="D18" s="1" t="s">
        <v>4835</v>
      </c>
      <c r="E18" s="1">
        <v>3</v>
      </c>
      <c r="F18" s="1">
        <v>2</v>
      </c>
      <c r="G18" s="1">
        <v>2</v>
      </c>
      <c r="H18" s="1" t="s">
        <v>4691</v>
      </c>
      <c r="I18" s="1" t="s">
        <v>4836</v>
      </c>
      <c r="J18" s="1" t="s">
        <v>4788</v>
      </c>
      <c r="K18" s="1" t="s">
        <v>4837</v>
      </c>
      <c r="L18" s="1" t="s">
        <v>4838</v>
      </c>
      <c r="M18" s="1" t="s">
        <v>4839</v>
      </c>
      <c r="N18" s="1" t="s">
        <v>4840</v>
      </c>
      <c r="O18" s="1" t="s">
        <v>4697</v>
      </c>
      <c r="P18" s="1" t="s">
        <v>4841</v>
      </c>
      <c r="Q18" s="1" t="s">
        <v>4842</v>
      </c>
      <c r="R18" s="1" t="s">
        <v>4843</v>
      </c>
    </row>
    <row r="19" spans="1:18" ht="120" customHeight="1">
      <c r="A19" s="1" t="s">
        <v>4833</v>
      </c>
      <c r="B19" s="1" t="s">
        <v>4702</v>
      </c>
      <c r="C19" s="1" t="s">
        <v>4703</v>
      </c>
      <c r="D19" s="1" t="s">
        <v>4704</v>
      </c>
      <c r="E19" s="1">
        <v>2</v>
      </c>
      <c r="F19" s="1">
        <v>3</v>
      </c>
      <c r="G19" s="1">
        <v>4</v>
      </c>
      <c r="H19" s="1" t="s">
        <v>4691</v>
      </c>
      <c r="I19" s="1" t="s">
        <v>4844</v>
      </c>
      <c r="J19" s="1" t="s">
        <v>4845</v>
      </c>
      <c r="K19" s="1" t="s">
        <v>4846</v>
      </c>
      <c r="L19" s="1" t="s">
        <v>4847</v>
      </c>
      <c r="M19" s="1" t="s">
        <v>4848</v>
      </c>
      <c r="N19" s="1" t="s">
        <v>4849</v>
      </c>
      <c r="O19" s="1" t="s">
        <v>4697</v>
      </c>
      <c r="P19" s="1" t="s">
        <v>4850</v>
      </c>
      <c r="Q19" s="1" t="s">
        <v>4851</v>
      </c>
      <c r="R19" s="1" t="s">
        <v>4852</v>
      </c>
    </row>
    <row r="20" spans="1:18" ht="84" customHeight="1">
      <c r="A20" s="1" t="s">
        <v>4868</v>
      </c>
      <c r="B20" s="1" t="s">
        <v>4702</v>
      </c>
      <c r="C20" s="1" t="s">
        <v>4834</v>
      </c>
      <c r="D20" s="1" t="s">
        <v>4835</v>
      </c>
      <c r="E20" s="1">
        <v>4</v>
      </c>
      <c r="F20" s="1">
        <v>2</v>
      </c>
      <c r="G20" s="1">
        <v>2</v>
      </c>
      <c r="H20" s="1" t="s">
        <v>4691</v>
      </c>
      <c r="I20" s="1" t="s">
        <v>4869</v>
      </c>
      <c r="J20" s="1" t="s">
        <v>4788</v>
      </c>
      <c r="K20" s="1" t="s">
        <v>4870</v>
      </c>
      <c r="L20" s="1" t="s">
        <v>4871</v>
      </c>
      <c r="M20" s="1" t="s">
        <v>4872</v>
      </c>
      <c r="N20" s="1" t="s">
        <v>4873</v>
      </c>
      <c r="O20" s="1" t="s">
        <v>4697</v>
      </c>
      <c r="P20" s="1" t="s">
        <v>4874</v>
      </c>
      <c r="Q20" s="1" t="s">
        <v>4875</v>
      </c>
      <c r="R20" s="1" t="s">
        <v>4876</v>
      </c>
    </row>
    <row r="21" spans="1:18" ht="84" customHeight="1">
      <c r="A21" s="1" t="s">
        <v>4868</v>
      </c>
      <c r="B21" s="1" t="s">
        <v>4702</v>
      </c>
      <c r="C21" s="1" t="s">
        <v>4703</v>
      </c>
      <c r="D21" s="1" t="s">
        <v>4704</v>
      </c>
      <c r="E21" s="1">
        <v>2</v>
      </c>
      <c r="F21" s="1">
        <v>4</v>
      </c>
      <c r="G21" s="1">
        <v>5</v>
      </c>
      <c r="H21" s="1" t="s">
        <v>4691</v>
      </c>
      <c r="I21" s="1" t="s">
        <v>4877</v>
      </c>
      <c r="J21" s="1" t="s">
        <v>4878</v>
      </c>
      <c r="K21" s="1" t="s">
        <v>4879</v>
      </c>
      <c r="L21" s="1" t="s">
        <v>4880</v>
      </c>
      <c r="M21" s="1" t="s">
        <v>4881</v>
      </c>
      <c r="N21" s="1" t="s">
        <v>4882</v>
      </c>
      <c r="O21" s="1" t="s">
        <v>4697</v>
      </c>
      <c r="P21" s="1" t="s">
        <v>4883</v>
      </c>
      <c r="Q21" s="1" t="s">
        <v>4884</v>
      </c>
      <c r="R21" s="1" t="s">
        <v>4885</v>
      </c>
    </row>
    <row r="22" spans="1:18" ht="60" customHeight="1">
      <c r="A22" s="1" t="s">
        <v>4918</v>
      </c>
      <c r="B22" s="1" t="s">
        <v>4702</v>
      </c>
      <c r="C22" s="1" t="s">
        <v>4834</v>
      </c>
      <c r="D22" s="1" t="s">
        <v>4835</v>
      </c>
      <c r="E22" s="1">
        <v>2</v>
      </c>
      <c r="F22" s="1">
        <v>2</v>
      </c>
      <c r="G22" s="1">
        <v>2</v>
      </c>
      <c r="H22" s="1" t="s">
        <v>4631</v>
      </c>
      <c r="I22" s="1" t="s">
        <v>7610</v>
      </c>
      <c r="J22" s="1" t="s">
        <v>4788</v>
      </c>
      <c r="K22" s="1" t="s">
        <v>11711</v>
      </c>
      <c r="L22" s="1"/>
      <c r="M22" s="1"/>
      <c r="N22" s="1"/>
      <c r="O22" s="1"/>
      <c r="P22" s="1" t="s">
        <v>11712</v>
      </c>
      <c r="Q22" s="1" t="s">
        <v>11713</v>
      </c>
      <c r="R22" s="1"/>
    </row>
    <row r="23" spans="1:18" ht="24" customHeight="1">
      <c r="A23" s="1" t="s">
        <v>4918</v>
      </c>
      <c r="B23" s="1" t="s">
        <v>4702</v>
      </c>
      <c r="C23" s="1" t="s">
        <v>4703</v>
      </c>
      <c r="D23" s="1" t="s">
        <v>4704</v>
      </c>
      <c r="E23" s="1">
        <v>3</v>
      </c>
      <c r="F23" s="1">
        <v>3</v>
      </c>
      <c r="G23" s="1">
        <v>3</v>
      </c>
      <c r="H23" s="1" t="s">
        <v>4631</v>
      </c>
      <c r="I23" s="1" t="s">
        <v>11714</v>
      </c>
      <c r="J23" s="1" t="s">
        <v>5215</v>
      </c>
      <c r="K23" s="1" t="s">
        <v>11715</v>
      </c>
      <c r="L23" s="1"/>
      <c r="M23" s="1"/>
      <c r="N23" s="1"/>
      <c r="O23" s="1"/>
      <c r="P23" s="1" t="s">
        <v>11716</v>
      </c>
      <c r="Q23" s="1" t="s">
        <v>11717</v>
      </c>
      <c r="R23" s="1"/>
    </row>
    <row r="24" spans="1:18" ht="48" customHeight="1">
      <c r="A24" s="1" t="s">
        <v>4925</v>
      </c>
      <c r="B24" s="1" t="s">
        <v>4702</v>
      </c>
      <c r="C24" s="1" t="s">
        <v>4834</v>
      </c>
      <c r="D24" s="1" t="s">
        <v>4835</v>
      </c>
      <c r="E24" s="1">
        <v>2</v>
      </c>
      <c r="F24" s="1">
        <v>2</v>
      </c>
      <c r="G24" s="1">
        <v>2</v>
      </c>
      <c r="H24" s="1" t="s">
        <v>4631</v>
      </c>
      <c r="I24" s="1" t="s">
        <v>11718</v>
      </c>
      <c r="J24" s="1" t="s">
        <v>4717</v>
      </c>
      <c r="K24" s="1" t="s">
        <v>11719</v>
      </c>
      <c r="L24" s="1"/>
      <c r="M24" s="1"/>
      <c r="N24" s="1"/>
      <c r="O24" s="1"/>
      <c r="P24" s="1" t="s">
        <v>11720</v>
      </c>
      <c r="Q24" s="1" t="s">
        <v>11721</v>
      </c>
      <c r="R24" s="1"/>
    </row>
    <row r="25" spans="1:18" ht="24" customHeight="1">
      <c r="A25" s="1" t="s">
        <v>4925</v>
      </c>
      <c r="B25" s="1" t="s">
        <v>4702</v>
      </c>
      <c r="C25" s="1" t="s">
        <v>4703</v>
      </c>
      <c r="D25" s="1" t="s">
        <v>4704</v>
      </c>
      <c r="E25" s="1">
        <v>3</v>
      </c>
      <c r="F25" s="1">
        <v>3</v>
      </c>
      <c r="G25" s="1">
        <v>3</v>
      </c>
      <c r="H25" s="1" t="s">
        <v>4631</v>
      </c>
      <c r="I25" s="1" t="s">
        <v>11722</v>
      </c>
      <c r="J25" s="1"/>
      <c r="K25" s="1" t="s">
        <v>11723</v>
      </c>
      <c r="L25" s="1"/>
      <c r="M25" s="1"/>
      <c r="N25" s="1"/>
      <c r="O25" s="1"/>
      <c r="P25" s="1" t="s">
        <v>11724</v>
      </c>
      <c r="Q25" s="1" t="s">
        <v>11725</v>
      </c>
      <c r="R25" s="1"/>
    </row>
    <row r="26" spans="1:18" ht="132" customHeight="1">
      <c r="A26" s="1" t="s">
        <v>4941</v>
      </c>
      <c r="B26" s="1" t="s">
        <v>4702</v>
      </c>
      <c r="C26" s="1" t="s">
        <v>4834</v>
      </c>
      <c r="D26" s="1" t="s">
        <v>4835</v>
      </c>
      <c r="E26" s="1">
        <v>4</v>
      </c>
      <c r="F26" s="1">
        <v>4</v>
      </c>
      <c r="G26" s="1">
        <v>5</v>
      </c>
      <c r="H26" s="1" t="s">
        <v>4691</v>
      </c>
      <c r="I26" s="1" t="s">
        <v>5437</v>
      </c>
      <c r="J26" s="1" t="s">
        <v>4788</v>
      </c>
      <c r="K26" s="1" t="s">
        <v>5438</v>
      </c>
      <c r="L26" s="1" t="s">
        <v>5439</v>
      </c>
      <c r="M26" s="1" t="s">
        <v>5440</v>
      </c>
      <c r="N26" s="1" t="s">
        <v>5441</v>
      </c>
      <c r="O26" s="1" t="s">
        <v>4697</v>
      </c>
      <c r="P26" s="1" t="s">
        <v>5442</v>
      </c>
      <c r="Q26" s="1" t="s">
        <v>5443</v>
      </c>
      <c r="R26" s="1" t="s">
        <v>5444</v>
      </c>
    </row>
    <row r="27" spans="1:18" ht="36" customHeight="1">
      <c r="A27" s="1" t="s">
        <v>4941</v>
      </c>
      <c r="B27" s="1" t="s">
        <v>4702</v>
      </c>
      <c r="C27" s="1" t="s">
        <v>4703</v>
      </c>
      <c r="D27" s="1" t="s">
        <v>4704</v>
      </c>
      <c r="E27" s="1">
        <v>5</v>
      </c>
      <c r="F27" s="1">
        <v>5</v>
      </c>
      <c r="G27" s="1">
        <v>5</v>
      </c>
      <c r="H27" s="1" t="s">
        <v>4631</v>
      </c>
      <c r="I27" s="1" t="s">
        <v>11726</v>
      </c>
      <c r="J27" s="1" t="s">
        <v>4896</v>
      </c>
      <c r="K27" s="1" t="s">
        <v>11727</v>
      </c>
      <c r="L27" s="1"/>
      <c r="M27" s="1"/>
      <c r="N27" s="1"/>
      <c r="O27" s="1"/>
      <c r="P27" s="1" t="s">
        <v>11728</v>
      </c>
      <c r="Q27" s="1" t="s">
        <v>11729</v>
      </c>
      <c r="R27" s="1"/>
    </row>
    <row r="28" spans="1:18" ht="96" customHeight="1">
      <c r="A28" s="1" t="s">
        <v>4950</v>
      </c>
      <c r="B28" s="1" t="s">
        <v>4702</v>
      </c>
      <c r="C28" s="1" t="s">
        <v>4834</v>
      </c>
      <c r="D28" s="1" t="s">
        <v>4835</v>
      </c>
      <c r="E28" s="1">
        <v>2</v>
      </c>
      <c r="F28" s="1">
        <v>2</v>
      </c>
      <c r="G28" s="1">
        <v>2</v>
      </c>
      <c r="H28" s="1" t="s">
        <v>4631</v>
      </c>
      <c r="I28" s="1" t="s">
        <v>11730</v>
      </c>
      <c r="J28" s="1" t="s">
        <v>4966</v>
      </c>
      <c r="K28" s="1" t="s">
        <v>11731</v>
      </c>
      <c r="L28" s="1"/>
      <c r="M28" s="1"/>
      <c r="N28" s="1"/>
      <c r="O28" s="1"/>
      <c r="P28" s="1" t="s">
        <v>11732</v>
      </c>
      <c r="Q28" s="1" t="s">
        <v>11733</v>
      </c>
      <c r="R28" s="1"/>
    </row>
    <row r="29" spans="1:18" ht="15" customHeight="1">
      <c r="A29" s="1" t="s">
        <v>4950</v>
      </c>
      <c r="B29" s="1" t="s">
        <v>4702</v>
      </c>
      <c r="C29" s="1" t="s">
        <v>4703</v>
      </c>
      <c r="D29" s="1" t="s">
        <v>4704</v>
      </c>
      <c r="E29" s="1">
        <v>2</v>
      </c>
      <c r="F29" s="1">
        <v>2</v>
      </c>
      <c r="G29" s="1">
        <v>2</v>
      </c>
      <c r="H29" s="1" t="s">
        <v>4631</v>
      </c>
      <c r="I29" s="1" t="s">
        <v>11734</v>
      </c>
      <c r="J29" s="1" t="s">
        <v>11735</v>
      </c>
      <c r="K29" s="1" t="s">
        <v>11736</v>
      </c>
      <c r="L29" s="1"/>
      <c r="M29" s="1"/>
      <c r="N29" s="1"/>
      <c r="O29" s="1"/>
      <c r="P29" s="1" t="s">
        <v>11737</v>
      </c>
      <c r="Q29" s="1" t="s">
        <v>11738</v>
      </c>
      <c r="R29" s="1"/>
    </row>
    <row r="30" spans="1:18" ht="48" customHeight="1">
      <c r="A30" s="1" t="s">
        <v>4973</v>
      </c>
      <c r="B30" s="1" t="s">
        <v>4702</v>
      </c>
      <c r="C30" s="1" t="s">
        <v>4834</v>
      </c>
      <c r="D30" s="1" t="s">
        <v>4835</v>
      </c>
      <c r="E30" s="1">
        <v>2</v>
      </c>
      <c r="F30" s="1">
        <v>2</v>
      </c>
      <c r="G30" s="1">
        <v>2</v>
      </c>
      <c r="H30" s="1" t="s">
        <v>4631</v>
      </c>
      <c r="I30" s="1" t="s">
        <v>11739</v>
      </c>
      <c r="J30" s="1" t="s">
        <v>11740</v>
      </c>
      <c r="K30" s="1" t="s">
        <v>11741</v>
      </c>
      <c r="L30" s="1"/>
      <c r="M30" s="1"/>
      <c r="N30" s="1"/>
      <c r="O30" s="1"/>
      <c r="P30" s="1" t="s">
        <v>11742</v>
      </c>
      <c r="Q30" s="1" t="s">
        <v>11743</v>
      </c>
      <c r="R30" s="1"/>
    </row>
    <row r="31" spans="1:18" ht="84" customHeight="1">
      <c r="A31" s="1" t="s">
        <v>4973</v>
      </c>
      <c r="B31" s="1" t="s">
        <v>4702</v>
      </c>
      <c r="C31" s="1" t="s">
        <v>4703</v>
      </c>
      <c r="D31" s="1" t="s">
        <v>4704</v>
      </c>
      <c r="E31" s="1">
        <v>2</v>
      </c>
      <c r="F31" s="1">
        <v>3</v>
      </c>
      <c r="G31" s="1">
        <v>4</v>
      </c>
      <c r="H31" s="1" t="s">
        <v>4691</v>
      </c>
      <c r="I31" s="1" t="s">
        <v>4974</v>
      </c>
      <c r="J31" s="1" t="s">
        <v>4975</v>
      </c>
      <c r="K31" s="1" t="s">
        <v>4976</v>
      </c>
      <c r="L31" s="1" t="s">
        <v>4977</v>
      </c>
      <c r="M31" s="1" t="s">
        <v>4978</v>
      </c>
      <c r="N31" s="1" t="s">
        <v>4979</v>
      </c>
      <c r="O31" s="1" t="s">
        <v>4697</v>
      </c>
      <c r="P31" s="1" t="s">
        <v>4980</v>
      </c>
      <c r="Q31" s="1" t="s">
        <v>4981</v>
      </c>
      <c r="R31" s="1" t="s">
        <v>4982</v>
      </c>
    </row>
    <row r="32" spans="1:18" ht="48" customHeight="1">
      <c r="A32" s="1" t="s">
        <v>5004</v>
      </c>
      <c r="B32" s="1" t="s">
        <v>4702</v>
      </c>
      <c r="C32" s="1" t="s">
        <v>4834</v>
      </c>
      <c r="D32" s="1" t="s">
        <v>4835</v>
      </c>
      <c r="E32" s="1">
        <v>4</v>
      </c>
      <c r="F32" s="1">
        <v>4</v>
      </c>
      <c r="G32" s="1">
        <v>4</v>
      </c>
      <c r="H32" s="1" t="s">
        <v>4631</v>
      </c>
      <c r="I32" s="1" t="s">
        <v>11744</v>
      </c>
      <c r="J32" s="1" t="s">
        <v>4935</v>
      </c>
      <c r="K32" s="1" t="s">
        <v>11745</v>
      </c>
      <c r="L32" s="1"/>
      <c r="M32" s="1"/>
      <c r="N32" s="1"/>
      <c r="O32" s="1"/>
      <c r="P32" s="1" t="s">
        <v>11746</v>
      </c>
      <c r="Q32" s="1" t="s">
        <v>11747</v>
      </c>
      <c r="R32" s="1"/>
    </row>
    <row r="33" spans="1:18" ht="24" customHeight="1">
      <c r="A33" s="1" t="s">
        <v>5004</v>
      </c>
      <c r="B33" s="1" t="s">
        <v>4702</v>
      </c>
      <c r="C33" s="1" t="s">
        <v>4703</v>
      </c>
      <c r="D33" s="1" t="s">
        <v>4704</v>
      </c>
      <c r="E33" s="1">
        <v>5</v>
      </c>
      <c r="F33" s="1">
        <v>5</v>
      </c>
      <c r="G33" s="1">
        <v>5</v>
      </c>
      <c r="H33" s="1" t="s">
        <v>4631</v>
      </c>
      <c r="I33" s="1" t="s">
        <v>11748</v>
      </c>
      <c r="J33" s="1" t="s">
        <v>5215</v>
      </c>
      <c r="K33" s="1" t="s">
        <v>11749</v>
      </c>
      <c r="L33" s="1"/>
      <c r="M33" s="1"/>
      <c r="N33" s="1"/>
      <c r="O33" s="1"/>
      <c r="P33" s="1" t="s">
        <v>11750</v>
      </c>
      <c r="Q33" s="1" t="s">
        <v>11751</v>
      </c>
      <c r="R33" s="1"/>
    </row>
    <row r="34" spans="1:18" ht="36" customHeight="1">
      <c r="A34" s="1" t="s">
        <v>5012</v>
      </c>
      <c r="B34" s="1" t="s">
        <v>4702</v>
      </c>
      <c r="C34" s="1" t="s">
        <v>4834</v>
      </c>
      <c r="D34" s="1" t="s">
        <v>4835</v>
      </c>
      <c r="E34" s="1">
        <v>2</v>
      </c>
      <c r="F34" s="1">
        <v>2</v>
      </c>
      <c r="G34" s="1">
        <v>2</v>
      </c>
      <c r="H34" s="1" t="s">
        <v>4631</v>
      </c>
      <c r="I34" s="1" t="s">
        <v>11752</v>
      </c>
      <c r="J34" s="1" t="s">
        <v>5215</v>
      </c>
      <c r="K34" s="1" t="s">
        <v>11753</v>
      </c>
      <c r="L34" s="1"/>
      <c r="M34" s="1"/>
      <c r="N34" s="1"/>
      <c r="O34" s="1"/>
      <c r="P34" s="1" t="s">
        <v>11754</v>
      </c>
      <c r="Q34" s="1" t="s">
        <v>11755</v>
      </c>
      <c r="R34" s="1"/>
    </row>
    <row r="35" spans="1:18" ht="15" customHeight="1">
      <c r="A35" s="1" t="s">
        <v>5012</v>
      </c>
      <c r="B35" s="1" t="s">
        <v>4702</v>
      </c>
      <c r="C35" s="1" t="s">
        <v>4703</v>
      </c>
      <c r="D35" s="1" t="s">
        <v>4704</v>
      </c>
      <c r="E35" s="1">
        <v>4</v>
      </c>
      <c r="F35" s="1">
        <v>4</v>
      </c>
      <c r="G35" s="1">
        <v>4</v>
      </c>
      <c r="H35" s="1" t="s">
        <v>4631</v>
      </c>
      <c r="I35" s="1" t="s">
        <v>11756</v>
      </c>
      <c r="J35" s="1" t="s">
        <v>4764</v>
      </c>
      <c r="K35" s="1" t="s">
        <v>11757</v>
      </c>
      <c r="L35" s="1"/>
      <c r="M35" s="1"/>
      <c r="N35" s="1"/>
      <c r="O35" s="1"/>
      <c r="P35" s="1" t="s">
        <v>11758</v>
      </c>
      <c r="Q35" s="1" t="s">
        <v>11759</v>
      </c>
      <c r="R35" s="1"/>
    </row>
    <row r="36" spans="1:18" ht="96" customHeight="1">
      <c r="A36" s="1" t="s">
        <v>5041</v>
      </c>
      <c r="B36" s="1" t="s">
        <v>4702</v>
      </c>
      <c r="C36" s="1" t="s">
        <v>4834</v>
      </c>
      <c r="D36" s="1" t="s">
        <v>4835</v>
      </c>
      <c r="E36" s="1">
        <v>5</v>
      </c>
      <c r="F36" s="1">
        <v>4</v>
      </c>
      <c r="G36" s="1">
        <v>4</v>
      </c>
      <c r="H36" s="1" t="s">
        <v>4691</v>
      </c>
      <c r="I36" s="1" t="s">
        <v>5042</v>
      </c>
      <c r="J36" s="1" t="s">
        <v>4788</v>
      </c>
      <c r="K36" s="1" t="s">
        <v>5043</v>
      </c>
      <c r="L36" s="1" t="s">
        <v>5044</v>
      </c>
      <c r="M36" s="1" t="s">
        <v>5045</v>
      </c>
      <c r="N36" s="1" t="s">
        <v>5046</v>
      </c>
      <c r="O36" s="1" t="s">
        <v>4697</v>
      </c>
      <c r="P36" s="1" t="s">
        <v>5047</v>
      </c>
      <c r="Q36" s="1" t="s">
        <v>5048</v>
      </c>
      <c r="R36" s="1" t="s">
        <v>5049</v>
      </c>
    </row>
    <row r="37" spans="1:18" ht="36" customHeight="1">
      <c r="A37" s="1" t="s">
        <v>5041</v>
      </c>
      <c r="B37" s="1" t="s">
        <v>4702</v>
      </c>
      <c r="C37" s="1" t="s">
        <v>4703</v>
      </c>
      <c r="D37" s="1" t="s">
        <v>4704</v>
      </c>
      <c r="E37" s="1">
        <v>4</v>
      </c>
      <c r="F37" s="1">
        <v>4</v>
      </c>
      <c r="G37" s="1">
        <v>4</v>
      </c>
      <c r="H37" s="1" t="s">
        <v>4631</v>
      </c>
      <c r="I37" s="1" t="s">
        <v>11760</v>
      </c>
      <c r="J37" s="1"/>
      <c r="K37" s="1" t="s">
        <v>11761</v>
      </c>
      <c r="L37" s="1"/>
      <c r="M37" s="1"/>
      <c r="N37" s="1"/>
      <c r="O37" s="1"/>
      <c r="P37" s="1" t="s">
        <v>11762</v>
      </c>
      <c r="Q37" s="1" t="s">
        <v>11763</v>
      </c>
      <c r="R37" s="1"/>
    </row>
    <row r="38" spans="1:18" ht="84" customHeight="1">
      <c r="A38" s="1" t="s">
        <v>5063</v>
      </c>
      <c r="B38" s="1" t="s">
        <v>4702</v>
      </c>
      <c r="C38" s="1" t="s">
        <v>4834</v>
      </c>
      <c r="D38" s="1" t="s">
        <v>4835</v>
      </c>
      <c r="E38" s="1">
        <v>5</v>
      </c>
      <c r="F38" s="1">
        <v>4</v>
      </c>
      <c r="G38" s="1">
        <v>4</v>
      </c>
      <c r="H38" s="1" t="s">
        <v>4691</v>
      </c>
      <c r="I38" s="1" t="s">
        <v>5064</v>
      </c>
      <c r="J38" s="1" t="s">
        <v>4788</v>
      </c>
      <c r="K38" s="1" t="s">
        <v>5065</v>
      </c>
      <c r="L38" s="1" t="s">
        <v>5066</v>
      </c>
      <c r="M38" s="1" t="s">
        <v>5067</v>
      </c>
      <c r="N38" s="1" t="s">
        <v>5068</v>
      </c>
      <c r="O38" s="1" t="s">
        <v>4697</v>
      </c>
      <c r="P38" s="1" t="s">
        <v>5069</v>
      </c>
      <c r="Q38" s="1" t="s">
        <v>5070</v>
      </c>
      <c r="R38" s="1" t="s">
        <v>5071</v>
      </c>
    </row>
    <row r="39" spans="1:18" ht="36" customHeight="1">
      <c r="A39" s="1" t="s">
        <v>5063</v>
      </c>
      <c r="B39" s="1" t="s">
        <v>4702</v>
      </c>
      <c r="C39" s="1" t="s">
        <v>4703</v>
      </c>
      <c r="D39" s="1" t="s">
        <v>4704</v>
      </c>
      <c r="E39" s="1">
        <v>4</v>
      </c>
      <c r="F39" s="1">
        <v>4</v>
      </c>
      <c r="G39" s="1">
        <v>4</v>
      </c>
      <c r="H39" s="1" t="s">
        <v>4631</v>
      </c>
      <c r="I39" s="1" t="s">
        <v>11764</v>
      </c>
      <c r="J39" s="1" t="s">
        <v>4959</v>
      </c>
      <c r="K39" s="1" t="s">
        <v>11765</v>
      </c>
      <c r="L39" s="1"/>
      <c r="M39" s="1"/>
      <c r="N39" s="1"/>
      <c r="O39" s="1"/>
      <c r="P39" s="1" t="s">
        <v>11766</v>
      </c>
      <c r="Q39" s="1" t="s">
        <v>11767</v>
      </c>
      <c r="R39" s="1"/>
    </row>
    <row r="40" spans="1:18" ht="48" customHeight="1">
      <c r="A40" s="1" t="s">
        <v>5745</v>
      </c>
      <c r="B40" s="1" t="s">
        <v>4702</v>
      </c>
      <c r="C40" s="1" t="s">
        <v>4834</v>
      </c>
      <c r="D40" s="1" t="s">
        <v>4835</v>
      </c>
      <c r="E40" s="1">
        <v>4</v>
      </c>
      <c r="F40" s="1">
        <v>4</v>
      </c>
      <c r="G40" s="1">
        <v>4</v>
      </c>
      <c r="H40" s="1" t="s">
        <v>4631</v>
      </c>
      <c r="I40" s="1" t="s">
        <v>11768</v>
      </c>
      <c r="J40" s="1" t="s">
        <v>4717</v>
      </c>
      <c r="K40" s="1" t="s">
        <v>11769</v>
      </c>
      <c r="L40" s="1"/>
      <c r="M40" s="1"/>
      <c r="N40" s="1"/>
      <c r="O40" s="1"/>
      <c r="P40" s="1" t="s">
        <v>11770</v>
      </c>
      <c r="Q40" s="1" t="s">
        <v>11771</v>
      </c>
      <c r="R40" s="1"/>
    </row>
    <row r="41" spans="1:18" ht="36" customHeight="1">
      <c r="A41" s="1" t="s">
        <v>5745</v>
      </c>
      <c r="B41" s="1" t="s">
        <v>4702</v>
      </c>
      <c r="C41" s="1" t="s">
        <v>4703</v>
      </c>
      <c r="D41" s="1" t="s">
        <v>4704</v>
      </c>
      <c r="E41" s="1">
        <v>5</v>
      </c>
      <c r="F41" s="1">
        <v>5</v>
      </c>
      <c r="G41" s="1">
        <v>5</v>
      </c>
      <c r="H41" s="1" t="s">
        <v>4631</v>
      </c>
      <c r="I41" s="1" t="s">
        <v>11772</v>
      </c>
      <c r="J41" s="1"/>
      <c r="K41" s="1" t="s">
        <v>11773</v>
      </c>
      <c r="L41" s="1"/>
      <c r="M41" s="1"/>
      <c r="N41" s="1"/>
      <c r="O41" s="1"/>
      <c r="P41" s="1" t="s">
        <v>11774</v>
      </c>
      <c r="Q41" s="1" t="s">
        <v>11775</v>
      </c>
      <c r="R41" s="1"/>
    </row>
    <row r="42" spans="1:18" ht="36" customHeight="1">
      <c r="A42" s="1" t="s">
        <v>5079</v>
      </c>
      <c r="B42" s="1" t="s">
        <v>4702</v>
      </c>
      <c r="C42" s="1" t="s">
        <v>4834</v>
      </c>
      <c r="D42" s="1" t="s">
        <v>4835</v>
      </c>
      <c r="E42" s="1">
        <v>4</v>
      </c>
      <c r="F42" s="1">
        <v>4</v>
      </c>
      <c r="G42" s="1">
        <v>4</v>
      </c>
      <c r="H42" s="1" t="s">
        <v>4631</v>
      </c>
      <c r="I42" s="1" t="s">
        <v>11776</v>
      </c>
      <c r="J42" s="1" t="s">
        <v>5215</v>
      </c>
      <c r="K42" s="1" t="s">
        <v>11777</v>
      </c>
      <c r="L42" s="1"/>
      <c r="M42" s="1"/>
      <c r="N42" s="1"/>
      <c r="O42" s="1"/>
      <c r="P42" s="1" t="s">
        <v>11778</v>
      </c>
      <c r="Q42" s="1" t="s">
        <v>11779</v>
      </c>
      <c r="R42" s="1"/>
    </row>
    <row r="43" spans="1:18" ht="36" customHeight="1">
      <c r="A43" s="1" t="s">
        <v>5079</v>
      </c>
      <c r="B43" s="1" t="s">
        <v>4702</v>
      </c>
      <c r="C43" s="1" t="s">
        <v>4703</v>
      </c>
      <c r="D43" s="1" t="s">
        <v>4704</v>
      </c>
      <c r="E43" s="1">
        <v>3</v>
      </c>
      <c r="F43" s="1">
        <v>3</v>
      </c>
      <c r="G43" s="1">
        <v>3</v>
      </c>
      <c r="H43" s="1" t="s">
        <v>4631</v>
      </c>
      <c r="I43" s="1" t="s">
        <v>11780</v>
      </c>
      <c r="J43" s="1"/>
      <c r="K43" s="1" t="s">
        <v>11781</v>
      </c>
      <c r="L43" s="1"/>
      <c r="M43" s="1"/>
      <c r="N43" s="1"/>
      <c r="O43" s="1"/>
      <c r="P43" s="1" t="s">
        <v>11782</v>
      </c>
      <c r="Q43" s="1" t="s">
        <v>11783</v>
      </c>
      <c r="R43" s="1"/>
    </row>
    <row r="44" spans="1:18" ht="24" customHeight="1">
      <c r="A44" s="1" t="s">
        <v>5087</v>
      </c>
      <c r="B44" s="1" t="s">
        <v>4702</v>
      </c>
      <c r="C44" s="1" t="s">
        <v>4834</v>
      </c>
      <c r="D44" s="1" t="s">
        <v>4835</v>
      </c>
      <c r="E44" s="1">
        <v>4</v>
      </c>
      <c r="F44" s="1">
        <v>4</v>
      </c>
      <c r="G44" s="1">
        <v>4</v>
      </c>
      <c r="H44" s="1" t="s">
        <v>4631</v>
      </c>
      <c r="I44" s="1" t="s">
        <v>11784</v>
      </c>
      <c r="J44" s="1" t="s">
        <v>4788</v>
      </c>
      <c r="K44" s="1" t="s">
        <v>11785</v>
      </c>
      <c r="L44" s="1"/>
      <c r="M44" s="1"/>
      <c r="N44" s="1"/>
      <c r="O44" s="1"/>
      <c r="P44" s="1" t="s">
        <v>11786</v>
      </c>
      <c r="Q44" s="1" t="s">
        <v>11787</v>
      </c>
      <c r="R44" s="1"/>
    </row>
    <row r="45" spans="1:18" ht="36" customHeight="1">
      <c r="A45" s="1" t="s">
        <v>5087</v>
      </c>
      <c r="B45" s="1" t="s">
        <v>4702</v>
      </c>
      <c r="C45" s="1" t="s">
        <v>4703</v>
      </c>
      <c r="D45" s="1" t="s">
        <v>4704</v>
      </c>
      <c r="E45" s="1">
        <v>4</v>
      </c>
      <c r="F45" s="1">
        <v>4</v>
      </c>
      <c r="G45" s="1">
        <v>4</v>
      </c>
      <c r="H45" s="1" t="s">
        <v>4631</v>
      </c>
      <c r="I45" s="1" t="s">
        <v>11788</v>
      </c>
      <c r="J45" s="1" t="s">
        <v>4788</v>
      </c>
      <c r="K45" s="1" t="s">
        <v>8910</v>
      </c>
      <c r="L45" s="1"/>
      <c r="M45" s="1"/>
      <c r="N45" s="1"/>
      <c r="O45" s="1"/>
      <c r="P45" s="1" t="s">
        <v>11789</v>
      </c>
      <c r="Q45" s="1" t="s">
        <v>11790</v>
      </c>
      <c r="R45" s="1"/>
    </row>
    <row r="46" spans="1:18" ht="48" customHeight="1">
      <c r="A46" s="1" t="s">
        <v>5749</v>
      </c>
      <c r="B46" s="1" t="s">
        <v>4702</v>
      </c>
      <c r="C46" s="1" t="s">
        <v>4834</v>
      </c>
      <c r="D46" s="1" t="s">
        <v>4835</v>
      </c>
      <c r="E46" s="1">
        <v>2</v>
      </c>
      <c r="F46" s="1">
        <v>2</v>
      </c>
      <c r="G46" s="1">
        <v>2</v>
      </c>
      <c r="H46" s="1" t="s">
        <v>4631</v>
      </c>
      <c r="I46" s="1" t="s">
        <v>9136</v>
      </c>
      <c r="J46" s="1" t="s">
        <v>4717</v>
      </c>
      <c r="K46" s="1" t="s">
        <v>11791</v>
      </c>
      <c r="L46" s="1"/>
      <c r="M46" s="1"/>
      <c r="N46" s="1"/>
      <c r="O46" s="1"/>
      <c r="P46" s="1" t="s">
        <v>11792</v>
      </c>
      <c r="Q46" s="1" t="s">
        <v>11793</v>
      </c>
      <c r="R46" s="1"/>
    </row>
    <row r="47" spans="1:18" ht="24" customHeight="1">
      <c r="A47" s="1" t="s">
        <v>5749</v>
      </c>
      <c r="B47" s="1" t="s">
        <v>4702</v>
      </c>
      <c r="C47" s="1" t="s">
        <v>4703</v>
      </c>
      <c r="D47" s="1" t="s">
        <v>4704</v>
      </c>
      <c r="E47" s="1">
        <v>3</v>
      </c>
      <c r="F47" s="1">
        <v>3</v>
      </c>
      <c r="G47" s="1">
        <v>3</v>
      </c>
      <c r="H47" s="1" t="s">
        <v>4631</v>
      </c>
      <c r="I47" s="1" t="s">
        <v>11794</v>
      </c>
      <c r="J47" s="1" t="s">
        <v>5178</v>
      </c>
      <c r="K47" s="1" t="s">
        <v>11795</v>
      </c>
      <c r="L47" s="1"/>
      <c r="M47" s="1"/>
      <c r="N47" s="1"/>
      <c r="O47" s="1"/>
      <c r="P47" s="1" t="s">
        <v>11796</v>
      </c>
      <c r="Q47" s="1" t="s">
        <v>11797</v>
      </c>
      <c r="R47" s="1"/>
    </row>
    <row r="48" spans="1:18" ht="48" customHeight="1">
      <c r="A48" s="1" t="s">
        <v>5094</v>
      </c>
      <c r="B48" s="1" t="s">
        <v>4702</v>
      </c>
      <c r="C48" s="1" t="s">
        <v>4834</v>
      </c>
      <c r="D48" s="1" t="s">
        <v>4835</v>
      </c>
      <c r="E48" s="1">
        <v>2</v>
      </c>
      <c r="F48" s="1">
        <v>2</v>
      </c>
      <c r="G48" s="1">
        <v>2</v>
      </c>
      <c r="H48" s="1" t="s">
        <v>4631</v>
      </c>
      <c r="I48" s="1" t="s">
        <v>11798</v>
      </c>
      <c r="J48" s="1" t="s">
        <v>4737</v>
      </c>
      <c r="K48" s="1" t="s">
        <v>11799</v>
      </c>
      <c r="L48" s="1"/>
      <c r="M48" s="1"/>
      <c r="N48" s="1"/>
      <c r="O48" s="1"/>
      <c r="P48" s="1" t="s">
        <v>11800</v>
      </c>
      <c r="Q48" s="1" t="s">
        <v>11801</v>
      </c>
      <c r="R48" s="1"/>
    </row>
    <row r="49" spans="1:18" ht="36" customHeight="1">
      <c r="A49" s="1" t="s">
        <v>5094</v>
      </c>
      <c r="B49" s="1" t="s">
        <v>4702</v>
      </c>
      <c r="C49" s="1" t="s">
        <v>4703</v>
      </c>
      <c r="D49" s="1" t="s">
        <v>4704</v>
      </c>
      <c r="E49" s="1">
        <v>4</v>
      </c>
      <c r="F49" s="1">
        <v>4</v>
      </c>
      <c r="G49" s="1">
        <v>4</v>
      </c>
      <c r="H49" s="1" t="s">
        <v>4631</v>
      </c>
      <c r="I49" s="1" t="s">
        <v>11802</v>
      </c>
      <c r="J49" s="1" t="s">
        <v>11803</v>
      </c>
      <c r="K49" s="1" t="s">
        <v>11804</v>
      </c>
      <c r="L49" s="1"/>
      <c r="M49" s="1"/>
      <c r="N49" s="1"/>
      <c r="O49" s="1"/>
      <c r="P49" s="1" t="s">
        <v>11805</v>
      </c>
      <c r="Q49" s="1" t="s">
        <v>11806</v>
      </c>
      <c r="R49" s="1"/>
    </row>
    <row r="50" spans="1:18" ht="120" customHeight="1">
      <c r="A50" s="1" t="s">
        <v>5116</v>
      </c>
      <c r="B50" s="1" t="s">
        <v>4702</v>
      </c>
      <c r="C50" s="1" t="s">
        <v>4834</v>
      </c>
      <c r="D50" s="1" t="s">
        <v>4835</v>
      </c>
      <c r="E50" s="1">
        <v>3</v>
      </c>
      <c r="F50" s="1">
        <v>3</v>
      </c>
      <c r="G50" s="1">
        <v>4</v>
      </c>
      <c r="H50" s="1" t="s">
        <v>4691</v>
      </c>
      <c r="I50" s="1" t="s">
        <v>5445</v>
      </c>
      <c r="J50" s="1" t="s">
        <v>4862</v>
      </c>
      <c r="K50" s="1" t="s">
        <v>5446</v>
      </c>
      <c r="L50" s="1" t="s">
        <v>5447</v>
      </c>
      <c r="M50" s="1" t="s">
        <v>5448</v>
      </c>
      <c r="N50" s="1" t="s">
        <v>5449</v>
      </c>
      <c r="O50" s="1" t="s">
        <v>4697</v>
      </c>
      <c r="P50" s="1" t="s">
        <v>5450</v>
      </c>
      <c r="Q50" s="1" t="s">
        <v>5451</v>
      </c>
      <c r="R50" s="1" t="s">
        <v>5452</v>
      </c>
    </row>
    <row r="51" spans="1:18" ht="36" customHeight="1">
      <c r="A51" s="1" t="s">
        <v>5116</v>
      </c>
      <c r="B51" s="1" t="s">
        <v>4702</v>
      </c>
      <c r="C51" s="1" t="s">
        <v>4703</v>
      </c>
      <c r="D51" s="1" t="s">
        <v>4704</v>
      </c>
      <c r="E51" s="1">
        <v>4</v>
      </c>
      <c r="F51" s="1">
        <v>4</v>
      </c>
      <c r="G51" s="1">
        <v>4</v>
      </c>
      <c r="H51" s="1" t="s">
        <v>4631</v>
      </c>
      <c r="I51" s="1" t="s">
        <v>11807</v>
      </c>
      <c r="J51" s="1" t="s">
        <v>4788</v>
      </c>
      <c r="K51" s="1" t="s">
        <v>11808</v>
      </c>
      <c r="L51" s="1"/>
      <c r="M51" s="1"/>
      <c r="N51" s="1"/>
      <c r="O51" s="1"/>
      <c r="P51" s="1" t="s">
        <v>11809</v>
      </c>
      <c r="Q51" s="1" t="s">
        <v>11810</v>
      </c>
      <c r="R51" s="1"/>
    </row>
    <row r="52" spans="1:18" ht="84" customHeight="1">
      <c r="A52" s="1" t="s">
        <v>5133</v>
      </c>
      <c r="B52" s="1" t="s">
        <v>4702</v>
      </c>
      <c r="C52" s="1" t="s">
        <v>4834</v>
      </c>
      <c r="D52" s="1" t="s">
        <v>4835</v>
      </c>
      <c r="E52" s="1">
        <v>3</v>
      </c>
      <c r="F52" s="1">
        <v>2</v>
      </c>
      <c r="G52" s="1">
        <v>2</v>
      </c>
      <c r="H52" s="1" t="s">
        <v>4691</v>
      </c>
      <c r="I52" s="1" t="s">
        <v>5134</v>
      </c>
      <c r="J52" s="1" t="s">
        <v>4788</v>
      </c>
      <c r="K52" s="1" t="s">
        <v>5135</v>
      </c>
      <c r="L52" s="1" t="s">
        <v>5136</v>
      </c>
      <c r="M52" s="1" t="s">
        <v>5137</v>
      </c>
      <c r="N52" s="1" t="s">
        <v>5138</v>
      </c>
      <c r="O52" s="1" t="s">
        <v>4697</v>
      </c>
      <c r="P52" s="1" t="s">
        <v>5139</v>
      </c>
      <c r="Q52" s="1" t="s">
        <v>5140</v>
      </c>
      <c r="R52" s="1" t="s">
        <v>5141</v>
      </c>
    </row>
    <row r="53" spans="1:18" ht="36" customHeight="1">
      <c r="A53" s="1" t="s">
        <v>5133</v>
      </c>
      <c r="B53" s="1" t="s">
        <v>4702</v>
      </c>
      <c r="C53" s="1" t="s">
        <v>4703</v>
      </c>
      <c r="D53" s="1" t="s">
        <v>4704</v>
      </c>
      <c r="E53" s="1">
        <v>4</v>
      </c>
      <c r="F53" s="1">
        <v>4</v>
      </c>
      <c r="G53" s="1">
        <v>4</v>
      </c>
      <c r="H53" s="1" t="s">
        <v>4631</v>
      </c>
      <c r="I53" s="1" t="s">
        <v>11811</v>
      </c>
      <c r="J53" s="1" t="s">
        <v>4737</v>
      </c>
      <c r="K53" s="1" t="s">
        <v>11812</v>
      </c>
      <c r="L53" s="1"/>
      <c r="M53" s="1"/>
      <c r="N53" s="1"/>
      <c r="O53" s="1"/>
      <c r="P53" s="1" t="s">
        <v>11813</v>
      </c>
      <c r="Q53" s="1" t="s">
        <v>11814</v>
      </c>
      <c r="R53" s="1"/>
    </row>
    <row r="54" spans="1:18" ht="60" customHeight="1">
      <c r="A54" s="1" t="s">
        <v>5162</v>
      </c>
      <c r="B54" s="1" t="s">
        <v>4702</v>
      </c>
      <c r="C54" s="1" t="s">
        <v>4834</v>
      </c>
      <c r="D54" s="1" t="s">
        <v>4835</v>
      </c>
      <c r="E54" s="1">
        <v>2</v>
      </c>
      <c r="F54" s="1">
        <v>2</v>
      </c>
      <c r="G54" s="1">
        <v>2</v>
      </c>
      <c r="H54" s="1" t="s">
        <v>4631</v>
      </c>
      <c r="I54" s="1" t="s">
        <v>11815</v>
      </c>
      <c r="J54" s="1" t="s">
        <v>5215</v>
      </c>
      <c r="K54" s="1" t="s">
        <v>11816</v>
      </c>
      <c r="L54" s="1"/>
      <c r="M54" s="1"/>
      <c r="N54" s="1"/>
      <c r="O54" s="1"/>
      <c r="P54" s="1" t="s">
        <v>11817</v>
      </c>
      <c r="Q54" s="1" t="s">
        <v>11818</v>
      </c>
      <c r="R54" s="1"/>
    </row>
    <row r="55" spans="1:18" ht="15" customHeight="1">
      <c r="A55" s="1" t="s">
        <v>5162</v>
      </c>
      <c r="B55" s="1" t="s">
        <v>4702</v>
      </c>
      <c r="C55" s="1" t="s">
        <v>4703</v>
      </c>
      <c r="D55" s="1" t="s">
        <v>4704</v>
      </c>
      <c r="E55" s="1">
        <v>2</v>
      </c>
      <c r="F55" s="1">
        <v>2</v>
      </c>
      <c r="G55" s="1">
        <v>2</v>
      </c>
      <c r="H55" s="1" t="s">
        <v>4631</v>
      </c>
      <c r="I55" s="1" t="s">
        <v>11819</v>
      </c>
      <c r="J55" s="1"/>
      <c r="K55" s="1" t="s">
        <v>11820</v>
      </c>
      <c r="L55" s="1"/>
      <c r="M55" s="1"/>
      <c r="N55" s="1"/>
      <c r="O55" s="1"/>
      <c r="P55" s="1" t="s">
        <v>11821</v>
      </c>
      <c r="Q55" s="1" t="s">
        <v>11822</v>
      </c>
      <c r="R55" s="1"/>
    </row>
    <row r="56" spans="1:18" ht="60" customHeight="1">
      <c r="A56" s="1" t="s">
        <v>5184</v>
      </c>
      <c r="B56" s="1" t="s">
        <v>4702</v>
      </c>
      <c r="C56" s="1" t="s">
        <v>4834</v>
      </c>
      <c r="D56" s="1" t="s">
        <v>4835</v>
      </c>
      <c r="E56" s="1">
        <v>2</v>
      </c>
      <c r="F56" s="1">
        <v>2</v>
      </c>
      <c r="G56" s="1">
        <v>2</v>
      </c>
      <c r="H56" s="1" t="s">
        <v>4631</v>
      </c>
      <c r="I56" s="1" t="s">
        <v>11823</v>
      </c>
      <c r="J56" s="1" t="s">
        <v>5215</v>
      </c>
      <c r="K56" s="1" t="s">
        <v>11824</v>
      </c>
      <c r="L56" s="1"/>
      <c r="M56" s="1"/>
      <c r="N56" s="1"/>
      <c r="O56" s="1"/>
      <c r="P56" s="1" t="s">
        <v>11825</v>
      </c>
      <c r="Q56" s="1" t="s">
        <v>11826</v>
      </c>
      <c r="R56" s="1"/>
    </row>
    <row r="57" spans="1:18" ht="24" customHeight="1">
      <c r="A57" s="1" t="s">
        <v>5184</v>
      </c>
      <c r="B57" s="1" t="s">
        <v>4702</v>
      </c>
      <c r="C57" s="1" t="s">
        <v>4703</v>
      </c>
      <c r="D57" s="1" t="s">
        <v>4704</v>
      </c>
      <c r="E57" s="1">
        <v>5</v>
      </c>
      <c r="F57" s="1">
        <v>5</v>
      </c>
      <c r="G57" s="1">
        <v>5</v>
      </c>
      <c r="H57" s="1" t="s">
        <v>4631</v>
      </c>
      <c r="I57" s="1" t="s">
        <v>11827</v>
      </c>
      <c r="J57" s="1" t="s">
        <v>4788</v>
      </c>
      <c r="K57" s="1" t="s">
        <v>11828</v>
      </c>
      <c r="L57" s="1"/>
      <c r="M57" s="1"/>
      <c r="N57" s="1"/>
      <c r="O57" s="1"/>
      <c r="P57" s="1" t="s">
        <v>11829</v>
      </c>
      <c r="Q57" s="1" t="s">
        <v>11830</v>
      </c>
      <c r="R57" s="1"/>
    </row>
    <row r="58" spans="1:18" ht="72" customHeight="1">
      <c r="A58" s="1" t="s">
        <v>5222</v>
      </c>
      <c r="B58" s="1" t="s">
        <v>4702</v>
      </c>
      <c r="C58" s="1" t="s">
        <v>4834</v>
      </c>
      <c r="D58" s="1" t="s">
        <v>4835</v>
      </c>
      <c r="E58" s="1">
        <v>3</v>
      </c>
      <c r="F58" s="1">
        <v>2</v>
      </c>
      <c r="G58" s="1">
        <v>2</v>
      </c>
      <c r="H58" s="1" t="s">
        <v>4691</v>
      </c>
      <c r="I58" s="1" t="s">
        <v>5223</v>
      </c>
      <c r="J58" s="1" t="s">
        <v>4896</v>
      </c>
      <c r="K58" s="1" t="s">
        <v>5224</v>
      </c>
      <c r="L58" s="1" t="s">
        <v>5225</v>
      </c>
      <c r="M58" s="1" t="s">
        <v>5226</v>
      </c>
      <c r="N58" s="1" t="s">
        <v>5227</v>
      </c>
      <c r="O58" s="1" t="s">
        <v>4697</v>
      </c>
      <c r="P58" s="1" t="s">
        <v>5228</v>
      </c>
      <c r="Q58" s="1" t="s">
        <v>5229</v>
      </c>
      <c r="R58" s="1" t="s">
        <v>5230</v>
      </c>
    </row>
    <row r="59" spans="1:18" ht="36" customHeight="1">
      <c r="A59" s="1" t="s">
        <v>5222</v>
      </c>
      <c r="B59" s="1" t="s">
        <v>4702</v>
      </c>
      <c r="C59" s="1" t="s">
        <v>4703</v>
      </c>
      <c r="D59" s="1" t="s">
        <v>4704</v>
      </c>
      <c r="E59" s="1">
        <v>4</v>
      </c>
      <c r="F59" s="1">
        <v>4</v>
      </c>
      <c r="G59" s="1">
        <v>4</v>
      </c>
      <c r="H59" s="1" t="s">
        <v>4631</v>
      </c>
      <c r="I59" s="1" t="s">
        <v>11831</v>
      </c>
      <c r="J59" s="1" t="s">
        <v>11832</v>
      </c>
      <c r="K59" s="1" t="s">
        <v>11833</v>
      </c>
      <c r="L59" s="1"/>
      <c r="M59" s="1"/>
      <c r="N59" s="1"/>
      <c r="O59" s="1"/>
      <c r="P59" s="1" t="s">
        <v>11834</v>
      </c>
      <c r="Q59" s="1" t="s">
        <v>11835</v>
      </c>
      <c r="R59" s="1"/>
    </row>
    <row r="60" spans="1:18" ht="48" customHeight="1">
      <c r="A60" s="1" t="s">
        <v>5776</v>
      </c>
      <c r="B60" s="1" t="s">
        <v>4702</v>
      </c>
      <c r="C60" s="1" t="s">
        <v>4834</v>
      </c>
      <c r="D60" s="1" t="s">
        <v>4835</v>
      </c>
      <c r="E60" s="1">
        <v>4</v>
      </c>
      <c r="F60" s="1">
        <v>4</v>
      </c>
      <c r="G60" s="1">
        <v>4</v>
      </c>
      <c r="H60" s="1" t="s">
        <v>4631</v>
      </c>
      <c r="I60" s="1" t="s">
        <v>11836</v>
      </c>
      <c r="J60" s="1" t="s">
        <v>4788</v>
      </c>
      <c r="K60" s="1" t="s">
        <v>11837</v>
      </c>
      <c r="L60" s="1"/>
      <c r="M60" s="1"/>
      <c r="N60" s="1"/>
      <c r="O60" s="1"/>
      <c r="P60" s="1" t="s">
        <v>11838</v>
      </c>
      <c r="Q60" s="1" t="s">
        <v>11839</v>
      </c>
      <c r="R60" s="1"/>
    </row>
    <row r="61" spans="1:18" ht="36" customHeight="1">
      <c r="A61" s="1" t="s">
        <v>5776</v>
      </c>
      <c r="B61" s="1" t="s">
        <v>4702</v>
      </c>
      <c r="C61" s="1" t="s">
        <v>4703</v>
      </c>
      <c r="D61" s="1" t="s">
        <v>4704</v>
      </c>
      <c r="E61" s="1">
        <v>5</v>
      </c>
      <c r="F61" s="1">
        <v>5</v>
      </c>
      <c r="G61" s="1">
        <v>5</v>
      </c>
      <c r="H61" s="1" t="s">
        <v>4631</v>
      </c>
      <c r="I61" s="1" t="s">
        <v>11840</v>
      </c>
      <c r="J61" s="1" t="s">
        <v>4935</v>
      </c>
      <c r="K61" s="1" t="s">
        <v>11841</v>
      </c>
      <c r="L61" s="1"/>
      <c r="M61" s="1"/>
      <c r="N61" s="1"/>
      <c r="O61" s="1"/>
      <c r="P61" s="1" t="s">
        <v>11842</v>
      </c>
      <c r="Q61" s="1" t="s">
        <v>11843</v>
      </c>
      <c r="R61" s="1"/>
    </row>
    <row r="62" spans="1:18" ht="132" customHeight="1">
      <c r="A62" s="1" t="s">
        <v>5251</v>
      </c>
      <c r="B62" s="1" t="s">
        <v>4702</v>
      </c>
      <c r="C62" s="1" t="s">
        <v>4834</v>
      </c>
      <c r="D62" s="1" t="s">
        <v>4835</v>
      </c>
      <c r="E62" s="1">
        <v>5</v>
      </c>
      <c r="F62" s="1">
        <v>4</v>
      </c>
      <c r="G62" s="1">
        <v>4</v>
      </c>
      <c r="H62" s="1" t="s">
        <v>4691</v>
      </c>
      <c r="I62" s="1" t="s">
        <v>5252</v>
      </c>
      <c r="J62" s="1" t="s">
        <v>5253</v>
      </c>
      <c r="K62" s="1" t="s">
        <v>5254</v>
      </c>
      <c r="L62" s="1" t="s">
        <v>5255</v>
      </c>
      <c r="M62" s="1" t="s">
        <v>5256</v>
      </c>
      <c r="N62" s="1" t="s">
        <v>5257</v>
      </c>
      <c r="O62" s="1" t="s">
        <v>4697</v>
      </c>
      <c r="P62" s="1" t="s">
        <v>5258</v>
      </c>
      <c r="Q62" s="1" t="s">
        <v>5259</v>
      </c>
      <c r="R62" s="1" t="s">
        <v>5260</v>
      </c>
    </row>
    <row r="63" spans="1:18" ht="36" customHeight="1">
      <c r="A63" s="1" t="s">
        <v>5251</v>
      </c>
      <c r="B63" s="1" t="s">
        <v>4702</v>
      </c>
      <c r="C63" s="1" t="s">
        <v>4703</v>
      </c>
      <c r="D63" s="1" t="s">
        <v>4704</v>
      </c>
      <c r="E63" s="1">
        <v>4</v>
      </c>
      <c r="F63" s="1">
        <v>4</v>
      </c>
      <c r="G63" s="1">
        <v>4</v>
      </c>
      <c r="H63" s="1" t="s">
        <v>4631</v>
      </c>
      <c r="I63" s="1" t="s">
        <v>11844</v>
      </c>
      <c r="J63" s="1" t="s">
        <v>4886</v>
      </c>
      <c r="K63" s="1" t="s">
        <v>11845</v>
      </c>
      <c r="L63" s="1"/>
      <c r="M63" s="1"/>
      <c r="N63" s="1"/>
      <c r="O63" s="1"/>
      <c r="P63" s="1" t="s">
        <v>11846</v>
      </c>
      <c r="Q63" s="1" t="s">
        <v>11847</v>
      </c>
      <c r="R63" s="1"/>
    </row>
    <row r="64" spans="1:18" ht="108" customHeight="1">
      <c r="A64" s="1" t="s">
        <v>5268</v>
      </c>
      <c r="B64" s="1" t="s">
        <v>4702</v>
      </c>
      <c r="C64" s="1" t="s">
        <v>4834</v>
      </c>
      <c r="D64" s="1" t="s">
        <v>4835</v>
      </c>
      <c r="E64" s="1">
        <v>4</v>
      </c>
      <c r="F64" s="1">
        <v>3</v>
      </c>
      <c r="G64" s="1">
        <v>4</v>
      </c>
      <c r="H64" s="1" t="s">
        <v>4691</v>
      </c>
      <c r="I64" s="1" t="s">
        <v>5269</v>
      </c>
      <c r="J64" s="1" t="s">
        <v>4788</v>
      </c>
      <c r="K64" s="1" t="s">
        <v>5270</v>
      </c>
      <c r="L64" s="1" t="s">
        <v>5271</v>
      </c>
      <c r="M64" s="1" t="s">
        <v>5272</v>
      </c>
      <c r="N64" s="1" t="s">
        <v>5273</v>
      </c>
      <c r="O64" s="1" t="s">
        <v>4697</v>
      </c>
      <c r="P64" s="1" t="s">
        <v>5274</v>
      </c>
      <c r="Q64" s="1" t="s">
        <v>5275</v>
      </c>
      <c r="R64" s="1" t="s">
        <v>5276</v>
      </c>
    </row>
    <row r="65" spans="1:18" ht="48" customHeight="1">
      <c r="A65" s="1" t="s">
        <v>5268</v>
      </c>
      <c r="B65" s="1" t="s">
        <v>4702</v>
      </c>
      <c r="C65" s="1" t="s">
        <v>4703</v>
      </c>
      <c r="D65" s="1" t="s">
        <v>4704</v>
      </c>
      <c r="E65" s="1">
        <v>5</v>
      </c>
      <c r="F65" s="1">
        <v>5</v>
      </c>
      <c r="G65" s="1">
        <v>5</v>
      </c>
      <c r="H65" s="1" t="s">
        <v>4631</v>
      </c>
      <c r="I65" s="1" t="s">
        <v>11848</v>
      </c>
      <c r="J65" s="1" t="s">
        <v>11849</v>
      </c>
      <c r="K65" s="1" t="s">
        <v>11850</v>
      </c>
      <c r="L65" s="1"/>
      <c r="M65" s="1"/>
      <c r="N65" s="1"/>
      <c r="O65" s="1"/>
      <c r="P65" s="1" t="s">
        <v>11851</v>
      </c>
      <c r="Q65" s="1" t="s">
        <v>11852</v>
      </c>
      <c r="R65" s="1"/>
    </row>
    <row r="66" spans="1:18" ht="72" customHeight="1">
      <c r="A66" s="1" t="s">
        <v>5306</v>
      </c>
      <c r="B66" s="1" t="s">
        <v>4702</v>
      </c>
      <c r="C66" s="1" t="s">
        <v>4834</v>
      </c>
      <c r="D66" s="1" t="s">
        <v>4835</v>
      </c>
      <c r="E66" s="1">
        <v>4</v>
      </c>
      <c r="F66" s="1">
        <v>2</v>
      </c>
      <c r="G66" s="1">
        <v>2</v>
      </c>
      <c r="H66" s="1" t="s">
        <v>4691</v>
      </c>
      <c r="I66" s="1" t="s">
        <v>5307</v>
      </c>
      <c r="J66" s="1" t="s">
        <v>5215</v>
      </c>
      <c r="K66" s="1" t="s">
        <v>5308</v>
      </c>
      <c r="L66" s="1" t="s">
        <v>5309</v>
      </c>
      <c r="M66" s="1" t="s">
        <v>5310</v>
      </c>
      <c r="N66" s="1" t="s">
        <v>5311</v>
      </c>
      <c r="O66" s="1" t="s">
        <v>4697</v>
      </c>
      <c r="P66" s="1" t="s">
        <v>5312</v>
      </c>
      <c r="Q66" s="1" t="s">
        <v>5313</v>
      </c>
      <c r="R66" s="1" t="s">
        <v>5314</v>
      </c>
    </row>
    <row r="67" spans="1:18" ht="48" customHeight="1">
      <c r="A67" s="1" t="s">
        <v>5306</v>
      </c>
      <c r="B67" s="1" t="s">
        <v>4702</v>
      </c>
      <c r="C67" s="1" t="s">
        <v>4703</v>
      </c>
      <c r="D67" s="1" t="s">
        <v>4704</v>
      </c>
      <c r="E67" s="1">
        <v>5</v>
      </c>
      <c r="F67" s="1">
        <v>5</v>
      </c>
      <c r="G67" s="1">
        <v>5</v>
      </c>
      <c r="H67" s="1" t="s">
        <v>4631</v>
      </c>
      <c r="I67" s="1" t="s">
        <v>11853</v>
      </c>
      <c r="J67" s="1" t="s">
        <v>11735</v>
      </c>
      <c r="K67" s="1" t="s">
        <v>11854</v>
      </c>
      <c r="L67" s="1"/>
      <c r="M67" s="1"/>
      <c r="N67" s="1"/>
      <c r="O67" s="1"/>
      <c r="P67" s="1" t="s">
        <v>11855</v>
      </c>
      <c r="Q67" s="1" t="s">
        <v>11856</v>
      </c>
      <c r="R67" s="1"/>
    </row>
    <row r="68" spans="1:18" ht="24" customHeight="1">
      <c r="A68" s="1" t="s">
        <v>5330</v>
      </c>
      <c r="B68" s="1" t="s">
        <v>4702</v>
      </c>
      <c r="C68" s="1" t="s">
        <v>4834</v>
      </c>
      <c r="D68" s="1" t="s">
        <v>4835</v>
      </c>
      <c r="E68" s="1">
        <v>4</v>
      </c>
      <c r="F68" s="1">
        <v>4</v>
      </c>
      <c r="G68" s="1">
        <v>4</v>
      </c>
      <c r="H68" s="1" t="s">
        <v>4631</v>
      </c>
      <c r="I68" s="1" t="s">
        <v>11857</v>
      </c>
      <c r="J68" s="1" t="s">
        <v>4886</v>
      </c>
      <c r="K68" s="1" t="s">
        <v>11858</v>
      </c>
      <c r="L68" s="1"/>
      <c r="M68" s="1"/>
      <c r="N68" s="1"/>
      <c r="O68" s="1"/>
      <c r="P68" s="1" t="s">
        <v>11859</v>
      </c>
      <c r="Q68" s="1" t="s">
        <v>11860</v>
      </c>
      <c r="R68" s="1"/>
    </row>
    <row r="69" spans="1:18" ht="36" customHeight="1">
      <c r="A69" s="1" t="s">
        <v>5330</v>
      </c>
      <c r="B69" s="1" t="s">
        <v>4702</v>
      </c>
      <c r="C69" s="1" t="s">
        <v>4703</v>
      </c>
      <c r="D69" s="1" t="s">
        <v>4704</v>
      </c>
      <c r="E69" s="1">
        <v>3</v>
      </c>
      <c r="F69" s="1">
        <v>3</v>
      </c>
      <c r="G69" s="1">
        <v>3</v>
      </c>
      <c r="H69" s="1" t="s">
        <v>4631</v>
      </c>
      <c r="I69" s="1" t="s">
        <v>11861</v>
      </c>
      <c r="J69" s="1"/>
      <c r="K69" s="1" t="s">
        <v>11862</v>
      </c>
      <c r="L69" s="1"/>
      <c r="M69" s="1"/>
      <c r="N69" s="1"/>
      <c r="O69" s="1"/>
      <c r="P69" s="1" t="s">
        <v>11863</v>
      </c>
      <c r="Q69" s="1" t="s">
        <v>11864</v>
      </c>
      <c r="R69" s="1"/>
    </row>
    <row r="70" spans="1:18" ht="36" customHeight="1">
      <c r="A70" s="1" t="s">
        <v>5337</v>
      </c>
      <c r="B70" s="1" t="s">
        <v>4702</v>
      </c>
      <c r="C70" s="1" t="s">
        <v>4834</v>
      </c>
      <c r="D70" s="1" t="s">
        <v>4835</v>
      </c>
      <c r="E70" s="1">
        <v>4</v>
      </c>
      <c r="F70" s="1">
        <v>4</v>
      </c>
      <c r="G70" s="1">
        <v>4</v>
      </c>
      <c r="H70" s="1" t="s">
        <v>4631</v>
      </c>
      <c r="I70" s="1" t="s">
        <v>11865</v>
      </c>
      <c r="J70" s="1" t="s">
        <v>5215</v>
      </c>
      <c r="K70" s="1" t="s">
        <v>11866</v>
      </c>
      <c r="L70" s="1"/>
      <c r="M70" s="1"/>
      <c r="N70" s="1"/>
      <c r="O70" s="1"/>
      <c r="P70" s="1" t="s">
        <v>11867</v>
      </c>
      <c r="Q70" s="1" t="s">
        <v>11868</v>
      </c>
      <c r="R70" s="1"/>
    </row>
    <row r="71" spans="1:18" ht="84" customHeight="1">
      <c r="A71" s="1" t="s">
        <v>5337</v>
      </c>
      <c r="B71" s="1" t="s">
        <v>4702</v>
      </c>
      <c r="C71" s="1" t="s">
        <v>4703</v>
      </c>
      <c r="D71" s="1" t="s">
        <v>4704</v>
      </c>
      <c r="E71" s="1">
        <v>2</v>
      </c>
      <c r="F71" s="1">
        <v>5</v>
      </c>
      <c r="G71" s="1">
        <v>5</v>
      </c>
      <c r="H71" s="1" t="s">
        <v>4691</v>
      </c>
      <c r="I71" s="1" t="s">
        <v>5338</v>
      </c>
      <c r="J71" s="1" t="s">
        <v>5215</v>
      </c>
      <c r="K71" s="1" t="s">
        <v>5339</v>
      </c>
      <c r="L71" s="1" t="s">
        <v>5340</v>
      </c>
      <c r="M71" s="1" t="s">
        <v>5341</v>
      </c>
      <c r="N71" s="1" t="s">
        <v>5342</v>
      </c>
      <c r="O71" s="1" t="s">
        <v>4697</v>
      </c>
      <c r="P71" s="1" t="s">
        <v>5343</v>
      </c>
      <c r="Q71" s="1" t="s">
        <v>5344</v>
      </c>
      <c r="R71" s="1" t="s">
        <v>5345</v>
      </c>
    </row>
    <row r="72" spans="1:18" ht="108" customHeight="1">
      <c r="A72" s="1" t="s">
        <v>5352</v>
      </c>
      <c r="B72" s="1" t="s">
        <v>4702</v>
      </c>
      <c r="C72" s="1" t="s">
        <v>4834</v>
      </c>
      <c r="D72" s="1" t="s">
        <v>4835</v>
      </c>
      <c r="E72" s="1">
        <v>2</v>
      </c>
      <c r="F72" s="1">
        <v>4</v>
      </c>
      <c r="G72" s="1">
        <v>5</v>
      </c>
      <c r="H72" s="1" t="s">
        <v>4691</v>
      </c>
      <c r="I72" s="1" t="s">
        <v>5353</v>
      </c>
      <c r="J72" s="1" t="s">
        <v>4886</v>
      </c>
      <c r="K72" s="1" t="s">
        <v>5354</v>
      </c>
      <c r="L72" s="1" t="s">
        <v>5355</v>
      </c>
      <c r="M72" s="1" t="s">
        <v>5356</v>
      </c>
      <c r="N72" s="1" t="s">
        <v>5357</v>
      </c>
      <c r="O72" s="1" t="s">
        <v>4697</v>
      </c>
      <c r="P72" s="1" t="s">
        <v>5358</v>
      </c>
      <c r="Q72" s="1" t="s">
        <v>5359</v>
      </c>
      <c r="R72" s="1" t="s">
        <v>5360</v>
      </c>
    </row>
    <row r="73" spans="1:18" ht="24" customHeight="1">
      <c r="A73" s="1" t="s">
        <v>5352</v>
      </c>
      <c r="B73" s="1" t="s">
        <v>4702</v>
      </c>
      <c r="C73" s="1" t="s">
        <v>4703</v>
      </c>
      <c r="D73" s="1" t="s">
        <v>4704</v>
      </c>
      <c r="E73" s="1">
        <v>4</v>
      </c>
      <c r="F73" s="1">
        <v>4</v>
      </c>
      <c r="G73" s="1">
        <v>4</v>
      </c>
      <c r="H73" s="1" t="s">
        <v>4631</v>
      </c>
      <c r="I73" s="1" t="s">
        <v>11869</v>
      </c>
      <c r="J73" s="1" t="s">
        <v>4788</v>
      </c>
      <c r="K73" s="1" t="s">
        <v>11870</v>
      </c>
      <c r="L73" s="1"/>
      <c r="M73" s="1"/>
      <c r="N73" s="1"/>
      <c r="O73" s="1"/>
      <c r="P73" s="1" t="s">
        <v>11871</v>
      </c>
      <c r="Q73" s="1" t="s">
        <v>11872</v>
      </c>
      <c r="R73" s="1"/>
    </row>
    <row r="74" spans="1:18" ht="60" customHeight="1">
      <c r="A74" s="1" t="s">
        <v>5369</v>
      </c>
      <c r="B74" s="1" t="s">
        <v>4702</v>
      </c>
      <c r="C74" s="1" t="s">
        <v>4834</v>
      </c>
      <c r="D74" s="1" t="s">
        <v>4835</v>
      </c>
      <c r="E74" s="1">
        <v>4</v>
      </c>
      <c r="F74" s="1">
        <v>4</v>
      </c>
      <c r="G74" s="1">
        <v>4</v>
      </c>
      <c r="H74" s="1" t="s">
        <v>4631</v>
      </c>
      <c r="I74" s="1" t="s">
        <v>11873</v>
      </c>
      <c r="J74" s="1" t="s">
        <v>4862</v>
      </c>
      <c r="K74" s="1" t="s">
        <v>11874</v>
      </c>
      <c r="L74" s="1"/>
      <c r="M74" s="1"/>
      <c r="N74" s="1"/>
      <c r="O74" s="1"/>
      <c r="P74" s="1" t="s">
        <v>11875</v>
      </c>
      <c r="Q74" s="1" t="s">
        <v>11876</v>
      </c>
      <c r="R74" s="1"/>
    </row>
    <row r="75" spans="1:18" ht="24" customHeight="1">
      <c r="A75" s="1" t="s">
        <v>5369</v>
      </c>
      <c r="B75" s="1" t="s">
        <v>4702</v>
      </c>
      <c r="C75" s="1" t="s">
        <v>4703</v>
      </c>
      <c r="D75" s="1" t="s">
        <v>4704</v>
      </c>
      <c r="E75" s="1">
        <v>3</v>
      </c>
      <c r="F75" s="1">
        <v>3</v>
      </c>
      <c r="G75" s="1">
        <v>3</v>
      </c>
      <c r="H75" s="1" t="s">
        <v>4631</v>
      </c>
      <c r="I75" s="1" t="s">
        <v>11877</v>
      </c>
      <c r="J75" s="1" t="s">
        <v>4886</v>
      </c>
      <c r="K75" s="1" t="s">
        <v>11878</v>
      </c>
      <c r="L75" s="1"/>
      <c r="M75" s="1"/>
      <c r="N75" s="1"/>
      <c r="O75" s="1"/>
      <c r="P75" s="1" t="s">
        <v>11879</v>
      </c>
      <c r="Q75" s="1" t="s">
        <v>11880</v>
      </c>
      <c r="R75" s="1"/>
    </row>
    <row r="76" spans="1:18" ht="24" customHeight="1">
      <c r="A76" s="1" t="s">
        <v>5389</v>
      </c>
      <c r="B76" s="1" t="s">
        <v>4702</v>
      </c>
      <c r="C76" s="1" t="s">
        <v>4834</v>
      </c>
      <c r="D76" s="1" t="s">
        <v>4835</v>
      </c>
      <c r="E76" s="1">
        <v>4</v>
      </c>
      <c r="F76" s="1">
        <v>4</v>
      </c>
      <c r="G76" s="1">
        <v>4</v>
      </c>
      <c r="H76" s="1" t="s">
        <v>4631</v>
      </c>
      <c r="I76" s="1" t="s">
        <v>11881</v>
      </c>
      <c r="J76" s="1" t="s">
        <v>4959</v>
      </c>
      <c r="K76" s="1" t="s">
        <v>11882</v>
      </c>
      <c r="L76" s="1"/>
      <c r="M76" s="1"/>
      <c r="N76" s="1"/>
      <c r="O76" s="1"/>
      <c r="P76" s="1" t="s">
        <v>11883</v>
      </c>
      <c r="Q76" s="1" t="s">
        <v>11884</v>
      </c>
      <c r="R76" s="1"/>
    </row>
    <row r="77" spans="1:18" ht="36" customHeight="1">
      <c r="A77" s="1" t="s">
        <v>5389</v>
      </c>
      <c r="B77" s="1" t="s">
        <v>4702</v>
      </c>
      <c r="C77" s="1" t="s">
        <v>4703</v>
      </c>
      <c r="D77" s="1" t="s">
        <v>4704</v>
      </c>
      <c r="E77" s="1">
        <v>3</v>
      </c>
      <c r="F77" s="1">
        <v>3</v>
      </c>
      <c r="G77" s="1">
        <v>3</v>
      </c>
      <c r="H77" s="1" t="s">
        <v>4631</v>
      </c>
      <c r="I77" s="1" t="s">
        <v>11885</v>
      </c>
      <c r="J77" s="1"/>
      <c r="K77" s="1" t="s">
        <v>11886</v>
      </c>
      <c r="L77" s="1"/>
      <c r="M77" s="1"/>
      <c r="N77" s="1"/>
      <c r="O77" s="1"/>
      <c r="P77" s="1" t="s">
        <v>11887</v>
      </c>
      <c r="Q77" s="1" t="s">
        <v>11888</v>
      </c>
      <c r="R77" s="1"/>
    </row>
    <row r="78" spans="1:18" ht="108" customHeight="1">
      <c r="A78" s="1" t="s">
        <v>5413</v>
      </c>
      <c r="B78" s="1" t="s">
        <v>4702</v>
      </c>
      <c r="C78" s="1" t="s">
        <v>4834</v>
      </c>
      <c r="D78" s="1" t="s">
        <v>4835</v>
      </c>
      <c r="E78" s="1">
        <v>5</v>
      </c>
      <c r="F78" s="1">
        <v>4</v>
      </c>
      <c r="G78" s="1">
        <v>4</v>
      </c>
      <c r="H78" s="1" t="s">
        <v>4691</v>
      </c>
      <c r="I78" s="1" t="s">
        <v>5414</v>
      </c>
      <c r="J78" s="1" t="s">
        <v>5215</v>
      </c>
      <c r="K78" s="1" t="s">
        <v>5415</v>
      </c>
      <c r="L78" s="1" t="s">
        <v>5416</v>
      </c>
      <c r="M78" s="1" t="s">
        <v>5417</v>
      </c>
      <c r="N78" s="1" t="s">
        <v>5418</v>
      </c>
      <c r="O78" s="1" t="s">
        <v>4697</v>
      </c>
      <c r="P78" s="1" t="s">
        <v>5419</v>
      </c>
      <c r="Q78" s="1" t="s">
        <v>5420</v>
      </c>
      <c r="R78" s="1" t="s">
        <v>5421</v>
      </c>
    </row>
    <row r="79" spans="1:18" ht="48" customHeight="1">
      <c r="A79" s="1" t="s">
        <v>5413</v>
      </c>
      <c r="B79" s="1" t="s">
        <v>4702</v>
      </c>
      <c r="C79" s="1" t="s">
        <v>4703</v>
      </c>
      <c r="D79" s="1" t="s">
        <v>4704</v>
      </c>
      <c r="E79" s="1">
        <v>3</v>
      </c>
      <c r="F79" s="1">
        <v>3</v>
      </c>
      <c r="G79" s="1">
        <v>3</v>
      </c>
      <c r="H79" s="1" t="s">
        <v>4631</v>
      </c>
      <c r="I79" s="1" t="s">
        <v>11889</v>
      </c>
      <c r="J79" s="1" t="s">
        <v>4788</v>
      </c>
      <c r="K79" s="1" t="s">
        <v>11890</v>
      </c>
      <c r="L79" s="1"/>
      <c r="M79" s="1"/>
      <c r="N79" s="1"/>
      <c r="O79" s="1"/>
      <c r="P79" s="1" t="s">
        <v>11891</v>
      </c>
      <c r="Q79" s="1" t="s">
        <v>11892</v>
      </c>
      <c r="R79" s="1"/>
    </row>
    <row r="80" spans="1:18" ht="48" customHeight="1">
      <c r="A80" s="1" t="s">
        <v>5465</v>
      </c>
      <c r="B80" s="1">
        <v>5</v>
      </c>
      <c r="C80" s="1" t="s">
        <v>4834</v>
      </c>
      <c r="D80" s="1" t="s">
        <v>4835</v>
      </c>
      <c r="E80" s="1"/>
      <c r="F80" s="1"/>
      <c r="G80" s="1">
        <v>2</v>
      </c>
      <c r="H80" s="1" t="s">
        <v>4691</v>
      </c>
      <c r="I80" s="1"/>
      <c r="J80" s="1"/>
      <c r="K80" s="1"/>
      <c r="L80" s="1" t="s">
        <v>5466</v>
      </c>
      <c r="M80" s="1" t="s">
        <v>5467</v>
      </c>
      <c r="N80" s="1" t="s">
        <v>11893</v>
      </c>
      <c r="O80" s="1" t="s">
        <v>5461</v>
      </c>
      <c r="P80" s="1"/>
      <c r="Q80" s="1"/>
      <c r="R80" s="1" t="s">
        <v>11894</v>
      </c>
    </row>
    <row r="81" spans="1:18" ht="48" customHeight="1">
      <c r="A81" s="1" t="s">
        <v>5465</v>
      </c>
      <c r="B81" s="1">
        <v>5</v>
      </c>
      <c r="C81" s="1" t="s">
        <v>4703</v>
      </c>
      <c r="D81" s="1" t="s">
        <v>4704</v>
      </c>
      <c r="E81" s="1"/>
      <c r="F81" s="1"/>
      <c r="G81" s="1">
        <v>4</v>
      </c>
      <c r="H81" s="1" t="s">
        <v>4691</v>
      </c>
      <c r="I81" s="1"/>
      <c r="J81" s="1"/>
      <c r="K81" s="1"/>
      <c r="L81" s="1" t="s">
        <v>5472</v>
      </c>
      <c r="M81" s="1" t="s">
        <v>5473</v>
      </c>
      <c r="N81" s="1" t="s">
        <v>11893</v>
      </c>
      <c r="O81" s="1" t="s">
        <v>5461</v>
      </c>
      <c r="P81" s="1"/>
      <c r="Q81" s="1"/>
      <c r="R81" s="1" t="s">
        <v>11895</v>
      </c>
    </row>
    <row r="82" spans="1:18" ht="48" customHeight="1">
      <c r="A82" s="1" t="s">
        <v>5504</v>
      </c>
      <c r="B82" s="1">
        <v>5</v>
      </c>
      <c r="C82" s="1" t="s">
        <v>4834</v>
      </c>
      <c r="D82" s="1" t="s">
        <v>4835</v>
      </c>
      <c r="E82" s="1"/>
      <c r="F82" s="1"/>
      <c r="G82" s="1">
        <v>2</v>
      </c>
      <c r="H82" s="1" t="s">
        <v>4691</v>
      </c>
      <c r="I82" s="1"/>
      <c r="J82" s="1"/>
      <c r="K82" s="1"/>
      <c r="L82" s="1" t="s">
        <v>5505</v>
      </c>
      <c r="M82" s="1" t="s">
        <v>5506</v>
      </c>
      <c r="N82" s="1" t="s">
        <v>11893</v>
      </c>
      <c r="O82" s="1" t="s">
        <v>5461</v>
      </c>
      <c r="P82" s="1"/>
      <c r="Q82" s="1"/>
      <c r="R82" s="1" t="s">
        <v>11896</v>
      </c>
    </row>
    <row r="83" spans="1:18" ht="48" customHeight="1">
      <c r="A83" s="1" t="s">
        <v>5504</v>
      </c>
      <c r="B83" s="1">
        <v>5</v>
      </c>
      <c r="C83" s="1" t="s">
        <v>4703</v>
      </c>
      <c r="D83" s="1" t="s">
        <v>4704</v>
      </c>
      <c r="E83" s="1"/>
      <c r="F83" s="1"/>
      <c r="G83" s="1">
        <v>3</v>
      </c>
      <c r="H83" s="1" t="s">
        <v>4691</v>
      </c>
      <c r="I83" s="1"/>
      <c r="J83" s="1"/>
      <c r="K83" s="1"/>
      <c r="L83" s="1" t="s">
        <v>5508</v>
      </c>
      <c r="M83" s="1" t="s">
        <v>5509</v>
      </c>
      <c r="N83" s="1" t="s">
        <v>11893</v>
      </c>
      <c r="O83" s="1" t="s">
        <v>5461</v>
      </c>
      <c r="P83" s="1"/>
      <c r="Q83" s="1"/>
      <c r="R83" s="1" t="s">
        <v>11897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7"/>
  <sheetViews>
    <sheetView showGridLines="0" workbookViewId="0"/>
  </sheetViews>
  <sheetFormatPr baseColWidth="10" defaultColWidth="8.83203125" defaultRowHeight="15"/>
  <cols>
    <col min="1" max="2" width="34" customWidth="1"/>
    <col min="3" max="3" width="16" customWidth="1"/>
    <col min="4" max="16" width="34" customWidth="1"/>
  </cols>
  <sheetData>
    <row r="1" spans="1:16" ht="38" customHeight="1">
      <c r="A1" s="2" t="s">
        <v>11898</v>
      </c>
      <c r="B1" s="2" t="s">
        <v>11899</v>
      </c>
      <c r="C1" s="2" t="s">
        <v>11373</v>
      </c>
      <c r="D1" s="2" t="s">
        <v>11900</v>
      </c>
      <c r="E1" s="2" t="s">
        <v>11901</v>
      </c>
      <c r="F1" s="2" t="s">
        <v>11902</v>
      </c>
      <c r="G1" s="2" t="s">
        <v>11903</v>
      </c>
      <c r="H1" s="2" t="s">
        <v>11904</v>
      </c>
      <c r="I1" s="2" t="s">
        <v>56</v>
      </c>
      <c r="J1" s="2" t="s">
        <v>11905</v>
      </c>
      <c r="K1" s="2" t="s">
        <v>11906</v>
      </c>
      <c r="L1" s="2" t="s">
        <v>11907</v>
      </c>
      <c r="M1" s="2" t="s">
        <v>11908</v>
      </c>
      <c r="N1" s="2" t="s">
        <v>11909</v>
      </c>
      <c r="O1" s="2" t="s">
        <v>11910</v>
      </c>
      <c r="P1" s="2" t="s">
        <v>11582</v>
      </c>
    </row>
    <row r="2" spans="1:16" ht="15" customHeight="1">
      <c r="A2" s="1" t="s">
        <v>11911</v>
      </c>
      <c r="B2" s="1" t="s">
        <v>4834</v>
      </c>
      <c r="C2" s="1">
        <v>41</v>
      </c>
      <c r="D2" s="1">
        <f>COUNTIFS('S7 readiness scores'!$C$2:$C$83,B2,'S7 readiness scores'!$G$2:$G$83,1)</f>
        <v>0</v>
      </c>
      <c r="E2" s="1">
        <f>COUNTIFS('S7 readiness scores'!$C$2:$C$83,B2,'S7 readiness scores'!$G$2:$G$83,2)</f>
        <v>21</v>
      </c>
      <c r="F2" s="1">
        <f>COUNTIFS('S7 readiness scores'!$C$2:$C$83,B2,'S7 readiness scores'!$G$2:$G$83,3)</f>
        <v>0</v>
      </c>
      <c r="G2" s="1">
        <f>COUNTIFS('S7 readiness scores'!$C$2:$C$83,B2,'S7 readiness scores'!$G$2:$G$83,4)</f>
        <v>18</v>
      </c>
      <c r="H2" s="1">
        <f>COUNTIFS('S7 readiness scores'!$C$2:$C$83,B2,'S7 readiness scores'!$G$2:$G$83,5)</f>
        <v>2</v>
      </c>
      <c r="I2" s="1">
        <f t="shared" ref="I2:I7" si="0">C2-SUM(D2:H2)</f>
        <v>0</v>
      </c>
      <c r="J2" s="1">
        <f t="shared" ref="J2:J7" si="1">D2/C2</f>
        <v>0</v>
      </c>
      <c r="K2" s="1">
        <f t="shared" ref="K2:K7" si="2">E2/C2</f>
        <v>0.51219512195121952</v>
      </c>
      <c r="L2" s="1">
        <f t="shared" ref="L2:L7" si="3">F2/C2</f>
        <v>0</v>
      </c>
      <c r="M2" s="1">
        <f t="shared" ref="M2:M7" si="4">G2/C2</f>
        <v>0.43902439024390244</v>
      </c>
      <c r="N2" s="1">
        <f t="shared" ref="N2:N7" si="5">H2/C2</f>
        <v>4.878048780487805E-2</v>
      </c>
      <c r="O2" s="1">
        <f t="shared" ref="O2:O7" si="6">I2/C2</f>
        <v>0</v>
      </c>
      <c r="P2" s="1" t="str">
        <f>IF(I2=0,"Complete analysis","Pending scores")</f>
        <v>Complete analysis</v>
      </c>
    </row>
    <row r="3" spans="1:16" ht="15" customHeight="1">
      <c r="A3" s="1" t="s">
        <v>11911</v>
      </c>
      <c r="B3" s="1" t="s">
        <v>4703</v>
      </c>
      <c r="C3" s="1">
        <v>41</v>
      </c>
      <c r="D3" s="1">
        <f>COUNTIFS('S7 readiness scores'!$C$2:$C$83,B3,'S7 readiness scores'!$G$2:$G$83,1)</f>
        <v>0</v>
      </c>
      <c r="E3" s="1">
        <f>COUNTIFS('S7 readiness scores'!$C$2:$C$83,B3,'S7 readiness scores'!$G$2:$G$83,2)</f>
        <v>3</v>
      </c>
      <c r="F3" s="1">
        <f>COUNTIFS('S7 readiness scores'!$C$2:$C$83,B3,'S7 readiness scores'!$G$2:$G$83,3)</f>
        <v>9</v>
      </c>
      <c r="G3" s="1">
        <f>COUNTIFS('S7 readiness scores'!$C$2:$C$83,B3,'S7 readiness scores'!$G$2:$G$83,4)</f>
        <v>19</v>
      </c>
      <c r="H3" s="1">
        <f>COUNTIFS('S7 readiness scores'!$C$2:$C$83,B3,'S7 readiness scores'!$G$2:$G$83,5)</f>
        <v>10</v>
      </c>
      <c r="I3" s="1">
        <f t="shared" si="0"/>
        <v>0</v>
      </c>
      <c r="J3" s="1">
        <f t="shared" si="1"/>
        <v>0</v>
      </c>
      <c r="K3" s="1">
        <f t="shared" si="2"/>
        <v>7.3170731707317069E-2</v>
      </c>
      <c r="L3" s="1">
        <f t="shared" si="3"/>
        <v>0.21951219512195122</v>
      </c>
      <c r="M3" s="1">
        <f t="shared" si="4"/>
        <v>0.46341463414634149</v>
      </c>
      <c r="N3" s="1">
        <f t="shared" si="5"/>
        <v>0.24390243902439024</v>
      </c>
      <c r="O3" s="1">
        <f t="shared" si="6"/>
        <v>0</v>
      </c>
      <c r="P3" s="1" t="str">
        <f>IF(I3=0,"Complete analysis","Pending scores")</f>
        <v>Complete analysis</v>
      </c>
    </row>
    <row r="4" spans="1:16" ht="15" customHeight="1">
      <c r="A4" s="1" t="s">
        <v>11912</v>
      </c>
      <c r="B4" s="1" t="s">
        <v>4834</v>
      </c>
      <c r="C4" s="1">
        <v>39</v>
      </c>
      <c r="D4" s="1">
        <f>COUNTIFS('S7 readiness scores'!$C$2:$C$79,B4,'S7 readiness scores'!$E$2:$E$79,1)</f>
        <v>0</v>
      </c>
      <c r="E4" s="1">
        <f>COUNTIFS('S7 readiness scores'!$C$2:$C$79,B4,'S7 readiness scores'!$E$2:$E$79,2)</f>
        <v>15</v>
      </c>
      <c r="F4" s="1">
        <f>COUNTIFS('S7 readiness scores'!$C$2:$C$79,B4,'S7 readiness scores'!$E$2:$E$79,3)</f>
        <v>4</v>
      </c>
      <c r="G4" s="1">
        <f>COUNTIFS('S7 readiness scores'!$C$2:$C$79,B4,'S7 readiness scores'!$E$2:$E$79,4)</f>
        <v>16</v>
      </c>
      <c r="H4" s="1">
        <f>COUNTIFS('S7 readiness scores'!$C$2:$C$79,B4,'S7 readiness scores'!$E$2:$E$79,5)</f>
        <v>4</v>
      </c>
      <c r="I4" s="1">
        <f t="shared" si="0"/>
        <v>0</v>
      </c>
      <c r="J4" s="1">
        <f t="shared" si="1"/>
        <v>0</v>
      </c>
      <c r="K4" s="1">
        <f t="shared" si="2"/>
        <v>0.38461538461538464</v>
      </c>
      <c r="L4" s="1">
        <f t="shared" si="3"/>
        <v>0.10256410256410256</v>
      </c>
      <c r="M4" s="1">
        <f t="shared" si="4"/>
        <v>0.41025641025641024</v>
      </c>
      <c r="N4" s="1">
        <f t="shared" si="5"/>
        <v>0.10256410256410256</v>
      </c>
      <c r="O4" s="1">
        <f t="shared" si="6"/>
        <v>0</v>
      </c>
      <c r="P4" s="1" t="s">
        <v>11913</v>
      </c>
    </row>
    <row r="5" spans="1:16" ht="15" customHeight="1">
      <c r="A5" s="1" t="s">
        <v>11912</v>
      </c>
      <c r="B5" s="1" t="s">
        <v>4703</v>
      </c>
      <c r="C5" s="1">
        <v>39</v>
      </c>
      <c r="D5" s="1">
        <f>COUNTIFS('S7 readiness scores'!$C$2:$C$79,B5,'S7 readiness scores'!$E$2:$E$79,1)</f>
        <v>0</v>
      </c>
      <c r="E5" s="1">
        <f>COUNTIFS('S7 readiness scores'!$C$2:$C$79,B5,'S7 readiness scores'!$E$2:$E$79,2)</f>
        <v>8</v>
      </c>
      <c r="F5" s="1">
        <f>COUNTIFS('S7 readiness scores'!$C$2:$C$79,B5,'S7 readiness scores'!$E$2:$E$79,3)</f>
        <v>8</v>
      </c>
      <c r="G5" s="1">
        <f>COUNTIFS('S7 readiness scores'!$C$2:$C$79,B5,'S7 readiness scores'!$E$2:$E$79,4)</f>
        <v>16</v>
      </c>
      <c r="H5" s="1">
        <f>COUNTIFS('S7 readiness scores'!$C$2:$C$79,B5,'S7 readiness scores'!$E$2:$E$79,5)</f>
        <v>7</v>
      </c>
      <c r="I5" s="1">
        <f t="shared" si="0"/>
        <v>0</v>
      </c>
      <c r="J5" s="1">
        <f t="shared" si="1"/>
        <v>0</v>
      </c>
      <c r="K5" s="1">
        <f t="shared" si="2"/>
        <v>0.20512820512820512</v>
      </c>
      <c r="L5" s="1">
        <f t="shared" si="3"/>
        <v>0.20512820512820512</v>
      </c>
      <c r="M5" s="1">
        <f t="shared" si="4"/>
        <v>0.41025641025641024</v>
      </c>
      <c r="N5" s="1">
        <f t="shared" si="5"/>
        <v>0.17948717948717949</v>
      </c>
      <c r="O5" s="1">
        <f t="shared" si="6"/>
        <v>0</v>
      </c>
      <c r="P5" s="1" t="s">
        <v>11913</v>
      </c>
    </row>
    <row r="6" spans="1:16" ht="15" customHeight="1">
      <c r="A6" s="1" t="s">
        <v>11914</v>
      </c>
      <c r="B6" s="1" t="s">
        <v>4834</v>
      </c>
      <c r="C6" s="1">
        <v>39</v>
      </c>
      <c r="D6" s="1">
        <f>COUNTIFS('S7 readiness scores'!$C$2:$C$79,B6,'S7 readiness scores'!$F$2:$F$79,1)</f>
        <v>0</v>
      </c>
      <c r="E6" s="1">
        <f>COUNTIFS('S7 readiness scores'!$C$2:$C$79,B6,'S7 readiness scores'!$F$2:$F$79,2)</f>
        <v>19</v>
      </c>
      <c r="F6" s="1">
        <f>COUNTIFS('S7 readiness scores'!$C$2:$C$79,B6,'S7 readiness scores'!$F$2:$F$79,3)</f>
        <v>2</v>
      </c>
      <c r="G6" s="1">
        <f>COUNTIFS('S7 readiness scores'!$C$2:$C$79,B6,'S7 readiness scores'!$F$2:$F$79,4)</f>
        <v>18</v>
      </c>
      <c r="H6" s="1">
        <f>COUNTIFS('S7 readiness scores'!$C$2:$C$79,B6,'S7 readiness scores'!$F$2:$F$79,5)</f>
        <v>0</v>
      </c>
      <c r="I6" s="1">
        <f t="shared" si="0"/>
        <v>0</v>
      </c>
      <c r="J6" s="1">
        <f t="shared" si="1"/>
        <v>0</v>
      </c>
      <c r="K6" s="1">
        <f t="shared" si="2"/>
        <v>0.48717948717948717</v>
      </c>
      <c r="L6" s="1">
        <f t="shared" si="3"/>
        <v>5.128205128205128E-2</v>
      </c>
      <c r="M6" s="1">
        <f t="shared" si="4"/>
        <v>0.46153846153846156</v>
      </c>
      <c r="N6" s="1">
        <f t="shared" si="5"/>
        <v>0</v>
      </c>
      <c r="O6" s="1">
        <f t="shared" si="6"/>
        <v>0</v>
      </c>
      <c r="P6" s="1" t="s">
        <v>11913</v>
      </c>
    </row>
    <row r="7" spans="1:16" ht="15" customHeight="1">
      <c r="A7" s="1" t="s">
        <v>11914</v>
      </c>
      <c r="B7" s="1" t="s">
        <v>4703</v>
      </c>
      <c r="C7" s="1">
        <v>39</v>
      </c>
      <c r="D7" s="1">
        <f>COUNTIFS('S7 readiness scores'!$C$2:$C$79,B7,'S7 readiness scores'!$F$2:$F$79,1)</f>
        <v>0</v>
      </c>
      <c r="E7" s="1">
        <f>COUNTIFS('S7 readiness scores'!$C$2:$C$79,B7,'S7 readiness scores'!$F$2:$F$79,2)</f>
        <v>3</v>
      </c>
      <c r="F7" s="1">
        <f>COUNTIFS('S7 readiness scores'!$C$2:$C$79,B7,'S7 readiness scores'!$F$2:$F$79,3)</f>
        <v>12</v>
      </c>
      <c r="G7" s="1">
        <f>COUNTIFS('S7 readiness scores'!$C$2:$C$79,B7,'S7 readiness scores'!$F$2:$F$79,4)</f>
        <v>15</v>
      </c>
      <c r="H7" s="1">
        <f>COUNTIFS('S7 readiness scores'!$C$2:$C$79,B7,'S7 readiness scores'!$F$2:$F$79,5)</f>
        <v>9</v>
      </c>
      <c r="I7" s="1">
        <f t="shared" si="0"/>
        <v>0</v>
      </c>
      <c r="J7" s="1">
        <f t="shared" si="1"/>
        <v>0</v>
      </c>
      <c r="K7" s="1">
        <f t="shared" si="2"/>
        <v>7.6923076923076927E-2</v>
      </c>
      <c r="L7" s="1">
        <f t="shared" si="3"/>
        <v>0.30769230769230771</v>
      </c>
      <c r="M7" s="1">
        <f t="shared" si="4"/>
        <v>0.38461538461538464</v>
      </c>
      <c r="N7" s="1">
        <f t="shared" si="5"/>
        <v>0.23076923076923078</v>
      </c>
      <c r="O7" s="1">
        <f t="shared" si="6"/>
        <v>0</v>
      </c>
      <c r="P7" s="1" t="s">
        <v>11913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44"/>
  <sheetViews>
    <sheetView showGridLines="0" workbookViewId="0">
      <pane xSplit="1" ySplit="1" topLeftCell="B2" activePane="bottomRight" state="frozen"/>
      <selection pane="topRight"/>
      <selection pane="bottomLeft"/>
      <selection pane="bottomRight" activeCell="B2" sqref="B2"/>
    </sheetView>
  </sheetViews>
  <sheetFormatPr baseColWidth="10" defaultColWidth="8.83203125" defaultRowHeight="15"/>
  <cols>
    <col min="1" max="2" width="34" customWidth="1"/>
    <col min="3" max="3" width="16" customWidth="1"/>
    <col min="4" max="4" width="58" customWidth="1"/>
    <col min="5" max="7" width="34" customWidth="1"/>
  </cols>
  <sheetData>
    <row r="1" spans="1:7" ht="38" customHeight="1">
      <c r="A1" s="2" t="s">
        <v>11588</v>
      </c>
      <c r="B1" s="2" t="s">
        <v>11589</v>
      </c>
      <c r="C1" s="2" t="s">
        <v>11590</v>
      </c>
      <c r="D1" s="2" t="s">
        <v>11591</v>
      </c>
      <c r="E1" s="2" t="s">
        <v>11592</v>
      </c>
      <c r="F1" s="2" t="s">
        <v>11593</v>
      </c>
      <c r="G1" s="2" t="s">
        <v>9</v>
      </c>
    </row>
    <row r="2" spans="1:7" ht="24" customHeight="1">
      <c r="A2" s="1" t="s">
        <v>11915</v>
      </c>
      <c r="B2" s="1" t="s">
        <v>5475</v>
      </c>
      <c r="C2" s="1" t="s">
        <v>11916</v>
      </c>
      <c r="D2" s="1" t="s">
        <v>11917</v>
      </c>
      <c r="E2" s="1" t="s">
        <v>11918</v>
      </c>
      <c r="F2" s="1" t="s">
        <v>11919</v>
      </c>
      <c r="G2" s="1" t="s">
        <v>11920</v>
      </c>
    </row>
    <row r="3" spans="1:7" ht="36" customHeight="1">
      <c r="A3" s="1" t="s">
        <v>11915</v>
      </c>
      <c r="B3" s="1" t="s">
        <v>5475</v>
      </c>
      <c r="C3" s="1" t="s">
        <v>11921</v>
      </c>
      <c r="D3" s="1" t="s">
        <v>11922</v>
      </c>
      <c r="E3" s="1" t="s">
        <v>11923</v>
      </c>
      <c r="F3" s="1" t="s">
        <v>11919</v>
      </c>
      <c r="G3" s="1" t="s">
        <v>11924</v>
      </c>
    </row>
    <row r="4" spans="1:7" ht="24" customHeight="1">
      <c r="A4" s="1" t="s">
        <v>11915</v>
      </c>
      <c r="B4" s="1" t="s">
        <v>5475</v>
      </c>
      <c r="C4" s="1" t="s">
        <v>11925</v>
      </c>
      <c r="D4" s="1" t="s">
        <v>11926</v>
      </c>
      <c r="E4" s="1" t="s">
        <v>11927</v>
      </c>
      <c r="F4" s="1" t="s">
        <v>11919</v>
      </c>
      <c r="G4" s="1" t="s">
        <v>11928</v>
      </c>
    </row>
    <row r="5" spans="1:7" ht="24" customHeight="1">
      <c r="A5" s="1" t="s">
        <v>11915</v>
      </c>
      <c r="B5" s="1" t="s">
        <v>5475</v>
      </c>
      <c r="C5" s="1" t="s">
        <v>11929</v>
      </c>
      <c r="D5" s="1" t="s">
        <v>11919</v>
      </c>
      <c r="E5" s="1" t="s">
        <v>11930</v>
      </c>
      <c r="F5" s="1" t="s">
        <v>11919</v>
      </c>
      <c r="G5" s="1" t="s">
        <v>11931</v>
      </c>
    </row>
    <row r="6" spans="1:7" ht="24" customHeight="1">
      <c r="A6" s="1" t="s">
        <v>11915</v>
      </c>
      <c r="B6" s="1" t="s">
        <v>5390</v>
      </c>
      <c r="C6" s="1" t="s">
        <v>11916</v>
      </c>
      <c r="D6" s="1" t="s">
        <v>11932</v>
      </c>
      <c r="E6" s="1" t="s">
        <v>11933</v>
      </c>
      <c r="F6" s="1" t="s">
        <v>11919</v>
      </c>
      <c r="G6" s="1" t="s">
        <v>11934</v>
      </c>
    </row>
    <row r="7" spans="1:7" ht="24" customHeight="1">
      <c r="A7" s="1" t="s">
        <v>11915</v>
      </c>
      <c r="B7" s="1" t="s">
        <v>5390</v>
      </c>
      <c r="C7" s="1" t="s">
        <v>11921</v>
      </c>
      <c r="D7" s="1" t="s">
        <v>11935</v>
      </c>
      <c r="E7" s="1" t="s">
        <v>11936</v>
      </c>
      <c r="F7" s="1" t="s">
        <v>11919</v>
      </c>
      <c r="G7" s="1" t="s">
        <v>11937</v>
      </c>
    </row>
    <row r="8" spans="1:7" ht="24" customHeight="1">
      <c r="A8" s="1" t="s">
        <v>11915</v>
      </c>
      <c r="B8" s="1" t="s">
        <v>5390</v>
      </c>
      <c r="C8" s="1" t="s">
        <v>11925</v>
      </c>
      <c r="D8" s="1" t="s">
        <v>11938</v>
      </c>
      <c r="E8" s="1" t="s">
        <v>11939</v>
      </c>
      <c r="F8" s="1" t="s">
        <v>11919</v>
      </c>
      <c r="G8" s="1" t="s">
        <v>11940</v>
      </c>
    </row>
    <row r="9" spans="1:7" ht="24" customHeight="1">
      <c r="A9" s="1" t="s">
        <v>11915</v>
      </c>
      <c r="B9" s="1" t="s">
        <v>5390</v>
      </c>
      <c r="C9" s="1" t="s">
        <v>11929</v>
      </c>
      <c r="D9" s="1" t="s">
        <v>11919</v>
      </c>
      <c r="E9" s="1" t="s">
        <v>11930</v>
      </c>
      <c r="F9" s="1" t="s">
        <v>11919</v>
      </c>
      <c r="G9" s="1" t="s">
        <v>11941</v>
      </c>
    </row>
    <row r="10" spans="1:7" ht="24" customHeight="1">
      <c r="A10" s="1" t="s">
        <v>11915</v>
      </c>
      <c r="B10" s="1" t="s">
        <v>4734</v>
      </c>
      <c r="C10" s="1" t="s">
        <v>11916</v>
      </c>
      <c r="D10" s="1" t="s">
        <v>11942</v>
      </c>
      <c r="E10" s="1" t="s">
        <v>11943</v>
      </c>
      <c r="F10" s="1" t="s">
        <v>11944</v>
      </c>
      <c r="G10" s="1" t="s">
        <v>11945</v>
      </c>
    </row>
    <row r="11" spans="1:7" ht="24" customHeight="1">
      <c r="A11" s="1" t="s">
        <v>11915</v>
      </c>
      <c r="B11" s="1" t="s">
        <v>4734</v>
      </c>
      <c r="C11" s="1" t="s">
        <v>11921</v>
      </c>
      <c r="D11" s="1" t="s">
        <v>11946</v>
      </c>
      <c r="E11" s="1" t="s">
        <v>11947</v>
      </c>
      <c r="F11" s="1" t="s">
        <v>11944</v>
      </c>
      <c r="G11" s="1" t="s">
        <v>11948</v>
      </c>
    </row>
    <row r="12" spans="1:7" ht="24" customHeight="1">
      <c r="A12" s="1" t="s">
        <v>11915</v>
      </c>
      <c r="B12" s="1" t="s">
        <v>4734</v>
      </c>
      <c r="C12" s="1" t="s">
        <v>11925</v>
      </c>
      <c r="D12" s="1" t="s">
        <v>11949</v>
      </c>
      <c r="E12" s="1" t="s">
        <v>11950</v>
      </c>
      <c r="F12" s="1" t="s">
        <v>11944</v>
      </c>
      <c r="G12" s="1" t="s">
        <v>11951</v>
      </c>
    </row>
    <row r="13" spans="1:7" ht="24" customHeight="1">
      <c r="A13" s="1" t="s">
        <v>11915</v>
      </c>
      <c r="B13" s="1" t="s">
        <v>4734</v>
      </c>
      <c r="C13" s="1" t="s">
        <v>11929</v>
      </c>
      <c r="D13" s="1" t="s">
        <v>11944</v>
      </c>
      <c r="E13" s="1" t="s">
        <v>11930</v>
      </c>
      <c r="F13" s="1" t="s">
        <v>11944</v>
      </c>
      <c r="G13" s="1" t="s">
        <v>11952</v>
      </c>
    </row>
    <row r="14" spans="1:7" ht="36" customHeight="1">
      <c r="A14" s="1" t="s">
        <v>11915</v>
      </c>
      <c r="B14" s="1" t="s">
        <v>4893</v>
      </c>
      <c r="C14" s="1" t="s">
        <v>11916</v>
      </c>
      <c r="D14" s="1" t="s">
        <v>11953</v>
      </c>
      <c r="E14" s="1" t="s">
        <v>11954</v>
      </c>
      <c r="F14" s="1" t="s">
        <v>11955</v>
      </c>
      <c r="G14" s="1" t="s">
        <v>11956</v>
      </c>
    </row>
    <row r="15" spans="1:7" ht="36" customHeight="1">
      <c r="A15" s="1" t="s">
        <v>11915</v>
      </c>
      <c r="B15" s="1" t="s">
        <v>4893</v>
      </c>
      <c r="C15" s="1" t="s">
        <v>11921</v>
      </c>
      <c r="D15" s="1" t="s">
        <v>11957</v>
      </c>
      <c r="E15" s="1" t="s">
        <v>11958</v>
      </c>
      <c r="F15" s="1" t="s">
        <v>11955</v>
      </c>
      <c r="G15" s="1" t="s">
        <v>11959</v>
      </c>
    </row>
    <row r="16" spans="1:7" ht="36" customHeight="1">
      <c r="A16" s="1" t="s">
        <v>11915</v>
      </c>
      <c r="B16" s="1" t="s">
        <v>4893</v>
      </c>
      <c r="C16" s="1" t="s">
        <v>11925</v>
      </c>
      <c r="D16" s="1" t="s">
        <v>11960</v>
      </c>
      <c r="E16" s="1" t="s">
        <v>11961</v>
      </c>
      <c r="F16" s="1" t="s">
        <v>11955</v>
      </c>
      <c r="G16" s="1" t="s">
        <v>11962</v>
      </c>
    </row>
    <row r="17" spans="1:7" ht="36" customHeight="1">
      <c r="A17" s="1" t="s">
        <v>11915</v>
      </c>
      <c r="B17" s="1" t="s">
        <v>4893</v>
      </c>
      <c r="C17" s="1" t="s">
        <v>11929</v>
      </c>
      <c r="D17" s="1" t="s">
        <v>11955</v>
      </c>
      <c r="E17" s="1" t="s">
        <v>11963</v>
      </c>
      <c r="F17" s="1" t="s">
        <v>11955</v>
      </c>
      <c r="G17" s="1" t="s">
        <v>11964</v>
      </c>
    </row>
    <row r="18" spans="1:7" ht="36" customHeight="1">
      <c r="A18" s="1" t="s">
        <v>11915</v>
      </c>
      <c r="B18" s="1" t="s">
        <v>4744</v>
      </c>
      <c r="C18" s="1" t="s">
        <v>11916</v>
      </c>
      <c r="D18" s="1" t="s">
        <v>11965</v>
      </c>
      <c r="E18" s="1" t="s">
        <v>11966</v>
      </c>
      <c r="F18" s="1" t="s">
        <v>11967</v>
      </c>
      <c r="G18" s="1" t="s">
        <v>11968</v>
      </c>
    </row>
    <row r="19" spans="1:7" ht="36" customHeight="1">
      <c r="A19" s="1" t="s">
        <v>11915</v>
      </c>
      <c r="B19" s="1" t="s">
        <v>4744</v>
      </c>
      <c r="C19" s="1" t="s">
        <v>11921</v>
      </c>
      <c r="D19" s="1" t="s">
        <v>11969</v>
      </c>
      <c r="E19" s="1" t="s">
        <v>11970</v>
      </c>
      <c r="F19" s="1" t="s">
        <v>11967</v>
      </c>
      <c r="G19" s="1" t="s">
        <v>11971</v>
      </c>
    </row>
    <row r="20" spans="1:7" ht="36" customHeight="1">
      <c r="A20" s="1" t="s">
        <v>11915</v>
      </c>
      <c r="B20" s="1" t="s">
        <v>4744</v>
      </c>
      <c r="C20" s="1" t="s">
        <v>11925</v>
      </c>
      <c r="D20" s="1" t="s">
        <v>11972</v>
      </c>
      <c r="E20" s="1" t="s">
        <v>11973</v>
      </c>
      <c r="F20" s="1" t="s">
        <v>11967</v>
      </c>
      <c r="G20" s="1" t="s">
        <v>11974</v>
      </c>
    </row>
    <row r="21" spans="1:7" ht="24" customHeight="1">
      <c r="A21" s="1" t="s">
        <v>11915</v>
      </c>
      <c r="B21" s="1" t="s">
        <v>4744</v>
      </c>
      <c r="C21" s="1" t="s">
        <v>11929</v>
      </c>
      <c r="D21" s="1" t="s">
        <v>11975</v>
      </c>
      <c r="E21" s="1" t="s">
        <v>11963</v>
      </c>
      <c r="F21" s="1" t="s">
        <v>11975</v>
      </c>
      <c r="G21" s="1" t="s">
        <v>11976</v>
      </c>
    </row>
    <row r="22" spans="1:7" ht="24" customHeight="1">
      <c r="A22" s="1" t="s">
        <v>11915</v>
      </c>
      <c r="B22" s="1" t="s">
        <v>5117</v>
      </c>
      <c r="C22" s="1" t="s">
        <v>11916</v>
      </c>
      <c r="D22" s="1" t="s">
        <v>11977</v>
      </c>
      <c r="E22" s="1" t="s">
        <v>11978</v>
      </c>
      <c r="F22" s="1" t="s">
        <v>11975</v>
      </c>
      <c r="G22" s="1" t="s">
        <v>11979</v>
      </c>
    </row>
    <row r="23" spans="1:7" ht="24" customHeight="1">
      <c r="A23" s="1" t="s">
        <v>11915</v>
      </c>
      <c r="B23" s="1" t="s">
        <v>5117</v>
      </c>
      <c r="C23" s="1" t="s">
        <v>11921</v>
      </c>
      <c r="D23" s="1" t="s">
        <v>11980</v>
      </c>
      <c r="E23" s="1" t="s">
        <v>11981</v>
      </c>
      <c r="F23" s="1" t="s">
        <v>11975</v>
      </c>
      <c r="G23" s="1" t="s">
        <v>11982</v>
      </c>
    </row>
    <row r="24" spans="1:7" ht="24" customHeight="1">
      <c r="A24" s="1" t="s">
        <v>11915</v>
      </c>
      <c r="B24" s="1" t="s">
        <v>5117</v>
      </c>
      <c r="C24" s="1" t="s">
        <v>11925</v>
      </c>
      <c r="D24" s="1" t="s">
        <v>11983</v>
      </c>
      <c r="E24" s="1" t="s">
        <v>11984</v>
      </c>
      <c r="F24" s="1" t="s">
        <v>11975</v>
      </c>
      <c r="G24" s="1" t="s">
        <v>11985</v>
      </c>
    </row>
    <row r="25" spans="1:7" ht="24" customHeight="1">
      <c r="A25" s="1" t="s">
        <v>11915</v>
      </c>
      <c r="B25" s="1" t="s">
        <v>5117</v>
      </c>
      <c r="C25" s="1" t="s">
        <v>11929</v>
      </c>
      <c r="D25" s="1" t="s">
        <v>11975</v>
      </c>
      <c r="E25" s="1" t="s">
        <v>11963</v>
      </c>
      <c r="F25" s="1" t="s">
        <v>11975</v>
      </c>
      <c r="G25" s="1" t="s">
        <v>11986</v>
      </c>
    </row>
    <row r="26" spans="1:7" ht="36" customHeight="1">
      <c r="A26" s="1" t="s">
        <v>11915</v>
      </c>
      <c r="B26" s="1" t="s">
        <v>4810</v>
      </c>
      <c r="C26" s="1" t="s">
        <v>11916</v>
      </c>
      <c r="D26" s="1" t="s">
        <v>11987</v>
      </c>
      <c r="E26" s="1" t="s">
        <v>11988</v>
      </c>
      <c r="F26" s="1" t="s">
        <v>11989</v>
      </c>
      <c r="G26" s="1" t="s">
        <v>11990</v>
      </c>
    </row>
    <row r="27" spans="1:7" ht="36" customHeight="1">
      <c r="A27" s="1" t="s">
        <v>11915</v>
      </c>
      <c r="B27" s="1" t="s">
        <v>4810</v>
      </c>
      <c r="C27" s="1" t="s">
        <v>11921</v>
      </c>
      <c r="D27" s="1" t="s">
        <v>11991</v>
      </c>
      <c r="E27" s="1" t="s">
        <v>11992</v>
      </c>
      <c r="F27" s="1" t="s">
        <v>11989</v>
      </c>
      <c r="G27" s="1" t="s">
        <v>11993</v>
      </c>
    </row>
    <row r="28" spans="1:7" ht="36" customHeight="1">
      <c r="A28" s="1" t="s">
        <v>11915</v>
      </c>
      <c r="B28" s="1" t="s">
        <v>4810</v>
      </c>
      <c r="C28" s="1" t="s">
        <v>11925</v>
      </c>
      <c r="D28" s="1" t="s">
        <v>11994</v>
      </c>
      <c r="E28" s="1" t="s">
        <v>11995</v>
      </c>
      <c r="F28" s="1" t="s">
        <v>11989</v>
      </c>
      <c r="G28" s="1" t="s">
        <v>11996</v>
      </c>
    </row>
    <row r="29" spans="1:7" ht="36" customHeight="1">
      <c r="A29" s="1" t="s">
        <v>11915</v>
      </c>
      <c r="B29" s="1" t="s">
        <v>4810</v>
      </c>
      <c r="C29" s="1" t="s">
        <v>11929</v>
      </c>
      <c r="D29" s="1" t="s">
        <v>11989</v>
      </c>
      <c r="E29" s="1" t="s">
        <v>11963</v>
      </c>
      <c r="F29" s="1" t="s">
        <v>11989</v>
      </c>
      <c r="G29" s="1" t="s">
        <v>11997</v>
      </c>
    </row>
    <row r="30" spans="1:7" ht="36" customHeight="1">
      <c r="A30" s="1" t="s">
        <v>11915</v>
      </c>
      <c r="B30" s="1" t="s">
        <v>4714</v>
      </c>
      <c r="C30" s="1" t="s">
        <v>11916</v>
      </c>
      <c r="D30" s="1" t="s">
        <v>11998</v>
      </c>
      <c r="E30" s="1" t="s">
        <v>11999</v>
      </c>
      <c r="F30" s="1" t="s">
        <v>12000</v>
      </c>
      <c r="G30" s="1" t="s">
        <v>12001</v>
      </c>
    </row>
    <row r="31" spans="1:7" ht="36" customHeight="1">
      <c r="A31" s="1" t="s">
        <v>11915</v>
      </c>
      <c r="B31" s="1" t="s">
        <v>4714</v>
      </c>
      <c r="C31" s="1" t="s">
        <v>11921</v>
      </c>
      <c r="D31" s="1" t="s">
        <v>12002</v>
      </c>
      <c r="E31" s="1" t="s">
        <v>12003</v>
      </c>
      <c r="F31" s="1" t="s">
        <v>12000</v>
      </c>
      <c r="G31" s="1" t="s">
        <v>12004</v>
      </c>
    </row>
    <row r="32" spans="1:7" ht="36" customHeight="1">
      <c r="A32" s="1" t="s">
        <v>11915</v>
      </c>
      <c r="B32" s="1" t="s">
        <v>4714</v>
      </c>
      <c r="C32" s="1" t="s">
        <v>11925</v>
      </c>
      <c r="D32" s="1" t="s">
        <v>12005</v>
      </c>
      <c r="E32" s="1" t="s">
        <v>12006</v>
      </c>
      <c r="F32" s="1" t="s">
        <v>12000</v>
      </c>
      <c r="G32" s="1" t="s">
        <v>12007</v>
      </c>
    </row>
    <row r="33" spans="1:7" ht="36" customHeight="1">
      <c r="A33" s="1" t="s">
        <v>11915</v>
      </c>
      <c r="B33" s="1" t="s">
        <v>4714</v>
      </c>
      <c r="C33" s="1" t="s">
        <v>11929</v>
      </c>
      <c r="D33" s="1" t="s">
        <v>12000</v>
      </c>
      <c r="E33" s="1" t="s">
        <v>11930</v>
      </c>
      <c r="F33" s="1" t="s">
        <v>12000</v>
      </c>
      <c r="G33" s="1" t="s">
        <v>12008</v>
      </c>
    </row>
    <row r="34" spans="1:7" ht="36" customHeight="1">
      <c r="A34" s="1" t="s">
        <v>11915</v>
      </c>
      <c r="B34" s="1" t="s">
        <v>4689</v>
      </c>
      <c r="C34" s="1" t="s">
        <v>11916</v>
      </c>
      <c r="D34" s="1" t="s">
        <v>12009</v>
      </c>
      <c r="E34" s="1" t="s">
        <v>12010</v>
      </c>
      <c r="F34" s="1" t="s">
        <v>12011</v>
      </c>
      <c r="G34" s="1" t="s">
        <v>12012</v>
      </c>
    </row>
    <row r="35" spans="1:7" ht="36" customHeight="1">
      <c r="A35" s="1" t="s">
        <v>11915</v>
      </c>
      <c r="B35" s="1" t="s">
        <v>4689</v>
      </c>
      <c r="C35" s="1" t="s">
        <v>11921</v>
      </c>
      <c r="D35" s="1" t="s">
        <v>12013</v>
      </c>
      <c r="E35" s="1" t="s">
        <v>12014</v>
      </c>
      <c r="F35" s="1" t="s">
        <v>12011</v>
      </c>
      <c r="G35" s="1" t="s">
        <v>12015</v>
      </c>
    </row>
    <row r="36" spans="1:7" ht="36" customHeight="1">
      <c r="A36" s="1" t="s">
        <v>11915</v>
      </c>
      <c r="B36" s="1" t="s">
        <v>4689</v>
      </c>
      <c r="C36" s="1" t="s">
        <v>11925</v>
      </c>
      <c r="D36" s="1" t="s">
        <v>12016</v>
      </c>
      <c r="E36" s="1" t="s">
        <v>12017</v>
      </c>
      <c r="F36" s="1" t="s">
        <v>12011</v>
      </c>
      <c r="G36" s="1" t="s">
        <v>12018</v>
      </c>
    </row>
    <row r="37" spans="1:7" ht="36" customHeight="1">
      <c r="A37" s="1" t="s">
        <v>11915</v>
      </c>
      <c r="B37" s="1" t="s">
        <v>4689</v>
      </c>
      <c r="C37" s="1" t="s">
        <v>11929</v>
      </c>
      <c r="D37" s="1" t="s">
        <v>12011</v>
      </c>
      <c r="E37" s="1" t="s">
        <v>11963</v>
      </c>
      <c r="F37" s="1" t="s">
        <v>12011</v>
      </c>
      <c r="G37" s="1" t="s">
        <v>12019</v>
      </c>
    </row>
    <row r="38" spans="1:7" ht="24" customHeight="1">
      <c r="A38" s="1" t="s">
        <v>12020</v>
      </c>
      <c r="B38" s="1" t="s">
        <v>4747</v>
      </c>
      <c r="C38" s="1"/>
      <c r="D38" s="1" t="s">
        <v>12021</v>
      </c>
      <c r="E38" s="1" t="s">
        <v>12022</v>
      </c>
      <c r="F38" s="1" t="s">
        <v>12023</v>
      </c>
      <c r="G38" s="1" t="s">
        <v>12024</v>
      </c>
    </row>
    <row r="39" spans="1:7" ht="36" customHeight="1">
      <c r="A39" s="1" t="s">
        <v>12020</v>
      </c>
      <c r="B39" s="1" t="s">
        <v>11929</v>
      </c>
      <c r="C39" s="1"/>
      <c r="D39" s="1" t="s">
        <v>12025</v>
      </c>
      <c r="E39" s="1" t="s">
        <v>12026</v>
      </c>
      <c r="F39" s="1" t="s">
        <v>12027</v>
      </c>
      <c r="G39" s="1" t="s">
        <v>12028</v>
      </c>
    </row>
    <row r="40" spans="1:7" ht="24" customHeight="1">
      <c r="A40" s="1" t="s">
        <v>12029</v>
      </c>
      <c r="B40" s="1" t="s">
        <v>11916</v>
      </c>
      <c r="C40" s="1"/>
      <c r="D40" s="1" t="s">
        <v>12030</v>
      </c>
      <c r="E40" s="1"/>
      <c r="F40" s="1" t="s">
        <v>11640</v>
      </c>
      <c r="G40" s="1" t="s">
        <v>12031</v>
      </c>
    </row>
    <row r="41" spans="1:7" ht="36" customHeight="1">
      <c r="A41" s="1" t="s">
        <v>12029</v>
      </c>
      <c r="B41" s="1" t="s">
        <v>11921</v>
      </c>
      <c r="C41" s="1"/>
      <c r="D41" s="1" t="s">
        <v>12032</v>
      </c>
      <c r="E41" s="1"/>
      <c r="F41" s="1" t="s">
        <v>11640</v>
      </c>
      <c r="G41" s="1" t="s">
        <v>12033</v>
      </c>
    </row>
    <row r="42" spans="1:7" ht="24" customHeight="1">
      <c r="A42" s="1" t="s">
        <v>12029</v>
      </c>
      <c r="B42" s="1" t="s">
        <v>11925</v>
      </c>
      <c r="C42" s="1"/>
      <c r="D42" s="1" t="s">
        <v>12034</v>
      </c>
      <c r="E42" s="1"/>
      <c r="F42" s="1" t="s">
        <v>11640</v>
      </c>
      <c r="G42" s="1" t="s">
        <v>12035</v>
      </c>
    </row>
    <row r="43" spans="1:7" ht="24" customHeight="1">
      <c r="A43" s="1" t="s">
        <v>12020</v>
      </c>
      <c r="B43" s="1" t="s">
        <v>12036</v>
      </c>
      <c r="C43" s="1"/>
      <c r="D43" s="1" t="s">
        <v>12037</v>
      </c>
      <c r="E43" s="1"/>
      <c r="F43" s="1" t="s">
        <v>12038</v>
      </c>
      <c r="G43" s="1" t="s">
        <v>12039</v>
      </c>
    </row>
    <row r="44" spans="1:7" ht="108" customHeight="1">
      <c r="A44" s="1" t="s">
        <v>11644</v>
      </c>
      <c r="B44" s="1" t="s">
        <v>4744</v>
      </c>
      <c r="C44" s="1" t="s">
        <v>12040</v>
      </c>
      <c r="D44" s="1" t="s">
        <v>12041</v>
      </c>
      <c r="E44" s="1" t="s">
        <v>12042</v>
      </c>
      <c r="F44" s="1" t="s">
        <v>12043</v>
      </c>
      <c r="G44" s="1" t="s">
        <v>12044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370"/>
  <sheetViews>
    <sheetView showGridLines="0" workbookViewId="0">
      <pane xSplit="1" ySplit="1" topLeftCell="B2" activePane="bottomRight" state="frozen"/>
      <selection pane="topRight"/>
      <selection pane="bottomLeft"/>
      <selection pane="bottomRight" activeCell="B2" sqref="B2"/>
    </sheetView>
  </sheetViews>
  <sheetFormatPr baseColWidth="10" defaultColWidth="8.83203125" defaultRowHeight="15"/>
  <cols>
    <col min="1" max="4" width="34" customWidth="1"/>
    <col min="5" max="7" width="16" customWidth="1"/>
    <col min="8" max="8" width="34" customWidth="1"/>
    <col min="9" max="14" width="58" customWidth="1"/>
    <col min="15" max="21" width="34" customWidth="1"/>
  </cols>
  <sheetData>
    <row r="1" spans="1:21" ht="38" customHeight="1">
      <c r="A1" s="2" t="s">
        <v>37</v>
      </c>
      <c r="B1" s="2" t="s">
        <v>4670</v>
      </c>
      <c r="C1" s="2" t="s">
        <v>4671</v>
      </c>
      <c r="D1" s="2" t="s">
        <v>4672</v>
      </c>
      <c r="E1" s="2" t="s">
        <v>4673</v>
      </c>
      <c r="F1" s="2" t="s">
        <v>4674</v>
      </c>
      <c r="G1" s="2" t="s">
        <v>11658</v>
      </c>
      <c r="H1" s="2" t="s">
        <v>11659</v>
      </c>
      <c r="I1" s="2" t="s">
        <v>4677</v>
      </c>
      <c r="J1" s="2" t="s">
        <v>4678</v>
      </c>
      <c r="K1" s="2" t="s">
        <v>4679</v>
      </c>
      <c r="L1" s="2" t="s">
        <v>4680</v>
      </c>
      <c r="M1" s="2" t="s">
        <v>4681</v>
      </c>
      <c r="N1" s="2" t="s">
        <v>4682</v>
      </c>
      <c r="O1" s="2" t="s">
        <v>4683</v>
      </c>
      <c r="P1" s="2" t="s">
        <v>4684</v>
      </c>
      <c r="Q1" s="2" t="s">
        <v>4685</v>
      </c>
      <c r="R1" s="2" t="s">
        <v>4686</v>
      </c>
      <c r="S1" s="2" t="s">
        <v>12045</v>
      </c>
      <c r="T1" s="2" t="s">
        <v>12046</v>
      </c>
      <c r="U1" s="2" t="s">
        <v>12047</v>
      </c>
    </row>
    <row r="2" spans="1:21" ht="24" customHeight="1">
      <c r="A2" s="1" t="s">
        <v>4687</v>
      </c>
      <c r="B2" s="1" t="s">
        <v>4688</v>
      </c>
      <c r="C2" s="1" t="s">
        <v>5475</v>
      </c>
      <c r="D2" s="1" t="s">
        <v>5476</v>
      </c>
      <c r="E2" s="1">
        <v>2</v>
      </c>
      <c r="F2" s="1">
        <v>2</v>
      </c>
      <c r="G2" s="1">
        <v>2</v>
      </c>
      <c r="H2" s="1" t="s">
        <v>4631</v>
      </c>
      <c r="I2" s="1" t="s">
        <v>12048</v>
      </c>
      <c r="J2" s="1" t="s">
        <v>4862</v>
      </c>
      <c r="K2" s="1"/>
      <c r="L2" s="1"/>
      <c r="M2" s="1"/>
      <c r="N2" s="1"/>
      <c r="O2" s="1"/>
      <c r="P2" s="1" t="s">
        <v>12049</v>
      </c>
      <c r="Q2" s="1" t="s">
        <v>12050</v>
      </c>
      <c r="R2" s="1"/>
      <c r="S2" s="1" t="str">
        <f t="shared" ref="S2:S65" si="0">IF(ISNUMBER(E2),CHOOSE(E2+1,"Not reported","Partly reported","Clearly reported"),IF(E2="NA","Not applicable","Pending"))</f>
        <v>Clearly reported</v>
      </c>
      <c r="T2" s="1" t="str">
        <f t="shared" ref="T2:T65" si="1">IF(ISNUMBER(F2),CHOOSE(F2+1,"Not reported","Partly reported","Clearly reported"),IF(F2="NA","Not applicable","Pending"))</f>
        <v>Clearly reported</v>
      </c>
      <c r="U2" s="1" t="str">
        <f t="shared" ref="U2:U65" si="2">IF(ISNUMBER(G2),CHOOSE(G2+1,"Not reported","Partly reported","Clearly reported"),IF(G2="NA","Not applicable","Pending"))</f>
        <v>Clearly reported</v>
      </c>
    </row>
    <row r="3" spans="1:21" ht="24" customHeight="1">
      <c r="A3" s="1" t="s">
        <v>4687</v>
      </c>
      <c r="B3" s="1" t="s">
        <v>4688</v>
      </c>
      <c r="C3" s="1" t="s">
        <v>5390</v>
      </c>
      <c r="D3" s="1" t="s">
        <v>5391</v>
      </c>
      <c r="E3" s="1">
        <v>2</v>
      </c>
      <c r="F3" s="1">
        <v>2</v>
      </c>
      <c r="G3" s="1">
        <v>2</v>
      </c>
      <c r="H3" s="1" t="s">
        <v>4631</v>
      </c>
      <c r="I3" s="1" t="s">
        <v>12051</v>
      </c>
      <c r="J3" s="1" t="s">
        <v>4862</v>
      </c>
      <c r="K3" s="1"/>
      <c r="L3" s="1"/>
      <c r="M3" s="1"/>
      <c r="N3" s="1"/>
      <c r="O3" s="1"/>
      <c r="P3" s="1" t="s">
        <v>12052</v>
      </c>
      <c r="Q3" s="1" t="s">
        <v>12053</v>
      </c>
      <c r="R3" s="1"/>
      <c r="S3" s="1" t="str">
        <f t="shared" si="0"/>
        <v>Clearly reported</v>
      </c>
      <c r="T3" s="1" t="str">
        <f t="shared" si="1"/>
        <v>Clearly reported</v>
      </c>
      <c r="U3" s="1" t="str">
        <f t="shared" si="2"/>
        <v>Clearly reported</v>
      </c>
    </row>
    <row r="4" spans="1:21" ht="15" customHeight="1">
      <c r="A4" s="1" t="s">
        <v>4687</v>
      </c>
      <c r="B4" s="1" t="s">
        <v>4688</v>
      </c>
      <c r="C4" s="1" t="s">
        <v>4734</v>
      </c>
      <c r="D4" s="1" t="s">
        <v>4735</v>
      </c>
      <c r="E4" s="1">
        <v>2</v>
      </c>
      <c r="F4" s="1">
        <v>2</v>
      </c>
      <c r="G4" s="1">
        <v>2</v>
      </c>
      <c r="H4" s="1" t="s">
        <v>4631</v>
      </c>
      <c r="I4" s="1" t="s">
        <v>6160</v>
      </c>
      <c r="J4" s="1" t="s">
        <v>4896</v>
      </c>
      <c r="K4" s="1"/>
      <c r="L4" s="1"/>
      <c r="M4" s="1"/>
      <c r="N4" s="1"/>
      <c r="O4" s="1"/>
      <c r="P4" s="1" t="s">
        <v>12054</v>
      </c>
      <c r="Q4" s="1" t="s">
        <v>12055</v>
      </c>
      <c r="R4" s="1"/>
      <c r="S4" s="1" t="str">
        <f t="shared" si="0"/>
        <v>Clearly reported</v>
      </c>
      <c r="T4" s="1" t="str">
        <f t="shared" si="1"/>
        <v>Clearly reported</v>
      </c>
      <c r="U4" s="1" t="str">
        <f t="shared" si="2"/>
        <v>Clearly reported</v>
      </c>
    </row>
    <row r="5" spans="1:21" ht="15" customHeight="1">
      <c r="A5" s="1" t="s">
        <v>4687</v>
      </c>
      <c r="B5" s="1" t="s">
        <v>4688</v>
      </c>
      <c r="C5" s="1" t="s">
        <v>4893</v>
      </c>
      <c r="D5" s="1" t="s">
        <v>4894</v>
      </c>
      <c r="E5" s="1">
        <v>2</v>
      </c>
      <c r="F5" s="1">
        <v>2</v>
      </c>
      <c r="G5" s="1">
        <v>2</v>
      </c>
      <c r="H5" s="1" t="s">
        <v>4631</v>
      </c>
      <c r="I5" s="1" t="s">
        <v>6170</v>
      </c>
      <c r="J5" s="1" t="s">
        <v>4896</v>
      </c>
      <c r="K5" s="1"/>
      <c r="L5" s="1"/>
      <c r="M5" s="1"/>
      <c r="N5" s="1"/>
      <c r="O5" s="1"/>
      <c r="P5" s="1" t="s">
        <v>12056</v>
      </c>
      <c r="Q5" s="1" t="s">
        <v>12057</v>
      </c>
      <c r="R5" s="1"/>
      <c r="S5" s="1" t="str">
        <f t="shared" si="0"/>
        <v>Clearly reported</v>
      </c>
      <c r="T5" s="1" t="str">
        <f t="shared" si="1"/>
        <v>Clearly reported</v>
      </c>
      <c r="U5" s="1" t="str">
        <f t="shared" si="2"/>
        <v>Clearly reported</v>
      </c>
    </row>
    <row r="6" spans="1:21" ht="24" customHeight="1">
      <c r="A6" s="1" t="s">
        <v>4687</v>
      </c>
      <c r="B6" s="1" t="s">
        <v>4688</v>
      </c>
      <c r="C6" s="1" t="s">
        <v>4744</v>
      </c>
      <c r="D6" s="1" t="s">
        <v>4745</v>
      </c>
      <c r="E6" s="1">
        <v>2</v>
      </c>
      <c r="F6" s="1">
        <v>2</v>
      </c>
      <c r="G6" s="1">
        <v>2</v>
      </c>
      <c r="H6" s="1" t="s">
        <v>4631</v>
      </c>
      <c r="I6" s="1" t="s">
        <v>12058</v>
      </c>
      <c r="J6" s="1" t="s">
        <v>12059</v>
      </c>
      <c r="K6" s="1"/>
      <c r="L6" s="1"/>
      <c r="M6" s="1"/>
      <c r="N6" s="1"/>
      <c r="O6" s="1"/>
      <c r="P6" s="1" t="s">
        <v>12060</v>
      </c>
      <c r="Q6" s="1" t="s">
        <v>12061</v>
      </c>
      <c r="R6" s="1"/>
      <c r="S6" s="1" t="str">
        <f t="shared" si="0"/>
        <v>Clearly reported</v>
      </c>
      <c r="T6" s="1" t="str">
        <f t="shared" si="1"/>
        <v>Clearly reported</v>
      </c>
      <c r="U6" s="1" t="str">
        <f t="shared" si="2"/>
        <v>Clearly reported</v>
      </c>
    </row>
    <row r="7" spans="1:21" ht="15" customHeight="1">
      <c r="A7" s="1" t="s">
        <v>4687</v>
      </c>
      <c r="B7" s="1" t="s">
        <v>4688</v>
      </c>
      <c r="C7" s="1" t="s">
        <v>5117</v>
      </c>
      <c r="D7" s="1" t="s">
        <v>5118</v>
      </c>
      <c r="E7" s="1">
        <v>2</v>
      </c>
      <c r="F7" s="1">
        <v>2</v>
      </c>
      <c r="G7" s="1">
        <v>2</v>
      </c>
      <c r="H7" s="1" t="s">
        <v>4631</v>
      </c>
      <c r="I7" s="1" t="s">
        <v>12062</v>
      </c>
      <c r="J7" s="1" t="s">
        <v>12063</v>
      </c>
      <c r="K7" s="1"/>
      <c r="L7" s="1"/>
      <c r="M7" s="1"/>
      <c r="N7" s="1"/>
      <c r="O7" s="1"/>
      <c r="P7" s="1" t="s">
        <v>12064</v>
      </c>
      <c r="Q7" s="1" t="s">
        <v>12065</v>
      </c>
      <c r="R7" s="1"/>
      <c r="S7" s="1" t="str">
        <f t="shared" si="0"/>
        <v>Clearly reported</v>
      </c>
      <c r="T7" s="1" t="str">
        <f t="shared" si="1"/>
        <v>Clearly reported</v>
      </c>
      <c r="U7" s="1" t="str">
        <f t="shared" si="2"/>
        <v>Clearly reported</v>
      </c>
    </row>
    <row r="8" spans="1:21" ht="15" customHeight="1">
      <c r="A8" s="1" t="s">
        <v>4687</v>
      </c>
      <c r="B8" s="1" t="s">
        <v>4688</v>
      </c>
      <c r="C8" s="1" t="s">
        <v>4810</v>
      </c>
      <c r="D8" s="1" t="s">
        <v>4811</v>
      </c>
      <c r="E8" s="1">
        <v>0</v>
      </c>
      <c r="F8" s="1">
        <v>0</v>
      </c>
      <c r="G8" s="1">
        <v>0</v>
      </c>
      <c r="H8" s="1" t="s">
        <v>4631</v>
      </c>
      <c r="I8" s="1" t="s">
        <v>12066</v>
      </c>
      <c r="J8" s="1" t="s">
        <v>4747</v>
      </c>
      <c r="K8" s="1"/>
      <c r="L8" s="1"/>
      <c r="M8" s="1"/>
      <c r="N8" s="1"/>
      <c r="O8" s="1"/>
      <c r="P8" s="1" t="s">
        <v>12067</v>
      </c>
      <c r="Q8" s="1" t="s">
        <v>12068</v>
      </c>
      <c r="R8" s="1"/>
      <c r="S8" s="1" t="str">
        <f t="shared" si="0"/>
        <v>Not reported</v>
      </c>
      <c r="T8" s="1" t="str">
        <f t="shared" si="1"/>
        <v>Not reported</v>
      </c>
      <c r="U8" s="1" t="str">
        <f t="shared" si="2"/>
        <v>Not reported</v>
      </c>
    </row>
    <row r="9" spans="1:21" ht="36" customHeight="1">
      <c r="A9" s="1" t="s">
        <v>4687</v>
      </c>
      <c r="B9" s="1" t="s">
        <v>4688</v>
      </c>
      <c r="C9" s="1" t="s">
        <v>4714</v>
      </c>
      <c r="D9" s="1" t="s">
        <v>4715</v>
      </c>
      <c r="E9" s="1">
        <v>2</v>
      </c>
      <c r="F9" s="1">
        <v>2</v>
      </c>
      <c r="G9" s="1">
        <v>2</v>
      </c>
      <c r="H9" s="1" t="s">
        <v>4631</v>
      </c>
      <c r="I9" s="1" t="s">
        <v>12069</v>
      </c>
      <c r="J9" s="1" t="s">
        <v>12070</v>
      </c>
      <c r="K9" s="1"/>
      <c r="L9" s="1"/>
      <c r="M9" s="1"/>
      <c r="N9" s="1"/>
      <c r="O9" s="1"/>
      <c r="P9" s="1" t="s">
        <v>12071</v>
      </c>
      <c r="Q9" s="1" t="s">
        <v>12072</v>
      </c>
      <c r="R9" s="1"/>
      <c r="S9" s="1" t="str">
        <f t="shared" si="0"/>
        <v>Clearly reported</v>
      </c>
      <c r="T9" s="1" t="str">
        <f t="shared" si="1"/>
        <v>Clearly reported</v>
      </c>
      <c r="U9" s="1" t="str">
        <f t="shared" si="2"/>
        <v>Clearly reported</v>
      </c>
    </row>
    <row r="10" spans="1:21" ht="72" customHeight="1">
      <c r="A10" s="1" t="s">
        <v>4687</v>
      </c>
      <c r="B10" s="1" t="s">
        <v>4688</v>
      </c>
      <c r="C10" s="1" t="s">
        <v>4689</v>
      </c>
      <c r="D10" s="1" t="s">
        <v>4690</v>
      </c>
      <c r="E10" s="1">
        <v>1</v>
      </c>
      <c r="F10" s="1">
        <v>0</v>
      </c>
      <c r="G10" s="1">
        <v>1</v>
      </c>
      <c r="H10" s="1" t="s">
        <v>4691</v>
      </c>
      <c r="I10" s="1" t="s">
        <v>4692</v>
      </c>
      <c r="J10" s="1" t="s">
        <v>4693</v>
      </c>
      <c r="K10" s="1"/>
      <c r="L10" s="1" t="s">
        <v>4694</v>
      </c>
      <c r="M10" s="1" t="s">
        <v>4695</v>
      </c>
      <c r="N10" s="1" t="s">
        <v>4696</v>
      </c>
      <c r="O10" s="1" t="s">
        <v>4697</v>
      </c>
      <c r="P10" s="1" t="s">
        <v>4698</v>
      </c>
      <c r="Q10" s="1" t="s">
        <v>4699</v>
      </c>
      <c r="R10" s="1" t="s">
        <v>4700</v>
      </c>
      <c r="S10" s="1" t="str">
        <f t="shared" si="0"/>
        <v>Partly reported</v>
      </c>
      <c r="T10" s="1" t="str">
        <f t="shared" si="1"/>
        <v>Not reported</v>
      </c>
      <c r="U10" s="1" t="str">
        <f t="shared" si="2"/>
        <v>Partly reported</v>
      </c>
    </row>
    <row r="11" spans="1:21" ht="24" customHeight="1">
      <c r="A11" s="1" t="s">
        <v>4701</v>
      </c>
      <c r="B11" s="1" t="s">
        <v>4688</v>
      </c>
      <c r="C11" s="1" t="s">
        <v>5475</v>
      </c>
      <c r="D11" s="1" t="s">
        <v>5476</v>
      </c>
      <c r="E11" s="1">
        <v>2</v>
      </c>
      <c r="F11" s="1">
        <v>2</v>
      </c>
      <c r="G11" s="1">
        <v>2</v>
      </c>
      <c r="H11" s="1" t="s">
        <v>4631</v>
      </c>
      <c r="I11" s="1" t="s">
        <v>12073</v>
      </c>
      <c r="J11" s="1" t="s">
        <v>12074</v>
      </c>
      <c r="K11" s="1"/>
      <c r="L11" s="1"/>
      <c r="M11" s="1"/>
      <c r="N11" s="1"/>
      <c r="O11" s="1"/>
      <c r="P11" s="1" t="s">
        <v>12075</v>
      </c>
      <c r="Q11" s="1" t="s">
        <v>12076</v>
      </c>
      <c r="R11" s="1"/>
      <c r="S11" s="1" t="str">
        <f t="shared" si="0"/>
        <v>Clearly reported</v>
      </c>
      <c r="T11" s="1" t="str">
        <f t="shared" si="1"/>
        <v>Clearly reported</v>
      </c>
      <c r="U11" s="1" t="str">
        <f t="shared" si="2"/>
        <v>Clearly reported</v>
      </c>
    </row>
    <row r="12" spans="1:21" ht="15" customHeight="1">
      <c r="A12" s="1" t="s">
        <v>4701</v>
      </c>
      <c r="B12" s="1" t="s">
        <v>4688</v>
      </c>
      <c r="C12" s="1" t="s">
        <v>5390</v>
      </c>
      <c r="D12" s="1" t="s">
        <v>5391</v>
      </c>
      <c r="E12" s="1">
        <v>2</v>
      </c>
      <c r="F12" s="1">
        <v>2</v>
      </c>
      <c r="G12" s="1">
        <v>2</v>
      </c>
      <c r="H12" s="1" t="s">
        <v>4631</v>
      </c>
      <c r="I12" s="1" t="s">
        <v>12077</v>
      </c>
      <c r="J12" s="1" t="s">
        <v>4935</v>
      </c>
      <c r="K12" s="1"/>
      <c r="L12" s="1"/>
      <c r="M12" s="1"/>
      <c r="N12" s="1"/>
      <c r="O12" s="1"/>
      <c r="P12" s="1" t="s">
        <v>12078</v>
      </c>
      <c r="Q12" s="1" t="s">
        <v>12079</v>
      </c>
      <c r="R12" s="1"/>
      <c r="S12" s="1" t="str">
        <f t="shared" si="0"/>
        <v>Clearly reported</v>
      </c>
      <c r="T12" s="1" t="str">
        <f t="shared" si="1"/>
        <v>Clearly reported</v>
      </c>
      <c r="U12" s="1" t="str">
        <f t="shared" si="2"/>
        <v>Clearly reported</v>
      </c>
    </row>
    <row r="13" spans="1:21" ht="15" customHeight="1">
      <c r="A13" s="1" t="s">
        <v>4701</v>
      </c>
      <c r="B13" s="1" t="s">
        <v>4688</v>
      </c>
      <c r="C13" s="1" t="s">
        <v>4734</v>
      </c>
      <c r="D13" s="1" t="s">
        <v>4735</v>
      </c>
      <c r="E13" s="1">
        <v>2</v>
      </c>
      <c r="F13" s="1">
        <v>2</v>
      </c>
      <c r="G13" s="1">
        <v>2</v>
      </c>
      <c r="H13" s="1" t="s">
        <v>4631</v>
      </c>
      <c r="I13" s="1" t="s">
        <v>6313</v>
      </c>
      <c r="J13" s="1" t="s">
        <v>4959</v>
      </c>
      <c r="K13" s="1"/>
      <c r="L13" s="1"/>
      <c r="M13" s="1"/>
      <c r="N13" s="1"/>
      <c r="O13" s="1"/>
      <c r="P13" s="1" t="s">
        <v>12080</v>
      </c>
      <c r="Q13" s="1" t="s">
        <v>12081</v>
      </c>
      <c r="R13" s="1"/>
      <c r="S13" s="1" t="str">
        <f t="shared" si="0"/>
        <v>Clearly reported</v>
      </c>
      <c r="T13" s="1" t="str">
        <f t="shared" si="1"/>
        <v>Clearly reported</v>
      </c>
      <c r="U13" s="1" t="str">
        <f t="shared" si="2"/>
        <v>Clearly reported</v>
      </c>
    </row>
    <row r="14" spans="1:21" ht="15" customHeight="1">
      <c r="A14" s="1" t="s">
        <v>4701</v>
      </c>
      <c r="B14" s="1" t="s">
        <v>4688</v>
      </c>
      <c r="C14" s="1" t="s">
        <v>4893</v>
      </c>
      <c r="D14" s="1" t="s">
        <v>4894</v>
      </c>
      <c r="E14" s="1">
        <v>2</v>
      </c>
      <c r="F14" s="1">
        <v>2</v>
      </c>
      <c r="G14" s="1">
        <v>2</v>
      </c>
      <c r="H14" s="1" t="s">
        <v>4631</v>
      </c>
      <c r="I14" s="1" t="s">
        <v>6320</v>
      </c>
      <c r="J14" s="1" t="s">
        <v>4788</v>
      </c>
      <c r="K14" s="1"/>
      <c r="L14" s="1"/>
      <c r="M14" s="1"/>
      <c r="N14" s="1"/>
      <c r="O14" s="1"/>
      <c r="P14" s="1" t="s">
        <v>12082</v>
      </c>
      <c r="Q14" s="1" t="s">
        <v>12083</v>
      </c>
      <c r="R14" s="1"/>
      <c r="S14" s="1" t="str">
        <f t="shared" si="0"/>
        <v>Clearly reported</v>
      </c>
      <c r="T14" s="1" t="str">
        <f t="shared" si="1"/>
        <v>Clearly reported</v>
      </c>
      <c r="U14" s="1" t="str">
        <f t="shared" si="2"/>
        <v>Clearly reported</v>
      </c>
    </row>
    <row r="15" spans="1:21" ht="24" customHeight="1">
      <c r="A15" s="1" t="s">
        <v>4701</v>
      </c>
      <c r="B15" s="1" t="s">
        <v>4688</v>
      </c>
      <c r="C15" s="1" t="s">
        <v>4744</v>
      </c>
      <c r="D15" s="1" t="s">
        <v>4745</v>
      </c>
      <c r="E15" s="1">
        <v>2</v>
      </c>
      <c r="F15" s="1">
        <v>2</v>
      </c>
      <c r="G15" s="1">
        <v>2</v>
      </c>
      <c r="H15" s="1" t="s">
        <v>4631</v>
      </c>
      <c r="I15" s="1" t="s">
        <v>12084</v>
      </c>
      <c r="J15" s="1" t="s">
        <v>4788</v>
      </c>
      <c r="K15" s="1"/>
      <c r="L15" s="1"/>
      <c r="M15" s="1"/>
      <c r="N15" s="1"/>
      <c r="O15" s="1"/>
      <c r="P15" s="1" t="s">
        <v>12085</v>
      </c>
      <c r="Q15" s="1" t="s">
        <v>12086</v>
      </c>
      <c r="R15" s="1"/>
      <c r="S15" s="1" t="str">
        <f t="shared" si="0"/>
        <v>Clearly reported</v>
      </c>
      <c r="T15" s="1" t="str">
        <f t="shared" si="1"/>
        <v>Clearly reported</v>
      </c>
      <c r="U15" s="1" t="str">
        <f t="shared" si="2"/>
        <v>Clearly reported</v>
      </c>
    </row>
    <row r="16" spans="1:21" ht="36" customHeight="1">
      <c r="A16" s="1" t="s">
        <v>4701</v>
      </c>
      <c r="B16" s="1" t="s">
        <v>4688</v>
      </c>
      <c r="C16" s="1" t="s">
        <v>5117</v>
      </c>
      <c r="D16" s="1" t="s">
        <v>5118</v>
      </c>
      <c r="E16" s="1">
        <v>2</v>
      </c>
      <c r="F16" s="1">
        <v>2</v>
      </c>
      <c r="G16" s="1">
        <v>2</v>
      </c>
      <c r="H16" s="1" t="s">
        <v>4631</v>
      </c>
      <c r="I16" s="1" t="s">
        <v>12087</v>
      </c>
      <c r="J16" s="1" t="s">
        <v>12088</v>
      </c>
      <c r="K16" s="1"/>
      <c r="L16" s="1"/>
      <c r="M16" s="1"/>
      <c r="N16" s="1"/>
      <c r="O16" s="1"/>
      <c r="P16" s="1" t="s">
        <v>12089</v>
      </c>
      <c r="Q16" s="1" t="s">
        <v>12090</v>
      </c>
      <c r="R16" s="1"/>
      <c r="S16" s="1" t="str">
        <f t="shared" si="0"/>
        <v>Clearly reported</v>
      </c>
      <c r="T16" s="1" t="str">
        <f t="shared" si="1"/>
        <v>Clearly reported</v>
      </c>
      <c r="U16" s="1" t="str">
        <f t="shared" si="2"/>
        <v>Clearly reported</v>
      </c>
    </row>
    <row r="17" spans="1:21" ht="36" customHeight="1">
      <c r="A17" s="1" t="s">
        <v>4701</v>
      </c>
      <c r="B17" s="1" t="s">
        <v>4688</v>
      </c>
      <c r="C17" s="1" t="s">
        <v>4810</v>
      </c>
      <c r="D17" s="1" t="s">
        <v>4811</v>
      </c>
      <c r="E17" s="1">
        <v>2</v>
      </c>
      <c r="F17" s="1">
        <v>2</v>
      </c>
      <c r="G17" s="1">
        <v>2</v>
      </c>
      <c r="H17" s="1" t="s">
        <v>4631</v>
      </c>
      <c r="I17" s="1" t="s">
        <v>12091</v>
      </c>
      <c r="J17" s="1" t="s">
        <v>5215</v>
      </c>
      <c r="K17" s="1"/>
      <c r="L17" s="1"/>
      <c r="M17" s="1"/>
      <c r="N17" s="1"/>
      <c r="O17" s="1"/>
      <c r="P17" s="1" t="s">
        <v>12092</v>
      </c>
      <c r="Q17" s="1" t="s">
        <v>12093</v>
      </c>
      <c r="R17" s="1"/>
      <c r="S17" s="1" t="str">
        <f t="shared" si="0"/>
        <v>Clearly reported</v>
      </c>
      <c r="T17" s="1" t="str">
        <f t="shared" si="1"/>
        <v>Clearly reported</v>
      </c>
      <c r="U17" s="1" t="str">
        <f t="shared" si="2"/>
        <v>Clearly reported</v>
      </c>
    </row>
    <row r="18" spans="1:21" ht="36" customHeight="1">
      <c r="A18" s="1" t="s">
        <v>4701</v>
      </c>
      <c r="B18" s="1" t="s">
        <v>4688</v>
      </c>
      <c r="C18" s="1" t="s">
        <v>4714</v>
      </c>
      <c r="D18" s="1" t="s">
        <v>4715</v>
      </c>
      <c r="E18" s="1">
        <v>2</v>
      </c>
      <c r="F18" s="1">
        <v>1</v>
      </c>
      <c r="G18" s="1">
        <v>1</v>
      </c>
      <c r="H18" s="1" t="s">
        <v>4646</v>
      </c>
      <c r="I18" s="1" t="s">
        <v>4716</v>
      </c>
      <c r="J18" s="1" t="s">
        <v>4717</v>
      </c>
      <c r="K18" s="1"/>
      <c r="L18" s="1" t="s">
        <v>4718</v>
      </c>
      <c r="M18" s="1" t="s">
        <v>4719</v>
      </c>
      <c r="N18" s="1" t="s">
        <v>4720</v>
      </c>
      <c r="O18" s="1" t="s">
        <v>4721</v>
      </c>
      <c r="P18" s="1" t="s">
        <v>4722</v>
      </c>
      <c r="Q18" s="1" t="s">
        <v>4723</v>
      </c>
      <c r="R18" s="1" t="s">
        <v>4724</v>
      </c>
      <c r="S18" s="1" t="str">
        <f t="shared" si="0"/>
        <v>Clearly reported</v>
      </c>
      <c r="T18" s="1" t="str">
        <f t="shared" si="1"/>
        <v>Partly reported</v>
      </c>
      <c r="U18" s="1" t="str">
        <f t="shared" si="2"/>
        <v>Partly reported</v>
      </c>
    </row>
    <row r="19" spans="1:21" ht="15" customHeight="1">
      <c r="A19" s="1" t="s">
        <v>4701</v>
      </c>
      <c r="B19" s="1" t="s">
        <v>4688</v>
      </c>
      <c r="C19" s="1" t="s">
        <v>4689</v>
      </c>
      <c r="D19" s="1" t="s">
        <v>4690</v>
      </c>
      <c r="E19" s="1">
        <v>0</v>
      </c>
      <c r="F19" s="1">
        <v>0</v>
      </c>
      <c r="G19" s="1">
        <v>0</v>
      </c>
      <c r="H19" s="1" t="s">
        <v>4631</v>
      </c>
      <c r="I19" s="1" t="s">
        <v>6307</v>
      </c>
      <c r="J19" s="1" t="s">
        <v>12094</v>
      </c>
      <c r="K19" s="1"/>
      <c r="L19" s="1"/>
      <c r="M19" s="1"/>
      <c r="N19" s="1"/>
      <c r="O19" s="1"/>
      <c r="P19" s="1" t="s">
        <v>12095</v>
      </c>
      <c r="Q19" s="1" t="s">
        <v>12096</v>
      </c>
      <c r="R19" s="1"/>
      <c r="S19" s="1" t="str">
        <f t="shared" si="0"/>
        <v>Not reported</v>
      </c>
      <c r="T19" s="1" t="str">
        <f t="shared" si="1"/>
        <v>Not reported</v>
      </c>
      <c r="U19" s="1" t="str">
        <f t="shared" si="2"/>
        <v>Not reported</v>
      </c>
    </row>
    <row r="20" spans="1:21" ht="24" customHeight="1">
      <c r="A20" s="1" t="s">
        <v>4725</v>
      </c>
      <c r="B20" s="1" t="s">
        <v>4688</v>
      </c>
      <c r="C20" s="1" t="s">
        <v>5475</v>
      </c>
      <c r="D20" s="1" t="s">
        <v>5476</v>
      </c>
      <c r="E20" s="1">
        <v>2</v>
      </c>
      <c r="F20" s="1">
        <v>2</v>
      </c>
      <c r="G20" s="1">
        <v>2</v>
      </c>
      <c r="H20" s="1" t="s">
        <v>4631</v>
      </c>
      <c r="I20" s="1" t="s">
        <v>12097</v>
      </c>
      <c r="J20" s="1" t="s">
        <v>4737</v>
      </c>
      <c r="K20" s="1"/>
      <c r="L20" s="1"/>
      <c r="M20" s="1"/>
      <c r="N20" s="1"/>
      <c r="O20" s="1"/>
      <c r="P20" s="1" t="s">
        <v>12098</v>
      </c>
      <c r="Q20" s="1" t="s">
        <v>12099</v>
      </c>
      <c r="R20" s="1"/>
      <c r="S20" s="1" t="str">
        <f t="shared" si="0"/>
        <v>Clearly reported</v>
      </c>
      <c r="T20" s="1" t="str">
        <f t="shared" si="1"/>
        <v>Clearly reported</v>
      </c>
      <c r="U20" s="1" t="str">
        <f t="shared" si="2"/>
        <v>Clearly reported</v>
      </c>
    </row>
    <row r="21" spans="1:21" ht="24" customHeight="1">
      <c r="A21" s="1" t="s">
        <v>4725</v>
      </c>
      <c r="B21" s="1" t="s">
        <v>4688</v>
      </c>
      <c r="C21" s="1" t="s">
        <v>5390</v>
      </c>
      <c r="D21" s="1" t="s">
        <v>5391</v>
      </c>
      <c r="E21" s="1">
        <v>2</v>
      </c>
      <c r="F21" s="1">
        <v>2</v>
      </c>
      <c r="G21" s="1">
        <v>2</v>
      </c>
      <c r="H21" s="1" t="s">
        <v>4631</v>
      </c>
      <c r="I21" s="1" t="s">
        <v>12100</v>
      </c>
      <c r="J21" s="1" t="s">
        <v>4737</v>
      </c>
      <c r="K21" s="1"/>
      <c r="L21" s="1"/>
      <c r="M21" s="1"/>
      <c r="N21" s="1"/>
      <c r="O21" s="1"/>
      <c r="P21" s="1" t="s">
        <v>12101</v>
      </c>
      <c r="Q21" s="1" t="s">
        <v>12102</v>
      </c>
      <c r="R21" s="1"/>
      <c r="S21" s="1" t="str">
        <f t="shared" si="0"/>
        <v>Clearly reported</v>
      </c>
      <c r="T21" s="1" t="str">
        <f t="shared" si="1"/>
        <v>Clearly reported</v>
      </c>
      <c r="U21" s="1" t="str">
        <f t="shared" si="2"/>
        <v>Clearly reported</v>
      </c>
    </row>
    <row r="22" spans="1:21" ht="48" customHeight="1">
      <c r="A22" s="1" t="s">
        <v>4725</v>
      </c>
      <c r="B22" s="1" t="s">
        <v>4688</v>
      </c>
      <c r="C22" s="1" t="s">
        <v>4734</v>
      </c>
      <c r="D22" s="1" t="s">
        <v>4735</v>
      </c>
      <c r="E22" s="1">
        <v>2</v>
      </c>
      <c r="F22" s="1">
        <v>1</v>
      </c>
      <c r="G22" s="1">
        <v>2</v>
      </c>
      <c r="H22" s="1" t="s">
        <v>4691</v>
      </c>
      <c r="I22" s="1" t="s">
        <v>4736</v>
      </c>
      <c r="J22" s="1" t="s">
        <v>4737</v>
      </c>
      <c r="K22" s="1"/>
      <c r="L22" s="1" t="s">
        <v>4738</v>
      </c>
      <c r="M22" s="1" t="s">
        <v>4739</v>
      </c>
      <c r="N22" s="1" t="s">
        <v>4740</v>
      </c>
      <c r="O22" s="1" t="s">
        <v>4697</v>
      </c>
      <c r="P22" s="1" t="s">
        <v>4741</v>
      </c>
      <c r="Q22" s="1" t="s">
        <v>4742</v>
      </c>
      <c r="R22" s="1" t="s">
        <v>4743</v>
      </c>
      <c r="S22" s="1" t="str">
        <f t="shared" si="0"/>
        <v>Clearly reported</v>
      </c>
      <c r="T22" s="1" t="str">
        <f t="shared" si="1"/>
        <v>Partly reported</v>
      </c>
      <c r="U22" s="1" t="str">
        <f t="shared" si="2"/>
        <v>Clearly reported</v>
      </c>
    </row>
    <row r="23" spans="1:21" ht="15" customHeight="1">
      <c r="A23" s="1" t="s">
        <v>4725</v>
      </c>
      <c r="B23" s="1" t="s">
        <v>4688</v>
      </c>
      <c r="C23" s="1" t="s">
        <v>4893</v>
      </c>
      <c r="D23" s="1" t="s">
        <v>4894</v>
      </c>
      <c r="E23" s="1">
        <v>2</v>
      </c>
      <c r="F23" s="1">
        <v>2</v>
      </c>
      <c r="G23" s="1">
        <v>2</v>
      </c>
      <c r="H23" s="1" t="s">
        <v>4631</v>
      </c>
      <c r="I23" s="1" t="s">
        <v>6464</v>
      </c>
      <c r="J23" s="1" t="s">
        <v>4788</v>
      </c>
      <c r="K23" s="1"/>
      <c r="L23" s="1"/>
      <c r="M23" s="1"/>
      <c r="N23" s="1"/>
      <c r="O23" s="1"/>
      <c r="P23" s="1" t="s">
        <v>12103</v>
      </c>
      <c r="Q23" s="1" t="s">
        <v>12104</v>
      </c>
      <c r="R23" s="1"/>
      <c r="S23" s="1" t="str">
        <f t="shared" si="0"/>
        <v>Clearly reported</v>
      </c>
      <c r="T23" s="1" t="str">
        <f t="shared" si="1"/>
        <v>Clearly reported</v>
      </c>
      <c r="U23" s="1" t="str">
        <f t="shared" si="2"/>
        <v>Clearly reported</v>
      </c>
    </row>
    <row r="24" spans="1:21" ht="72" customHeight="1">
      <c r="A24" s="1" t="s">
        <v>4725</v>
      </c>
      <c r="B24" s="1" t="s">
        <v>4688</v>
      </c>
      <c r="C24" s="1" t="s">
        <v>4744</v>
      </c>
      <c r="D24" s="1" t="s">
        <v>4745</v>
      </c>
      <c r="E24" s="1">
        <v>1</v>
      </c>
      <c r="F24" s="1">
        <v>0</v>
      </c>
      <c r="G24" s="1">
        <v>2</v>
      </c>
      <c r="H24" s="1" t="s">
        <v>4691</v>
      </c>
      <c r="I24" s="1" t="s">
        <v>4746</v>
      </c>
      <c r="J24" s="1" t="s">
        <v>4747</v>
      </c>
      <c r="K24" s="1"/>
      <c r="L24" s="1" t="s">
        <v>4748</v>
      </c>
      <c r="M24" s="1" t="s">
        <v>4749</v>
      </c>
      <c r="N24" s="1" t="s">
        <v>4750</v>
      </c>
      <c r="O24" s="1" t="s">
        <v>4697</v>
      </c>
      <c r="P24" s="1" t="s">
        <v>4751</v>
      </c>
      <c r="Q24" s="1" t="s">
        <v>4752</v>
      </c>
      <c r="R24" s="1" t="s">
        <v>4753</v>
      </c>
      <c r="S24" s="1" t="str">
        <f t="shared" si="0"/>
        <v>Partly reported</v>
      </c>
      <c r="T24" s="1" t="str">
        <f t="shared" si="1"/>
        <v>Not reported</v>
      </c>
      <c r="U24" s="1" t="str">
        <f t="shared" si="2"/>
        <v>Clearly reported</v>
      </c>
    </row>
    <row r="25" spans="1:21" ht="15" customHeight="1">
      <c r="A25" s="1" t="s">
        <v>4725</v>
      </c>
      <c r="B25" s="1" t="s">
        <v>4688</v>
      </c>
      <c r="C25" s="1" t="s">
        <v>5117</v>
      </c>
      <c r="D25" s="1" t="s">
        <v>5118</v>
      </c>
      <c r="E25" s="1">
        <v>2</v>
      </c>
      <c r="F25" s="1">
        <v>2</v>
      </c>
      <c r="G25" s="1">
        <v>2</v>
      </c>
      <c r="H25" s="1" t="s">
        <v>4631</v>
      </c>
      <c r="I25" s="1" t="s">
        <v>12105</v>
      </c>
      <c r="J25" s="1" t="s">
        <v>4896</v>
      </c>
      <c r="K25" s="1"/>
      <c r="L25" s="1"/>
      <c r="M25" s="1"/>
      <c r="N25" s="1"/>
      <c r="O25" s="1"/>
      <c r="P25" s="1" t="s">
        <v>12106</v>
      </c>
      <c r="Q25" s="1" t="s">
        <v>12107</v>
      </c>
      <c r="R25" s="1"/>
      <c r="S25" s="1" t="str">
        <f t="shared" si="0"/>
        <v>Clearly reported</v>
      </c>
      <c r="T25" s="1" t="str">
        <f t="shared" si="1"/>
        <v>Clearly reported</v>
      </c>
      <c r="U25" s="1" t="str">
        <f t="shared" si="2"/>
        <v>Clearly reported</v>
      </c>
    </row>
    <row r="26" spans="1:21" ht="24" customHeight="1">
      <c r="A26" s="1" t="s">
        <v>4725</v>
      </c>
      <c r="B26" s="1" t="s">
        <v>4688</v>
      </c>
      <c r="C26" s="1" t="s">
        <v>4810</v>
      </c>
      <c r="D26" s="1" t="s">
        <v>4811</v>
      </c>
      <c r="E26" s="1">
        <v>2</v>
      </c>
      <c r="F26" s="1">
        <v>2</v>
      </c>
      <c r="G26" s="1">
        <v>2</v>
      </c>
      <c r="H26" s="1" t="s">
        <v>4631</v>
      </c>
      <c r="I26" s="1" t="s">
        <v>12108</v>
      </c>
      <c r="J26" s="1" t="s">
        <v>4788</v>
      </c>
      <c r="K26" s="1"/>
      <c r="L26" s="1"/>
      <c r="M26" s="1"/>
      <c r="N26" s="1"/>
      <c r="O26" s="1"/>
      <c r="P26" s="1" t="s">
        <v>12109</v>
      </c>
      <c r="Q26" s="1" t="s">
        <v>12110</v>
      </c>
      <c r="R26" s="1"/>
      <c r="S26" s="1" t="str">
        <f t="shared" si="0"/>
        <v>Clearly reported</v>
      </c>
      <c r="T26" s="1" t="str">
        <f t="shared" si="1"/>
        <v>Clearly reported</v>
      </c>
      <c r="U26" s="1" t="str">
        <f t="shared" si="2"/>
        <v>Clearly reported</v>
      </c>
    </row>
    <row r="27" spans="1:21" ht="96" customHeight="1">
      <c r="A27" s="1" t="s">
        <v>4725</v>
      </c>
      <c r="B27" s="1" t="s">
        <v>4688</v>
      </c>
      <c r="C27" s="1" t="s">
        <v>4714</v>
      </c>
      <c r="D27" s="1" t="s">
        <v>4715</v>
      </c>
      <c r="E27" s="1">
        <v>2</v>
      </c>
      <c r="F27" s="1">
        <v>1</v>
      </c>
      <c r="G27" s="1">
        <v>2</v>
      </c>
      <c r="H27" s="1" t="s">
        <v>4646</v>
      </c>
      <c r="I27" s="1" t="s">
        <v>4754</v>
      </c>
      <c r="J27" s="1" t="s">
        <v>4755</v>
      </c>
      <c r="K27" s="1"/>
      <c r="L27" s="1" t="s">
        <v>4756</v>
      </c>
      <c r="M27" s="1" t="s">
        <v>4757</v>
      </c>
      <c r="N27" s="1" t="s">
        <v>4758</v>
      </c>
      <c r="O27" s="1" t="s">
        <v>4721</v>
      </c>
      <c r="P27" s="1" t="s">
        <v>4759</v>
      </c>
      <c r="Q27" s="1" t="s">
        <v>4760</v>
      </c>
      <c r="R27" s="1" t="s">
        <v>4761</v>
      </c>
      <c r="S27" s="1" t="str">
        <f t="shared" si="0"/>
        <v>Clearly reported</v>
      </c>
      <c r="T27" s="1" t="str">
        <f t="shared" si="1"/>
        <v>Partly reported</v>
      </c>
      <c r="U27" s="1" t="str">
        <f t="shared" si="2"/>
        <v>Clearly reported</v>
      </c>
    </row>
    <row r="28" spans="1:21" ht="15" customHeight="1">
      <c r="A28" s="1" t="s">
        <v>4725</v>
      </c>
      <c r="B28" s="1" t="s">
        <v>4688</v>
      </c>
      <c r="C28" s="1" t="s">
        <v>4689</v>
      </c>
      <c r="D28" s="1" t="s">
        <v>4690</v>
      </c>
      <c r="E28" s="1">
        <v>0</v>
      </c>
      <c r="F28" s="1">
        <v>0</v>
      </c>
      <c r="G28" s="1">
        <v>0</v>
      </c>
      <c r="H28" s="1" t="s">
        <v>4631</v>
      </c>
      <c r="I28" s="1" t="s">
        <v>6452</v>
      </c>
      <c r="J28" s="1" t="s">
        <v>4911</v>
      </c>
      <c r="K28" s="1"/>
      <c r="L28" s="1"/>
      <c r="M28" s="1"/>
      <c r="N28" s="1"/>
      <c r="O28" s="1"/>
      <c r="P28" s="1" t="s">
        <v>12111</v>
      </c>
      <c r="Q28" s="1" t="s">
        <v>12112</v>
      </c>
      <c r="R28" s="1"/>
      <c r="S28" s="1" t="str">
        <f t="shared" si="0"/>
        <v>Not reported</v>
      </c>
      <c r="T28" s="1" t="str">
        <f t="shared" si="1"/>
        <v>Not reported</v>
      </c>
      <c r="U28" s="1" t="str">
        <f t="shared" si="2"/>
        <v>Not reported</v>
      </c>
    </row>
    <row r="29" spans="1:21" ht="24" customHeight="1">
      <c r="A29" s="1" t="s">
        <v>4762</v>
      </c>
      <c r="B29" s="1" t="s">
        <v>4688</v>
      </c>
      <c r="C29" s="1" t="s">
        <v>5475</v>
      </c>
      <c r="D29" s="1" t="s">
        <v>5476</v>
      </c>
      <c r="E29" s="1">
        <v>2</v>
      </c>
      <c r="F29" s="1">
        <v>2</v>
      </c>
      <c r="G29" s="1">
        <v>2</v>
      </c>
      <c r="H29" s="1" t="s">
        <v>4631</v>
      </c>
      <c r="I29" s="1" t="s">
        <v>12113</v>
      </c>
      <c r="J29" s="1" t="s">
        <v>4717</v>
      </c>
      <c r="K29" s="1"/>
      <c r="L29" s="1"/>
      <c r="M29" s="1"/>
      <c r="N29" s="1"/>
      <c r="O29" s="1"/>
      <c r="P29" s="1" t="s">
        <v>12114</v>
      </c>
      <c r="Q29" s="1" t="s">
        <v>12115</v>
      </c>
      <c r="R29" s="1"/>
      <c r="S29" s="1" t="str">
        <f t="shared" si="0"/>
        <v>Clearly reported</v>
      </c>
      <c r="T29" s="1" t="str">
        <f t="shared" si="1"/>
        <v>Clearly reported</v>
      </c>
      <c r="U29" s="1" t="str">
        <f t="shared" si="2"/>
        <v>Clearly reported</v>
      </c>
    </row>
    <row r="30" spans="1:21" ht="15" customHeight="1">
      <c r="A30" s="1" t="s">
        <v>4762</v>
      </c>
      <c r="B30" s="1" t="s">
        <v>4688</v>
      </c>
      <c r="C30" s="1" t="s">
        <v>5390</v>
      </c>
      <c r="D30" s="1" t="s">
        <v>5391</v>
      </c>
      <c r="E30" s="1">
        <v>1</v>
      </c>
      <c r="F30" s="1">
        <v>1</v>
      </c>
      <c r="G30" s="1">
        <v>1</v>
      </c>
      <c r="H30" s="1" t="s">
        <v>4631</v>
      </c>
      <c r="I30" s="1" t="s">
        <v>12116</v>
      </c>
      <c r="J30" s="1" t="s">
        <v>4717</v>
      </c>
      <c r="K30" s="1"/>
      <c r="L30" s="1"/>
      <c r="M30" s="1"/>
      <c r="N30" s="1"/>
      <c r="O30" s="1"/>
      <c r="P30" s="1" t="s">
        <v>12117</v>
      </c>
      <c r="Q30" s="1" t="s">
        <v>12118</v>
      </c>
      <c r="R30" s="1"/>
      <c r="S30" s="1" t="str">
        <f t="shared" si="0"/>
        <v>Partly reported</v>
      </c>
      <c r="T30" s="1" t="str">
        <f t="shared" si="1"/>
        <v>Partly reported</v>
      </c>
      <c r="U30" s="1" t="str">
        <f t="shared" si="2"/>
        <v>Partly reported</v>
      </c>
    </row>
    <row r="31" spans="1:21" ht="15" customHeight="1">
      <c r="A31" s="1" t="s">
        <v>4762</v>
      </c>
      <c r="B31" s="1" t="s">
        <v>4688</v>
      </c>
      <c r="C31" s="1" t="s">
        <v>4734</v>
      </c>
      <c r="D31" s="1" t="s">
        <v>4735</v>
      </c>
      <c r="E31" s="1">
        <v>0</v>
      </c>
      <c r="F31" s="1">
        <v>0</v>
      </c>
      <c r="G31" s="1">
        <v>0</v>
      </c>
      <c r="H31" s="1" t="s">
        <v>4631</v>
      </c>
      <c r="I31" s="1" t="s">
        <v>4747</v>
      </c>
      <c r="J31" s="1" t="s">
        <v>4747</v>
      </c>
      <c r="K31" s="1"/>
      <c r="L31" s="1"/>
      <c r="M31" s="1"/>
      <c r="N31" s="1"/>
      <c r="O31" s="1"/>
      <c r="P31" s="1" t="s">
        <v>12119</v>
      </c>
      <c r="Q31" s="1" t="s">
        <v>12120</v>
      </c>
      <c r="R31" s="1"/>
      <c r="S31" s="1" t="str">
        <f t="shared" si="0"/>
        <v>Not reported</v>
      </c>
      <c r="T31" s="1" t="str">
        <f t="shared" si="1"/>
        <v>Not reported</v>
      </c>
      <c r="U31" s="1" t="str">
        <f t="shared" si="2"/>
        <v>Not reported</v>
      </c>
    </row>
    <row r="32" spans="1:21" ht="15" customHeight="1">
      <c r="A32" s="1" t="s">
        <v>4762</v>
      </c>
      <c r="B32" s="1" t="s">
        <v>4688</v>
      </c>
      <c r="C32" s="1" t="s">
        <v>4893</v>
      </c>
      <c r="D32" s="1" t="s">
        <v>4894</v>
      </c>
      <c r="E32" s="1">
        <v>0</v>
      </c>
      <c r="F32" s="1">
        <v>0</v>
      </c>
      <c r="G32" s="1">
        <v>0</v>
      </c>
      <c r="H32" s="1" t="s">
        <v>4631</v>
      </c>
      <c r="I32" s="1" t="s">
        <v>4747</v>
      </c>
      <c r="J32" s="1" t="s">
        <v>4747</v>
      </c>
      <c r="K32" s="1"/>
      <c r="L32" s="1"/>
      <c r="M32" s="1"/>
      <c r="N32" s="1"/>
      <c r="O32" s="1"/>
      <c r="P32" s="1" t="s">
        <v>12121</v>
      </c>
      <c r="Q32" s="1" t="s">
        <v>12122</v>
      </c>
      <c r="R32" s="1"/>
      <c r="S32" s="1" t="str">
        <f t="shared" si="0"/>
        <v>Not reported</v>
      </c>
      <c r="T32" s="1" t="str">
        <f t="shared" si="1"/>
        <v>Not reported</v>
      </c>
      <c r="U32" s="1" t="str">
        <f t="shared" si="2"/>
        <v>Not reported</v>
      </c>
    </row>
    <row r="33" spans="1:21" ht="60" customHeight="1">
      <c r="A33" s="1" t="s">
        <v>4762</v>
      </c>
      <c r="B33" s="1" t="s">
        <v>4688</v>
      </c>
      <c r="C33" s="1" t="s">
        <v>4744</v>
      </c>
      <c r="D33" s="1" t="s">
        <v>4745</v>
      </c>
      <c r="E33" s="1">
        <v>0</v>
      </c>
      <c r="F33" s="1">
        <v>1</v>
      </c>
      <c r="G33" s="1">
        <v>1</v>
      </c>
      <c r="H33" s="1" t="s">
        <v>4691</v>
      </c>
      <c r="I33" s="1" t="s">
        <v>4763</v>
      </c>
      <c r="J33" s="1" t="s">
        <v>4764</v>
      </c>
      <c r="K33" s="1"/>
      <c r="L33" s="1" t="s">
        <v>4765</v>
      </c>
      <c r="M33" s="1" t="s">
        <v>4766</v>
      </c>
      <c r="N33" s="1" t="s">
        <v>4767</v>
      </c>
      <c r="O33" s="1" t="s">
        <v>4697</v>
      </c>
      <c r="P33" s="1" t="s">
        <v>4768</v>
      </c>
      <c r="Q33" s="1" t="s">
        <v>4769</v>
      </c>
      <c r="R33" s="1" t="s">
        <v>4770</v>
      </c>
      <c r="S33" s="1" t="str">
        <f t="shared" si="0"/>
        <v>Not reported</v>
      </c>
      <c r="T33" s="1" t="str">
        <f t="shared" si="1"/>
        <v>Partly reported</v>
      </c>
      <c r="U33" s="1" t="str">
        <f t="shared" si="2"/>
        <v>Partly reported</v>
      </c>
    </row>
    <row r="34" spans="1:21" ht="15" customHeight="1">
      <c r="A34" s="1" t="s">
        <v>4762</v>
      </c>
      <c r="B34" s="1" t="s">
        <v>4688</v>
      </c>
      <c r="C34" s="1" t="s">
        <v>5117</v>
      </c>
      <c r="D34" s="1" t="s">
        <v>5118</v>
      </c>
      <c r="E34" s="1">
        <v>0</v>
      </c>
      <c r="F34" s="1">
        <v>0</v>
      </c>
      <c r="G34" s="1">
        <v>0</v>
      </c>
      <c r="H34" s="1" t="s">
        <v>4631</v>
      </c>
      <c r="I34" s="1" t="s">
        <v>4763</v>
      </c>
      <c r="J34" s="1" t="s">
        <v>4747</v>
      </c>
      <c r="K34" s="1"/>
      <c r="L34" s="1"/>
      <c r="M34" s="1"/>
      <c r="N34" s="1"/>
      <c r="O34" s="1"/>
      <c r="P34" s="1" t="s">
        <v>12123</v>
      </c>
      <c r="Q34" s="1" t="s">
        <v>12124</v>
      </c>
      <c r="R34" s="1"/>
      <c r="S34" s="1" t="str">
        <f t="shared" si="0"/>
        <v>Not reported</v>
      </c>
      <c r="T34" s="1" t="str">
        <f t="shared" si="1"/>
        <v>Not reported</v>
      </c>
      <c r="U34" s="1" t="str">
        <f t="shared" si="2"/>
        <v>Not reported</v>
      </c>
    </row>
    <row r="35" spans="1:21" ht="15" customHeight="1">
      <c r="A35" s="1" t="s">
        <v>4762</v>
      </c>
      <c r="B35" s="1" t="s">
        <v>4688</v>
      </c>
      <c r="C35" s="1" t="s">
        <v>4810</v>
      </c>
      <c r="D35" s="1" t="s">
        <v>4811</v>
      </c>
      <c r="E35" s="1">
        <v>0</v>
      </c>
      <c r="F35" s="1">
        <v>0</v>
      </c>
      <c r="G35" s="1">
        <v>0</v>
      </c>
      <c r="H35" s="1" t="s">
        <v>4631</v>
      </c>
      <c r="I35" s="1" t="s">
        <v>12066</v>
      </c>
      <c r="J35" s="1" t="s">
        <v>4747</v>
      </c>
      <c r="K35" s="1"/>
      <c r="L35" s="1"/>
      <c r="M35" s="1"/>
      <c r="N35" s="1"/>
      <c r="O35" s="1"/>
      <c r="P35" s="1" t="s">
        <v>12125</v>
      </c>
      <c r="Q35" s="1" t="s">
        <v>12126</v>
      </c>
      <c r="R35" s="1"/>
      <c r="S35" s="1" t="str">
        <f t="shared" si="0"/>
        <v>Not reported</v>
      </c>
      <c r="T35" s="1" t="str">
        <f t="shared" si="1"/>
        <v>Not reported</v>
      </c>
      <c r="U35" s="1" t="str">
        <f t="shared" si="2"/>
        <v>Not reported</v>
      </c>
    </row>
    <row r="36" spans="1:21" ht="36" customHeight="1">
      <c r="A36" s="1" t="s">
        <v>4762</v>
      </c>
      <c r="B36" s="1" t="s">
        <v>4688</v>
      </c>
      <c r="C36" s="1" t="s">
        <v>4714</v>
      </c>
      <c r="D36" s="1" t="s">
        <v>4715</v>
      </c>
      <c r="E36" s="1">
        <v>2</v>
      </c>
      <c r="F36" s="1">
        <v>2</v>
      </c>
      <c r="G36" s="1">
        <v>2</v>
      </c>
      <c r="H36" s="1" t="s">
        <v>4631</v>
      </c>
      <c r="I36" s="1" t="s">
        <v>12127</v>
      </c>
      <c r="J36" s="1" t="s">
        <v>4717</v>
      </c>
      <c r="K36" s="1"/>
      <c r="L36" s="1"/>
      <c r="M36" s="1"/>
      <c r="N36" s="1"/>
      <c r="O36" s="1"/>
      <c r="P36" s="1" t="s">
        <v>12128</v>
      </c>
      <c r="Q36" s="1" t="s">
        <v>12129</v>
      </c>
      <c r="R36" s="1"/>
      <c r="S36" s="1" t="str">
        <f t="shared" si="0"/>
        <v>Clearly reported</v>
      </c>
      <c r="T36" s="1" t="str">
        <f t="shared" si="1"/>
        <v>Clearly reported</v>
      </c>
      <c r="U36" s="1" t="str">
        <f t="shared" si="2"/>
        <v>Clearly reported</v>
      </c>
    </row>
    <row r="37" spans="1:21" ht="15" customHeight="1">
      <c r="A37" s="1" t="s">
        <v>4762</v>
      </c>
      <c r="B37" s="1" t="s">
        <v>4688</v>
      </c>
      <c r="C37" s="1" t="s">
        <v>4689</v>
      </c>
      <c r="D37" s="1" t="s">
        <v>4690</v>
      </c>
      <c r="E37" s="1">
        <v>2</v>
      </c>
      <c r="F37" s="1">
        <v>2</v>
      </c>
      <c r="G37" s="1">
        <v>2</v>
      </c>
      <c r="H37" s="1" t="s">
        <v>4631</v>
      </c>
      <c r="I37" s="1" t="s">
        <v>6592</v>
      </c>
      <c r="J37" s="1" t="s">
        <v>4845</v>
      </c>
      <c r="K37" s="1"/>
      <c r="L37" s="1"/>
      <c r="M37" s="1"/>
      <c r="N37" s="1"/>
      <c r="O37" s="1"/>
      <c r="P37" s="1" t="s">
        <v>12130</v>
      </c>
      <c r="Q37" s="1" t="s">
        <v>12131</v>
      </c>
      <c r="R37" s="1"/>
      <c r="S37" s="1" t="str">
        <f t="shared" si="0"/>
        <v>Clearly reported</v>
      </c>
      <c r="T37" s="1" t="str">
        <f t="shared" si="1"/>
        <v>Clearly reported</v>
      </c>
      <c r="U37" s="1" t="str">
        <f t="shared" si="2"/>
        <v>Clearly reported</v>
      </c>
    </row>
    <row r="38" spans="1:21" ht="24" customHeight="1">
      <c r="A38" s="1" t="s">
        <v>5845</v>
      </c>
      <c r="B38" s="1" t="s">
        <v>4688</v>
      </c>
      <c r="C38" s="1" t="s">
        <v>5475</v>
      </c>
      <c r="D38" s="1" t="s">
        <v>5476</v>
      </c>
      <c r="E38" s="1">
        <v>2</v>
      </c>
      <c r="F38" s="1">
        <v>2</v>
      </c>
      <c r="G38" s="1">
        <v>2</v>
      </c>
      <c r="H38" s="1" t="s">
        <v>4631</v>
      </c>
      <c r="I38" s="1" t="s">
        <v>12132</v>
      </c>
      <c r="J38" s="1" t="s">
        <v>4959</v>
      </c>
      <c r="K38" s="1"/>
      <c r="L38" s="1"/>
      <c r="M38" s="1"/>
      <c r="N38" s="1"/>
      <c r="O38" s="1"/>
      <c r="P38" s="1" t="s">
        <v>12133</v>
      </c>
      <c r="Q38" s="1" t="s">
        <v>12134</v>
      </c>
      <c r="R38" s="1"/>
      <c r="S38" s="1" t="str">
        <f t="shared" si="0"/>
        <v>Clearly reported</v>
      </c>
      <c r="T38" s="1" t="str">
        <f t="shared" si="1"/>
        <v>Clearly reported</v>
      </c>
      <c r="U38" s="1" t="str">
        <f t="shared" si="2"/>
        <v>Clearly reported</v>
      </c>
    </row>
    <row r="39" spans="1:21" ht="24" customHeight="1">
      <c r="A39" s="1" t="s">
        <v>5845</v>
      </c>
      <c r="B39" s="1" t="s">
        <v>4688</v>
      </c>
      <c r="C39" s="1" t="s">
        <v>5390</v>
      </c>
      <c r="D39" s="1" t="s">
        <v>5391</v>
      </c>
      <c r="E39" s="1">
        <v>2</v>
      </c>
      <c r="F39" s="1">
        <v>2</v>
      </c>
      <c r="G39" s="1">
        <v>2</v>
      </c>
      <c r="H39" s="1" t="s">
        <v>4631</v>
      </c>
      <c r="I39" s="1" t="s">
        <v>12135</v>
      </c>
      <c r="J39" s="1" t="s">
        <v>4886</v>
      </c>
      <c r="K39" s="1"/>
      <c r="L39" s="1"/>
      <c r="M39" s="1"/>
      <c r="N39" s="1"/>
      <c r="O39" s="1"/>
      <c r="P39" s="1" t="s">
        <v>12136</v>
      </c>
      <c r="Q39" s="1" t="s">
        <v>12137</v>
      </c>
      <c r="R39" s="1"/>
      <c r="S39" s="1" t="str">
        <f t="shared" si="0"/>
        <v>Clearly reported</v>
      </c>
      <c r="T39" s="1" t="str">
        <f t="shared" si="1"/>
        <v>Clearly reported</v>
      </c>
      <c r="U39" s="1" t="str">
        <f t="shared" si="2"/>
        <v>Clearly reported</v>
      </c>
    </row>
    <row r="40" spans="1:21" ht="15" customHeight="1">
      <c r="A40" s="1" t="s">
        <v>5845</v>
      </c>
      <c r="B40" s="1" t="s">
        <v>4688</v>
      </c>
      <c r="C40" s="1" t="s">
        <v>4734</v>
      </c>
      <c r="D40" s="1" t="s">
        <v>4735</v>
      </c>
      <c r="E40" s="1">
        <v>0</v>
      </c>
      <c r="F40" s="1">
        <v>0</v>
      </c>
      <c r="G40" s="1">
        <v>0</v>
      </c>
      <c r="H40" s="1" t="s">
        <v>4631</v>
      </c>
      <c r="I40" s="1" t="s">
        <v>4747</v>
      </c>
      <c r="J40" s="1" t="s">
        <v>4747</v>
      </c>
      <c r="K40" s="1"/>
      <c r="L40" s="1"/>
      <c r="M40" s="1"/>
      <c r="N40" s="1"/>
      <c r="O40" s="1"/>
      <c r="P40" s="1" t="s">
        <v>12138</v>
      </c>
      <c r="Q40" s="1" t="s">
        <v>12139</v>
      </c>
      <c r="R40" s="1"/>
      <c r="S40" s="1" t="str">
        <f t="shared" si="0"/>
        <v>Not reported</v>
      </c>
      <c r="T40" s="1" t="str">
        <f t="shared" si="1"/>
        <v>Not reported</v>
      </c>
      <c r="U40" s="1" t="str">
        <f t="shared" si="2"/>
        <v>Not reported</v>
      </c>
    </row>
    <row r="41" spans="1:21" ht="15" customHeight="1">
      <c r="A41" s="1" t="s">
        <v>5845</v>
      </c>
      <c r="B41" s="1" t="s">
        <v>4688</v>
      </c>
      <c r="C41" s="1" t="s">
        <v>4893</v>
      </c>
      <c r="D41" s="1" t="s">
        <v>4894</v>
      </c>
      <c r="E41" s="1">
        <v>0</v>
      </c>
      <c r="F41" s="1">
        <v>0</v>
      </c>
      <c r="G41" s="1">
        <v>0</v>
      </c>
      <c r="H41" s="1" t="s">
        <v>4631</v>
      </c>
      <c r="I41" s="1" t="s">
        <v>4747</v>
      </c>
      <c r="J41" s="1" t="s">
        <v>4747</v>
      </c>
      <c r="K41" s="1"/>
      <c r="L41" s="1"/>
      <c r="M41" s="1"/>
      <c r="N41" s="1"/>
      <c r="O41" s="1"/>
      <c r="P41" s="1" t="s">
        <v>12140</v>
      </c>
      <c r="Q41" s="1" t="s">
        <v>12141</v>
      </c>
      <c r="R41" s="1"/>
      <c r="S41" s="1" t="str">
        <f t="shared" si="0"/>
        <v>Not reported</v>
      </c>
      <c r="T41" s="1" t="str">
        <f t="shared" si="1"/>
        <v>Not reported</v>
      </c>
      <c r="U41" s="1" t="str">
        <f t="shared" si="2"/>
        <v>Not reported</v>
      </c>
    </row>
    <row r="42" spans="1:21" ht="15" customHeight="1">
      <c r="A42" s="1" t="s">
        <v>5845</v>
      </c>
      <c r="B42" s="1" t="s">
        <v>4688</v>
      </c>
      <c r="C42" s="1" t="s">
        <v>4744</v>
      </c>
      <c r="D42" s="1" t="s">
        <v>4745</v>
      </c>
      <c r="E42" s="1">
        <v>2</v>
      </c>
      <c r="F42" s="1">
        <v>2</v>
      </c>
      <c r="G42" s="1">
        <v>2</v>
      </c>
      <c r="H42" s="1" t="s">
        <v>4631</v>
      </c>
      <c r="I42" s="1" t="s">
        <v>12142</v>
      </c>
      <c r="J42" s="1" t="s">
        <v>4737</v>
      </c>
      <c r="K42" s="1"/>
      <c r="L42" s="1"/>
      <c r="M42" s="1"/>
      <c r="N42" s="1"/>
      <c r="O42" s="1"/>
      <c r="P42" s="1" t="s">
        <v>12143</v>
      </c>
      <c r="Q42" s="1" t="s">
        <v>12144</v>
      </c>
      <c r="R42" s="1"/>
      <c r="S42" s="1" t="str">
        <f t="shared" si="0"/>
        <v>Clearly reported</v>
      </c>
      <c r="T42" s="1" t="str">
        <f t="shared" si="1"/>
        <v>Clearly reported</v>
      </c>
      <c r="U42" s="1" t="str">
        <f t="shared" si="2"/>
        <v>Clearly reported</v>
      </c>
    </row>
    <row r="43" spans="1:21" ht="24" customHeight="1">
      <c r="A43" s="1" t="s">
        <v>5845</v>
      </c>
      <c r="B43" s="1" t="s">
        <v>4688</v>
      </c>
      <c r="C43" s="1" t="s">
        <v>5117</v>
      </c>
      <c r="D43" s="1" t="s">
        <v>5118</v>
      </c>
      <c r="E43" s="1">
        <v>2</v>
      </c>
      <c r="F43" s="1">
        <v>2</v>
      </c>
      <c r="G43" s="1">
        <v>2</v>
      </c>
      <c r="H43" s="1" t="s">
        <v>4631</v>
      </c>
      <c r="I43" s="1" t="s">
        <v>12145</v>
      </c>
      <c r="J43" s="1" t="s">
        <v>5316</v>
      </c>
      <c r="K43" s="1"/>
      <c r="L43" s="1"/>
      <c r="M43" s="1"/>
      <c r="N43" s="1"/>
      <c r="O43" s="1"/>
      <c r="P43" s="1" t="s">
        <v>12146</v>
      </c>
      <c r="Q43" s="1" t="s">
        <v>12147</v>
      </c>
      <c r="R43" s="1"/>
      <c r="S43" s="1" t="str">
        <f t="shared" si="0"/>
        <v>Clearly reported</v>
      </c>
      <c r="T43" s="1" t="str">
        <f t="shared" si="1"/>
        <v>Clearly reported</v>
      </c>
      <c r="U43" s="1" t="str">
        <f t="shared" si="2"/>
        <v>Clearly reported</v>
      </c>
    </row>
    <row r="44" spans="1:21" ht="24" customHeight="1">
      <c r="A44" s="1" t="s">
        <v>5845</v>
      </c>
      <c r="B44" s="1" t="s">
        <v>4688</v>
      </c>
      <c r="C44" s="1" t="s">
        <v>4810</v>
      </c>
      <c r="D44" s="1" t="s">
        <v>4811</v>
      </c>
      <c r="E44" s="1">
        <v>2</v>
      </c>
      <c r="F44" s="1">
        <v>2</v>
      </c>
      <c r="G44" s="1">
        <v>2</v>
      </c>
      <c r="H44" s="1" t="s">
        <v>4631</v>
      </c>
      <c r="I44" s="1" t="s">
        <v>12148</v>
      </c>
      <c r="J44" s="1" t="s">
        <v>4737</v>
      </c>
      <c r="K44" s="1"/>
      <c r="L44" s="1"/>
      <c r="M44" s="1"/>
      <c r="N44" s="1"/>
      <c r="O44" s="1"/>
      <c r="P44" s="1" t="s">
        <v>12149</v>
      </c>
      <c r="Q44" s="1" t="s">
        <v>12150</v>
      </c>
      <c r="R44" s="1"/>
      <c r="S44" s="1" t="str">
        <f t="shared" si="0"/>
        <v>Clearly reported</v>
      </c>
      <c r="T44" s="1" t="str">
        <f t="shared" si="1"/>
        <v>Clearly reported</v>
      </c>
      <c r="U44" s="1" t="str">
        <f t="shared" si="2"/>
        <v>Clearly reported</v>
      </c>
    </row>
    <row r="45" spans="1:21" ht="24" customHeight="1">
      <c r="A45" s="1" t="s">
        <v>5845</v>
      </c>
      <c r="B45" s="1" t="s">
        <v>4688</v>
      </c>
      <c r="C45" s="1" t="s">
        <v>4714</v>
      </c>
      <c r="D45" s="1" t="s">
        <v>4715</v>
      </c>
      <c r="E45" s="1">
        <v>2</v>
      </c>
      <c r="F45" s="1">
        <v>2</v>
      </c>
      <c r="G45" s="1">
        <v>2</v>
      </c>
      <c r="H45" s="1" t="s">
        <v>4631</v>
      </c>
      <c r="I45" s="1" t="s">
        <v>12151</v>
      </c>
      <c r="J45" s="1" t="s">
        <v>5316</v>
      </c>
      <c r="K45" s="1"/>
      <c r="L45" s="1"/>
      <c r="M45" s="1"/>
      <c r="N45" s="1"/>
      <c r="O45" s="1"/>
      <c r="P45" s="1" t="s">
        <v>12152</v>
      </c>
      <c r="Q45" s="1" t="s">
        <v>12153</v>
      </c>
      <c r="R45" s="1"/>
      <c r="S45" s="1" t="str">
        <f t="shared" si="0"/>
        <v>Clearly reported</v>
      </c>
      <c r="T45" s="1" t="str">
        <f t="shared" si="1"/>
        <v>Clearly reported</v>
      </c>
      <c r="U45" s="1" t="str">
        <f t="shared" si="2"/>
        <v>Clearly reported</v>
      </c>
    </row>
    <row r="46" spans="1:21" ht="24" customHeight="1">
      <c r="A46" s="1" t="s">
        <v>5845</v>
      </c>
      <c r="B46" s="1" t="s">
        <v>4688</v>
      </c>
      <c r="C46" s="1" t="s">
        <v>4689</v>
      </c>
      <c r="D46" s="1" t="s">
        <v>4690</v>
      </c>
      <c r="E46" s="1">
        <v>1</v>
      </c>
      <c r="F46" s="1">
        <v>1</v>
      </c>
      <c r="G46" s="1">
        <v>1</v>
      </c>
      <c r="H46" s="1" t="s">
        <v>4631</v>
      </c>
      <c r="I46" s="1" t="s">
        <v>6694</v>
      </c>
      <c r="J46" s="1" t="s">
        <v>11803</v>
      </c>
      <c r="K46" s="1"/>
      <c r="L46" s="1"/>
      <c r="M46" s="1"/>
      <c r="N46" s="1"/>
      <c r="O46" s="1"/>
      <c r="P46" s="1" t="s">
        <v>12154</v>
      </c>
      <c r="Q46" s="1" t="s">
        <v>12155</v>
      </c>
      <c r="R46" s="1"/>
      <c r="S46" s="1" t="str">
        <f t="shared" si="0"/>
        <v>Partly reported</v>
      </c>
      <c r="T46" s="1" t="str">
        <f t="shared" si="1"/>
        <v>Partly reported</v>
      </c>
      <c r="U46" s="1" t="str">
        <f t="shared" si="2"/>
        <v>Partly reported</v>
      </c>
    </row>
    <row r="47" spans="1:21" ht="24" customHeight="1">
      <c r="A47" s="1" t="s">
        <v>4771</v>
      </c>
      <c r="B47" s="1" t="s">
        <v>4688</v>
      </c>
      <c r="C47" s="1" t="s">
        <v>5475</v>
      </c>
      <c r="D47" s="1" t="s">
        <v>5476</v>
      </c>
      <c r="E47" s="1">
        <v>2</v>
      </c>
      <c r="F47" s="1">
        <v>2</v>
      </c>
      <c r="G47" s="1">
        <v>2</v>
      </c>
      <c r="H47" s="1" t="s">
        <v>4631</v>
      </c>
      <c r="I47" s="1" t="s">
        <v>12156</v>
      </c>
      <c r="J47" s="1" t="s">
        <v>4862</v>
      </c>
      <c r="K47" s="1"/>
      <c r="L47" s="1"/>
      <c r="M47" s="1"/>
      <c r="N47" s="1"/>
      <c r="O47" s="1"/>
      <c r="P47" s="1" t="s">
        <v>12157</v>
      </c>
      <c r="Q47" s="1" t="s">
        <v>12158</v>
      </c>
      <c r="R47" s="1"/>
      <c r="S47" s="1" t="str">
        <f t="shared" si="0"/>
        <v>Clearly reported</v>
      </c>
      <c r="T47" s="1" t="str">
        <f t="shared" si="1"/>
        <v>Clearly reported</v>
      </c>
      <c r="U47" s="1" t="str">
        <f t="shared" si="2"/>
        <v>Clearly reported</v>
      </c>
    </row>
    <row r="48" spans="1:21" ht="15" customHeight="1">
      <c r="A48" s="1" t="s">
        <v>4771</v>
      </c>
      <c r="B48" s="1" t="s">
        <v>4688</v>
      </c>
      <c r="C48" s="1" t="s">
        <v>5390</v>
      </c>
      <c r="D48" s="1" t="s">
        <v>5391</v>
      </c>
      <c r="E48" s="1">
        <v>2</v>
      </c>
      <c r="F48" s="1">
        <v>2</v>
      </c>
      <c r="G48" s="1">
        <v>2</v>
      </c>
      <c r="H48" s="1" t="s">
        <v>4631</v>
      </c>
      <c r="I48" s="1" t="s">
        <v>12159</v>
      </c>
      <c r="J48" s="1" t="s">
        <v>4862</v>
      </c>
      <c r="K48" s="1"/>
      <c r="L48" s="1"/>
      <c r="M48" s="1"/>
      <c r="N48" s="1"/>
      <c r="O48" s="1"/>
      <c r="P48" s="1" t="s">
        <v>12160</v>
      </c>
      <c r="Q48" s="1" t="s">
        <v>12161</v>
      </c>
      <c r="R48" s="1"/>
      <c r="S48" s="1" t="str">
        <f t="shared" si="0"/>
        <v>Clearly reported</v>
      </c>
      <c r="T48" s="1" t="str">
        <f t="shared" si="1"/>
        <v>Clearly reported</v>
      </c>
      <c r="U48" s="1" t="str">
        <f t="shared" si="2"/>
        <v>Clearly reported</v>
      </c>
    </row>
    <row r="49" spans="1:21" ht="60" customHeight="1">
      <c r="A49" s="1" t="s">
        <v>4771</v>
      </c>
      <c r="B49" s="1" t="s">
        <v>4688</v>
      </c>
      <c r="C49" s="1" t="s">
        <v>4734</v>
      </c>
      <c r="D49" s="1" t="s">
        <v>4735</v>
      </c>
      <c r="E49" s="1">
        <v>0</v>
      </c>
      <c r="F49" s="1">
        <v>2</v>
      </c>
      <c r="G49" s="1">
        <v>2</v>
      </c>
      <c r="H49" s="1" t="s">
        <v>4691</v>
      </c>
      <c r="I49" s="1" t="s">
        <v>4747</v>
      </c>
      <c r="J49" s="1" t="s">
        <v>4772</v>
      </c>
      <c r="K49" s="1"/>
      <c r="L49" s="1" t="s">
        <v>4773</v>
      </c>
      <c r="M49" s="1" t="s">
        <v>4774</v>
      </c>
      <c r="N49" s="1" t="s">
        <v>4775</v>
      </c>
      <c r="O49" s="1" t="s">
        <v>4697</v>
      </c>
      <c r="P49" s="1" t="s">
        <v>4776</v>
      </c>
      <c r="Q49" s="1" t="s">
        <v>4777</v>
      </c>
      <c r="R49" s="1" t="s">
        <v>4778</v>
      </c>
      <c r="S49" s="1" t="str">
        <f t="shared" si="0"/>
        <v>Not reported</v>
      </c>
      <c r="T49" s="1" t="str">
        <f t="shared" si="1"/>
        <v>Clearly reported</v>
      </c>
      <c r="U49" s="1" t="str">
        <f t="shared" si="2"/>
        <v>Clearly reported</v>
      </c>
    </row>
    <row r="50" spans="1:21" ht="15" customHeight="1">
      <c r="A50" s="1" t="s">
        <v>4771</v>
      </c>
      <c r="B50" s="1" t="s">
        <v>4688</v>
      </c>
      <c r="C50" s="1" t="s">
        <v>4893</v>
      </c>
      <c r="D50" s="1" t="s">
        <v>4894</v>
      </c>
      <c r="E50" s="1">
        <v>2</v>
      </c>
      <c r="F50" s="1">
        <v>2</v>
      </c>
      <c r="G50" s="1">
        <v>2</v>
      </c>
      <c r="H50" s="1" t="s">
        <v>4631</v>
      </c>
      <c r="I50" s="1" t="s">
        <v>6835</v>
      </c>
      <c r="J50" s="1" t="s">
        <v>4904</v>
      </c>
      <c r="K50" s="1"/>
      <c r="L50" s="1"/>
      <c r="M50" s="1"/>
      <c r="N50" s="1"/>
      <c r="O50" s="1"/>
      <c r="P50" s="1" t="s">
        <v>12162</v>
      </c>
      <c r="Q50" s="1" t="s">
        <v>12163</v>
      </c>
      <c r="R50" s="1"/>
      <c r="S50" s="1" t="str">
        <f t="shared" si="0"/>
        <v>Clearly reported</v>
      </c>
      <c r="T50" s="1" t="str">
        <f t="shared" si="1"/>
        <v>Clearly reported</v>
      </c>
      <c r="U50" s="1" t="str">
        <f t="shared" si="2"/>
        <v>Clearly reported</v>
      </c>
    </row>
    <row r="51" spans="1:21" ht="15" customHeight="1">
      <c r="A51" s="1" t="s">
        <v>4771</v>
      </c>
      <c r="B51" s="1" t="s">
        <v>4688</v>
      </c>
      <c r="C51" s="1" t="s">
        <v>4744</v>
      </c>
      <c r="D51" s="1" t="s">
        <v>4745</v>
      </c>
      <c r="E51" s="1">
        <v>2</v>
      </c>
      <c r="F51" s="1">
        <v>2</v>
      </c>
      <c r="G51" s="1">
        <v>2</v>
      </c>
      <c r="H51" s="1" t="s">
        <v>4631</v>
      </c>
      <c r="I51" s="1" t="s">
        <v>12164</v>
      </c>
      <c r="J51" s="1" t="s">
        <v>4904</v>
      </c>
      <c r="K51" s="1"/>
      <c r="L51" s="1"/>
      <c r="M51" s="1"/>
      <c r="N51" s="1"/>
      <c r="O51" s="1"/>
      <c r="P51" s="1" t="s">
        <v>12165</v>
      </c>
      <c r="Q51" s="1" t="s">
        <v>12166</v>
      </c>
      <c r="R51" s="1"/>
      <c r="S51" s="1" t="str">
        <f t="shared" si="0"/>
        <v>Clearly reported</v>
      </c>
      <c r="T51" s="1" t="str">
        <f t="shared" si="1"/>
        <v>Clearly reported</v>
      </c>
      <c r="U51" s="1" t="str">
        <f t="shared" si="2"/>
        <v>Clearly reported</v>
      </c>
    </row>
    <row r="52" spans="1:21" ht="15" customHeight="1">
      <c r="A52" s="1" t="s">
        <v>4771</v>
      </c>
      <c r="B52" s="1" t="s">
        <v>4688</v>
      </c>
      <c r="C52" s="1" t="s">
        <v>5117</v>
      </c>
      <c r="D52" s="1" t="s">
        <v>5118</v>
      </c>
      <c r="E52" s="1">
        <v>2</v>
      </c>
      <c r="F52" s="1">
        <v>2</v>
      </c>
      <c r="G52" s="1">
        <v>2</v>
      </c>
      <c r="H52" s="1" t="s">
        <v>4631</v>
      </c>
      <c r="I52" s="1" t="s">
        <v>12167</v>
      </c>
      <c r="J52" s="1" t="s">
        <v>4764</v>
      </c>
      <c r="K52" s="1"/>
      <c r="L52" s="1"/>
      <c r="M52" s="1"/>
      <c r="N52" s="1"/>
      <c r="O52" s="1"/>
      <c r="P52" s="1" t="s">
        <v>12168</v>
      </c>
      <c r="Q52" s="1" t="s">
        <v>12169</v>
      </c>
      <c r="R52" s="1"/>
      <c r="S52" s="1" t="str">
        <f t="shared" si="0"/>
        <v>Clearly reported</v>
      </c>
      <c r="T52" s="1" t="str">
        <f t="shared" si="1"/>
        <v>Clearly reported</v>
      </c>
      <c r="U52" s="1" t="str">
        <f t="shared" si="2"/>
        <v>Clearly reported</v>
      </c>
    </row>
    <row r="53" spans="1:21" ht="15" customHeight="1">
      <c r="A53" s="1" t="s">
        <v>4771</v>
      </c>
      <c r="B53" s="1" t="s">
        <v>4688</v>
      </c>
      <c r="C53" s="1" t="s">
        <v>4810</v>
      </c>
      <c r="D53" s="1" t="s">
        <v>4811</v>
      </c>
      <c r="E53" s="1">
        <v>2</v>
      </c>
      <c r="F53" s="1">
        <v>2</v>
      </c>
      <c r="G53" s="1">
        <v>2</v>
      </c>
      <c r="H53" s="1" t="s">
        <v>4631</v>
      </c>
      <c r="I53" s="1" t="s">
        <v>12170</v>
      </c>
      <c r="J53" s="1" t="s">
        <v>4959</v>
      </c>
      <c r="K53" s="1"/>
      <c r="L53" s="1"/>
      <c r="M53" s="1"/>
      <c r="N53" s="1"/>
      <c r="O53" s="1"/>
      <c r="P53" s="1" t="s">
        <v>12171</v>
      </c>
      <c r="Q53" s="1" t="s">
        <v>12172</v>
      </c>
      <c r="R53" s="1"/>
      <c r="S53" s="1" t="str">
        <f t="shared" si="0"/>
        <v>Clearly reported</v>
      </c>
      <c r="T53" s="1" t="str">
        <f t="shared" si="1"/>
        <v>Clearly reported</v>
      </c>
      <c r="U53" s="1" t="str">
        <f t="shared" si="2"/>
        <v>Clearly reported</v>
      </c>
    </row>
    <row r="54" spans="1:21" ht="36" customHeight="1">
      <c r="A54" s="1" t="s">
        <v>4771</v>
      </c>
      <c r="B54" s="1" t="s">
        <v>4688</v>
      </c>
      <c r="C54" s="1" t="s">
        <v>4714</v>
      </c>
      <c r="D54" s="1" t="s">
        <v>4715</v>
      </c>
      <c r="E54" s="1">
        <v>2</v>
      </c>
      <c r="F54" s="1">
        <v>1</v>
      </c>
      <c r="G54" s="1">
        <v>1</v>
      </c>
      <c r="H54" s="1" t="s">
        <v>4646</v>
      </c>
      <c r="I54" s="1" t="s">
        <v>4779</v>
      </c>
      <c r="J54" s="1" t="s">
        <v>4780</v>
      </c>
      <c r="K54" s="1"/>
      <c r="L54" s="1" t="s">
        <v>4781</v>
      </c>
      <c r="M54" s="1" t="s">
        <v>4782</v>
      </c>
      <c r="N54" s="1" t="s">
        <v>4720</v>
      </c>
      <c r="O54" s="1" t="s">
        <v>4721</v>
      </c>
      <c r="P54" s="1" t="s">
        <v>4783</v>
      </c>
      <c r="Q54" s="1" t="s">
        <v>4784</v>
      </c>
      <c r="R54" s="1" t="s">
        <v>4785</v>
      </c>
      <c r="S54" s="1" t="str">
        <f t="shared" si="0"/>
        <v>Clearly reported</v>
      </c>
      <c r="T54" s="1" t="str">
        <f t="shared" si="1"/>
        <v>Partly reported</v>
      </c>
      <c r="U54" s="1" t="str">
        <f t="shared" si="2"/>
        <v>Partly reported</v>
      </c>
    </row>
    <row r="55" spans="1:21" ht="15" customHeight="1">
      <c r="A55" s="1" t="s">
        <v>4771</v>
      </c>
      <c r="B55" s="1" t="s">
        <v>4688</v>
      </c>
      <c r="C55" s="1" t="s">
        <v>4689</v>
      </c>
      <c r="D55" s="1" t="s">
        <v>4690</v>
      </c>
      <c r="E55" s="1">
        <v>0</v>
      </c>
      <c r="F55" s="1">
        <v>0</v>
      </c>
      <c r="G55" s="1">
        <v>0</v>
      </c>
      <c r="H55" s="1" t="s">
        <v>4631</v>
      </c>
      <c r="I55" s="1" t="s">
        <v>6823</v>
      </c>
      <c r="J55" s="1" t="s">
        <v>12173</v>
      </c>
      <c r="K55" s="1"/>
      <c r="L55" s="1"/>
      <c r="M55" s="1"/>
      <c r="N55" s="1"/>
      <c r="O55" s="1"/>
      <c r="P55" s="1" t="s">
        <v>12174</v>
      </c>
      <c r="Q55" s="1" t="s">
        <v>12175</v>
      </c>
      <c r="R55" s="1"/>
      <c r="S55" s="1" t="str">
        <f t="shared" si="0"/>
        <v>Not reported</v>
      </c>
      <c r="T55" s="1" t="str">
        <f t="shared" si="1"/>
        <v>Not reported</v>
      </c>
      <c r="U55" s="1" t="str">
        <f t="shared" si="2"/>
        <v>Not reported</v>
      </c>
    </row>
    <row r="56" spans="1:21" ht="24" customHeight="1">
      <c r="A56" s="1" t="s">
        <v>4786</v>
      </c>
      <c r="B56" s="1" t="s">
        <v>4688</v>
      </c>
      <c r="C56" s="1" t="s">
        <v>5475</v>
      </c>
      <c r="D56" s="1" t="s">
        <v>5476</v>
      </c>
      <c r="E56" s="1">
        <v>2</v>
      </c>
      <c r="F56" s="1">
        <v>2</v>
      </c>
      <c r="G56" s="1">
        <v>2</v>
      </c>
      <c r="H56" s="1" t="s">
        <v>4631</v>
      </c>
      <c r="I56" s="1" t="s">
        <v>12176</v>
      </c>
      <c r="J56" s="1" t="s">
        <v>4717</v>
      </c>
      <c r="K56" s="1"/>
      <c r="L56" s="1"/>
      <c r="M56" s="1"/>
      <c r="N56" s="1"/>
      <c r="O56" s="1"/>
      <c r="P56" s="1" t="s">
        <v>12177</v>
      </c>
      <c r="Q56" s="1" t="s">
        <v>12178</v>
      </c>
      <c r="R56" s="1"/>
      <c r="S56" s="1" t="str">
        <f t="shared" si="0"/>
        <v>Clearly reported</v>
      </c>
      <c r="T56" s="1" t="str">
        <f t="shared" si="1"/>
        <v>Clearly reported</v>
      </c>
      <c r="U56" s="1" t="str">
        <f t="shared" si="2"/>
        <v>Clearly reported</v>
      </c>
    </row>
    <row r="57" spans="1:21" ht="15" customHeight="1">
      <c r="A57" s="1" t="s">
        <v>4786</v>
      </c>
      <c r="B57" s="1" t="s">
        <v>4688</v>
      </c>
      <c r="C57" s="1" t="s">
        <v>5390</v>
      </c>
      <c r="D57" s="1" t="s">
        <v>5391</v>
      </c>
      <c r="E57" s="1">
        <v>1</v>
      </c>
      <c r="F57" s="1">
        <v>1</v>
      </c>
      <c r="G57" s="1">
        <v>1</v>
      </c>
      <c r="H57" s="1" t="s">
        <v>4631</v>
      </c>
      <c r="I57" s="1" t="s">
        <v>12179</v>
      </c>
      <c r="J57" s="1" t="s">
        <v>4717</v>
      </c>
      <c r="K57" s="1"/>
      <c r="L57" s="1"/>
      <c r="M57" s="1"/>
      <c r="N57" s="1"/>
      <c r="O57" s="1"/>
      <c r="P57" s="1" t="s">
        <v>12180</v>
      </c>
      <c r="Q57" s="1" t="s">
        <v>12181</v>
      </c>
      <c r="R57" s="1"/>
      <c r="S57" s="1" t="str">
        <f t="shared" si="0"/>
        <v>Partly reported</v>
      </c>
      <c r="T57" s="1" t="str">
        <f t="shared" si="1"/>
        <v>Partly reported</v>
      </c>
      <c r="U57" s="1" t="str">
        <f t="shared" si="2"/>
        <v>Partly reported</v>
      </c>
    </row>
    <row r="58" spans="1:21" ht="48" customHeight="1">
      <c r="A58" s="1" t="s">
        <v>4786</v>
      </c>
      <c r="B58" s="1" t="s">
        <v>4688</v>
      </c>
      <c r="C58" s="1" t="s">
        <v>4734</v>
      </c>
      <c r="D58" s="1" t="s">
        <v>4735</v>
      </c>
      <c r="E58" s="1">
        <v>2</v>
      </c>
      <c r="F58" s="1">
        <v>0</v>
      </c>
      <c r="G58" s="1">
        <v>2</v>
      </c>
      <c r="H58" s="1" t="s">
        <v>4691</v>
      </c>
      <c r="I58" s="1" t="s">
        <v>4796</v>
      </c>
      <c r="J58" s="1" t="s">
        <v>4747</v>
      </c>
      <c r="K58" s="1"/>
      <c r="L58" s="1" t="s">
        <v>4797</v>
      </c>
      <c r="M58" s="1" t="s">
        <v>4798</v>
      </c>
      <c r="N58" s="1" t="s">
        <v>4799</v>
      </c>
      <c r="O58" s="1" t="s">
        <v>4697</v>
      </c>
      <c r="P58" s="1" t="s">
        <v>4800</v>
      </c>
      <c r="Q58" s="1" t="s">
        <v>4801</v>
      </c>
      <c r="R58" s="1" t="s">
        <v>4802</v>
      </c>
      <c r="S58" s="1" t="str">
        <f t="shared" si="0"/>
        <v>Clearly reported</v>
      </c>
      <c r="T58" s="1" t="str">
        <f t="shared" si="1"/>
        <v>Not reported</v>
      </c>
      <c r="U58" s="1" t="str">
        <f t="shared" si="2"/>
        <v>Clearly reported</v>
      </c>
    </row>
    <row r="59" spans="1:21" ht="15" customHeight="1">
      <c r="A59" s="1" t="s">
        <v>4786</v>
      </c>
      <c r="B59" s="1" t="s">
        <v>4688</v>
      </c>
      <c r="C59" s="1" t="s">
        <v>4893</v>
      </c>
      <c r="D59" s="1" t="s">
        <v>4894</v>
      </c>
      <c r="E59" s="1">
        <v>0</v>
      </c>
      <c r="F59" s="1">
        <v>0</v>
      </c>
      <c r="G59" s="1">
        <v>0</v>
      </c>
      <c r="H59" s="1" t="s">
        <v>4631</v>
      </c>
      <c r="I59" s="1" t="s">
        <v>4747</v>
      </c>
      <c r="J59" s="1" t="s">
        <v>4747</v>
      </c>
      <c r="K59" s="1"/>
      <c r="L59" s="1"/>
      <c r="M59" s="1"/>
      <c r="N59" s="1"/>
      <c r="O59" s="1"/>
      <c r="P59" s="1" t="s">
        <v>12182</v>
      </c>
      <c r="Q59" s="1" t="s">
        <v>12183</v>
      </c>
      <c r="R59" s="1"/>
      <c r="S59" s="1" t="str">
        <f t="shared" si="0"/>
        <v>Not reported</v>
      </c>
      <c r="T59" s="1" t="str">
        <f t="shared" si="1"/>
        <v>Not reported</v>
      </c>
      <c r="U59" s="1" t="str">
        <f t="shared" si="2"/>
        <v>Not reported</v>
      </c>
    </row>
    <row r="60" spans="1:21" ht="48" customHeight="1">
      <c r="A60" s="1" t="s">
        <v>4786</v>
      </c>
      <c r="B60" s="1" t="s">
        <v>4688</v>
      </c>
      <c r="C60" s="1" t="s">
        <v>4744</v>
      </c>
      <c r="D60" s="1" t="s">
        <v>4745</v>
      </c>
      <c r="E60" s="1">
        <v>2</v>
      </c>
      <c r="F60" s="1">
        <v>1</v>
      </c>
      <c r="G60" s="1">
        <v>2</v>
      </c>
      <c r="H60" s="1" t="s">
        <v>4691</v>
      </c>
      <c r="I60" s="1" t="s">
        <v>4803</v>
      </c>
      <c r="J60" s="1" t="s">
        <v>4788</v>
      </c>
      <c r="K60" s="1"/>
      <c r="L60" s="1" t="s">
        <v>4804</v>
      </c>
      <c r="M60" s="1" t="s">
        <v>4805</v>
      </c>
      <c r="N60" s="1" t="s">
        <v>4806</v>
      </c>
      <c r="O60" s="1" t="s">
        <v>4697</v>
      </c>
      <c r="P60" s="1" t="s">
        <v>4807</v>
      </c>
      <c r="Q60" s="1" t="s">
        <v>4808</v>
      </c>
      <c r="R60" s="1" t="s">
        <v>4809</v>
      </c>
      <c r="S60" s="1" t="str">
        <f t="shared" si="0"/>
        <v>Clearly reported</v>
      </c>
      <c r="T60" s="1" t="str">
        <f t="shared" si="1"/>
        <v>Partly reported</v>
      </c>
      <c r="U60" s="1" t="str">
        <f t="shared" si="2"/>
        <v>Clearly reported</v>
      </c>
    </row>
    <row r="61" spans="1:21" ht="15" customHeight="1">
      <c r="A61" s="1" t="s">
        <v>4786</v>
      </c>
      <c r="B61" s="1" t="s">
        <v>4688</v>
      </c>
      <c r="C61" s="1" t="s">
        <v>5117</v>
      </c>
      <c r="D61" s="1" t="s">
        <v>5118</v>
      </c>
      <c r="E61" s="1">
        <v>2</v>
      </c>
      <c r="F61" s="1">
        <v>2</v>
      </c>
      <c r="G61" s="1">
        <v>2</v>
      </c>
      <c r="H61" s="1" t="s">
        <v>4631</v>
      </c>
      <c r="I61" s="1" t="s">
        <v>12184</v>
      </c>
      <c r="J61" s="1" t="s">
        <v>4788</v>
      </c>
      <c r="K61" s="1"/>
      <c r="L61" s="1"/>
      <c r="M61" s="1"/>
      <c r="N61" s="1"/>
      <c r="O61" s="1"/>
      <c r="P61" s="1" t="s">
        <v>12185</v>
      </c>
      <c r="Q61" s="1" t="s">
        <v>12186</v>
      </c>
      <c r="R61" s="1"/>
      <c r="S61" s="1" t="str">
        <f t="shared" si="0"/>
        <v>Clearly reported</v>
      </c>
      <c r="T61" s="1" t="str">
        <f t="shared" si="1"/>
        <v>Clearly reported</v>
      </c>
      <c r="U61" s="1" t="str">
        <f t="shared" si="2"/>
        <v>Clearly reported</v>
      </c>
    </row>
    <row r="62" spans="1:21" ht="48" customHeight="1">
      <c r="A62" s="1" t="s">
        <v>4786</v>
      </c>
      <c r="B62" s="1" t="s">
        <v>4688</v>
      </c>
      <c r="C62" s="1" t="s">
        <v>4810</v>
      </c>
      <c r="D62" s="1" t="s">
        <v>4811</v>
      </c>
      <c r="E62" s="1">
        <v>2</v>
      </c>
      <c r="F62" s="1">
        <v>0</v>
      </c>
      <c r="G62" s="1">
        <v>2</v>
      </c>
      <c r="H62" s="1" t="s">
        <v>4691</v>
      </c>
      <c r="I62" s="1" t="s">
        <v>4812</v>
      </c>
      <c r="J62" s="1" t="s">
        <v>4747</v>
      </c>
      <c r="K62" s="1"/>
      <c r="L62" s="1" t="s">
        <v>4813</v>
      </c>
      <c r="M62" s="1" t="s">
        <v>4814</v>
      </c>
      <c r="N62" s="1" t="s">
        <v>4815</v>
      </c>
      <c r="O62" s="1" t="s">
        <v>4697</v>
      </c>
      <c r="P62" s="1" t="s">
        <v>4816</v>
      </c>
      <c r="Q62" s="1" t="s">
        <v>4817</v>
      </c>
      <c r="R62" s="1" t="s">
        <v>4818</v>
      </c>
      <c r="S62" s="1" t="str">
        <f t="shared" si="0"/>
        <v>Clearly reported</v>
      </c>
      <c r="T62" s="1" t="str">
        <f t="shared" si="1"/>
        <v>Not reported</v>
      </c>
      <c r="U62" s="1" t="str">
        <f t="shared" si="2"/>
        <v>Clearly reported</v>
      </c>
    </row>
    <row r="63" spans="1:21" ht="48" customHeight="1">
      <c r="A63" s="1" t="s">
        <v>4786</v>
      </c>
      <c r="B63" s="1" t="s">
        <v>4688</v>
      </c>
      <c r="C63" s="1" t="s">
        <v>4714</v>
      </c>
      <c r="D63" s="1" t="s">
        <v>4715</v>
      </c>
      <c r="E63" s="1">
        <v>2</v>
      </c>
      <c r="F63" s="1">
        <v>1</v>
      </c>
      <c r="G63" s="1">
        <v>2</v>
      </c>
      <c r="H63" s="1" t="s">
        <v>4646</v>
      </c>
      <c r="I63" s="1" t="s">
        <v>4819</v>
      </c>
      <c r="J63" s="1" t="s">
        <v>4717</v>
      </c>
      <c r="K63" s="1"/>
      <c r="L63" s="1" t="s">
        <v>4820</v>
      </c>
      <c r="M63" s="1" t="s">
        <v>4821</v>
      </c>
      <c r="N63" s="1" t="s">
        <v>4758</v>
      </c>
      <c r="O63" s="1" t="s">
        <v>4721</v>
      </c>
      <c r="P63" s="1" t="s">
        <v>4822</v>
      </c>
      <c r="Q63" s="1" t="s">
        <v>4823</v>
      </c>
      <c r="R63" s="1" t="s">
        <v>4824</v>
      </c>
      <c r="S63" s="1" t="str">
        <f t="shared" si="0"/>
        <v>Clearly reported</v>
      </c>
      <c r="T63" s="1" t="str">
        <f t="shared" si="1"/>
        <v>Partly reported</v>
      </c>
      <c r="U63" s="1" t="str">
        <f t="shared" si="2"/>
        <v>Clearly reported</v>
      </c>
    </row>
    <row r="64" spans="1:21" ht="15" customHeight="1">
      <c r="A64" s="1" t="s">
        <v>4786</v>
      </c>
      <c r="B64" s="1" t="s">
        <v>4688</v>
      </c>
      <c r="C64" s="1" t="s">
        <v>4689</v>
      </c>
      <c r="D64" s="1" t="s">
        <v>4690</v>
      </c>
      <c r="E64" s="1">
        <v>0</v>
      </c>
      <c r="F64" s="1">
        <v>0</v>
      </c>
      <c r="G64" s="1">
        <v>0</v>
      </c>
      <c r="H64" s="1" t="s">
        <v>4631</v>
      </c>
      <c r="I64" s="1" t="s">
        <v>6823</v>
      </c>
      <c r="J64" s="1" t="s">
        <v>12094</v>
      </c>
      <c r="K64" s="1"/>
      <c r="L64" s="1"/>
      <c r="M64" s="1"/>
      <c r="N64" s="1"/>
      <c r="O64" s="1"/>
      <c r="P64" s="1" t="s">
        <v>12187</v>
      </c>
      <c r="Q64" s="1" t="s">
        <v>12188</v>
      </c>
      <c r="R64" s="1"/>
      <c r="S64" s="1" t="str">
        <f t="shared" si="0"/>
        <v>Not reported</v>
      </c>
      <c r="T64" s="1" t="str">
        <f t="shared" si="1"/>
        <v>Not reported</v>
      </c>
      <c r="U64" s="1" t="str">
        <f t="shared" si="2"/>
        <v>Not reported</v>
      </c>
    </row>
    <row r="65" spans="1:21" ht="24" customHeight="1">
      <c r="A65" s="1" t="s">
        <v>4825</v>
      </c>
      <c r="B65" s="1" t="s">
        <v>4688</v>
      </c>
      <c r="C65" s="1" t="s">
        <v>5475</v>
      </c>
      <c r="D65" s="1" t="s">
        <v>5476</v>
      </c>
      <c r="E65" s="1">
        <v>2</v>
      </c>
      <c r="F65" s="1">
        <v>2</v>
      </c>
      <c r="G65" s="1">
        <v>2</v>
      </c>
      <c r="H65" s="1" t="s">
        <v>4631</v>
      </c>
      <c r="I65" s="1" t="s">
        <v>12189</v>
      </c>
      <c r="J65" s="1" t="s">
        <v>12190</v>
      </c>
      <c r="K65" s="1"/>
      <c r="L65" s="1"/>
      <c r="M65" s="1"/>
      <c r="N65" s="1"/>
      <c r="O65" s="1"/>
      <c r="P65" s="1" t="s">
        <v>12191</v>
      </c>
      <c r="Q65" s="1" t="s">
        <v>12192</v>
      </c>
      <c r="R65" s="1"/>
      <c r="S65" s="1" t="str">
        <f t="shared" si="0"/>
        <v>Clearly reported</v>
      </c>
      <c r="T65" s="1" t="str">
        <f t="shared" si="1"/>
        <v>Clearly reported</v>
      </c>
      <c r="U65" s="1" t="str">
        <f t="shared" si="2"/>
        <v>Clearly reported</v>
      </c>
    </row>
    <row r="66" spans="1:21" ht="24" customHeight="1">
      <c r="A66" s="1" t="s">
        <v>4825</v>
      </c>
      <c r="B66" s="1" t="s">
        <v>4688</v>
      </c>
      <c r="C66" s="1" t="s">
        <v>5390</v>
      </c>
      <c r="D66" s="1" t="s">
        <v>5391</v>
      </c>
      <c r="E66" s="1">
        <v>2</v>
      </c>
      <c r="F66" s="1">
        <v>2</v>
      </c>
      <c r="G66" s="1">
        <v>2</v>
      </c>
      <c r="H66" s="1" t="s">
        <v>4631</v>
      </c>
      <c r="I66" s="1" t="s">
        <v>12193</v>
      </c>
      <c r="J66" s="1" t="s">
        <v>4862</v>
      </c>
      <c r="K66" s="1"/>
      <c r="L66" s="1"/>
      <c r="M66" s="1"/>
      <c r="N66" s="1"/>
      <c r="O66" s="1"/>
      <c r="P66" s="1" t="s">
        <v>12194</v>
      </c>
      <c r="Q66" s="1" t="s">
        <v>12195</v>
      </c>
      <c r="R66" s="1"/>
      <c r="S66" s="1" t="str">
        <f t="shared" ref="S66:S129" si="3">IF(ISNUMBER(E66),CHOOSE(E66+1,"Not reported","Partly reported","Clearly reported"),IF(E66="NA","Not applicable","Pending"))</f>
        <v>Clearly reported</v>
      </c>
      <c r="T66" s="1" t="str">
        <f t="shared" ref="T66:T129" si="4">IF(ISNUMBER(F66),CHOOSE(F66+1,"Not reported","Partly reported","Clearly reported"),IF(F66="NA","Not applicable","Pending"))</f>
        <v>Clearly reported</v>
      </c>
      <c r="U66" s="1" t="str">
        <f t="shared" ref="U66:U129" si="5">IF(ISNUMBER(G66),CHOOSE(G66+1,"Not reported","Partly reported","Clearly reported"),IF(G66="NA","Not applicable","Pending"))</f>
        <v>Clearly reported</v>
      </c>
    </row>
    <row r="67" spans="1:21" ht="15" customHeight="1">
      <c r="A67" s="1" t="s">
        <v>4825</v>
      </c>
      <c r="B67" s="1" t="s">
        <v>4688</v>
      </c>
      <c r="C67" s="1" t="s">
        <v>4734</v>
      </c>
      <c r="D67" s="1" t="s">
        <v>4735</v>
      </c>
      <c r="E67" s="1">
        <v>2</v>
      </c>
      <c r="F67" s="1">
        <v>2</v>
      </c>
      <c r="G67" s="1">
        <v>2</v>
      </c>
      <c r="H67" s="1" t="s">
        <v>4631</v>
      </c>
      <c r="I67" s="1" t="s">
        <v>7108</v>
      </c>
      <c r="J67" s="1" t="s">
        <v>12196</v>
      </c>
      <c r="K67" s="1"/>
      <c r="L67" s="1"/>
      <c r="M67" s="1"/>
      <c r="N67" s="1"/>
      <c r="O67" s="1"/>
      <c r="P67" s="1" t="s">
        <v>12197</v>
      </c>
      <c r="Q67" s="1" t="s">
        <v>12198</v>
      </c>
      <c r="R67" s="1"/>
      <c r="S67" s="1" t="str">
        <f t="shared" si="3"/>
        <v>Clearly reported</v>
      </c>
      <c r="T67" s="1" t="str">
        <f t="shared" si="4"/>
        <v>Clearly reported</v>
      </c>
      <c r="U67" s="1" t="str">
        <f t="shared" si="5"/>
        <v>Clearly reported</v>
      </c>
    </row>
    <row r="68" spans="1:21" ht="15" customHeight="1">
      <c r="A68" s="1" t="s">
        <v>4825</v>
      </c>
      <c r="B68" s="1" t="s">
        <v>4688</v>
      </c>
      <c r="C68" s="1" t="s">
        <v>4893</v>
      </c>
      <c r="D68" s="1" t="s">
        <v>4894</v>
      </c>
      <c r="E68" s="1">
        <v>2</v>
      </c>
      <c r="F68" s="1">
        <v>2</v>
      </c>
      <c r="G68" s="1">
        <v>2</v>
      </c>
      <c r="H68" s="1" t="s">
        <v>4631</v>
      </c>
      <c r="I68" s="1" t="s">
        <v>7114</v>
      </c>
      <c r="J68" s="1" t="s">
        <v>4935</v>
      </c>
      <c r="K68" s="1"/>
      <c r="L68" s="1"/>
      <c r="M68" s="1"/>
      <c r="N68" s="1"/>
      <c r="O68" s="1"/>
      <c r="P68" s="1" t="s">
        <v>12199</v>
      </c>
      <c r="Q68" s="1" t="s">
        <v>12200</v>
      </c>
      <c r="R68" s="1"/>
      <c r="S68" s="1" t="str">
        <f t="shared" si="3"/>
        <v>Clearly reported</v>
      </c>
      <c r="T68" s="1" t="str">
        <f t="shared" si="4"/>
        <v>Clearly reported</v>
      </c>
      <c r="U68" s="1" t="str">
        <f t="shared" si="5"/>
        <v>Clearly reported</v>
      </c>
    </row>
    <row r="69" spans="1:21" ht="24" customHeight="1">
      <c r="A69" s="1" t="s">
        <v>4825</v>
      </c>
      <c r="B69" s="1" t="s">
        <v>4688</v>
      </c>
      <c r="C69" s="1" t="s">
        <v>4744</v>
      </c>
      <c r="D69" s="1" t="s">
        <v>4745</v>
      </c>
      <c r="E69" s="1">
        <v>1</v>
      </c>
      <c r="F69" s="1">
        <v>1</v>
      </c>
      <c r="G69" s="1">
        <v>1</v>
      </c>
      <c r="H69" s="1" t="s">
        <v>4631</v>
      </c>
      <c r="I69" s="1" t="s">
        <v>12201</v>
      </c>
      <c r="J69" s="1" t="s">
        <v>5215</v>
      </c>
      <c r="K69" s="1"/>
      <c r="L69" s="1"/>
      <c r="M69" s="1"/>
      <c r="N69" s="1"/>
      <c r="O69" s="1"/>
      <c r="P69" s="1" t="s">
        <v>12202</v>
      </c>
      <c r="Q69" s="1" t="s">
        <v>12203</v>
      </c>
      <c r="R69" s="1"/>
      <c r="S69" s="1" t="str">
        <f t="shared" si="3"/>
        <v>Partly reported</v>
      </c>
      <c r="T69" s="1" t="str">
        <f t="shared" si="4"/>
        <v>Partly reported</v>
      </c>
      <c r="U69" s="1" t="str">
        <f t="shared" si="5"/>
        <v>Partly reported</v>
      </c>
    </row>
    <row r="70" spans="1:21" ht="15" customHeight="1">
      <c r="A70" s="1" t="s">
        <v>4825</v>
      </c>
      <c r="B70" s="1" t="s">
        <v>4688</v>
      </c>
      <c r="C70" s="1" t="s">
        <v>5117</v>
      </c>
      <c r="D70" s="1" t="s">
        <v>5118</v>
      </c>
      <c r="E70" s="1">
        <v>2</v>
      </c>
      <c r="F70" s="1">
        <v>2</v>
      </c>
      <c r="G70" s="1">
        <v>2</v>
      </c>
      <c r="H70" s="1" t="s">
        <v>4631</v>
      </c>
      <c r="I70" s="1" t="s">
        <v>12204</v>
      </c>
      <c r="J70" s="1" t="s">
        <v>4717</v>
      </c>
      <c r="K70" s="1"/>
      <c r="L70" s="1"/>
      <c r="M70" s="1"/>
      <c r="N70" s="1"/>
      <c r="O70" s="1"/>
      <c r="P70" s="1" t="s">
        <v>12205</v>
      </c>
      <c r="Q70" s="1" t="s">
        <v>12206</v>
      </c>
      <c r="R70" s="1"/>
      <c r="S70" s="1" t="str">
        <f t="shared" si="3"/>
        <v>Clearly reported</v>
      </c>
      <c r="T70" s="1" t="str">
        <f t="shared" si="4"/>
        <v>Clearly reported</v>
      </c>
      <c r="U70" s="1" t="str">
        <f t="shared" si="5"/>
        <v>Clearly reported</v>
      </c>
    </row>
    <row r="71" spans="1:21" ht="24" customHeight="1">
      <c r="A71" s="1" t="s">
        <v>4825</v>
      </c>
      <c r="B71" s="1" t="s">
        <v>4688</v>
      </c>
      <c r="C71" s="1" t="s">
        <v>4810</v>
      </c>
      <c r="D71" s="1" t="s">
        <v>4811</v>
      </c>
      <c r="E71" s="1">
        <v>1</v>
      </c>
      <c r="F71" s="1">
        <v>1</v>
      </c>
      <c r="G71" s="1">
        <v>1</v>
      </c>
      <c r="H71" s="1" t="s">
        <v>4631</v>
      </c>
      <c r="I71" s="1" t="s">
        <v>12207</v>
      </c>
      <c r="J71" s="1" t="s">
        <v>4959</v>
      </c>
      <c r="K71" s="1"/>
      <c r="L71" s="1"/>
      <c r="M71" s="1"/>
      <c r="N71" s="1"/>
      <c r="O71" s="1"/>
      <c r="P71" s="1" t="s">
        <v>12208</v>
      </c>
      <c r="Q71" s="1" t="s">
        <v>12209</v>
      </c>
      <c r="R71" s="1"/>
      <c r="S71" s="1" t="str">
        <f t="shared" si="3"/>
        <v>Partly reported</v>
      </c>
      <c r="T71" s="1" t="str">
        <f t="shared" si="4"/>
        <v>Partly reported</v>
      </c>
      <c r="U71" s="1" t="str">
        <f t="shared" si="5"/>
        <v>Partly reported</v>
      </c>
    </row>
    <row r="72" spans="1:21" ht="36" customHeight="1">
      <c r="A72" s="1" t="s">
        <v>4825</v>
      </c>
      <c r="B72" s="1" t="s">
        <v>4688</v>
      </c>
      <c r="C72" s="1" t="s">
        <v>4714</v>
      </c>
      <c r="D72" s="1" t="s">
        <v>4715</v>
      </c>
      <c r="E72" s="1">
        <v>2</v>
      </c>
      <c r="F72" s="1">
        <v>1</v>
      </c>
      <c r="G72" s="1">
        <v>1</v>
      </c>
      <c r="H72" s="1" t="s">
        <v>4646</v>
      </c>
      <c r="I72" s="1" t="s">
        <v>4826</v>
      </c>
      <c r="J72" s="1" t="s">
        <v>4827</v>
      </c>
      <c r="K72" s="1"/>
      <c r="L72" s="1" t="s">
        <v>4828</v>
      </c>
      <c r="M72" s="1" t="s">
        <v>4829</v>
      </c>
      <c r="N72" s="1" t="s">
        <v>4720</v>
      </c>
      <c r="O72" s="1" t="s">
        <v>4721</v>
      </c>
      <c r="P72" s="1" t="s">
        <v>4830</v>
      </c>
      <c r="Q72" s="1" t="s">
        <v>4831</v>
      </c>
      <c r="R72" s="1" t="s">
        <v>4832</v>
      </c>
      <c r="S72" s="1" t="str">
        <f t="shared" si="3"/>
        <v>Clearly reported</v>
      </c>
      <c r="T72" s="1" t="str">
        <f t="shared" si="4"/>
        <v>Partly reported</v>
      </c>
      <c r="U72" s="1" t="str">
        <f t="shared" si="5"/>
        <v>Partly reported</v>
      </c>
    </row>
    <row r="73" spans="1:21" ht="15" customHeight="1">
      <c r="A73" s="1" t="s">
        <v>4825</v>
      </c>
      <c r="B73" s="1" t="s">
        <v>4688</v>
      </c>
      <c r="C73" s="1" t="s">
        <v>4689</v>
      </c>
      <c r="D73" s="1" t="s">
        <v>4690</v>
      </c>
      <c r="E73" s="1">
        <v>0</v>
      </c>
      <c r="F73" s="1">
        <v>0</v>
      </c>
      <c r="G73" s="1">
        <v>0</v>
      </c>
      <c r="H73" s="1" t="s">
        <v>4631</v>
      </c>
      <c r="I73" s="1" t="s">
        <v>6823</v>
      </c>
      <c r="J73" s="1" t="s">
        <v>12094</v>
      </c>
      <c r="K73" s="1"/>
      <c r="L73" s="1"/>
      <c r="M73" s="1"/>
      <c r="N73" s="1"/>
      <c r="O73" s="1"/>
      <c r="P73" s="1" t="s">
        <v>12210</v>
      </c>
      <c r="Q73" s="1" t="s">
        <v>12211</v>
      </c>
      <c r="R73" s="1"/>
      <c r="S73" s="1" t="str">
        <f t="shared" si="3"/>
        <v>Not reported</v>
      </c>
      <c r="T73" s="1" t="str">
        <f t="shared" si="4"/>
        <v>Not reported</v>
      </c>
      <c r="U73" s="1" t="str">
        <f t="shared" si="5"/>
        <v>Not reported</v>
      </c>
    </row>
    <row r="74" spans="1:21" ht="24" customHeight="1">
      <c r="A74" s="1" t="s">
        <v>4833</v>
      </c>
      <c r="B74" s="1" t="s">
        <v>4688</v>
      </c>
      <c r="C74" s="1" t="s">
        <v>5475</v>
      </c>
      <c r="D74" s="1" t="s">
        <v>5476</v>
      </c>
      <c r="E74" s="1">
        <v>2</v>
      </c>
      <c r="F74" s="1">
        <v>2</v>
      </c>
      <c r="G74" s="1">
        <v>2</v>
      </c>
      <c r="H74" s="1" t="s">
        <v>4631</v>
      </c>
      <c r="I74" s="1" t="s">
        <v>12212</v>
      </c>
      <c r="J74" s="1" t="s">
        <v>4862</v>
      </c>
      <c r="K74" s="1"/>
      <c r="L74" s="1"/>
      <c r="M74" s="1"/>
      <c r="N74" s="1"/>
      <c r="O74" s="1"/>
      <c r="P74" s="1" t="s">
        <v>12213</v>
      </c>
      <c r="Q74" s="1" t="s">
        <v>12214</v>
      </c>
      <c r="R74" s="1"/>
      <c r="S74" s="1" t="str">
        <f t="shared" si="3"/>
        <v>Clearly reported</v>
      </c>
      <c r="T74" s="1" t="str">
        <f t="shared" si="4"/>
        <v>Clearly reported</v>
      </c>
      <c r="U74" s="1" t="str">
        <f t="shared" si="5"/>
        <v>Clearly reported</v>
      </c>
    </row>
    <row r="75" spans="1:21" ht="24" customHeight="1">
      <c r="A75" s="1" t="s">
        <v>4833</v>
      </c>
      <c r="B75" s="1" t="s">
        <v>4688</v>
      </c>
      <c r="C75" s="1" t="s">
        <v>5390</v>
      </c>
      <c r="D75" s="1" t="s">
        <v>5391</v>
      </c>
      <c r="E75" s="1">
        <v>2</v>
      </c>
      <c r="F75" s="1">
        <v>2</v>
      </c>
      <c r="G75" s="1">
        <v>2</v>
      </c>
      <c r="H75" s="1" t="s">
        <v>4631</v>
      </c>
      <c r="I75" s="1" t="s">
        <v>12215</v>
      </c>
      <c r="J75" s="1" t="s">
        <v>4862</v>
      </c>
      <c r="K75" s="1"/>
      <c r="L75" s="1"/>
      <c r="M75" s="1"/>
      <c r="N75" s="1"/>
      <c r="O75" s="1"/>
      <c r="P75" s="1" t="s">
        <v>12216</v>
      </c>
      <c r="Q75" s="1" t="s">
        <v>12217</v>
      </c>
      <c r="R75" s="1"/>
      <c r="S75" s="1" t="str">
        <f t="shared" si="3"/>
        <v>Clearly reported</v>
      </c>
      <c r="T75" s="1" t="str">
        <f t="shared" si="4"/>
        <v>Clearly reported</v>
      </c>
      <c r="U75" s="1" t="str">
        <f t="shared" si="5"/>
        <v>Clearly reported</v>
      </c>
    </row>
    <row r="76" spans="1:21" ht="15" customHeight="1">
      <c r="A76" s="1" t="s">
        <v>4833</v>
      </c>
      <c r="B76" s="1" t="s">
        <v>4688</v>
      </c>
      <c r="C76" s="1" t="s">
        <v>4734</v>
      </c>
      <c r="D76" s="1" t="s">
        <v>4735</v>
      </c>
      <c r="E76" s="1">
        <v>2</v>
      </c>
      <c r="F76" s="1">
        <v>2</v>
      </c>
      <c r="G76" s="1">
        <v>2</v>
      </c>
      <c r="H76" s="1" t="s">
        <v>4631</v>
      </c>
      <c r="I76" s="1" t="s">
        <v>7244</v>
      </c>
      <c r="J76" s="1" t="s">
        <v>4904</v>
      </c>
      <c r="K76" s="1"/>
      <c r="L76" s="1"/>
      <c r="M76" s="1"/>
      <c r="N76" s="1"/>
      <c r="O76" s="1"/>
      <c r="P76" s="1" t="s">
        <v>12218</v>
      </c>
      <c r="Q76" s="1" t="s">
        <v>12219</v>
      </c>
      <c r="R76" s="1"/>
      <c r="S76" s="1" t="str">
        <f t="shared" si="3"/>
        <v>Clearly reported</v>
      </c>
      <c r="T76" s="1" t="str">
        <f t="shared" si="4"/>
        <v>Clearly reported</v>
      </c>
      <c r="U76" s="1" t="str">
        <f t="shared" si="5"/>
        <v>Clearly reported</v>
      </c>
    </row>
    <row r="77" spans="1:21" ht="15" customHeight="1">
      <c r="A77" s="1" t="s">
        <v>4833</v>
      </c>
      <c r="B77" s="1" t="s">
        <v>4688</v>
      </c>
      <c r="C77" s="1" t="s">
        <v>4893</v>
      </c>
      <c r="D77" s="1" t="s">
        <v>4894</v>
      </c>
      <c r="E77" s="1">
        <v>2</v>
      </c>
      <c r="F77" s="1">
        <v>2</v>
      </c>
      <c r="G77" s="1">
        <v>2</v>
      </c>
      <c r="H77" s="1" t="s">
        <v>4631</v>
      </c>
      <c r="I77" s="1" t="s">
        <v>7251</v>
      </c>
      <c r="J77" s="1" t="s">
        <v>5215</v>
      </c>
      <c r="K77" s="1"/>
      <c r="L77" s="1"/>
      <c r="M77" s="1"/>
      <c r="N77" s="1"/>
      <c r="O77" s="1"/>
      <c r="P77" s="1" t="s">
        <v>12220</v>
      </c>
      <c r="Q77" s="1" t="s">
        <v>12221</v>
      </c>
      <c r="R77" s="1"/>
      <c r="S77" s="1" t="str">
        <f t="shared" si="3"/>
        <v>Clearly reported</v>
      </c>
      <c r="T77" s="1" t="str">
        <f t="shared" si="4"/>
        <v>Clearly reported</v>
      </c>
      <c r="U77" s="1" t="str">
        <f t="shared" si="5"/>
        <v>Clearly reported</v>
      </c>
    </row>
    <row r="78" spans="1:21" ht="72" customHeight="1">
      <c r="A78" s="1" t="s">
        <v>4833</v>
      </c>
      <c r="B78" s="1" t="s">
        <v>4688</v>
      </c>
      <c r="C78" s="1" t="s">
        <v>4744</v>
      </c>
      <c r="D78" s="1" t="s">
        <v>4745</v>
      </c>
      <c r="E78" s="1">
        <v>2</v>
      </c>
      <c r="F78" s="1">
        <v>1</v>
      </c>
      <c r="G78" s="1">
        <v>2</v>
      </c>
      <c r="H78" s="1" t="s">
        <v>4691</v>
      </c>
      <c r="I78" s="1" t="s">
        <v>4853</v>
      </c>
      <c r="J78" s="1" t="s">
        <v>4854</v>
      </c>
      <c r="K78" s="1"/>
      <c r="L78" s="1" t="s">
        <v>4855</v>
      </c>
      <c r="M78" s="1" t="s">
        <v>4856</v>
      </c>
      <c r="N78" s="1" t="s">
        <v>4857</v>
      </c>
      <c r="O78" s="1" t="s">
        <v>4697</v>
      </c>
      <c r="P78" s="1" t="s">
        <v>4858</v>
      </c>
      <c r="Q78" s="1" t="s">
        <v>4859</v>
      </c>
      <c r="R78" s="1" t="s">
        <v>4860</v>
      </c>
      <c r="S78" s="1" t="str">
        <f t="shared" si="3"/>
        <v>Clearly reported</v>
      </c>
      <c r="T78" s="1" t="str">
        <f t="shared" si="4"/>
        <v>Partly reported</v>
      </c>
      <c r="U78" s="1" t="str">
        <f t="shared" si="5"/>
        <v>Clearly reported</v>
      </c>
    </row>
    <row r="79" spans="1:21" ht="15" customHeight="1">
      <c r="A79" s="1" t="s">
        <v>4833</v>
      </c>
      <c r="B79" s="1" t="s">
        <v>4688</v>
      </c>
      <c r="C79" s="1" t="s">
        <v>5117</v>
      </c>
      <c r="D79" s="1" t="s">
        <v>5118</v>
      </c>
      <c r="E79" s="1">
        <v>2</v>
      </c>
      <c r="F79" s="1">
        <v>2</v>
      </c>
      <c r="G79" s="1">
        <v>2</v>
      </c>
      <c r="H79" s="1" t="s">
        <v>4631</v>
      </c>
      <c r="I79" s="1" t="s">
        <v>12222</v>
      </c>
      <c r="J79" s="1" t="s">
        <v>4862</v>
      </c>
      <c r="K79" s="1"/>
      <c r="L79" s="1"/>
      <c r="M79" s="1"/>
      <c r="N79" s="1"/>
      <c r="O79" s="1"/>
      <c r="P79" s="1" t="s">
        <v>12223</v>
      </c>
      <c r="Q79" s="1" t="s">
        <v>12224</v>
      </c>
      <c r="R79" s="1"/>
      <c r="S79" s="1" t="str">
        <f t="shared" si="3"/>
        <v>Clearly reported</v>
      </c>
      <c r="T79" s="1" t="str">
        <f t="shared" si="4"/>
        <v>Clearly reported</v>
      </c>
      <c r="U79" s="1" t="str">
        <f t="shared" si="5"/>
        <v>Clearly reported</v>
      </c>
    </row>
    <row r="80" spans="1:21" ht="24" customHeight="1">
      <c r="A80" s="1" t="s">
        <v>4833</v>
      </c>
      <c r="B80" s="1" t="s">
        <v>4688</v>
      </c>
      <c r="C80" s="1" t="s">
        <v>4810</v>
      </c>
      <c r="D80" s="1" t="s">
        <v>4811</v>
      </c>
      <c r="E80" s="1">
        <v>2</v>
      </c>
      <c r="F80" s="1">
        <v>2</v>
      </c>
      <c r="G80" s="1">
        <v>2</v>
      </c>
      <c r="H80" s="1" t="s">
        <v>4631</v>
      </c>
      <c r="I80" s="1" t="s">
        <v>12225</v>
      </c>
      <c r="J80" s="1" t="s">
        <v>4886</v>
      </c>
      <c r="K80" s="1"/>
      <c r="L80" s="1"/>
      <c r="M80" s="1"/>
      <c r="N80" s="1"/>
      <c r="O80" s="1"/>
      <c r="P80" s="1" t="s">
        <v>12226</v>
      </c>
      <c r="Q80" s="1" t="s">
        <v>12227</v>
      </c>
      <c r="R80" s="1"/>
      <c r="S80" s="1" t="str">
        <f t="shared" si="3"/>
        <v>Clearly reported</v>
      </c>
      <c r="T80" s="1" t="str">
        <f t="shared" si="4"/>
        <v>Clearly reported</v>
      </c>
      <c r="U80" s="1" t="str">
        <f t="shared" si="5"/>
        <v>Clearly reported</v>
      </c>
    </row>
    <row r="81" spans="1:21" ht="48" customHeight="1">
      <c r="A81" s="1" t="s">
        <v>4833</v>
      </c>
      <c r="B81" s="1" t="s">
        <v>4688</v>
      </c>
      <c r="C81" s="1" t="s">
        <v>4714</v>
      </c>
      <c r="D81" s="1" t="s">
        <v>4715</v>
      </c>
      <c r="E81" s="1">
        <v>2</v>
      </c>
      <c r="F81" s="1">
        <v>1</v>
      </c>
      <c r="G81" s="1">
        <v>1</v>
      </c>
      <c r="H81" s="1" t="s">
        <v>4646</v>
      </c>
      <c r="I81" s="1" t="s">
        <v>4861</v>
      </c>
      <c r="J81" s="1" t="s">
        <v>4862</v>
      </c>
      <c r="K81" s="1"/>
      <c r="L81" s="1" t="s">
        <v>4863</v>
      </c>
      <c r="M81" s="1" t="s">
        <v>4864</v>
      </c>
      <c r="N81" s="1" t="s">
        <v>4720</v>
      </c>
      <c r="O81" s="1" t="s">
        <v>4721</v>
      </c>
      <c r="P81" s="1" t="s">
        <v>4865</v>
      </c>
      <c r="Q81" s="1" t="s">
        <v>4866</v>
      </c>
      <c r="R81" s="1" t="s">
        <v>4867</v>
      </c>
      <c r="S81" s="1" t="str">
        <f t="shared" si="3"/>
        <v>Clearly reported</v>
      </c>
      <c r="T81" s="1" t="str">
        <f t="shared" si="4"/>
        <v>Partly reported</v>
      </c>
      <c r="U81" s="1" t="str">
        <f t="shared" si="5"/>
        <v>Partly reported</v>
      </c>
    </row>
    <row r="82" spans="1:21" ht="15" customHeight="1">
      <c r="A82" s="1" t="s">
        <v>4833</v>
      </c>
      <c r="B82" s="1" t="s">
        <v>4688</v>
      </c>
      <c r="C82" s="1" t="s">
        <v>4689</v>
      </c>
      <c r="D82" s="1" t="s">
        <v>4690</v>
      </c>
      <c r="E82" s="1">
        <v>0</v>
      </c>
      <c r="F82" s="1">
        <v>0</v>
      </c>
      <c r="G82" s="1">
        <v>0</v>
      </c>
      <c r="H82" s="1" t="s">
        <v>4631</v>
      </c>
      <c r="I82" s="1" t="s">
        <v>6823</v>
      </c>
      <c r="J82" s="1" t="s">
        <v>4911</v>
      </c>
      <c r="K82" s="1"/>
      <c r="L82" s="1"/>
      <c r="M82" s="1"/>
      <c r="N82" s="1"/>
      <c r="O82" s="1"/>
      <c r="P82" s="1" t="s">
        <v>12228</v>
      </c>
      <c r="Q82" s="1" t="s">
        <v>12229</v>
      </c>
      <c r="R82" s="1"/>
      <c r="S82" s="1" t="str">
        <f t="shared" si="3"/>
        <v>Not reported</v>
      </c>
      <c r="T82" s="1" t="str">
        <f t="shared" si="4"/>
        <v>Not reported</v>
      </c>
      <c r="U82" s="1" t="str">
        <f t="shared" si="5"/>
        <v>Not reported</v>
      </c>
    </row>
    <row r="83" spans="1:21" ht="24" customHeight="1">
      <c r="A83" s="1" t="s">
        <v>4868</v>
      </c>
      <c r="B83" s="1" t="s">
        <v>4688</v>
      </c>
      <c r="C83" s="1" t="s">
        <v>5475</v>
      </c>
      <c r="D83" s="1" t="s">
        <v>5476</v>
      </c>
      <c r="E83" s="1">
        <v>2</v>
      </c>
      <c r="F83" s="1">
        <v>2</v>
      </c>
      <c r="G83" s="1">
        <v>2</v>
      </c>
      <c r="H83" s="1" t="s">
        <v>4631</v>
      </c>
      <c r="I83" s="1" t="s">
        <v>12230</v>
      </c>
      <c r="J83" s="1" t="s">
        <v>4862</v>
      </c>
      <c r="K83" s="1"/>
      <c r="L83" s="1"/>
      <c r="M83" s="1"/>
      <c r="N83" s="1"/>
      <c r="O83" s="1"/>
      <c r="P83" s="1" t="s">
        <v>12231</v>
      </c>
      <c r="Q83" s="1" t="s">
        <v>12232</v>
      </c>
      <c r="R83" s="1"/>
      <c r="S83" s="1" t="str">
        <f t="shared" si="3"/>
        <v>Clearly reported</v>
      </c>
      <c r="T83" s="1" t="str">
        <f t="shared" si="4"/>
        <v>Clearly reported</v>
      </c>
      <c r="U83" s="1" t="str">
        <f t="shared" si="5"/>
        <v>Clearly reported</v>
      </c>
    </row>
    <row r="84" spans="1:21" ht="24" customHeight="1">
      <c r="A84" s="1" t="s">
        <v>4868</v>
      </c>
      <c r="B84" s="1" t="s">
        <v>4688</v>
      </c>
      <c r="C84" s="1" t="s">
        <v>5390</v>
      </c>
      <c r="D84" s="1" t="s">
        <v>5391</v>
      </c>
      <c r="E84" s="1">
        <v>2</v>
      </c>
      <c r="F84" s="1">
        <v>2</v>
      </c>
      <c r="G84" s="1">
        <v>2</v>
      </c>
      <c r="H84" s="1" t="s">
        <v>4631</v>
      </c>
      <c r="I84" s="1" t="s">
        <v>12233</v>
      </c>
      <c r="J84" s="1" t="s">
        <v>4862</v>
      </c>
      <c r="K84" s="1"/>
      <c r="L84" s="1"/>
      <c r="M84" s="1"/>
      <c r="N84" s="1"/>
      <c r="O84" s="1"/>
      <c r="P84" s="1" t="s">
        <v>12234</v>
      </c>
      <c r="Q84" s="1" t="s">
        <v>12235</v>
      </c>
      <c r="R84" s="1"/>
      <c r="S84" s="1" t="str">
        <f t="shared" si="3"/>
        <v>Clearly reported</v>
      </c>
      <c r="T84" s="1" t="str">
        <f t="shared" si="4"/>
        <v>Clearly reported</v>
      </c>
      <c r="U84" s="1" t="str">
        <f t="shared" si="5"/>
        <v>Clearly reported</v>
      </c>
    </row>
    <row r="85" spans="1:21" ht="60" customHeight="1">
      <c r="A85" s="1" t="s">
        <v>4868</v>
      </c>
      <c r="B85" s="1" t="s">
        <v>4688</v>
      </c>
      <c r="C85" s="1" t="s">
        <v>4734</v>
      </c>
      <c r="D85" s="1" t="s">
        <v>4735</v>
      </c>
      <c r="E85" s="1">
        <v>0</v>
      </c>
      <c r="F85" s="1">
        <v>2</v>
      </c>
      <c r="G85" s="1">
        <v>2</v>
      </c>
      <c r="H85" s="1" t="s">
        <v>4691</v>
      </c>
      <c r="I85" s="1" t="s">
        <v>4747</v>
      </c>
      <c r="J85" s="1" t="s">
        <v>4886</v>
      </c>
      <c r="K85" s="1"/>
      <c r="L85" s="1" t="s">
        <v>4887</v>
      </c>
      <c r="M85" s="1" t="s">
        <v>4888</v>
      </c>
      <c r="N85" s="1" t="s">
        <v>4889</v>
      </c>
      <c r="O85" s="1" t="s">
        <v>4697</v>
      </c>
      <c r="P85" s="1" t="s">
        <v>4890</v>
      </c>
      <c r="Q85" s="1" t="s">
        <v>4891</v>
      </c>
      <c r="R85" s="1" t="s">
        <v>4892</v>
      </c>
      <c r="S85" s="1" t="str">
        <f t="shared" si="3"/>
        <v>Not reported</v>
      </c>
      <c r="T85" s="1" t="str">
        <f t="shared" si="4"/>
        <v>Clearly reported</v>
      </c>
      <c r="U85" s="1" t="str">
        <f t="shared" si="5"/>
        <v>Clearly reported</v>
      </c>
    </row>
    <row r="86" spans="1:21" ht="84" customHeight="1">
      <c r="A86" s="1" t="s">
        <v>4868</v>
      </c>
      <c r="B86" s="1" t="s">
        <v>4688</v>
      </c>
      <c r="C86" s="1" t="s">
        <v>4893</v>
      </c>
      <c r="D86" s="1" t="s">
        <v>4894</v>
      </c>
      <c r="E86" s="1">
        <v>2</v>
      </c>
      <c r="F86" s="1">
        <v>1</v>
      </c>
      <c r="G86" s="1">
        <v>0</v>
      </c>
      <c r="H86" s="1" t="s">
        <v>4691</v>
      </c>
      <c r="I86" s="1" t="s">
        <v>4895</v>
      </c>
      <c r="J86" s="1" t="s">
        <v>4896</v>
      </c>
      <c r="K86" s="1"/>
      <c r="L86" s="1" t="s">
        <v>4897</v>
      </c>
      <c r="M86" s="1" t="s">
        <v>4898</v>
      </c>
      <c r="N86" s="1" t="s">
        <v>4899</v>
      </c>
      <c r="O86" s="1" t="s">
        <v>4697</v>
      </c>
      <c r="P86" s="1" t="s">
        <v>4900</v>
      </c>
      <c r="Q86" s="1" t="s">
        <v>4901</v>
      </c>
      <c r="R86" s="1" t="s">
        <v>4902</v>
      </c>
      <c r="S86" s="1" t="str">
        <f t="shared" si="3"/>
        <v>Clearly reported</v>
      </c>
      <c r="T86" s="1" t="str">
        <f t="shared" si="4"/>
        <v>Partly reported</v>
      </c>
      <c r="U86" s="1" t="str">
        <f t="shared" si="5"/>
        <v>Not reported</v>
      </c>
    </row>
    <row r="87" spans="1:21" ht="24" customHeight="1">
      <c r="A87" s="1" t="s">
        <v>4868</v>
      </c>
      <c r="B87" s="1" t="s">
        <v>4688</v>
      </c>
      <c r="C87" s="1" t="s">
        <v>4744</v>
      </c>
      <c r="D87" s="1" t="s">
        <v>4745</v>
      </c>
      <c r="E87" s="1">
        <v>2</v>
      </c>
      <c r="F87" s="1">
        <v>2</v>
      </c>
      <c r="G87" s="1">
        <v>2</v>
      </c>
      <c r="H87" s="1" t="s">
        <v>4631</v>
      </c>
      <c r="I87" s="1" t="s">
        <v>12236</v>
      </c>
      <c r="J87" s="1" t="s">
        <v>4862</v>
      </c>
      <c r="K87" s="1"/>
      <c r="L87" s="1"/>
      <c r="M87" s="1"/>
      <c r="N87" s="1"/>
      <c r="O87" s="1"/>
      <c r="P87" s="1" t="s">
        <v>12237</v>
      </c>
      <c r="Q87" s="1" t="s">
        <v>12238</v>
      </c>
      <c r="R87" s="1"/>
      <c r="S87" s="1" t="str">
        <f t="shared" si="3"/>
        <v>Clearly reported</v>
      </c>
      <c r="T87" s="1" t="str">
        <f t="shared" si="4"/>
        <v>Clearly reported</v>
      </c>
      <c r="U87" s="1" t="str">
        <f t="shared" si="5"/>
        <v>Clearly reported</v>
      </c>
    </row>
    <row r="88" spans="1:21" ht="15" customHeight="1">
      <c r="A88" s="1" t="s">
        <v>4868</v>
      </c>
      <c r="B88" s="1" t="s">
        <v>4688</v>
      </c>
      <c r="C88" s="1" t="s">
        <v>5117</v>
      </c>
      <c r="D88" s="1" t="s">
        <v>5118</v>
      </c>
      <c r="E88" s="1">
        <v>2</v>
      </c>
      <c r="F88" s="1">
        <v>2</v>
      </c>
      <c r="G88" s="1">
        <v>2</v>
      </c>
      <c r="H88" s="1" t="s">
        <v>4631</v>
      </c>
      <c r="I88" s="1" t="s">
        <v>12239</v>
      </c>
      <c r="J88" s="1" t="s">
        <v>4862</v>
      </c>
      <c r="K88" s="1"/>
      <c r="L88" s="1"/>
      <c r="M88" s="1"/>
      <c r="N88" s="1"/>
      <c r="O88" s="1"/>
      <c r="P88" s="1" t="s">
        <v>12240</v>
      </c>
      <c r="Q88" s="1" t="s">
        <v>12241</v>
      </c>
      <c r="R88" s="1"/>
      <c r="S88" s="1" t="str">
        <f t="shared" si="3"/>
        <v>Clearly reported</v>
      </c>
      <c r="T88" s="1" t="str">
        <f t="shared" si="4"/>
        <v>Clearly reported</v>
      </c>
      <c r="U88" s="1" t="str">
        <f t="shared" si="5"/>
        <v>Clearly reported</v>
      </c>
    </row>
    <row r="89" spans="1:21" ht="15" customHeight="1">
      <c r="A89" s="1" t="s">
        <v>4868</v>
      </c>
      <c r="B89" s="1" t="s">
        <v>4688</v>
      </c>
      <c r="C89" s="1" t="s">
        <v>4810</v>
      </c>
      <c r="D89" s="1" t="s">
        <v>4811</v>
      </c>
      <c r="E89" s="1">
        <v>2</v>
      </c>
      <c r="F89" s="1">
        <v>2</v>
      </c>
      <c r="G89" s="1">
        <v>2</v>
      </c>
      <c r="H89" s="1" t="s">
        <v>4631</v>
      </c>
      <c r="I89" s="1" t="s">
        <v>12242</v>
      </c>
      <c r="J89" s="1" t="s">
        <v>4904</v>
      </c>
      <c r="K89" s="1"/>
      <c r="L89" s="1"/>
      <c r="M89" s="1"/>
      <c r="N89" s="1"/>
      <c r="O89" s="1"/>
      <c r="P89" s="1" t="s">
        <v>12243</v>
      </c>
      <c r="Q89" s="1" t="s">
        <v>12244</v>
      </c>
      <c r="R89" s="1"/>
      <c r="S89" s="1" t="str">
        <f t="shared" si="3"/>
        <v>Clearly reported</v>
      </c>
      <c r="T89" s="1" t="str">
        <f t="shared" si="4"/>
        <v>Clearly reported</v>
      </c>
      <c r="U89" s="1" t="str">
        <f t="shared" si="5"/>
        <v>Clearly reported</v>
      </c>
    </row>
    <row r="90" spans="1:21" ht="36" customHeight="1">
      <c r="A90" s="1" t="s">
        <v>4868</v>
      </c>
      <c r="B90" s="1" t="s">
        <v>4688</v>
      </c>
      <c r="C90" s="1" t="s">
        <v>4714</v>
      </c>
      <c r="D90" s="1" t="s">
        <v>4715</v>
      </c>
      <c r="E90" s="1">
        <v>2</v>
      </c>
      <c r="F90" s="1">
        <v>1</v>
      </c>
      <c r="G90" s="1">
        <v>1</v>
      </c>
      <c r="H90" s="1" t="s">
        <v>4646</v>
      </c>
      <c r="I90" s="1" t="s">
        <v>4903</v>
      </c>
      <c r="J90" s="1" t="s">
        <v>4904</v>
      </c>
      <c r="K90" s="1"/>
      <c r="L90" s="1" t="s">
        <v>4905</v>
      </c>
      <c r="M90" s="1" t="s">
        <v>4906</v>
      </c>
      <c r="N90" s="1" t="s">
        <v>4720</v>
      </c>
      <c r="O90" s="1" t="s">
        <v>4721</v>
      </c>
      <c r="P90" s="1" t="s">
        <v>4907</v>
      </c>
      <c r="Q90" s="1" t="s">
        <v>4908</v>
      </c>
      <c r="R90" s="1" t="s">
        <v>4909</v>
      </c>
      <c r="S90" s="1" t="str">
        <f t="shared" si="3"/>
        <v>Clearly reported</v>
      </c>
      <c r="T90" s="1" t="str">
        <f t="shared" si="4"/>
        <v>Partly reported</v>
      </c>
      <c r="U90" s="1" t="str">
        <f t="shared" si="5"/>
        <v>Partly reported</v>
      </c>
    </row>
    <row r="91" spans="1:21" ht="84" customHeight="1">
      <c r="A91" s="1" t="s">
        <v>4868</v>
      </c>
      <c r="B91" s="1" t="s">
        <v>4688</v>
      </c>
      <c r="C91" s="1" t="s">
        <v>4689</v>
      </c>
      <c r="D91" s="1" t="s">
        <v>4690</v>
      </c>
      <c r="E91" s="1">
        <v>2</v>
      </c>
      <c r="F91" s="1">
        <v>0</v>
      </c>
      <c r="G91" s="1">
        <v>0</v>
      </c>
      <c r="H91" s="1" t="s">
        <v>4691</v>
      </c>
      <c r="I91" s="1" t="s">
        <v>4910</v>
      </c>
      <c r="J91" s="1" t="s">
        <v>4911</v>
      </c>
      <c r="K91" s="1"/>
      <c r="L91" s="1" t="s">
        <v>4912</v>
      </c>
      <c r="M91" s="1" t="s">
        <v>4913</v>
      </c>
      <c r="N91" s="1" t="s">
        <v>4914</v>
      </c>
      <c r="O91" s="1" t="s">
        <v>4697</v>
      </c>
      <c r="P91" s="1" t="s">
        <v>4915</v>
      </c>
      <c r="Q91" s="1" t="s">
        <v>4916</v>
      </c>
      <c r="R91" s="1" t="s">
        <v>4917</v>
      </c>
      <c r="S91" s="1" t="str">
        <f t="shared" si="3"/>
        <v>Clearly reported</v>
      </c>
      <c r="T91" s="1" t="str">
        <f t="shared" si="4"/>
        <v>Not reported</v>
      </c>
      <c r="U91" s="1" t="str">
        <f t="shared" si="5"/>
        <v>Not reported</v>
      </c>
    </row>
    <row r="92" spans="1:21" ht="36" customHeight="1">
      <c r="A92" s="1" t="s">
        <v>4918</v>
      </c>
      <c r="B92" s="1" t="s">
        <v>4688</v>
      </c>
      <c r="C92" s="1" t="s">
        <v>5475</v>
      </c>
      <c r="D92" s="1" t="s">
        <v>5476</v>
      </c>
      <c r="E92" s="1">
        <v>2</v>
      </c>
      <c r="F92" s="1">
        <v>2</v>
      </c>
      <c r="G92" s="1">
        <v>2</v>
      </c>
      <c r="H92" s="1" t="s">
        <v>4631</v>
      </c>
      <c r="I92" s="1" t="s">
        <v>12245</v>
      </c>
      <c r="J92" s="1" t="s">
        <v>4862</v>
      </c>
      <c r="K92" s="1"/>
      <c r="L92" s="1"/>
      <c r="M92" s="1"/>
      <c r="N92" s="1"/>
      <c r="O92" s="1"/>
      <c r="P92" s="1" t="s">
        <v>12246</v>
      </c>
      <c r="Q92" s="1" t="s">
        <v>12247</v>
      </c>
      <c r="R92" s="1"/>
      <c r="S92" s="1" t="str">
        <f t="shared" si="3"/>
        <v>Clearly reported</v>
      </c>
      <c r="T92" s="1" t="str">
        <f t="shared" si="4"/>
        <v>Clearly reported</v>
      </c>
      <c r="U92" s="1" t="str">
        <f t="shared" si="5"/>
        <v>Clearly reported</v>
      </c>
    </row>
    <row r="93" spans="1:21" ht="15" customHeight="1">
      <c r="A93" s="1" t="s">
        <v>4918</v>
      </c>
      <c r="B93" s="1" t="s">
        <v>4688</v>
      </c>
      <c r="C93" s="1" t="s">
        <v>5390</v>
      </c>
      <c r="D93" s="1" t="s">
        <v>5391</v>
      </c>
      <c r="E93" s="1">
        <v>2</v>
      </c>
      <c r="F93" s="1">
        <v>2</v>
      </c>
      <c r="G93" s="1">
        <v>2</v>
      </c>
      <c r="H93" s="1" t="s">
        <v>4631</v>
      </c>
      <c r="I93" s="1" t="s">
        <v>12248</v>
      </c>
      <c r="J93" s="1" t="s">
        <v>4862</v>
      </c>
      <c r="K93" s="1"/>
      <c r="L93" s="1"/>
      <c r="M93" s="1"/>
      <c r="N93" s="1"/>
      <c r="O93" s="1"/>
      <c r="P93" s="1" t="s">
        <v>12249</v>
      </c>
      <c r="Q93" s="1" t="s">
        <v>12250</v>
      </c>
      <c r="R93" s="1"/>
      <c r="S93" s="1" t="str">
        <f t="shared" si="3"/>
        <v>Clearly reported</v>
      </c>
      <c r="T93" s="1" t="str">
        <f t="shared" si="4"/>
        <v>Clearly reported</v>
      </c>
      <c r="U93" s="1" t="str">
        <f t="shared" si="5"/>
        <v>Clearly reported</v>
      </c>
    </row>
    <row r="94" spans="1:21" ht="24" customHeight="1">
      <c r="A94" s="1" t="s">
        <v>4918</v>
      </c>
      <c r="B94" s="1" t="s">
        <v>4688</v>
      </c>
      <c r="C94" s="1" t="s">
        <v>4734</v>
      </c>
      <c r="D94" s="1" t="s">
        <v>4735</v>
      </c>
      <c r="E94" s="1">
        <v>2</v>
      </c>
      <c r="F94" s="1">
        <v>2</v>
      </c>
      <c r="G94" s="1">
        <v>2</v>
      </c>
      <c r="H94" s="1" t="s">
        <v>4631</v>
      </c>
      <c r="I94" s="1" t="s">
        <v>7533</v>
      </c>
      <c r="J94" s="1" t="s">
        <v>4896</v>
      </c>
      <c r="K94" s="1"/>
      <c r="L94" s="1"/>
      <c r="M94" s="1"/>
      <c r="N94" s="1"/>
      <c r="O94" s="1"/>
      <c r="P94" s="1" t="s">
        <v>12251</v>
      </c>
      <c r="Q94" s="1" t="s">
        <v>12252</v>
      </c>
      <c r="R94" s="1"/>
      <c r="S94" s="1" t="str">
        <f t="shared" si="3"/>
        <v>Clearly reported</v>
      </c>
      <c r="T94" s="1" t="str">
        <f t="shared" si="4"/>
        <v>Clearly reported</v>
      </c>
      <c r="U94" s="1" t="str">
        <f t="shared" si="5"/>
        <v>Clearly reported</v>
      </c>
    </row>
    <row r="95" spans="1:21" ht="15" customHeight="1">
      <c r="A95" s="1" t="s">
        <v>4918</v>
      </c>
      <c r="B95" s="1" t="s">
        <v>4688</v>
      </c>
      <c r="C95" s="1" t="s">
        <v>4893</v>
      </c>
      <c r="D95" s="1" t="s">
        <v>4894</v>
      </c>
      <c r="E95" s="1">
        <v>2</v>
      </c>
      <c r="F95" s="1">
        <v>2</v>
      </c>
      <c r="G95" s="1">
        <v>2</v>
      </c>
      <c r="H95" s="1" t="s">
        <v>4631</v>
      </c>
      <c r="I95" s="1" t="s">
        <v>7540</v>
      </c>
      <c r="J95" s="1" t="s">
        <v>4788</v>
      </c>
      <c r="K95" s="1"/>
      <c r="L95" s="1"/>
      <c r="M95" s="1"/>
      <c r="N95" s="1"/>
      <c r="O95" s="1"/>
      <c r="P95" s="1" t="s">
        <v>12253</v>
      </c>
      <c r="Q95" s="1" t="s">
        <v>12254</v>
      </c>
      <c r="R95" s="1"/>
      <c r="S95" s="1" t="str">
        <f t="shared" si="3"/>
        <v>Clearly reported</v>
      </c>
      <c r="T95" s="1" t="str">
        <f t="shared" si="4"/>
        <v>Clearly reported</v>
      </c>
      <c r="U95" s="1" t="str">
        <f t="shared" si="5"/>
        <v>Clearly reported</v>
      </c>
    </row>
    <row r="96" spans="1:21" ht="24" customHeight="1">
      <c r="A96" s="1" t="s">
        <v>4918</v>
      </c>
      <c r="B96" s="1" t="s">
        <v>4688</v>
      </c>
      <c r="C96" s="1" t="s">
        <v>4744</v>
      </c>
      <c r="D96" s="1" t="s">
        <v>4745</v>
      </c>
      <c r="E96" s="1">
        <v>2</v>
      </c>
      <c r="F96" s="1">
        <v>2</v>
      </c>
      <c r="G96" s="1">
        <v>2</v>
      </c>
      <c r="H96" s="1" t="s">
        <v>4631</v>
      </c>
      <c r="I96" s="1" t="s">
        <v>12255</v>
      </c>
      <c r="J96" s="1" t="s">
        <v>4737</v>
      </c>
      <c r="K96" s="1"/>
      <c r="L96" s="1"/>
      <c r="M96" s="1"/>
      <c r="N96" s="1"/>
      <c r="O96" s="1"/>
      <c r="P96" s="1" t="s">
        <v>12256</v>
      </c>
      <c r="Q96" s="1" t="s">
        <v>12257</v>
      </c>
      <c r="R96" s="1"/>
      <c r="S96" s="1" t="str">
        <f t="shared" si="3"/>
        <v>Clearly reported</v>
      </c>
      <c r="T96" s="1" t="str">
        <f t="shared" si="4"/>
        <v>Clearly reported</v>
      </c>
      <c r="U96" s="1" t="str">
        <f t="shared" si="5"/>
        <v>Clearly reported</v>
      </c>
    </row>
    <row r="97" spans="1:21" ht="24" customHeight="1">
      <c r="A97" s="1" t="s">
        <v>4918</v>
      </c>
      <c r="B97" s="1" t="s">
        <v>4688</v>
      </c>
      <c r="C97" s="1" t="s">
        <v>5117</v>
      </c>
      <c r="D97" s="1" t="s">
        <v>5118</v>
      </c>
      <c r="E97" s="1">
        <v>2</v>
      </c>
      <c r="F97" s="1">
        <v>2</v>
      </c>
      <c r="G97" s="1">
        <v>2</v>
      </c>
      <c r="H97" s="1" t="s">
        <v>4631</v>
      </c>
      <c r="I97" s="1" t="s">
        <v>12258</v>
      </c>
      <c r="J97" s="1" t="s">
        <v>4737</v>
      </c>
      <c r="K97" s="1"/>
      <c r="L97" s="1"/>
      <c r="M97" s="1"/>
      <c r="N97" s="1"/>
      <c r="O97" s="1"/>
      <c r="P97" s="1" t="s">
        <v>12259</v>
      </c>
      <c r="Q97" s="1" t="s">
        <v>12260</v>
      </c>
      <c r="R97" s="1"/>
      <c r="S97" s="1" t="str">
        <f t="shared" si="3"/>
        <v>Clearly reported</v>
      </c>
      <c r="T97" s="1" t="str">
        <f t="shared" si="4"/>
        <v>Clearly reported</v>
      </c>
      <c r="U97" s="1" t="str">
        <f t="shared" si="5"/>
        <v>Clearly reported</v>
      </c>
    </row>
    <row r="98" spans="1:21" ht="24" customHeight="1">
      <c r="A98" s="1" t="s">
        <v>4918</v>
      </c>
      <c r="B98" s="1" t="s">
        <v>4688</v>
      </c>
      <c r="C98" s="1" t="s">
        <v>4810</v>
      </c>
      <c r="D98" s="1" t="s">
        <v>4811</v>
      </c>
      <c r="E98" s="1">
        <v>2</v>
      </c>
      <c r="F98" s="1">
        <v>2</v>
      </c>
      <c r="G98" s="1">
        <v>2</v>
      </c>
      <c r="H98" s="1" t="s">
        <v>4631</v>
      </c>
      <c r="I98" s="1" t="s">
        <v>12261</v>
      </c>
      <c r="J98" s="1" t="s">
        <v>4717</v>
      </c>
      <c r="K98" s="1"/>
      <c r="L98" s="1"/>
      <c r="M98" s="1"/>
      <c r="N98" s="1"/>
      <c r="O98" s="1"/>
      <c r="P98" s="1" t="s">
        <v>12262</v>
      </c>
      <c r="Q98" s="1" t="s">
        <v>12263</v>
      </c>
      <c r="R98" s="1"/>
      <c r="S98" s="1" t="str">
        <f t="shared" si="3"/>
        <v>Clearly reported</v>
      </c>
      <c r="T98" s="1" t="str">
        <f t="shared" si="4"/>
        <v>Clearly reported</v>
      </c>
      <c r="U98" s="1" t="str">
        <f t="shared" si="5"/>
        <v>Clearly reported</v>
      </c>
    </row>
    <row r="99" spans="1:21" ht="60" customHeight="1">
      <c r="A99" s="1" t="s">
        <v>4918</v>
      </c>
      <c r="B99" s="1" t="s">
        <v>4688</v>
      </c>
      <c r="C99" s="1" t="s">
        <v>4714</v>
      </c>
      <c r="D99" s="1" t="s">
        <v>4715</v>
      </c>
      <c r="E99" s="1">
        <v>2</v>
      </c>
      <c r="F99" s="1">
        <v>1</v>
      </c>
      <c r="G99" s="1">
        <v>1</v>
      </c>
      <c r="H99" s="1" t="s">
        <v>4646</v>
      </c>
      <c r="I99" s="1" t="s">
        <v>4919</v>
      </c>
      <c r="J99" s="1" t="s">
        <v>4717</v>
      </c>
      <c r="K99" s="1"/>
      <c r="L99" s="1" t="s">
        <v>4920</v>
      </c>
      <c r="M99" s="1" t="s">
        <v>4921</v>
      </c>
      <c r="N99" s="1" t="s">
        <v>4720</v>
      </c>
      <c r="O99" s="1" t="s">
        <v>4721</v>
      </c>
      <c r="P99" s="1" t="s">
        <v>4922</v>
      </c>
      <c r="Q99" s="1" t="s">
        <v>4923</v>
      </c>
      <c r="R99" s="1" t="s">
        <v>4924</v>
      </c>
      <c r="S99" s="1" t="str">
        <f t="shared" si="3"/>
        <v>Clearly reported</v>
      </c>
      <c r="T99" s="1" t="str">
        <f t="shared" si="4"/>
        <v>Partly reported</v>
      </c>
      <c r="U99" s="1" t="str">
        <f t="shared" si="5"/>
        <v>Partly reported</v>
      </c>
    </row>
    <row r="100" spans="1:21" ht="15" customHeight="1">
      <c r="A100" s="1" t="s">
        <v>4918</v>
      </c>
      <c r="B100" s="1" t="s">
        <v>4688</v>
      </c>
      <c r="C100" s="1" t="s">
        <v>4689</v>
      </c>
      <c r="D100" s="1" t="s">
        <v>4690</v>
      </c>
      <c r="E100" s="1">
        <v>0</v>
      </c>
      <c r="F100" s="1">
        <v>0</v>
      </c>
      <c r="G100" s="1">
        <v>0</v>
      </c>
      <c r="H100" s="1" t="s">
        <v>4631</v>
      </c>
      <c r="I100" s="1" t="s">
        <v>6452</v>
      </c>
      <c r="J100" s="1" t="s">
        <v>4911</v>
      </c>
      <c r="K100" s="1"/>
      <c r="L100" s="1"/>
      <c r="M100" s="1"/>
      <c r="N100" s="1"/>
      <c r="O100" s="1"/>
      <c r="P100" s="1" t="s">
        <v>12264</v>
      </c>
      <c r="Q100" s="1" t="s">
        <v>12265</v>
      </c>
      <c r="R100" s="1"/>
      <c r="S100" s="1" t="str">
        <f t="shared" si="3"/>
        <v>Not reported</v>
      </c>
      <c r="T100" s="1" t="str">
        <f t="shared" si="4"/>
        <v>Not reported</v>
      </c>
      <c r="U100" s="1" t="str">
        <f t="shared" si="5"/>
        <v>Not reported</v>
      </c>
    </row>
    <row r="101" spans="1:21" ht="24" customHeight="1">
      <c r="A101" s="1" t="s">
        <v>4925</v>
      </c>
      <c r="B101" s="1" t="s">
        <v>4688</v>
      </c>
      <c r="C101" s="1" t="s">
        <v>5475</v>
      </c>
      <c r="D101" s="1" t="s">
        <v>5476</v>
      </c>
      <c r="E101" s="1">
        <v>2</v>
      </c>
      <c r="F101" s="1">
        <v>2</v>
      </c>
      <c r="G101" s="1">
        <v>2</v>
      </c>
      <c r="H101" s="1" t="s">
        <v>4631</v>
      </c>
      <c r="I101" s="1" t="s">
        <v>12266</v>
      </c>
      <c r="J101" s="1" t="s">
        <v>4717</v>
      </c>
      <c r="K101" s="1"/>
      <c r="L101" s="1"/>
      <c r="M101" s="1"/>
      <c r="N101" s="1"/>
      <c r="O101" s="1"/>
      <c r="P101" s="1" t="s">
        <v>12267</v>
      </c>
      <c r="Q101" s="1" t="s">
        <v>12268</v>
      </c>
      <c r="R101" s="1"/>
      <c r="S101" s="1" t="str">
        <f t="shared" si="3"/>
        <v>Clearly reported</v>
      </c>
      <c r="T101" s="1" t="str">
        <f t="shared" si="4"/>
        <v>Clearly reported</v>
      </c>
      <c r="U101" s="1" t="str">
        <f t="shared" si="5"/>
        <v>Clearly reported</v>
      </c>
    </row>
    <row r="102" spans="1:21" ht="24" customHeight="1">
      <c r="A102" s="1" t="s">
        <v>4925</v>
      </c>
      <c r="B102" s="1" t="s">
        <v>4688</v>
      </c>
      <c r="C102" s="1" t="s">
        <v>5390</v>
      </c>
      <c r="D102" s="1" t="s">
        <v>5391</v>
      </c>
      <c r="E102" s="1">
        <v>2</v>
      </c>
      <c r="F102" s="1">
        <v>2</v>
      </c>
      <c r="G102" s="1">
        <v>2</v>
      </c>
      <c r="H102" s="1" t="s">
        <v>4631</v>
      </c>
      <c r="I102" s="1" t="s">
        <v>12269</v>
      </c>
      <c r="J102" s="1" t="s">
        <v>4904</v>
      </c>
      <c r="K102" s="1"/>
      <c r="L102" s="1"/>
      <c r="M102" s="1"/>
      <c r="N102" s="1"/>
      <c r="O102" s="1"/>
      <c r="P102" s="1" t="s">
        <v>12270</v>
      </c>
      <c r="Q102" s="1" t="s">
        <v>12271</v>
      </c>
      <c r="R102" s="1"/>
      <c r="S102" s="1" t="str">
        <f t="shared" si="3"/>
        <v>Clearly reported</v>
      </c>
      <c r="T102" s="1" t="str">
        <f t="shared" si="4"/>
        <v>Clearly reported</v>
      </c>
      <c r="U102" s="1" t="str">
        <f t="shared" si="5"/>
        <v>Clearly reported</v>
      </c>
    </row>
    <row r="103" spans="1:21" ht="15" customHeight="1">
      <c r="A103" s="1" t="s">
        <v>4925</v>
      </c>
      <c r="B103" s="1" t="s">
        <v>4688</v>
      </c>
      <c r="C103" s="1" t="s">
        <v>4734</v>
      </c>
      <c r="D103" s="1" t="s">
        <v>4735</v>
      </c>
      <c r="E103" s="1">
        <v>2</v>
      </c>
      <c r="F103" s="1">
        <v>2</v>
      </c>
      <c r="G103" s="1">
        <v>2</v>
      </c>
      <c r="H103" s="1" t="s">
        <v>4631</v>
      </c>
      <c r="I103" s="1" t="s">
        <v>7678</v>
      </c>
      <c r="J103" s="1" t="s">
        <v>4935</v>
      </c>
      <c r="K103" s="1"/>
      <c r="L103" s="1"/>
      <c r="M103" s="1"/>
      <c r="N103" s="1"/>
      <c r="O103" s="1"/>
      <c r="P103" s="1" t="s">
        <v>12272</v>
      </c>
      <c r="Q103" s="1" t="s">
        <v>12273</v>
      </c>
      <c r="R103" s="1"/>
      <c r="S103" s="1" t="str">
        <f t="shared" si="3"/>
        <v>Clearly reported</v>
      </c>
      <c r="T103" s="1" t="str">
        <f t="shared" si="4"/>
        <v>Clearly reported</v>
      </c>
      <c r="U103" s="1" t="str">
        <f t="shared" si="5"/>
        <v>Clearly reported</v>
      </c>
    </row>
    <row r="104" spans="1:21" ht="15" customHeight="1">
      <c r="A104" s="1" t="s">
        <v>4925</v>
      </c>
      <c r="B104" s="1" t="s">
        <v>4688</v>
      </c>
      <c r="C104" s="1" t="s">
        <v>4893</v>
      </c>
      <c r="D104" s="1" t="s">
        <v>4894</v>
      </c>
      <c r="E104" s="1">
        <v>2</v>
      </c>
      <c r="F104" s="1">
        <v>2</v>
      </c>
      <c r="G104" s="1">
        <v>2</v>
      </c>
      <c r="H104" s="1" t="s">
        <v>4631</v>
      </c>
      <c r="I104" s="1" t="s">
        <v>7684</v>
      </c>
      <c r="J104" s="1" t="s">
        <v>4935</v>
      </c>
      <c r="K104" s="1"/>
      <c r="L104" s="1"/>
      <c r="M104" s="1"/>
      <c r="N104" s="1"/>
      <c r="O104" s="1"/>
      <c r="P104" s="1" t="s">
        <v>12274</v>
      </c>
      <c r="Q104" s="1" t="s">
        <v>12275</v>
      </c>
      <c r="R104" s="1"/>
      <c r="S104" s="1" t="str">
        <f t="shared" si="3"/>
        <v>Clearly reported</v>
      </c>
      <c r="T104" s="1" t="str">
        <f t="shared" si="4"/>
        <v>Clearly reported</v>
      </c>
      <c r="U104" s="1" t="str">
        <f t="shared" si="5"/>
        <v>Clearly reported</v>
      </c>
    </row>
    <row r="105" spans="1:21" ht="60" customHeight="1">
      <c r="A105" s="1" t="s">
        <v>4925</v>
      </c>
      <c r="B105" s="1" t="s">
        <v>4688</v>
      </c>
      <c r="C105" s="1" t="s">
        <v>4744</v>
      </c>
      <c r="D105" s="1" t="s">
        <v>4745</v>
      </c>
      <c r="E105" s="1">
        <v>1</v>
      </c>
      <c r="F105" s="1">
        <v>2</v>
      </c>
      <c r="G105" s="1">
        <v>2</v>
      </c>
      <c r="H105" s="1" t="s">
        <v>4691</v>
      </c>
      <c r="I105" s="1" t="s">
        <v>4926</v>
      </c>
      <c r="J105" s="1" t="s">
        <v>4927</v>
      </c>
      <c r="K105" s="1"/>
      <c r="L105" s="1" t="s">
        <v>4928</v>
      </c>
      <c r="M105" s="1" t="s">
        <v>4929</v>
      </c>
      <c r="N105" s="1" t="s">
        <v>4930</v>
      </c>
      <c r="O105" s="1" t="s">
        <v>4697</v>
      </c>
      <c r="P105" s="1" t="s">
        <v>4931</v>
      </c>
      <c r="Q105" s="1" t="s">
        <v>4932</v>
      </c>
      <c r="R105" s="1" t="s">
        <v>4933</v>
      </c>
      <c r="S105" s="1" t="str">
        <f t="shared" si="3"/>
        <v>Partly reported</v>
      </c>
      <c r="T105" s="1" t="str">
        <f t="shared" si="4"/>
        <v>Clearly reported</v>
      </c>
      <c r="U105" s="1" t="str">
        <f t="shared" si="5"/>
        <v>Clearly reported</v>
      </c>
    </row>
    <row r="106" spans="1:21" ht="15" customHeight="1">
      <c r="A106" s="1" t="s">
        <v>4925</v>
      </c>
      <c r="B106" s="1" t="s">
        <v>4688</v>
      </c>
      <c r="C106" s="1" t="s">
        <v>5117</v>
      </c>
      <c r="D106" s="1" t="s">
        <v>5118</v>
      </c>
      <c r="E106" s="1">
        <v>2</v>
      </c>
      <c r="F106" s="1">
        <v>2</v>
      </c>
      <c r="G106" s="1">
        <v>2</v>
      </c>
      <c r="H106" s="1" t="s">
        <v>4631</v>
      </c>
      <c r="I106" s="1" t="s">
        <v>12276</v>
      </c>
      <c r="J106" s="1" t="s">
        <v>4896</v>
      </c>
      <c r="K106" s="1"/>
      <c r="L106" s="1"/>
      <c r="M106" s="1"/>
      <c r="N106" s="1"/>
      <c r="O106" s="1"/>
      <c r="P106" s="1" t="s">
        <v>12277</v>
      </c>
      <c r="Q106" s="1" t="s">
        <v>12278</v>
      </c>
      <c r="R106" s="1"/>
      <c r="S106" s="1" t="str">
        <f t="shared" si="3"/>
        <v>Clearly reported</v>
      </c>
      <c r="T106" s="1" t="str">
        <f t="shared" si="4"/>
        <v>Clearly reported</v>
      </c>
      <c r="U106" s="1" t="str">
        <f t="shared" si="5"/>
        <v>Clearly reported</v>
      </c>
    </row>
    <row r="107" spans="1:21" ht="36" customHeight="1">
      <c r="A107" s="1" t="s">
        <v>4925</v>
      </c>
      <c r="B107" s="1" t="s">
        <v>4688</v>
      </c>
      <c r="C107" s="1" t="s">
        <v>4810</v>
      </c>
      <c r="D107" s="1" t="s">
        <v>4811</v>
      </c>
      <c r="E107" s="1">
        <v>2</v>
      </c>
      <c r="F107" s="1">
        <v>2</v>
      </c>
      <c r="G107" s="1">
        <v>2</v>
      </c>
      <c r="H107" s="1" t="s">
        <v>4631</v>
      </c>
      <c r="I107" s="1" t="s">
        <v>12279</v>
      </c>
      <c r="J107" s="1" t="s">
        <v>4717</v>
      </c>
      <c r="K107" s="1"/>
      <c r="L107" s="1"/>
      <c r="M107" s="1"/>
      <c r="N107" s="1"/>
      <c r="O107" s="1"/>
      <c r="P107" s="1" t="s">
        <v>12280</v>
      </c>
      <c r="Q107" s="1" t="s">
        <v>12281</v>
      </c>
      <c r="R107" s="1"/>
      <c r="S107" s="1" t="str">
        <f t="shared" si="3"/>
        <v>Clearly reported</v>
      </c>
      <c r="T107" s="1" t="str">
        <f t="shared" si="4"/>
        <v>Clearly reported</v>
      </c>
      <c r="U107" s="1" t="str">
        <f t="shared" si="5"/>
        <v>Clearly reported</v>
      </c>
    </row>
    <row r="108" spans="1:21" ht="36" customHeight="1">
      <c r="A108" s="1" t="s">
        <v>4925</v>
      </c>
      <c r="B108" s="1" t="s">
        <v>4688</v>
      </c>
      <c r="C108" s="1" t="s">
        <v>4714</v>
      </c>
      <c r="D108" s="1" t="s">
        <v>4715</v>
      </c>
      <c r="E108" s="1">
        <v>2</v>
      </c>
      <c r="F108" s="1">
        <v>1</v>
      </c>
      <c r="G108" s="1">
        <v>1</v>
      </c>
      <c r="H108" s="1" t="s">
        <v>4646</v>
      </c>
      <c r="I108" s="1" t="s">
        <v>4934</v>
      </c>
      <c r="J108" s="1" t="s">
        <v>4935</v>
      </c>
      <c r="K108" s="1"/>
      <c r="L108" s="1" t="s">
        <v>4936</v>
      </c>
      <c r="M108" s="1" t="s">
        <v>4937</v>
      </c>
      <c r="N108" s="1" t="s">
        <v>4720</v>
      </c>
      <c r="O108" s="1" t="s">
        <v>4721</v>
      </c>
      <c r="P108" s="1" t="s">
        <v>4938</v>
      </c>
      <c r="Q108" s="1" t="s">
        <v>4939</v>
      </c>
      <c r="R108" s="1" t="s">
        <v>4940</v>
      </c>
      <c r="S108" s="1" t="str">
        <f t="shared" si="3"/>
        <v>Clearly reported</v>
      </c>
      <c r="T108" s="1" t="str">
        <f t="shared" si="4"/>
        <v>Partly reported</v>
      </c>
      <c r="U108" s="1" t="str">
        <f t="shared" si="5"/>
        <v>Partly reported</v>
      </c>
    </row>
    <row r="109" spans="1:21" ht="15" customHeight="1">
      <c r="A109" s="1" t="s">
        <v>4925</v>
      </c>
      <c r="B109" s="1" t="s">
        <v>4688</v>
      </c>
      <c r="C109" s="1" t="s">
        <v>4689</v>
      </c>
      <c r="D109" s="1" t="s">
        <v>4690</v>
      </c>
      <c r="E109" s="1">
        <v>0</v>
      </c>
      <c r="F109" s="1">
        <v>0</v>
      </c>
      <c r="G109" s="1">
        <v>0</v>
      </c>
      <c r="H109" s="1" t="s">
        <v>4631</v>
      </c>
      <c r="I109" s="1" t="s">
        <v>7673</v>
      </c>
      <c r="J109" s="1" t="s">
        <v>5200</v>
      </c>
      <c r="K109" s="1"/>
      <c r="L109" s="1"/>
      <c r="M109" s="1"/>
      <c r="N109" s="1"/>
      <c r="O109" s="1"/>
      <c r="P109" s="1" t="s">
        <v>12282</v>
      </c>
      <c r="Q109" s="1" t="s">
        <v>12283</v>
      </c>
      <c r="R109" s="1"/>
      <c r="S109" s="1" t="str">
        <f t="shared" si="3"/>
        <v>Not reported</v>
      </c>
      <c r="T109" s="1" t="str">
        <f t="shared" si="4"/>
        <v>Not reported</v>
      </c>
      <c r="U109" s="1" t="str">
        <f t="shared" si="5"/>
        <v>Not reported</v>
      </c>
    </row>
    <row r="110" spans="1:21" ht="24" customHeight="1">
      <c r="A110" s="1" t="s">
        <v>4941</v>
      </c>
      <c r="B110" s="1" t="s">
        <v>4688</v>
      </c>
      <c r="C110" s="1" t="s">
        <v>5475</v>
      </c>
      <c r="D110" s="1" t="s">
        <v>5476</v>
      </c>
      <c r="E110" s="1">
        <v>2</v>
      </c>
      <c r="F110" s="1">
        <v>2</v>
      </c>
      <c r="G110" s="1">
        <v>2</v>
      </c>
      <c r="H110" s="1" t="s">
        <v>4631</v>
      </c>
      <c r="I110" s="1" t="s">
        <v>12284</v>
      </c>
      <c r="J110" s="1" t="s">
        <v>4862</v>
      </c>
      <c r="K110" s="1"/>
      <c r="L110" s="1"/>
      <c r="M110" s="1"/>
      <c r="N110" s="1"/>
      <c r="O110" s="1"/>
      <c r="P110" s="1" t="s">
        <v>12285</v>
      </c>
      <c r="Q110" s="1" t="s">
        <v>12286</v>
      </c>
      <c r="R110" s="1"/>
      <c r="S110" s="1" t="str">
        <f t="shared" si="3"/>
        <v>Clearly reported</v>
      </c>
      <c r="T110" s="1" t="str">
        <f t="shared" si="4"/>
        <v>Clearly reported</v>
      </c>
      <c r="U110" s="1" t="str">
        <f t="shared" si="5"/>
        <v>Clearly reported</v>
      </c>
    </row>
    <row r="111" spans="1:21" ht="24" customHeight="1">
      <c r="A111" s="1" t="s">
        <v>4941</v>
      </c>
      <c r="B111" s="1" t="s">
        <v>4688</v>
      </c>
      <c r="C111" s="1" t="s">
        <v>5390</v>
      </c>
      <c r="D111" s="1" t="s">
        <v>5391</v>
      </c>
      <c r="E111" s="1">
        <v>2</v>
      </c>
      <c r="F111" s="1">
        <v>2</v>
      </c>
      <c r="G111" s="1">
        <v>2</v>
      </c>
      <c r="H111" s="1" t="s">
        <v>4631</v>
      </c>
      <c r="I111" s="1" t="s">
        <v>12287</v>
      </c>
      <c r="J111" s="1" t="s">
        <v>4862</v>
      </c>
      <c r="K111" s="1"/>
      <c r="L111" s="1"/>
      <c r="M111" s="1"/>
      <c r="N111" s="1"/>
      <c r="O111" s="1"/>
      <c r="P111" s="1" t="s">
        <v>12288</v>
      </c>
      <c r="Q111" s="1" t="s">
        <v>12289</v>
      </c>
      <c r="R111" s="1"/>
      <c r="S111" s="1" t="str">
        <f t="shared" si="3"/>
        <v>Clearly reported</v>
      </c>
      <c r="T111" s="1" t="str">
        <f t="shared" si="4"/>
        <v>Clearly reported</v>
      </c>
      <c r="U111" s="1" t="str">
        <f t="shared" si="5"/>
        <v>Clearly reported</v>
      </c>
    </row>
    <row r="112" spans="1:21" ht="15" customHeight="1">
      <c r="A112" s="1" t="s">
        <v>4941</v>
      </c>
      <c r="B112" s="1" t="s">
        <v>4688</v>
      </c>
      <c r="C112" s="1" t="s">
        <v>4734</v>
      </c>
      <c r="D112" s="1" t="s">
        <v>4735</v>
      </c>
      <c r="E112" s="1">
        <v>2</v>
      </c>
      <c r="F112" s="1">
        <v>2</v>
      </c>
      <c r="G112" s="1">
        <v>2</v>
      </c>
      <c r="H112" s="1" t="s">
        <v>4631</v>
      </c>
      <c r="I112" s="1" t="s">
        <v>7806</v>
      </c>
      <c r="J112" s="1" t="s">
        <v>12290</v>
      </c>
      <c r="K112" s="1"/>
      <c r="L112" s="1"/>
      <c r="M112" s="1"/>
      <c r="N112" s="1"/>
      <c r="O112" s="1"/>
      <c r="P112" s="1" t="s">
        <v>12291</v>
      </c>
      <c r="Q112" s="1" t="s">
        <v>12292</v>
      </c>
      <c r="R112" s="1"/>
      <c r="S112" s="1" t="str">
        <f t="shared" si="3"/>
        <v>Clearly reported</v>
      </c>
      <c r="T112" s="1" t="str">
        <f t="shared" si="4"/>
        <v>Clearly reported</v>
      </c>
      <c r="U112" s="1" t="str">
        <f t="shared" si="5"/>
        <v>Clearly reported</v>
      </c>
    </row>
    <row r="113" spans="1:21" ht="15" customHeight="1">
      <c r="A113" s="1" t="s">
        <v>4941</v>
      </c>
      <c r="B113" s="1" t="s">
        <v>4688</v>
      </c>
      <c r="C113" s="1" t="s">
        <v>4893</v>
      </c>
      <c r="D113" s="1" t="s">
        <v>4894</v>
      </c>
      <c r="E113" s="1">
        <v>2</v>
      </c>
      <c r="F113" s="1">
        <v>2</v>
      </c>
      <c r="G113" s="1">
        <v>2</v>
      </c>
      <c r="H113" s="1" t="s">
        <v>4631</v>
      </c>
      <c r="I113" s="1" t="s">
        <v>7813</v>
      </c>
      <c r="J113" s="1" t="s">
        <v>5362</v>
      </c>
      <c r="K113" s="1"/>
      <c r="L113" s="1"/>
      <c r="M113" s="1"/>
      <c r="N113" s="1"/>
      <c r="O113" s="1"/>
      <c r="P113" s="1" t="s">
        <v>12293</v>
      </c>
      <c r="Q113" s="1" t="s">
        <v>12294</v>
      </c>
      <c r="R113" s="1"/>
      <c r="S113" s="1" t="str">
        <f t="shared" si="3"/>
        <v>Clearly reported</v>
      </c>
      <c r="T113" s="1" t="str">
        <f t="shared" si="4"/>
        <v>Clearly reported</v>
      </c>
      <c r="U113" s="1" t="str">
        <f t="shared" si="5"/>
        <v>Clearly reported</v>
      </c>
    </row>
    <row r="114" spans="1:21" ht="72" customHeight="1">
      <c r="A114" s="1" t="s">
        <v>4941</v>
      </c>
      <c r="B114" s="1" t="s">
        <v>4688</v>
      </c>
      <c r="C114" s="1" t="s">
        <v>4744</v>
      </c>
      <c r="D114" s="1" t="s">
        <v>4745</v>
      </c>
      <c r="E114" s="1">
        <v>2</v>
      </c>
      <c r="F114" s="1">
        <v>1</v>
      </c>
      <c r="G114" s="1">
        <v>2</v>
      </c>
      <c r="H114" s="1" t="s">
        <v>4691</v>
      </c>
      <c r="I114" s="1" t="s">
        <v>4942</v>
      </c>
      <c r="J114" s="1" t="s">
        <v>4943</v>
      </c>
      <c r="K114" s="1"/>
      <c r="L114" s="1" t="s">
        <v>4944</v>
      </c>
      <c r="M114" s="1" t="s">
        <v>4945</v>
      </c>
      <c r="N114" s="1" t="s">
        <v>4946</v>
      </c>
      <c r="O114" s="1" t="s">
        <v>4697</v>
      </c>
      <c r="P114" s="1" t="s">
        <v>4947</v>
      </c>
      <c r="Q114" s="1" t="s">
        <v>4948</v>
      </c>
      <c r="R114" s="1" t="s">
        <v>4949</v>
      </c>
      <c r="S114" s="1" t="str">
        <f t="shared" si="3"/>
        <v>Clearly reported</v>
      </c>
      <c r="T114" s="1" t="str">
        <f t="shared" si="4"/>
        <v>Partly reported</v>
      </c>
      <c r="U114" s="1" t="str">
        <f t="shared" si="5"/>
        <v>Clearly reported</v>
      </c>
    </row>
    <row r="115" spans="1:21" ht="24" customHeight="1">
      <c r="A115" s="1" t="s">
        <v>4941</v>
      </c>
      <c r="B115" s="1" t="s">
        <v>4688</v>
      </c>
      <c r="C115" s="1" t="s">
        <v>5117</v>
      </c>
      <c r="D115" s="1" t="s">
        <v>5118</v>
      </c>
      <c r="E115" s="1">
        <v>2</v>
      </c>
      <c r="F115" s="1">
        <v>2</v>
      </c>
      <c r="G115" s="1">
        <v>2</v>
      </c>
      <c r="H115" s="1" t="s">
        <v>4631</v>
      </c>
      <c r="I115" s="1" t="s">
        <v>12295</v>
      </c>
      <c r="J115" s="1" t="s">
        <v>4935</v>
      </c>
      <c r="K115" s="1"/>
      <c r="L115" s="1"/>
      <c r="M115" s="1"/>
      <c r="N115" s="1"/>
      <c r="O115" s="1"/>
      <c r="P115" s="1" t="s">
        <v>12296</v>
      </c>
      <c r="Q115" s="1" t="s">
        <v>12297</v>
      </c>
      <c r="R115" s="1"/>
      <c r="S115" s="1" t="str">
        <f t="shared" si="3"/>
        <v>Clearly reported</v>
      </c>
      <c r="T115" s="1" t="str">
        <f t="shared" si="4"/>
        <v>Clearly reported</v>
      </c>
      <c r="U115" s="1" t="str">
        <f t="shared" si="5"/>
        <v>Clearly reported</v>
      </c>
    </row>
    <row r="116" spans="1:21" ht="24" customHeight="1">
      <c r="A116" s="1" t="s">
        <v>4941</v>
      </c>
      <c r="B116" s="1" t="s">
        <v>4688</v>
      </c>
      <c r="C116" s="1" t="s">
        <v>4810</v>
      </c>
      <c r="D116" s="1" t="s">
        <v>4811</v>
      </c>
      <c r="E116" s="1">
        <v>2</v>
      </c>
      <c r="F116" s="1">
        <v>2</v>
      </c>
      <c r="G116" s="1">
        <v>2</v>
      </c>
      <c r="H116" s="1" t="s">
        <v>4631</v>
      </c>
      <c r="I116" s="1" t="s">
        <v>12298</v>
      </c>
      <c r="J116" s="1" t="s">
        <v>12299</v>
      </c>
      <c r="K116" s="1"/>
      <c r="L116" s="1"/>
      <c r="M116" s="1"/>
      <c r="N116" s="1"/>
      <c r="O116" s="1"/>
      <c r="P116" s="1" t="s">
        <v>12300</v>
      </c>
      <c r="Q116" s="1" t="s">
        <v>12301</v>
      </c>
      <c r="R116" s="1"/>
      <c r="S116" s="1" t="str">
        <f t="shared" si="3"/>
        <v>Clearly reported</v>
      </c>
      <c r="T116" s="1" t="str">
        <f t="shared" si="4"/>
        <v>Clearly reported</v>
      </c>
      <c r="U116" s="1" t="str">
        <f t="shared" si="5"/>
        <v>Clearly reported</v>
      </c>
    </row>
    <row r="117" spans="1:21" ht="60" customHeight="1">
      <c r="A117" s="1" t="s">
        <v>4941</v>
      </c>
      <c r="B117" s="1" t="s">
        <v>4688</v>
      </c>
      <c r="C117" s="1" t="s">
        <v>4714</v>
      </c>
      <c r="D117" s="1" t="s">
        <v>4715</v>
      </c>
      <c r="E117" s="1">
        <v>2</v>
      </c>
      <c r="F117" s="1">
        <v>2</v>
      </c>
      <c r="G117" s="1">
        <v>2</v>
      </c>
      <c r="H117" s="1" t="s">
        <v>4631</v>
      </c>
      <c r="I117" s="1" t="s">
        <v>12302</v>
      </c>
      <c r="J117" s="1" t="s">
        <v>4764</v>
      </c>
      <c r="K117" s="1"/>
      <c r="L117" s="1"/>
      <c r="M117" s="1"/>
      <c r="N117" s="1"/>
      <c r="O117" s="1"/>
      <c r="P117" s="1" t="s">
        <v>12303</v>
      </c>
      <c r="Q117" s="1" t="s">
        <v>12304</v>
      </c>
      <c r="R117" s="1"/>
      <c r="S117" s="1" t="str">
        <f t="shared" si="3"/>
        <v>Clearly reported</v>
      </c>
      <c r="T117" s="1" t="str">
        <f t="shared" si="4"/>
        <v>Clearly reported</v>
      </c>
      <c r="U117" s="1" t="str">
        <f t="shared" si="5"/>
        <v>Clearly reported</v>
      </c>
    </row>
    <row r="118" spans="1:21" ht="15" customHeight="1">
      <c r="A118" s="1" t="s">
        <v>4941</v>
      </c>
      <c r="B118" s="1" t="s">
        <v>4688</v>
      </c>
      <c r="C118" s="1" t="s">
        <v>4689</v>
      </c>
      <c r="D118" s="1" t="s">
        <v>4690</v>
      </c>
      <c r="E118" s="1">
        <v>2</v>
      </c>
      <c r="F118" s="1">
        <v>2</v>
      </c>
      <c r="G118" s="1">
        <v>2</v>
      </c>
      <c r="H118" s="1" t="s">
        <v>4631</v>
      </c>
      <c r="I118" s="1" t="s">
        <v>7801</v>
      </c>
      <c r="J118" s="1" t="s">
        <v>5253</v>
      </c>
      <c r="K118" s="1"/>
      <c r="L118" s="1"/>
      <c r="M118" s="1"/>
      <c r="N118" s="1"/>
      <c r="O118" s="1"/>
      <c r="P118" s="1" t="s">
        <v>12305</v>
      </c>
      <c r="Q118" s="1" t="s">
        <v>12306</v>
      </c>
      <c r="R118" s="1"/>
      <c r="S118" s="1" t="str">
        <f t="shared" si="3"/>
        <v>Clearly reported</v>
      </c>
      <c r="T118" s="1" t="str">
        <f t="shared" si="4"/>
        <v>Clearly reported</v>
      </c>
      <c r="U118" s="1" t="str">
        <f t="shared" si="5"/>
        <v>Clearly reported</v>
      </c>
    </row>
    <row r="119" spans="1:21" ht="24" customHeight="1">
      <c r="A119" s="1" t="s">
        <v>4950</v>
      </c>
      <c r="B119" s="1" t="s">
        <v>4688</v>
      </c>
      <c r="C119" s="1" t="s">
        <v>5475</v>
      </c>
      <c r="D119" s="1" t="s">
        <v>5476</v>
      </c>
      <c r="E119" s="1">
        <v>2</v>
      </c>
      <c r="F119" s="1">
        <v>2</v>
      </c>
      <c r="G119" s="1">
        <v>2</v>
      </c>
      <c r="H119" s="1" t="s">
        <v>4631</v>
      </c>
      <c r="I119" s="1" t="s">
        <v>12307</v>
      </c>
      <c r="J119" s="1" t="s">
        <v>4862</v>
      </c>
      <c r="K119" s="1"/>
      <c r="L119" s="1"/>
      <c r="M119" s="1"/>
      <c r="N119" s="1"/>
      <c r="O119" s="1"/>
      <c r="P119" s="1" t="s">
        <v>12308</v>
      </c>
      <c r="Q119" s="1" t="s">
        <v>12309</v>
      </c>
      <c r="R119" s="1"/>
      <c r="S119" s="1" t="str">
        <f t="shared" si="3"/>
        <v>Clearly reported</v>
      </c>
      <c r="T119" s="1" t="str">
        <f t="shared" si="4"/>
        <v>Clearly reported</v>
      </c>
      <c r="U119" s="1" t="str">
        <f t="shared" si="5"/>
        <v>Clearly reported</v>
      </c>
    </row>
    <row r="120" spans="1:21" ht="15" customHeight="1">
      <c r="A120" s="1" t="s">
        <v>4950</v>
      </c>
      <c r="B120" s="1" t="s">
        <v>4688</v>
      </c>
      <c r="C120" s="1" t="s">
        <v>5390</v>
      </c>
      <c r="D120" s="1" t="s">
        <v>5391</v>
      </c>
      <c r="E120" s="1">
        <v>2</v>
      </c>
      <c r="F120" s="1">
        <v>2</v>
      </c>
      <c r="G120" s="1">
        <v>2</v>
      </c>
      <c r="H120" s="1" t="s">
        <v>4631</v>
      </c>
      <c r="I120" s="1" t="s">
        <v>12310</v>
      </c>
      <c r="J120" s="1" t="s">
        <v>4862</v>
      </c>
      <c r="K120" s="1"/>
      <c r="L120" s="1"/>
      <c r="M120" s="1"/>
      <c r="N120" s="1"/>
      <c r="O120" s="1"/>
      <c r="P120" s="1" t="s">
        <v>12311</v>
      </c>
      <c r="Q120" s="1" t="s">
        <v>12312</v>
      </c>
      <c r="R120" s="1"/>
      <c r="S120" s="1" t="str">
        <f t="shared" si="3"/>
        <v>Clearly reported</v>
      </c>
      <c r="T120" s="1" t="str">
        <f t="shared" si="4"/>
        <v>Clearly reported</v>
      </c>
      <c r="U120" s="1" t="str">
        <f t="shared" si="5"/>
        <v>Clearly reported</v>
      </c>
    </row>
    <row r="121" spans="1:21" ht="15" customHeight="1">
      <c r="A121" s="1" t="s">
        <v>4950</v>
      </c>
      <c r="B121" s="1" t="s">
        <v>4688</v>
      </c>
      <c r="C121" s="1" t="s">
        <v>4734</v>
      </c>
      <c r="D121" s="1" t="s">
        <v>4735</v>
      </c>
      <c r="E121" s="1">
        <v>2</v>
      </c>
      <c r="F121" s="1">
        <v>2</v>
      </c>
      <c r="G121" s="1">
        <v>2</v>
      </c>
      <c r="H121" s="1" t="s">
        <v>4631</v>
      </c>
      <c r="I121" s="1" t="s">
        <v>7806</v>
      </c>
      <c r="J121" s="1" t="s">
        <v>12313</v>
      </c>
      <c r="K121" s="1"/>
      <c r="L121" s="1"/>
      <c r="M121" s="1"/>
      <c r="N121" s="1"/>
      <c r="O121" s="1"/>
      <c r="P121" s="1" t="s">
        <v>12314</v>
      </c>
      <c r="Q121" s="1" t="s">
        <v>12315</v>
      </c>
      <c r="R121" s="1"/>
      <c r="S121" s="1" t="str">
        <f t="shared" si="3"/>
        <v>Clearly reported</v>
      </c>
      <c r="T121" s="1" t="str">
        <f t="shared" si="4"/>
        <v>Clearly reported</v>
      </c>
      <c r="U121" s="1" t="str">
        <f t="shared" si="5"/>
        <v>Clearly reported</v>
      </c>
    </row>
    <row r="122" spans="1:21" ht="15" customHeight="1">
      <c r="A122" s="1" t="s">
        <v>4950</v>
      </c>
      <c r="B122" s="1" t="s">
        <v>4688</v>
      </c>
      <c r="C122" s="1" t="s">
        <v>4893</v>
      </c>
      <c r="D122" s="1" t="s">
        <v>4894</v>
      </c>
      <c r="E122" s="1">
        <v>2</v>
      </c>
      <c r="F122" s="1">
        <v>2</v>
      </c>
      <c r="G122" s="1">
        <v>2</v>
      </c>
      <c r="H122" s="1" t="s">
        <v>4631</v>
      </c>
      <c r="I122" s="1" t="s">
        <v>7949</v>
      </c>
      <c r="J122" s="1" t="s">
        <v>5253</v>
      </c>
      <c r="K122" s="1"/>
      <c r="L122" s="1"/>
      <c r="M122" s="1"/>
      <c r="N122" s="1"/>
      <c r="O122" s="1"/>
      <c r="P122" s="1" t="s">
        <v>12316</v>
      </c>
      <c r="Q122" s="1" t="s">
        <v>12317</v>
      </c>
      <c r="R122" s="1"/>
      <c r="S122" s="1" t="str">
        <f t="shared" si="3"/>
        <v>Clearly reported</v>
      </c>
      <c r="T122" s="1" t="str">
        <f t="shared" si="4"/>
        <v>Clearly reported</v>
      </c>
      <c r="U122" s="1" t="str">
        <f t="shared" si="5"/>
        <v>Clearly reported</v>
      </c>
    </row>
    <row r="123" spans="1:21" ht="60" customHeight="1">
      <c r="A123" s="1" t="s">
        <v>4950</v>
      </c>
      <c r="B123" s="1" t="s">
        <v>4688</v>
      </c>
      <c r="C123" s="1" t="s">
        <v>4744</v>
      </c>
      <c r="D123" s="1" t="s">
        <v>4745</v>
      </c>
      <c r="E123" s="1">
        <v>2</v>
      </c>
      <c r="F123" s="1">
        <v>1</v>
      </c>
      <c r="G123" s="1">
        <v>2</v>
      </c>
      <c r="H123" s="1" t="s">
        <v>4691</v>
      </c>
      <c r="I123" s="1" t="s">
        <v>4951</v>
      </c>
      <c r="J123" s="1" t="s">
        <v>4896</v>
      </c>
      <c r="K123" s="1"/>
      <c r="L123" s="1" t="s">
        <v>4952</v>
      </c>
      <c r="M123" s="1" t="s">
        <v>4953</v>
      </c>
      <c r="N123" s="1" t="s">
        <v>4954</v>
      </c>
      <c r="O123" s="1" t="s">
        <v>4697</v>
      </c>
      <c r="P123" s="1" t="s">
        <v>4955</v>
      </c>
      <c r="Q123" s="1" t="s">
        <v>4956</v>
      </c>
      <c r="R123" s="1" t="s">
        <v>4957</v>
      </c>
      <c r="S123" s="1" t="str">
        <f t="shared" si="3"/>
        <v>Clearly reported</v>
      </c>
      <c r="T123" s="1" t="str">
        <f t="shared" si="4"/>
        <v>Partly reported</v>
      </c>
      <c r="U123" s="1" t="str">
        <f t="shared" si="5"/>
        <v>Clearly reported</v>
      </c>
    </row>
    <row r="124" spans="1:21" ht="15" customHeight="1">
      <c r="A124" s="1" t="s">
        <v>4950</v>
      </c>
      <c r="B124" s="1" t="s">
        <v>4688</v>
      </c>
      <c r="C124" s="1" t="s">
        <v>5117</v>
      </c>
      <c r="D124" s="1" t="s">
        <v>5118</v>
      </c>
      <c r="E124" s="1">
        <v>2</v>
      </c>
      <c r="F124" s="1">
        <v>2</v>
      </c>
      <c r="G124" s="1">
        <v>2</v>
      </c>
      <c r="H124" s="1" t="s">
        <v>4631</v>
      </c>
      <c r="I124" s="1" t="s">
        <v>12318</v>
      </c>
      <c r="J124" s="1" t="s">
        <v>5316</v>
      </c>
      <c r="K124" s="1"/>
      <c r="L124" s="1"/>
      <c r="M124" s="1"/>
      <c r="N124" s="1"/>
      <c r="O124" s="1"/>
      <c r="P124" s="1" t="s">
        <v>12319</v>
      </c>
      <c r="Q124" s="1" t="s">
        <v>12320</v>
      </c>
      <c r="R124" s="1"/>
      <c r="S124" s="1" t="str">
        <f t="shared" si="3"/>
        <v>Clearly reported</v>
      </c>
      <c r="T124" s="1" t="str">
        <f t="shared" si="4"/>
        <v>Clearly reported</v>
      </c>
      <c r="U124" s="1" t="str">
        <f t="shared" si="5"/>
        <v>Clearly reported</v>
      </c>
    </row>
    <row r="125" spans="1:21" ht="24" customHeight="1">
      <c r="A125" s="1" t="s">
        <v>4950</v>
      </c>
      <c r="B125" s="1" t="s">
        <v>4688</v>
      </c>
      <c r="C125" s="1" t="s">
        <v>4810</v>
      </c>
      <c r="D125" s="1" t="s">
        <v>4811</v>
      </c>
      <c r="E125" s="1">
        <v>2</v>
      </c>
      <c r="F125" s="1">
        <v>2</v>
      </c>
      <c r="G125" s="1">
        <v>2</v>
      </c>
      <c r="H125" s="1" t="s">
        <v>4631</v>
      </c>
      <c r="I125" s="1" t="s">
        <v>12321</v>
      </c>
      <c r="J125" s="1" t="s">
        <v>11803</v>
      </c>
      <c r="K125" s="1"/>
      <c r="L125" s="1"/>
      <c r="M125" s="1"/>
      <c r="N125" s="1"/>
      <c r="O125" s="1"/>
      <c r="P125" s="1" t="s">
        <v>12322</v>
      </c>
      <c r="Q125" s="1" t="s">
        <v>12323</v>
      </c>
      <c r="R125" s="1"/>
      <c r="S125" s="1" t="str">
        <f t="shared" si="3"/>
        <v>Clearly reported</v>
      </c>
      <c r="T125" s="1" t="str">
        <f t="shared" si="4"/>
        <v>Clearly reported</v>
      </c>
      <c r="U125" s="1" t="str">
        <f t="shared" si="5"/>
        <v>Clearly reported</v>
      </c>
    </row>
    <row r="126" spans="1:21" ht="36" customHeight="1">
      <c r="A126" s="1" t="s">
        <v>4950</v>
      </c>
      <c r="B126" s="1" t="s">
        <v>4688</v>
      </c>
      <c r="C126" s="1" t="s">
        <v>4714</v>
      </c>
      <c r="D126" s="1" t="s">
        <v>4715</v>
      </c>
      <c r="E126" s="1">
        <v>2</v>
      </c>
      <c r="F126" s="1">
        <v>1</v>
      </c>
      <c r="G126" s="1">
        <v>1</v>
      </c>
      <c r="H126" s="1" t="s">
        <v>4646</v>
      </c>
      <c r="I126" s="1" t="s">
        <v>4958</v>
      </c>
      <c r="J126" s="1" t="s">
        <v>4959</v>
      </c>
      <c r="K126" s="1"/>
      <c r="L126" s="1" t="s">
        <v>4960</v>
      </c>
      <c r="M126" s="1" t="s">
        <v>4961</v>
      </c>
      <c r="N126" s="1" t="s">
        <v>4720</v>
      </c>
      <c r="O126" s="1" t="s">
        <v>4721</v>
      </c>
      <c r="P126" s="1" t="s">
        <v>4962</v>
      </c>
      <c r="Q126" s="1" t="s">
        <v>4963</v>
      </c>
      <c r="R126" s="1" t="s">
        <v>4964</v>
      </c>
      <c r="S126" s="1" t="str">
        <f t="shared" si="3"/>
        <v>Clearly reported</v>
      </c>
      <c r="T126" s="1" t="str">
        <f t="shared" si="4"/>
        <v>Partly reported</v>
      </c>
      <c r="U126" s="1" t="str">
        <f t="shared" si="5"/>
        <v>Partly reported</v>
      </c>
    </row>
    <row r="127" spans="1:21" ht="84" customHeight="1">
      <c r="A127" s="1" t="s">
        <v>4950</v>
      </c>
      <c r="B127" s="1" t="s">
        <v>4688</v>
      </c>
      <c r="C127" s="1" t="s">
        <v>4689</v>
      </c>
      <c r="D127" s="1" t="s">
        <v>4690</v>
      </c>
      <c r="E127" s="1">
        <v>0</v>
      </c>
      <c r="F127" s="1">
        <v>1</v>
      </c>
      <c r="G127" s="1">
        <v>0</v>
      </c>
      <c r="H127" s="1" t="s">
        <v>4691</v>
      </c>
      <c r="I127" s="1" t="s">
        <v>4965</v>
      </c>
      <c r="J127" s="1" t="s">
        <v>4966</v>
      </c>
      <c r="K127" s="1"/>
      <c r="L127" s="1" t="s">
        <v>4967</v>
      </c>
      <c r="M127" s="1" t="s">
        <v>4968</v>
      </c>
      <c r="N127" s="1" t="s">
        <v>4969</v>
      </c>
      <c r="O127" s="1" t="s">
        <v>4697</v>
      </c>
      <c r="P127" s="1" t="s">
        <v>4970</v>
      </c>
      <c r="Q127" s="1" t="s">
        <v>4971</v>
      </c>
      <c r="R127" s="1" t="s">
        <v>4972</v>
      </c>
      <c r="S127" s="1" t="str">
        <f t="shared" si="3"/>
        <v>Not reported</v>
      </c>
      <c r="T127" s="1" t="str">
        <f t="shared" si="4"/>
        <v>Partly reported</v>
      </c>
      <c r="U127" s="1" t="str">
        <f t="shared" si="5"/>
        <v>Not reported</v>
      </c>
    </row>
    <row r="128" spans="1:21" ht="24" customHeight="1">
      <c r="A128" s="1" t="s">
        <v>4973</v>
      </c>
      <c r="B128" s="1" t="s">
        <v>4688</v>
      </c>
      <c r="C128" s="1" t="s">
        <v>5475</v>
      </c>
      <c r="D128" s="1" t="s">
        <v>5476</v>
      </c>
      <c r="E128" s="1">
        <v>2</v>
      </c>
      <c r="F128" s="1">
        <v>2</v>
      </c>
      <c r="G128" s="1">
        <v>2</v>
      </c>
      <c r="H128" s="1" t="s">
        <v>4631</v>
      </c>
      <c r="I128" s="1" t="s">
        <v>12324</v>
      </c>
      <c r="J128" s="1" t="s">
        <v>4764</v>
      </c>
      <c r="K128" s="1"/>
      <c r="L128" s="1"/>
      <c r="M128" s="1"/>
      <c r="N128" s="1"/>
      <c r="O128" s="1"/>
      <c r="P128" s="1" t="s">
        <v>12325</v>
      </c>
      <c r="Q128" s="1" t="s">
        <v>12326</v>
      </c>
      <c r="R128" s="1"/>
      <c r="S128" s="1" t="str">
        <f t="shared" si="3"/>
        <v>Clearly reported</v>
      </c>
      <c r="T128" s="1" t="str">
        <f t="shared" si="4"/>
        <v>Clearly reported</v>
      </c>
      <c r="U128" s="1" t="str">
        <f t="shared" si="5"/>
        <v>Clearly reported</v>
      </c>
    </row>
    <row r="129" spans="1:21" ht="15" customHeight="1">
      <c r="A129" s="1" t="s">
        <v>4973</v>
      </c>
      <c r="B129" s="1" t="s">
        <v>4688</v>
      </c>
      <c r="C129" s="1" t="s">
        <v>5390</v>
      </c>
      <c r="D129" s="1" t="s">
        <v>5391</v>
      </c>
      <c r="E129" s="1">
        <v>2</v>
      </c>
      <c r="F129" s="1">
        <v>2</v>
      </c>
      <c r="G129" s="1">
        <v>2</v>
      </c>
      <c r="H129" s="1" t="s">
        <v>4631</v>
      </c>
      <c r="I129" s="1" t="s">
        <v>12327</v>
      </c>
      <c r="J129" s="1" t="s">
        <v>4862</v>
      </c>
      <c r="K129" s="1"/>
      <c r="L129" s="1"/>
      <c r="M129" s="1"/>
      <c r="N129" s="1"/>
      <c r="O129" s="1"/>
      <c r="P129" s="1" t="s">
        <v>12328</v>
      </c>
      <c r="Q129" s="1" t="s">
        <v>12329</v>
      </c>
      <c r="R129" s="1"/>
      <c r="S129" s="1" t="str">
        <f t="shared" si="3"/>
        <v>Clearly reported</v>
      </c>
      <c r="T129" s="1" t="str">
        <f t="shared" si="4"/>
        <v>Clearly reported</v>
      </c>
      <c r="U129" s="1" t="str">
        <f t="shared" si="5"/>
        <v>Clearly reported</v>
      </c>
    </row>
    <row r="130" spans="1:21" ht="15" customHeight="1">
      <c r="A130" s="1" t="s">
        <v>4973</v>
      </c>
      <c r="B130" s="1" t="s">
        <v>4688</v>
      </c>
      <c r="C130" s="1" t="s">
        <v>4734</v>
      </c>
      <c r="D130" s="1" t="s">
        <v>4735</v>
      </c>
      <c r="E130" s="1">
        <v>2</v>
      </c>
      <c r="F130" s="1">
        <v>2</v>
      </c>
      <c r="G130" s="1">
        <v>2</v>
      </c>
      <c r="H130" s="1" t="s">
        <v>4631</v>
      </c>
      <c r="I130" s="1" t="s">
        <v>8079</v>
      </c>
      <c r="J130" s="1" t="s">
        <v>4862</v>
      </c>
      <c r="K130" s="1"/>
      <c r="L130" s="1"/>
      <c r="M130" s="1"/>
      <c r="N130" s="1"/>
      <c r="O130" s="1"/>
      <c r="P130" s="1" t="s">
        <v>12330</v>
      </c>
      <c r="Q130" s="1" t="s">
        <v>12331</v>
      </c>
      <c r="R130" s="1"/>
      <c r="S130" s="1" t="str">
        <f t="shared" ref="S130:S193" si="6">IF(ISNUMBER(E130),CHOOSE(E130+1,"Not reported","Partly reported","Clearly reported"),IF(E130="NA","Not applicable","Pending"))</f>
        <v>Clearly reported</v>
      </c>
      <c r="T130" s="1" t="str">
        <f t="shared" ref="T130:T193" si="7">IF(ISNUMBER(F130),CHOOSE(F130+1,"Not reported","Partly reported","Clearly reported"),IF(F130="NA","Not applicable","Pending"))</f>
        <v>Clearly reported</v>
      </c>
      <c r="U130" s="1" t="str">
        <f t="shared" ref="U130:U193" si="8">IF(ISNUMBER(G130),CHOOSE(G130+1,"Not reported","Partly reported","Clearly reported"),IF(G130="NA","Not applicable","Pending"))</f>
        <v>Clearly reported</v>
      </c>
    </row>
    <row r="131" spans="1:21" ht="15" customHeight="1">
      <c r="A131" s="1" t="s">
        <v>4973</v>
      </c>
      <c r="B131" s="1" t="s">
        <v>4688</v>
      </c>
      <c r="C131" s="1" t="s">
        <v>4893</v>
      </c>
      <c r="D131" s="1" t="s">
        <v>4894</v>
      </c>
      <c r="E131" s="1">
        <v>2</v>
      </c>
      <c r="F131" s="1">
        <v>2</v>
      </c>
      <c r="G131" s="1">
        <v>2</v>
      </c>
      <c r="H131" s="1" t="s">
        <v>4631</v>
      </c>
      <c r="I131" s="1" t="s">
        <v>8085</v>
      </c>
      <c r="J131" s="1" t="s">
        <v>4886</v>
      </c>
      <c r="K131" s="1"/>
      <c r="L131" s="1"/>
      <c r="M131" s="1"/>
      <c r="N131" s="1"/>
      <c r="O131" s="1"/>
      <c r="P131" s="1" t="s">
        <v>12332</v>
      </c>
      <c r="Q131" s="1" t="s">
        <v>12333</v>
      </c>
      <c r="R131" s="1"/>
      <c r="S131" s="1" t="str">
        <f t="shared" si="6"/>
        <v>Clearly reported</v>
      </c>
      <c r="T131" s="1" t="str">
        <f t="shared" si="7"/>
        <v>Clearly reported</v>
      </c>
      <c r="U131" s="1" t="str">
        <f t="shared" si="8"/>
        <v>Clearly reported</v>
      </c>
    </row>
    <row r="132" spans="1:21" ht="72" customHeight="1">
      <c r="A132" s="1" t="s">
        <v>4973</v>
      </c>
      <c r="B132" s="1" t="s">
        <v>4688</v>
      </c>
      <c r="C132" s="1" t="s">
        <v>4744</v>
      </c>
      <c r="D132" s="1" t="s">
        <v>4745</v>
      </c>
      <c r="E132" s="1">
        <v>2</v>
      </c>
      <c r="F132" s="1">
        <v>0</v>
      </c>
      <c r="G132" s="1">
        <v>1</v>
      </c>
      <c r="H132" s="1" t="s">
        <v>4691</v>
      </c>
      <c r="I132" s="1" t="s">
        <v>4983</v>
      </c>
      <c r="J132" s="1" t="s">
        <v>4747</v>
      </c>
      <c r="K132" s="1"/>
      <c r="L132" s="1" t="s">
        <v>4984</v>
      </c>
      <c r="M132" s="1" t="s">
        <v>4985</v>
      </c>
      <c r="N132" s="1" t="s">
        <v>4986</v>
      </c>
      <c r="O132" s="1" t="s">
        <v>4697</v>
      </c>
      <c r="P132" s="1" t="s">
        <v>4987</v>
      </c>
      <c r="Q132" s="1" t="s">
        <v>4988</v>
      </c>
      <c r="R132" s="1" t="s">
        <v>4989</v>
      </c>
      <c r="S132" s="1" t="str">
        <f t="shared" si="6"/>
        <v>Clearly reported</v>
      </c>
      <c r="T132" s="1" t="str">
        <f t="shared" si="7"/>
        <v>Not reported</v>
      </c>
      <c r="U132" s="1" t="str">
        <f t="shared" si="8"/>
        <v>Partly reported</v>
      </c>
    </row>
    <row r="133" spans="1:21" ht="15" customHeight="1">
      <c r="A133" s="1" t="s">
        <v>4973</v>
      </c>
      <c r="B133" s="1" t="s">
        <v>4688</v>
      </c>
      <c r="C133" s="1" t="s">
        <v>5117</v>
      </c>
      <c r="D133" s="1" t="s">
        <v>5118</v>
      </c>
      <c r="E133" s="1">
        <v>2</v>
      </c>
      <c r="F133" s="1">
        <v>2</v>
      </c>
      <c r="G133" s="1">
        <v>2</v>
      </c>
      <c r="H133" s="1" t="s">
        <v>4631</v>
      </c>
      <c r="I133" s="1" t="s">
        <v>12334</v>
      </c>
      <c r="J133" s="1" t="s">
        <v>4862</v>
      </c>
      <c r="K133" s="1"/>
      <c r="L133" s="1"/>
      <c r="M133" s="1"/>
      <c r="N133" s="1"/>
      <c r="O133" s="1"/>
      <c r="P133" s="1" t="s">
        <v>12335</v>
      </c>
      <c r="Q133" s="1" t="s">
        <v>12336</v>
      </c>
      <c r="R133" s="1"/>
      <c r="S133" s="1" t="str">
        <f t="shared" si="6"/>
        <v>Clearly reported</v>
      </c>
      <c r="T133" s="1" t="str">
        <f t="shared" si="7"/>
        <v>Clearly reported</v>
      </c>
      <c r="U133" s="1" t="str">
        <f t="shared" si="8"/>
        <v>Clearly reported</v>
      </c>
    </row>
    <row r="134" spans="1:21" ht="60" customHeight="1">
      <c r="A134" s="1" t="s">
        <v>4973</v>
      </c>
      <c r="B134" s="1" t="s">
        <v>4688</v>
      </c>
      <c r="C134" s="1" t="s">
        <v>4810</v>
      </c>
      <c r="D134" s="1" t="s">
        <v>4811</v>
      </c>
      <c r="E134" s="1">
        <v>2</v>
      </c>
      <c r="F134" s="1">
        <v>0</v>
      </c>
      <c r="G134" s="1">
        <v>2</v>
      </c>
      <c r="H134" s="1" t="s">
        <v>4691</v>
      </c>
      <c r="I134" s="1" t="s">
        <v>4990</v>
      </c>
      <c r="J134" s="1" t="s">
        <v>4747</v>
      </c>
      <c r="K134" s="1"/>
      <c r="L134" s="1" t="s">
        <v>4991</v>
      </c>
      <c r="M134" s="1" t="s">
        <v>4992</v>
      </c>
      <c r="N134" s="1" t="s">
        <v>4993</v>
      </c>
      <c r="O134" s="1" t="s">
        <v>4697</v>
      </c>
      <c r="P134" s="1" t="s">
        <v>4994</v>
      </c>
      <c r="Q134" s="1" t="s">
        <v>4995</v>
      </c>
      <c r="R134" s="1" t="s">
        <v>4996</v>
      </c>
      <c r="S134" s="1" t="str">
        <f t="shared" si="6"/>
        <v>Clearly reported</v>
      </c>
      <c r="T134" s="1" t="str">
        <f t="shared" si="7"/>
        <v>Not reported</v>
      </c>
      <c r="U134" s="1" t="str">
        <f t="shared" si="8"/>
        <v>Clearly reported</v>
      </c>
    </row>
    <row r="135" spans="1:21" ht="36" customHeight="1">
      <c r="A135" s="1" t="s">
        <v>4973</v>
      </c>
      <c r="B135" s="1" t="s">
        <v>4688</v>
      </c>
      <c r="C135" s="1" t="s">
        <v>4714</v>
      </c>
      <c r="D135" s="1" t="s">
        <v>4715</v>
      </c>
      <c r="E135" s="1">
        <v>2</v>
      </c>
      <c r="F135" s="1">
        <v>1</v>
      </c>
      <c r="G135" s="1">
        <v>1</v>
      </c>
      <c r="H135" s="1" t="s">
        <v>4646</v>
      </c>
      <c r="I135" s="1" t="s">
        <v>4997</v>
      </c>
      <c r="J135" s="1" t="s">
        <v>4998</v>
      </c>
      <c r="K135" s="1"/>
      <c r="L135" s="1" t="s">
        <v>4999</v>
      </c>
      <c r="M135" s="1" t="s">
        <v>5000</v>
      </c>
      <c r="N135" s="1" t="s">
        <v>4720</v>
      </c>
      <c r="O135" s="1" t="s">
        <v>4721</v>
      </c>
      <c r="P135" s="1" t="s">
        <v>5001</v>
      </c>
      <c r="Q135" s="1" t="s">
        <v>5002</v>
      </c>
      <c r="R135" s="1" t="s">
        <v>5003</v>
      </c>
      <c r="S135" s="1" t="str">
        <f t="shared" si="6"/>
        <v>Clearly reported</v>
      </c>
      <c r="T135" s="1" t="str">
        <f t="shared" si="7"/>
        <v>Partly reported</v>
      </c>
      <c r="U135" s="1" t="str">
        <f t="shared" si="8"/>
        <v>Partly reported</v>
      </c>
    </row>
    <row r="136" spans="1:21" ht="15" customHeight="1">
      <c r="A136" s="1" t="s">
        <v>4973</v>
      </c>
      <c r="B136" s="1" t="s">
        <v>4688</v>
      </c>
      <c r="C136" s="1" t="s">
        <v>4689</v>
      </c>
      <c r="D136" s="1" t="s">
        <v>4690</v>
      </c>
      <c r="E136" s="1">
        <v>0</v>
      </c>
      <c r="F136" s="1">
        <v>0</v>
      </c>
      <c r="G136" s="1">
        <v>0</v>
      </c>
      <c r="H136" s="1" t="s">
        <v>4631</v>
      </c>
      <c r="I136" s="1" t="s">
        <v>8075</v>
      </c>
      <c r="J136" s="1" t="s">
        <v>12337</v>
      </c>
      <c r="K136" s="1"/>
      <c r="L136" s="1"/>
      <c r="M136" s="1"/>
      <c r="N136" s="1"/>
      <c r="O136" s="1"/>
      <c r="P136" s="1" t="s">
        <v>12338</v>
      </c>
      <c r="Q136" s="1" t="s">
        <v>12339</v>
      </c>
      <c r="R136" s="1"/>
      <c r="S136" s="1" t="str">
        <f t="shared" si="6"/>
        <v>Not reported</v>
      </c>
      <c r="T136" s="1" t="str">
        <f t="shared" si="7"/>
        <v>Not reported</v>
      </c>
      <c r="U136" s="1" t="str">
        <f t="shared" si="8"/>
        <v>Not reported</v>
      </c>
    </row>
    <row r="137" spans="1:21" ht="15" customHeight="1">
      <c r="A137" s="1" t="s">
        <v>5004</v>
      </c>
      <c r="B137" s="1" t="s">
        <v>4688</v>
      </c>
      <c r="C137" s="1" t="s">
        <v>5475</v>
      </c>
      <c r="D137" s="1" t="s">
        <v>5476</v>
      </c>
      <c r="E137" s="1">
        <v>2</v>
      </c>
      <c r="F137" s="1">
        <v>2</v>
      </c>
      <c r="G137" s="1">
        <v>2</v>
      </c>
      <c r="H137" s="1" t="s">
        <v>4631</v>
      </c>
      <c r="I137" s="1" t="s">
        <v>12340</v>
      </c>
      <c r="J137" s="1" t="s">
        <v>12341</v>
      </c>
      <c r="K137" s="1"/>
      <c r="L137" s="1"/>
      <c r="M137" s="1"/>
      <c r="N137" s="1"/>
      <c r="O137" s="1"/>
      <c r="P137" s="1" t="s">
        <v>12342</v>
      </c>
      <c r="Q137" s="1" t="s">
        <v>12343</v>
      </c>
      <c r="R137" s="1"/>
      <c r="S137" s="1" t="str">
        <f t="shared" si="6"/>
        <v>Clearly reported</v>
      </c>
      <c r="T137" s="1" t="str">
        <f t="shared" si="7"/>
        <v>Clearly reported</v>
      </c>
      <c r="U137" s="1" t="str">
        <f t="shared" si="8"/>
        <v>Clearly reported</v>
      </c>
    </row>
    <row r="138" spans="1:21" ht="15" customHeight="1">
      <c r="A138" s="1" t="s">
        <v>5004</v>
      </c>
      <c r="B138" s="1" t="s">
        <v>4688</v>
      </c>
      <c r="C138" s="1" t="s">
        <v>5390</v>
      </c>
      <c r="D138" s="1" t="s">
        <v>5391</v>
      </c>
      <c r="E138" s="1">
        <v>2</v>
      </c>
      <c r="F138" s="1">
        <v>2</v>
      </c>
      <c r="G138" s="1">
        <v>2</v>
      </c>
      <c r="H138" s="1" t="s">
        <v>4631</v>
      </c>
      <c r="I138" s="1" t="s">
        <v>12344</v>
      </c>
      <c r="J138" s="1" t="s">
        <v>4862</v>
      </c>
      <c r="K138" s="1"/>
      <c r="L138" s="1"/>
      <c r="M138" s="1"/>
      <c r="N138" s="1"/>
      <c r="O138" s="1"/>
      <c r="P138" s="1" t="s">
        <v>12345</v>
      </c>
      <c r="Q138" s="1" t="s">
        <v>12346</v>
      </c>
      <c r="R138" s="1"/>
      <c r="S138" s="1" t="str">
        <f t="shared" si="6"/>
        <v>Clearly reported</v>
      </c>
      <c r="T138" s="1" t="str">
        <f t="shared" si="7"/>
        <v>Clearly reported</v>
      </c>
      <c r="U138" s="1" t="str">
        <f t="shared" si="8"/>
        <v>Clearly reported</v>
      </c>
    </row>
    <row r="139" spans="1:21" ht="60" customHeight="1">
      <c r="A139" s="1" t="s">
        <v>5004</v>
      </c>
      <c r="B139" s="1" t="s">
        <v>4688</v>
      </c>
      <c r="C139" s="1" t="s">
        <v>4734</v>
      </c>
      <c r="D139" s="1" t="s">
        <v>4735</v>
      </c>
      <c r="E139" s="1">
        <v>0</v>
      </c>
      <c r="F139" s="1">
        <v>1</v>
      </c>
      <c r="G139" s="1">
        <v>0</v>
      </c>
      <c r="H139" s="1" t="s">
        <v>4691</v>
      </c>
      <c r="I139" s="1" t="s">
        <v>4747</v>
      </c>
      <c r="J139" s="1" t="s">
        <v>5005</v>
      </c>
      <c r="K139" s="1"/>
      <c r="L139" s="1" t="s">
        <v>5006</v>
      </c>
      <c r="M139" s="1" t="s">
        <v>5007</v>
      </c>
      <c r="N139" s="1" t="s">
        <v>5008</v>
      </c>
      <c r="O139" s="1" t="s">
        <v>4697</v>
      </c>
      <c r="P139" s="1" t="s">
        <v>5009</v>
      </c>
      <c r="Q139" s="1" t="s">
        <v>5010</v>
      </c>
      <c r="R139" s="1" t="s">
        <v>5011</v>
      </c>
      <c r="S139" s="1" t="str">
        <f t="shared" si="6"/>
        <v>Not reported</v>
      </c>
      <c r="T139" s="1" t="str">
        <f t="shared" si="7"/>
        <v>Partly reported</v>
      </c>
      <c r="U139" s="1" t="str">
        <f t="shared" si="8"/>
        <v>Not reported</v>
      </c>
    </row>
    <row r="140" spans="1:21" ht="15" customHeight="1">
      <c r="A140" s="1" t="s">
        <v>5004</v>
      </c>
      <c r="B140" s="1" t="s">
        <v>4688</v>
      </c>
      <c r="C140" s="1" t="s">
        <v>4893</v>
      </c>
      <c r="D140" s="1" t="s">
        <v>4894</v>
      </c>
      <c r="E140" s="1">
        <v>0</v>
      </c>
      <c r="F140" s="1">
        <v>0</v>
      </c>
      <c r="G140" s="1">
        <v>0</v>
      </c>
      <c r="H140" s="1" t="s">
        <v>4631</v>
      </c>
      <c r="I140" s="1" t="s">
        <v>4747</v>
      </c>
      <c r="J140" s="1" t="s">
        <v>4747</v>
      </c>
      <c r="K140" s="1"/>
      <c r="L140" s="1"/>
      <c r="M140" s="1"/>
      <c r="N140" s="1"/>
      <c r="O140" s="1"/>
      <c r="P140" s="1" t="s">
        <v>12347</v>
      </c>
      <c r="Q140" s="1" t="s">
        <v>12348</v>
      </c>
      <c r="R140" s="1"/>
      <c r="S140" s="1" t="str">
        <f t="shared" si="6"/>
        <v>Not reported</v>
      </c>
      <c r="T140" s="1" t="str">
        <f t="shared" si="7"/>
        <v>Not reported</v>
      </c>
      <c r="U140" s="1" t="str">
        <f t="shared" si="8"/>
        <v>Not reported</v>
      </c>
    </row>
    <row r="141" spans="1:21" ht="15" customHeight="1">
      <c r="A141" s="1" t="s">
        <v>5004</v>
      </c>
      <c r="B141" s="1" t="s">
        <v>4688</v>
      </c>
      <c r="C141" s="1" t="s">
        <v>4744</v>
      </c>
      <c r="D141" s="1" t="s">
        <v>4745</v>
      </c>
      <c r="E141" s="1">
        <v>1</v>
      </c>
      <c r="F141" s="1">
        <v>1</v>
      </c>
      <c r="G141" s="1">
        <v>1</v>
      </c>
      <c r="H141" s="1" t="s">
        <v>4631</v>
      </c>
      <c r="I141" s="1" t="s">
        <v>12349</v>
      </c>
      <c r="J141" s="1" t="s">
        <v>4862</v>
      </c>
      <c r="K141" s="1"/>
      <c r="L141" s="1"/>
      <c r="M141" s="1"/>
      <c r="N141" s="1"/>
      <c r="O141" s="1"/>
      <c r="P141" s="1" t="s">
        <v>12350</v>
      </c>
      <c r="Q141" s="1" t="s">
        <v>12351</v>
      </c>
      <c r="R141" s="1"/>
      <c r="S141" s="1" t="str">
        <f t="shared" si="6"/>
        <v>Partly reported</v>
      </c>
      <c r="T141" s="1" t="str">
        <f t="shared" si="7"/>
        <v>Partly reported</v>
      </c>
      <c r="U141" s="1" t="str">
        <f t="shared" si="8"/>
        <v>Partly reported</v>
      </c>
    </row>
    <row r="142" spans="1:21" ht="15" customHeight="1">
      <c r="A142" s="1" t="s">
        <v>5004</v>
      </c>
      <c r="B142" s="1" t="s">
        <v>4688</v>
      </c>
      <c r="C142" s="1" t="s">
        <v>5117</v>
      </c>
      <c r="D142" s="1" t="s">
        <v>5118</v>
      </c>
      <c r="E142" s="1">
        <v>0</v>
      </c>
      <c r="F142" s="1">
        <v>0</v>
      </c>
      <c r="G142" s="1">
        <v>0</v>
      </c>
      <c r="H142" s="1" t="s">
        <v>4631</v>
      </c>
      <c r="I142" s="1" t="s">
        <v>4763</v>
      </c>
      <c r="J142" s="1" t="s">
        <v>4747</v>
      </c>
      <c r="K142" s="1"/>
      <c r="L142" s="1"/>
      <c r="M142" s="1"/>
      <c r="N142" s="1"/>
      <c r="O142" s="1"/>
      <c r="P142" s="1" t="s">
        <v>12352</v>
      </c>
      <c r="Q142" s="1" t="s">
        <v>12353</v>
      </c>
      <c r="R142" s="1"/>
      <c r="S142" s="1" t="str">
        <f t="shared" si="6"/>
        <v>Not reported</v>
      </c>
      <c r="T142" s="1" t="str">
        <f t="shared" si="7"/>
        <v>Not reported</v>
      </c>
      <c r="U142" s="1" t="str">
        <f t="shared" si="8"/>
        <v>Not reported</v>
      </c>
    </row>
    <row r="143" spans="1:21" ht="15" customHeight="1">
      <c r="A143" s="1" t="s">
        <v>5004</v>
      </c>
      <c r="B143" s="1" t="s">
        <v>4688</v>
      </c>
      <c r="C143" s="1" t="s">
        <v>4810</v>
      </c>
      <c r="D143" s="1" t="s">
        <v>4811</v>
      </c>
      <c r="E143" s="1">
        <v>0</v>
      </c>
      <c r="F143" s="1">
        <v>0</v>
      </c>
      <c r="G143" s="1">
        <v>0</v>
      </c>
      <c r="H143" s="1" t="s">
        <v>4631</v>
      </c>
      <c r="I143" s="1" t="s">
        <v>12066</v>
      </c>
      <c r="J143" s="1" t="s">
        <v>4747</v>
      </c>
      <c r="K143" s="1"/>
      <c r="L143" s="1"/>
      <c r="M143" s="1"/>
      <c r="N143" s="1"/>
      <c r="O143" s="1"/>
      <c r="P143" s="1" t="s">
        <v>12354</v>
      </c>
      <c r="Q143" s="1" t="s">
        <v>12355</v>
      </c>
      <c r="R143" s="1"/>
      <c r="S143" s="1" t="str">
        <f t="shared" si="6"/>
        <v>Not reported</v>
      </c>
      <c r="T143" s="1" t="str">
        <f t="shared" si="7"/>
        <v>Not reported</v>
      </c>
      <c r="U143" s="1" t="str">
        <f t="shared" si="8"/>
        <v>Not reported</v>
      </c>
    </row>
    <row r="144" spans="1:21" ht="36" customHeight="1">
      <c r="A144" s="1" t="s">
        <v>5004</v>
      </c>
      <c r="B144" s="1" t="s">
        <v>4688</v>
      </c>
      <c r="C144" s="1" t="s">
        <v>4714</v>
      </c>
      <c r="D144" s="1" t="s">
        <v>4715</v>
      </c>
      <c r="E144" s="1">
        <v>2</v>
      </c>
      <c r="F144" s="1">
        <v>2</v>
      </c>
      <c r="G144" s="1">
        <v>2</v>
      </c>
      <c r="H144" s="1" t="s">
        <v>4631</v>
      </c>
      <c r="I144" s="1" t="s">
        <v>12356</v>
      </c>
      <c r="J144" s="1" t="s">
        <v>4935</v>
      </c>
      <c r="K144" s="1"/>
      <c r="L144" s="1"/>
      <c r="M144" s="1"/>
      <c r="N144" s="1"/>
      <c r="O144" s="1"/>
      <c r="P144" s="1" t="s">
        <v>12357</v>
      </c>
      <c r="Q144" s="1" t="s">
        <v>12358</v>
      </c>
      <c r="R144" s="1"/>
      <c r="S144" s="1" t="str">
        <f t="shared" si="6"/>
        <v>Clearly reported</v>
      </c>
      <c r="T144" s="1" t="str">
        <f t="shared" si="7"/>
        <v>Clearly reported</v>
      </c>
      <c r="U144" s="1" t="str">
        <f t="shared" si="8"/>
        <v>Clearly reported</v>
      </c>
    </row>
    <row r="145" spans="1:21" ht="15" customHeight="1">
      <c r="A145" s="1" t="s">
        <v>5004</v>
      </c>
      <c r="B145" s="1" t="s">
        <v>4688</v>
      </c>
      <c r="C145" s="1" t="s">
        <v>4689</v>
      </c>
      <c r="D145" s="1" t="s">
        <v>4690</v>
      </c>
      <c r="E145" s="1">
        <v>1</v>
      </c>
      <c r="F145" s="1">
        <v>1</v>
      </c>
      <c r="G145" s="1">
        <v>1</v>
      </c>
      <c r="H145" s="1" t="s">
        <v>4631</v>
      </c>
      <c r="I145" s="1" t="s">
        <v>8202</v>
      </c>
      <c r="J145" s="1" t="s">
        <v>11803</v>
      </c>
      <c r="K145" s="1"/>
      <c r="L145" s="1"/>
      <c r="M145" s="1"/>
      <c r="N145" s="1"/>
      <c r="O145" s="1"/>
      <c r="P145" s="1" t="s">
        <v>12359</v>
      </c>
      <c r="Q145" s="1" t="s">
        <v>12360</v>
      </c>
      <c r="R145" s="1"/>
      <c r="S145" s="1" t="str">
        <f t="shared" si="6"/>
        <v>Partly reported</v>
      </c>
      <c r="T145" s="1" t="str">
        <f t="shared" si="7"/>
        <v>Partly reported</v>
      </c>
      <c r="U145" s="1" t="str">
        <f t="shared" si="8"/>
        <v>Partly reported</v>
      </c>
    </row>
    <row r="146" spans="1:21" ht="24" customHeight="1">
      <c r="A146" s="1" t="s">
        <v>5012</v>
      </c>
      <c r="B146" s="1" t="s">
        <v>4688</v>
      </c>
      <c r="C146" s="1" t="s">
        <v>5475</v>
      </c>
      <c r="D146" s="1" t="s">
        <v>5476</v>
      </c>
      <c r="E146" s="1">
        <v>2</v>
      </c>
      <c r="F146" s="1">
        <v>2</v>
      </c>
      <c r="G146" s="1">
        <v>2</v>
      </c>
      <c r="H146" s="1" t="s">
        <v>4631</v>
      </c>
      <c r="I146" s="1" t="s">
        <v>12361</v>
      </c>
      <c r="J146" s="1" t="s">
        <v>4717</v>
      </c>
      <c r="K146" s="1"/>
      <c r="L146" s="1"/>
      <c r="M146" s="1"/>
      <c r="N146" s="1"/>
      <c r="O146" s="1"/>
      <c r="P146" s="1" t="s">
        <v>12362</v>
      </c>
      <c r="Q146" s="1" t="s">
        <v>12363</v>
      </c>
      <c r="R146" s="1"/>
      <c r="S146" s="1" t="str">
        <f t="shared" si="6"/>
        <v>Clearly reported</v>
      </c>
      <c r="T146" s="1" t="str">
        <f t="shared" si="7"/>
        <v>Clearly reported</v>
      </c>
      <c r="U146" s="1" t="str">
        <f t="shared" si="8"/>
        <v>Clearly reported</v>
      </c>
    </row>
    <row r="147" spans="1:21" ht="15" customHeight="1">
      <c r="A147" s="1" t="s">
        <v>5012</v>
      </c>
      <c r="B147" s="1" t="s">
        <v>4688</v>
      </c>
      <c r="C147" s="1" t="s">
        <v>5390</v>
      </c>
      <c r="D147" s="1" t="s">
        <v>5391</v>
      </c>
      <c r="E147" s="1">
        <v>2</v>
      </c>
      <c r="F147" s="1">
        <v>2</v>
      </c>
      <c r="G147" s="1">
        <v>2</v>
      </c>
      <c r="H147" s="1" t="s">
        <v>4631</v>
      </c>
      <c r="I147" s="1" t="s">
        <v>12364</v>
      </c>
      <c r="J147" s="1" t="s">
        <v>4862</v>
      </c>
      <c r="K147" s="1"/>
      <c r="L147" s="1"/>
      <c r="M147" s="1"/>
      <c r="N147" s="1"/>
      <c r="O147" s="1"/>
      <c r="P147" s="1" t="s">
        <v>12365</v>
      </c>
      <c r="Q147" s="1" t="s">
        <v>12366</v>
      </c>
      <c r="R147" s="1"/>
      <c r="S147" s="1" t="str">
        <f t="shared" si="6"/>
        <v>Clearly reported</v>
      </c>
      <c r="T147" s="1" t="str">
        <f t="shared" si="7"/>
        <v>Clearly reported</v>
      </c>
      <c r="U147" s="1" t="str">
        <f t="shared" si="8"/>
        <v>Clearly reported</v>
      </c>
    </row>
    <row r="148" spans="1:21" ht="15" customHeight="1">
      <c r="A148" s="1" t="s">
        <v>5012</v>
      </c>
      <c r="B148" s="1" t="s">
        <v>4688</v>
      </c>
      <c r="C148" s="1" t="s">
        <v>4734</v>
      </c>
      <c r="D148" s="1" t="s">
        <v>4735</v>
      </c>
      <c r="E148" s="1">
        <v>2</v>
      </c>
      <c r="F148" s="1">
        <v>2</v>
      </c>
      <c r="G148" s="1">
        <v>2</v>
      </c>
      <c r="H148" s="1" t="s">
        <v>4631</v>
      </c>
      <c r="I148" s="1" t="s">
        <v>8319</v>
      </c>
      <c r="J148" s="1" t="s">
        <v>5005</v>
      </c>
      <c r="K148" s="1"/>
      <c r="L148" s="1"/>
      <c r="M148" s="1"/>
      <c r="N148" s="1"/>
      <c r="O148" s="1"/>
      <c r="P148" s="1" t="s">
        <v>12367</v>
      </c>
      <c r="Q148" s="1" t="s">
        <v>12368</v>
      </c>
      <c r="R148" s="1"/>
      <c r="S148" s="1" t="str">
        <f t="shared" si="6"/>
        <v>Clearly reported</v>
      </c>
      <c r="T148" s="1" t="str">
        <f t="shared" si="7"/>
        <v>Clearly reported</v>
      </c>
      <c r="U148" s="1" t="str">
        <f t="shared" si="8"/>
        <v>Clearly reported</v>
      </c>
    </row>
    <row r="149" spans="1:21" ht="48" customHeight="1">
      <c r="A149" s="1" t="s">
        <v>5012</v>
      </c>
      <c r="B149" s="1" t="s">
        <v>4688</v>
      </c>
      <c r="C149" s="1" t="s">
        <v>4893</v>
      </c>
      <c r="D149" s="1" t="s">
        <v>4894</v>
      </c>
      <c r="E149" s="1">
        <v>2</v>
      </c>
      <c r="F149" s="1">
        <v>1</v>
      </c>
      <c r="G149" s="1">
        <v>2</v>
      </c>
      <c r="H149" s="1" t="s">
        <v>4691</v>
      </c>
      <c r="I149" s="1" t="s">
        <v>5013</v>
      </c>
      <c r="J149" s="1" t="s">
        <v>4935</v>
      </c>
      <c r="K149" s="1"/>
      <c r="L149" s="1" t="s">
        <v>5014</v>
      </c>
      <c r="M149" s="1" t="s">
        <v>5015</v>
      </c>
      <c r="N149" s="1" t="s">
        <v>5016</v>
      </c>
      <c r="O149" s="1" t="s">
        <v>4697</v>
      </c>
      <c r="P149" s="1" t="s">
        <v>5017</v>
      </c>
      <c r="Q149" s="1" t="s">
        <v>5018</v>
      </c>
      <c r="R149" s="1" t="s">
        <v>5019</v>
      </c>
      <c r="S149" s="1" t="str">
        <f t="shared" si="6"/>
        <v>Clearly reported</v>
      </c>
      <c r="T149" s="1" t="str">
        <f t="shared" si="7"/>
        <v>Partly reported</v>
      </c>
      <c r="U149" s="1" t="str">
        <f t="shared" si="8"/>
        <v>Clearly reported</v>
      </c>
    </row>
    <row r="150" spans="1:21" ht="84" customHeight="1">
      <c r="A150" s="1" t="s">
        <v>5012</v>
      </c>
      <c r="B150" s="1" t="s">
        <v>4688</v>
      </c>
      <c r="C150" s="1" t="s">
        <v>4744</v>
      </c>
      <c r="D150" s="1" t="s">
        <v>4745</v>
      </c>
      <c r="E150" s="1">
        <v>2</v>
      </c>
      <c r="F150" s="1">
        <v>0</v>
      </c>
      <c r="G150" s="1">
        <v>1</v>
      </c>
      <c r="H150" s="1" t="s">
        <v>4691</v>
      </c>
      <c r="I150" s="1" t="s">
        <v>5020</v>
      </c>
      <c r="J150" s="1" t="s">
        <v>4747</v>
      </c>
      <c r="K150" s="1"/>
      <c r="L150" s="1" t="s">
        <v>5021</v>
      </c>
      <c r="M150" s="1" t="s">
        <v>5022</v>
      </c>
      <c r="N150" s="1" t="s">
        <v>5023</v>
      </c>
      <c r="O150" s="1" t="s">
        <v>4697</v>
      </c>
      <c r="P150" s="1" t="s">
        <v>5024</v>
      </c>
      <c r="Q150" s="1" t="s">
        <v>5025</v>
      </c>
      <c r="R150" s="1" t="s">
        <v>5026</v>
      </c>
      <c r="S150" s="1" t="str">
        <f t="shared" si="6"/>
        <v>Clearly reported</v>
      </c>
      <c r="T150" s="1" t="str">
        <f t="shared" si="7"/>
        <v>Not reported</v>
      </c>
      <c r="U150" s="1" t="str">
        <f t="shared" si="8"/>
        <v>Partly reported</v>
      </c>
    </row>
    <row r="151" spans="1:21" ht="15" customHeight="1">
      <c r="A151" s="1" t="s">
        <v>5012</v>
      </c>
      <c r="B151" s="1" t="s">
        <v>4688</v>
      </c>
      <c r="C151" s="1" t="s">
        <v>5117</v>
      </c>
      <c r="D151" s="1" t="s">
        <v>5118</v>
      </c>
      <c r="E151" s="1">
        <v>2</v>
      </c>
      <c r="F151" s="1">
        <v>2</v>
      </c>
      <c r="G151" s="1">
        <v>2</v>
      </c>
      <c r="H151" s="1" t="s">
        <v>4631</v>
      </c>
      <c r="I151" s="1" t="s">
        <v>12369</v>
      </c>
      <c r="J151" s="1" t="s">
        <v>12370</v>
      </c>
      <c r="K151" s="1"/>
      <c r="L151" s="1"/>
      <c r="M151" s="1"/>
      <c r="N151" s="1"/>
      <c r="O151" s="1"/>
      <c r="P151" s="1" t="s">
        <v>12371</v>
      </c>
      <c r="Q151" s="1" t="s">
        <v>12372</v>
      </c>
      <c r="R151" s="1"/>
      <c r="S151" s="1" t="str">
        <f t="shared" si="6"/>
        <v>Clearly reported</v>
      </c>
      <c r="T151" s="1" t="str">
        <f t="shared" si="7"/>
        <v>Clearly reported</v>
      </c>
      <c r="U151" s="1" t="str">
        <f t="shared" si="8"/>
        <v>Clearly reported</v>
      </c>
    </row>
    <row r="152" spans="1:21" ht="60" customHeight="1">
      <c r="A152" s="1" t="s">
        <v>5012</v>
      </c>
      <c r="B152" s="1" t="s">
        <v>4688</v>
      </c>
      <c r="C152" s="1" t="s">
        <v>4810</v>
      </c>
      <c r="D152" s="1" t="s">
        <v>4811</v>
      </c>
      <c r="E152" s="1">
        <v>2</v>
      </c>
      <c r="F152" s="1">
        <v>1</v>
      </c>
      <c r="G152" s="1">
        <v>2</v>
      </c>
      <c r="H152" s="1" t="s">
        <v>4691</v>
      </c>
      <c r="I152" s="1" t="s">
        <v>5027</v>
      </c>
      <c r="J152" s="1" t="s">
        <v>5028</v>
      </c>
      <c r="K152" s="1"/>
      <c r="L152" s="1" t="s">
        <v>5029</v>
      </c>
      <c r="M152" s="1" t="s">
        <v>5030</v>
      </c>
      <c r="N152" s="1" t="s">
        <v>5031</v>
      </c>
      <c r="O152" s="1" t="s">
        <v>4697</v>
      </c>
      <c r="P152" s="1" t="s">
        <v>5032</v>
      </c>
      <c r="Q152" s="1" t="s">
        <v>5033</v>
      </c>
      <c r="R152" s="1" t="s">
        <v>5034</v>
      </c>
      <c r="S152" s="1" t="str">
        <f t="shared" si="6"/>
        <v>Clearly reported</v>
      </c>
      <c r="T152" s="1" t="str">
        <f t="shared" si="7"/>
        <v>Partly reported</v>
      </c>
      <c r="U152" s="1" t="str">
        <f t="shared" si="8"/>
        <v>Clearly reported</v>
      </c>
    </row>
    <row r="153" spans="1:21" ht="36" customHeight="1">
      <c r="A153" s="1" t="s">
        <v>5012</v>
      </c>
      <c r="B153" s="1" t="s">
        <v>4688</v>
      </c>
      <c r="C153" s="1" t="s">
        <v>4714</v>
      </c>
      <c r="D153" s="1" t="s">
        <v>4715</v>
      </c>
      <c r="E153" s="1">
        <v>2</v>
      </c>
      <c r="F153" s="1">
        <v>1</v>
      </c>
      <c r="G153" s="1">
        <v>1</v>
      </c>
      <c r="H153" s="1" t="s">
        <v>4646</v>
      </c>
      <c r="I153" s="1" t="s">
        <v>5035</v>
      </c>
      <c r="J153" s="1" t="s">
        <v>4935</v>
      </c>
      <c r="K153" s="1"/>
      <c r="L153" s="1" t="s">
        <v>5036</v>
      </c>
      <c r="M153" s="1" t="s">
        <v>5037</v>
      </c>
      <c r="N153" s="1" t="s">
        <v>4720</v>
      </c>
      <c r="O153" s="1" t="s">
        <v>4721</v>
      </c>
      <c r="P153" s="1" t="s">
        <v>5038</v>
      </c>
      <c r="Q153" s="1" t="s">
        <v>5039</v>
      </c>
      <c r="R153" s="1" t="s">
        <v>5040</v>
      </c>
      <c r="S153" s="1" t="str">
        <f t="shared" si="6"/>
        <v>Clearly reported</v>
      </c>
      <c r="T153" s="1" t="str">
        <f t="shared" si="7"/>
        <v>Partly reported</v>
      </c>
      <c r="U153" s="1" t="str">
        <f t="shared" si="8"/>
        <v>Partly reported</v>
      </c>
    </row>
    <row r="154" spans="1:21" ht="15" customHeight="1">
      <c r="A154" s="1" t="s">
        <v>5012</v>
      </c>
      <c r="B154" s="1" t="s">
        <v>4688</v>
      </c>
      <c r="C154" s="1" t="s">
        <v>4689</v>
      </c>
      <c r="D154" s="1" t="s">
        <v>4690</v>
      </c>
      <c r="E154" s="1">
        <v>0</v>
      </c>
      <c r="F154" s="1">
        <v>0</v>
      </c>
      <c r="G154" s="1">
        <v>0</v>
      </c>
      <c r="H154" s="1" t="s">
        <v>4631</v>
      </c>
      <c r="I154" s="1" t="s">
        <v>8315</v>
      </c>
      <c r="J154" s="1" t="s">
        <v>12094</v>
      </c>
      <c r="K154" s="1"/>
      <c r="L154" s="1"/>
      <c r="M154" s="1"/>
      <c r="N154" s="1"/>
      <c r="O154" s="1"/>
      <c r="P154" s="1" t="s">
        <v>12373</v>
      </c>
      <c r="Q154" s="1" t="s">
        <v>12374</v>
      </c>
      <c r="R154" s="1"/>
      <c r="S154" s="1" t="str">
        <f t="shared" si="6"/>
        <v>Not reported</v>
      </c>
      <c r="T154" s="1" t="str">
        <f t="shared" si="7"/>
        <v>Not reported</v>
      </c>
      <c r="U154" s="1" t="str">
        <f t="shared" si="8"/>
        <v>Not reported</v>
      </c>
    </row>
    <row r="155" spans="1:21" ht="24" customHeight="1">
      <c r="A155" s="1" t="s">
        <v>5041</v>
      </c>
      <c r="B155" s="1" t="s">
        <v>4688</v>
      </c>
      <c r="C155" s="1" t="s">
        <v>5475</v>
      </c>
      <c r="D155" s="1" t="s">
        <v>5476</v>
      </c>
      <c r="E155" s="1">
        <v>2</v>
      </c>
      <c r="F155" s="1">
        <v>2</v>
      </c>
      <c r="G155" s="1">
        <v>2</v>
      </c>
      <c r="H155" s="1" t="s">
        <v>4631</v>
      </c>
      <c r="I155" s="1" t="s">
        <v>12375</v>
      </c>
      <c r="J155" s="1" t="s">
        <v>5316</v>
      </c>
      <c r="K155" s="1"/>
      <c r="L155" s="1"/>
      <c r="M155" s="1"/>
      <c r="N155" s="1"/>
      <c r="O155" s="1"/>
      <c r="P155" s="1" t="s">
        <v>12376</v>
      </c>
      <c r="Q155" s="1" t="s">
        <v>12377</v>
      </c>
      <c r="R155" s="1"/>
      <c r="S155" s="1" t="str">
        <f t="shared" si="6"/>
        <v>Clearly reported</v>
      </c>
      <c r="T155" s="1" t="str">
        <f t="shared" si="7"/>
        <v>Clearly reported</v>
      </c>
      <c r="U155" s="1" t="str">
        <f t="shared" si="8"/>
        <v>Clearly reported</v>
      </c>
    </row>
    <row r="156" spans="1:21" ht="24" customHeight="1">
      <c r="A156" s="1" t="s">
        <v>5041</v>
      </c>
      <c r="B156" s="1" t="s">
        <v>4688</v>
      </c>
      <c r="C156" s="1" t="s">
        <v>5390</v>
      </c>
      <c r="D156" s="1" t="s">
        <v>5391</v>
      </c>
      <c r="E156" s="1">
        <v>2</v>
      </c>
      <c r="F156" s="1">
        <v>2</v>
      </c>
      <c r="G156" s="1">
        <v>2</v>
      </c>
      <c r="H156" s="1" t="s">
        <v>4631</v>
      </c>
      <c r="I156" s="1" t="s">
        <v>12378</v>
      </c>
      <c r="J156" s="1" t="s">
        <v>4788</v>
      </c>
      <c r="K156" s="1"/>
      <c r="L156" s="1"/>
      <c r="M156" s="1"/>
      <c r="N156" s="1"/>
      <c r="O156" s="1"/>
      <c r="P156" s="1" t="s">
        <v>12379</v>
      </c>
      <c r="Q156" s="1" t="s">
        <v>12380</v>
      </c>
      <c r="R156" s="1"/>
      <c r="S156" s="1" t="str">
        <f t="shared" si="6"/>
        <v>Clearly reported</v>
      </c>
      <c r="T156" s="1" t="str">
        <f t="shared" si="7"/>
        <v>Clearly reported</v>
      </c>
      <c r="U156" s="1" t="str">
        <f t="shared" si="8"/>
        <v>Clearly reported</v>
      </c>
    </row>
    <row r="157" spans="1:21" ht="48" customHeight="1">
      <c r="A157" s="1" t="s">
        <v>5041</v>
      </c>
      <c r="B157" s="1" t="s">
        <v>4688</v>
      </c>
      <c r="C157" s="1" t="s">
        <v>4734</v>
      </c>
      <c r="D157" s="1" t="s">
        <v>4735</v>
      </c>
      <c r="E157" s="1">
        <v>0</v>
      </c>
      <c r="F157" s="1">
        <v>2</v>
      </c>
      <c r="G157" s="1">
        <v>2</v>
      </c>
      <c r="H157" s="1" t="s">
        <v>4691</v>
      </c>
      <c r="I157" s="1" t="s">
        <v>4747</v>
      </c>
      <c r="J157" s="1" t="s">
        <v>4737</v>
      </c>
      <c r="K157" s="1"/>
      <c r="L157" s="1" t="s">
        <v>5050</v>
      </c>
      <c r="M157" s="1" t="s">
        <v>5051</v>
      </c>
      <c r="N157" s="1" t="s">
        <v>5052</v>
      </c>
      <c r="O157" s="1" t="s">
        <v>4697</v>
      </c>
      <c r="P157" s="1" t="s">
        <v>5053</v>
      </c>
      <c r="Q157" s="1" t="s">
        <v>5054</v>
      </c>
      <c r="R157" s="1" t="s">
        <v>5055</v>
      </c>
      <c r="S157" s="1" t="str">
        <f t="shared" si="6"/>
        <v>Not reported</v>
      </c>
      <c r="T157" s="1" t="str">
        <f t="shared" si="7"/>
        <v>Clearly reported</v>
      </c>
      <c r="U157" s="1" t="str">
        <f t="shared" si="8"/>
        <v>Clearly reported</v>
      </c>
    </row>
    <row r="158" spans="1:21" ht="60" customHeight="1">
      <c r="A158" s="1" t="s">
        <v>5041</v>
      </c>
      <c r="B158" s="1" t="s">
        <v>4688</v>
      </c>
      <c r="C158" s="1" t="s">
        <v>4893</v>
      </c>
      <c r="D158" s="1" t="s">
        <v>4894</v>
      </c>
      <c r="E158" s="1">
        <v>2</v>
      </c>
      <c r="F158" s="1">
        <v>1</v>
      </c>
      <c r="G158" s="1">
        <v>2</v>
      </c>
      <c r="H158" s="1" t="s">
        <v>4691</v>
      </c>
      <c r="I158" s="1" t="s">
        <v>5056</v>
      </c>
      <c r="J158" s="1" t="s">
        <v>4737</v>
      </c>
      <c r="K158" s="1"/>
      <c r="L158" s="1" t="s">
        <v>5057</v>
      </c>
      <c r="M158" s="1" t="s">
        <v>5058</v>
      </c>
      <c r="N158" s="1" t="s">
        <v>5059</v>
      </c>
      <c r="O158" s="1" t="s">
        <v>4697</v>
      </c>
      <c r="P158" s="1" t="s">
        <v>5060</v>
      </c>
      <c r="Q158" s="1" t="s">
        <v>5061</v>
      </c>
      <c r="R158" s="1" t="s">
        <v>5062</v>
      </c>
      <c r="S158" s="1" t="str">
        <f t="shared" si="6"/>
        <v>Clearly reported</v>
      </c>
      <c r="T158" s="1" t="str">
        <f t="shared" si="7"/>
        <v>Partly reported</v>
      </c>
      <c r="U158" s="1" t="str">
        <f t="shared" si="8"/>
        <v>Clearly reported</v>
      </c>
    </row>
    <row r="159" spans="1:21" ht="36" customHeight="1">
      <c r="A159" s="1" t="s">
        <v>5041</v>
      </c>
      <c r="B159" s="1" t="s">
        <v>4688</v>
      </c>
      <c r="C159" s="1" t="s">
        <v>4744</v>
      </c>
      <c r="D159" s="1" t="s">
        <v>4745</v>
      </c>
      <c r="E159" s="1">
        <v>2</v>
      </c>
      <c r="F159" s="1">
        <v>2</v>
      </c>
      <c r="G159" s="1">
        <v>2</v>
      </c>
      <c r="H159" s="1" t="s">
        <v>4631</v>
      </c>
      <c r="I159" s="1" t="s">
        <v>12381</v>
      </c>
      <c r="J159" s="1" t="s">
        <v>4788</v>
      </c>
      <c r="K159" s="1"/>
      <c r="L159" s="1"/>
      <c r="M159" s="1"/>
      <c r="N159" s="1"/>
      <c r="O159" s="1"/>
      <c r="P159" s="1" t="s">
        <v>12382</v>
      </c>
      <c r="Q159" s="1" t="s">
        <v>12383</v>
      </c>
      <c r="R159" s="1"/>
      <c r="S159" s="1" t="str">
        <f t="shared" si="6"/>
        <v>Clearly reported</v>
      </c>
      <c r="T159" s="1" t="str">
        <f t="shared" si="7"/>
        <v>Clearly reported</v>
      </c>
      <c r="U159" s="1" t="str">
        <f t="shared" si="8"/>
        <v>Clearly reported</v>
      </c>
    </row>
    <row r="160" spans="1:21" ht="15" customHeight="1">
      <c r="A160" s="1" t="s">
        <v>5041</v>
      </c>
      <c r="B160" s="1" t="s">
        <v>4688</v>
      </c>
      <c r="C160" s="1" t="s">
        <v>5117</v>
      </c>
      <c r="D160" s="1" t="s">
        <v>5118</v>
      </c>
      <c r="E160" s="1">
        <v>0</v>
      </c>
      <c r="F160" s="1">
        <v>0</v>
      </c>
      <c r="G160" s="1">
        <v>0</v>
      </c>
      <c r="H160" s="1" t="s">
        <v>4631</v>
      </c>
      <c r="I160" s="1" t="s">
        <v>4763</v>
      </c>
      <c r="J160" s="1" t="s">
        <v>4747</v>
      </c>
      <c r="K160" s="1"/>
      <c r="L160" s="1"/>
      <c r="M160" s="1"/>
      <c r="N160" s="1"/>
      <c r="O160" s="1"/>
      <c r="P160" s="1" t="s">
        <v>12384</v>
      </c>
      <c r="Q160" s="1" t="s">
        <v>12385</v>
      </c>
      <c r="R160" s="1"/>
      <c r="S160" s="1" t="str">
        <f t="shared" si="6"/>
        <v>Not reported</v>
      </c>
      <c r="T160" s="1" t="str">
        <f t="shared" si="7"/>
        <v>Not reported</v>
      </c>
      <c r="U160" s="1" t="str">
        <f t="shared" si="8"/>
        <v>Not reported</v>
      </c>
    </row>
    <row r="161" spans="1:21" ht="15" customHeight="1">
      <c r="A161" s="1" t="s">
        <v>5041</v>
      </c>
      <c r="B161" s="1" t="s">
        <v>4688</v>
      </c>
      <c r="C161" s="1" t="s">
        <v>4810</v>
      </c>
      <c r="D161" s="1" t="s">
        <v>4811</v>
      </c>
      <c r="E161" s="1">
        <v>0</v>
      </c>
      <c r="F161" s="1">
        <v>0</v>
      </c>
      <c r="G161" s="1">
        <v>0</v>
      </c>
      <c r="H161" s="1" t="s">
        <v>4631</v>
      </c>
      <c r="I161" s="1" t="s">
        <v>12066</v>
      </c>
      <c r="J161" s="1" t="s">
        <v>4747</v>
      </c>
      <c r="K161" s="1"/>
      <c r="L161" s="1"/>
      <c r="M161" s="1"/>
      <c r="N161" s="1"/>
      <c r="O161" s="1"/>
      <c r="P161" s="1" t="s">
        <v>12386</v>
      </c>
      <c r="Q161" s="1" t="s">
        <v>12387</v>
      </c>
      <c r="R161" s="1"/>
      <c r="S161" s="1" t="str">
        <f t="shared" si="6"/>
        <v>Not reported</v>
      </c>
      <c r="T161" s="1" t="str">
        <f t="shared" si="7"/>
        <v>Not reported</v>
      </c>
      <c r="U161" s="1" t="str">
        <f t="shared" si="8"/>
        <v>Not reported</v>
      </c>
    </row>
    <row r="162" spans="1:21" ht="36" customHeight="1">
      <c r="A162" s="1" t="s">
        <v>5041</v>
      </c>
      <c r="B162" s="1" t="s">
        <v>4688</v>
      </c>
      <c r="C162" s="1" t="s">
        <v>4714</v>
      </c>
      <c r="D162" s="1" t="s">
        <v>4715</v>
      </c>
      <c r="E162" s="1">
        <v>2</v>
      </c>
      <c r="F162" s="1">
        <v>2</v>
      </c>
      <c r="G162" s="1">
        <v>2</v>
      </c>
      <c r="H162" s="1" t="s">
        <v>4631</v>
      </c>
      <c r="I162" s="1" t="s">
        <v>12388</v>
      </c>
      <c r="J162" s="1" t="s">
        <v>4737</v>
      </c>
      <c r="K162" s="1"/>
      <c r="L162" s="1"/>
      <c r="M162" s="1"/>
      <c r="N162" s="1"/>
      <c r="O162" s="1"/>
      <c r="P162" s="1" t="s">
        <v>12389</v>
      </c>
      <c r="Q162" s="1" t="s">
        <v>12390</v>
      </c>
      <c r="R162" s="1"/>
      <c r="S162" s="1" t="str">
        <f t="shared" si="6"/>
        <v>Clearly reported</v>
      </c>
      <c r="T162" s="1" t="str">
        <f t="shared" si="7"/>
        <v>Clearly reported</v>
      </c>
      <c r="U162" s="1" t="str">
        <f t="shared" si="8"/>
        <v>Clearly reported</v>
      </c>
    </row>
    <row r="163" spans="1:21" ht="24" customHeight="1">
      <c r="A163" s="1" t="s">
        <v>5041</v>
      </c>
      <c r="B163" s="1" t="s">
        <v>4688</v>
      </c>
      <c r="C163" s="1" t="s">
        <v>4689</v>
      </c>
      <c r="D163" s="1" t="s">
        <v>4690</v>
      </c>
      <c r="E163" s="1">
        <v>2</v>
      </c>
      <c r="F163" s="1">
        <v>2</v>
      </c>
      <c r="G163" s="1">
        <v>2</v>
      </c>
      <c r="H163" s="1" t="s">
        <v>4631</v>
      </c>
      <c r="I163" s="1" t="s">
        <v>8442</v>
      </c>
      <c r="J163" s="1" t="s">
        <v>4764</v>
      </c>
      <c r="K163" s="1"/>
      <c r="L163" s="1"/>
      <c r="M163" s="1"/>
      <c r="N163" s="1"/>
      <c r="O163" s="1"/>
      <c r="P163" s="1" t="s">
        <v>12391</v>
      </c>
      <c r="Q163" s="1" t="s">
        <v>12392</v>
      </c>
      <c r="R163" s="1"/>
      <c r="S163" s="1" t="str">
        <f t="shared" si="6"/>
        <v>Clearly reported</v>
      </c>
      <c r="T163" s="1" t="str">
        <f t="shared" si="7"/>
        <v>Clearly reported</v>
      </c>
      <c r="U163" s="1" t="str">
        <f t="shared" si="8"/>
        <v>Clearly reported</v>
      </c>
    </row>
    <row r="164" spans="1:21" ht="24" customHeight="1">
      <c r="A164" s="1" t="s">
        <v>5063</v>
      </c>
      <c r="B164" s="1" t="s">
        <v>4688</v>
      </c>
      <c r="C164" s="1" t="s">
        <v>5475</v>
      </c>
      <c r="D164" s="1" t="s">
        <v>5476</v>
      </c>
      <c r="E164" s="1">
        <v>2</v>
      </c>
      <c r="F164" s="1">
        <v>2</v>
      </c>
      <c r="G164" s="1">
        <v>2</v>
      </c>
      <c r="H164" s="1" t="s">
        <v>4631</v>
      </c>
      <c r="I164" s="1" t="s">
        <v>12393</v>
      </c>
      <c r="J164" s="1" t="s">
        <v>12394</v>
      </c>
      <c r="K164" s="1"/>
      <c r="L164" s="1"/>
      <c r="M164" s="1"/>
      <c r="N164" s="1"/>
      <c r="O164" s="1"/>
      <c r="P164" s="1" t="s">
        <v>12395</v>
      </c>
      <c r="Q164" s="1" t="s">
        <v>12396</v>
      </c>
      <c r="R164" s="1"/>
      <c r="S164" s="1" t="str">
        <f t="shared" si="6"/>
        <v>Clearly reported</v>
      </c>
      <c r="T164" s="1" t="str">
        <f t="shared" si="7"/>
        <v>Clearly reported</v>
      </c>
      <c r="U164" s="1" t="str">
        <f t="shared" si="8"/>
        <v>Clearly reported</v>
      </c>
    </row>
    <row r="165" spans="1:21" ht="15" customHeight="1">
      <c r="A165" s="1" t="s">
        <v>5063</v>
      </c>
      <c r="B165" s="1" t="s">
        <v>4688</v>
      </c>
      <c r="C165" s="1" t="s">
        <v>5390</v>
      </c>
      <c r="D165" s="1" t="s">
        <v>5391</v>
      </c>
      <c r="E165" s="1">
        <v>2</v>
      </c>
      <c r="F165" s="1">
        <v>2</v>
      </c>
      <c r="G165" s="1">
        <v>2</v>
      </c>
      <c r="H165" s="1" t="s">
        <v>4631</v>
      </c>
      <c r="I165" s="1" t="s">
        <v>12397</v>
      </c>
      <c r="J165" s="1" t="s">
        <v>5215</v>
      </c>
      <c r="K165" s="1"/>
      <c r="L165" s="1"/>
      <c r="M165" s="1"/>
      <c r="N165" s="1"/>
      <c r="O165" s="1"/>
      <c r="P165" s="1" t="s">
        <v>12398</v>
      </c>
      <c r="Q165" s="1" t="s">
        <v>12399</v>
      </c>
      <c r="R165" s="1"/>
      <c r="S165" s="1" t="str">
        <f t="shared" si="6"/>
        <v>Clearly reported</v>
      </c>
      <c r="T165" s="1" t="str">
        <f t="shared" si="7"/>
        <v>Clearly reported</v>
      </c>
      <c r="U165" s="1" t="str">
        <f t="shared" si="8"/>
        <v>Clearly reported</v>
      </c>
    </row>
    <row r="166" spans="1:21" ht="24" customHeight="1">
      <c r="A166" s="1" t="s">
        <v>5063</v>
      </c>
      <c r="B166" s="1" t="s">
        <v>4688</v>
      </c>
      <c r="C166" s="1" t="s">
        <v>4734</v>
      </c>
      <c r="D166" s="1" t="s">
        <v>4735</v>
      </c>
      <c r="E166" s="1">
        <v>2</v>
      </c>
      <c r="F166" s="1">
        <v>2</v>
      </c>
      <c r="G166" s="1">
        <v>2</v>
      </c>
      <c r="H166" s="1" t="s">
        <v>4631</v>
      </c>
      <c r="I166" s="1" t="s">
        <v>8576</v>
      </c>
      <c r="J166" s="1" t="s">
        <v>5253</v>
      </c>
      <c r="K166" s="1"/>
      <c r="L166" s="1"/>
      <c r="M166" s="1"/>
      <c r="N166" s="1"/>
      <c r="O166" s="1"/>
      <c r="P166" s="1" t="s">
        <v>12400</v>
      </c>
      <c r="Q166" s="1" t="s">
        <v>12401</v>
      </c>
      <c r="R166" s="1"/>
      <c r="S166" s="1" t="str">
        <f t="shared" si="6"/>
        <v>Clearly reported</v>
      </c>
      <c r="T166" s="1" t="str">
        <f t="shared" si="7"/>
        <v>Clearly reported</v>
      </c>
      <c r="U166" s="1" t="str">
        <f t="shared" si="8"/>
        <v>Clearly reported</v>
      </c>
    </row>
    <row r="167" spans="1:21" ht="15" customHeight="1">
      <c r="A167" s="1" t="s">
        <v>5063</v>
      </c>
      <c r="B167" s="1" t="s">
        <v>4688</v>
      </c>
      <c r="C167" s="1" t="s">
        <v>4893</v>
      </c>
      <c r="D167" s="1" t="s">
        <v>4894</v>
      </c>
      <c r="E167" s="1">
        <v>2</v>
      </c>
      <c r="F167" s="1">
        <v>2</v>
      </c>
      <c r="G167" s="1">
        <v>2</v>
      </c>
      <c r="H167" s="1" t="s">
        <v>4631</v>
      </c>
      <c r="I167" s="1" t="s">
        <v>8582</v>
      </c>
      <c r="J167" s="1" t="s">
        <v>5253</v>
      </c>
      <c r="K167" s="1"/>
      <c r="L167" s="1"/>
      <c r="M167" s="1"/>
      <c r="N167" s="1"/>
      <c r="O167" s="1"/>
      <c r="P167" s="1" t="s">
        <v>12402</v>
      </c>
      <c r="Q167" s="1" t="s">
        <v>12403</v>
      </c>
      <c r="R167" s="1"/>
      <c r="S167" s="1" t="str">
        <f t="shared" si="6"/>
        <v>Clearly reported</v>
      </c>
      <c r="T167" s="1" t="str">
        <f t="shared" si="7"/>
        <v>Clearly reported</v>
      </c>
      <c r="U167" s="1" t="str">
        <f t="shared" si="8"/>
        <v>Clearly reported</v>
      </c>
    </row>
    <row r="168" spans="1:21" ht="48" customHeight="1">
      <c r="A168" s="1" t="s">
        <v>5063</v>
      </c>
      <c r="B168" s="1" t="s">
        <v>4688</v>
      </c>
      <c r="C168" s="1" t="s">
        <v>4744</v>
      </c>
      <c r="D168" s="1" t="s">
        <v>4745</v>
      </c>
      <c r="E168" s="1">
        <v>2</v>
      </c>
      <c r="F168" s="1">
        <v>2</v>
      </c>
      <c r="G168" s="1">
        <v>2</v>
      </c>
      <c r="H168" s="1" t="s">
        <v>4631</v>
      </c>
      <c r="I168" s="1" t="s">
        <v>12404</v>
      </c>
      <c r="J168" s="1" t="s">
        <v>4862</v>
      </c>
      <c r="K168" s="1"/>
      <c r="L168" s="1"/>
      <c r="M168" s="1"/>
      <c r="N168" s="1"/>
      <c r="O168" s="1"/>
      <c r="P168" s="1" t="s">
        <v>12405</v>
      </c>
      <c r="Q168" s="1" t="s">
        <v>12406</v>
      </c>
      <c r="R168" s="1"/>
      <c r="S168" s="1" t="str">
        <f t="shared" si="6"/>
        <v>Clearly reported</v>
      </c>
      <c r="T168" s="1" t="str">
        <f t="shared" si="7"/>
        <v>Clearly reported</v>
      </c>
      <c r="U168" s="1" t="str">
        <f t="shared" si="8"/>
        <v>Clearly reported</v>
      </c>
    </row>
    <row r="169" spans="1:21" ht="24" customHeight="1">
      <c r="A169" s="1" t="s">
        <v>5063</v>
      </c>
      <c r="B169" s="1" t="s">
        <v>4688</v>
      </c>
      <c r="C169" s="1" t="s">
        <v>5117</v>
      </c>
      <c r="D169" s="1" t="s">
        <v>5118</v>
      </c>
      <c r="E169" s="1">
        <v>2</v>
      </c>
      <c r="F169" s="1">
        <v>2</v>
      </c>
      <c r="G169" s="1">
        <v>2</v>
      </c>
      <c r="H169" s="1" t="s">
        <v>4631</v>
      </c>
      <c r="I169" s="1" t="s">
        <v>12407</v>
      </c>
      <c r="J169" s="1" t="s">
        <v>5316</v>
      </c>
      <c r="K169" s="1"/>
      <c r="L169" s="1"/>
      <c r="M169" s="1"/>
      <c r="N169" s="1"/>
      <c r="O169" s="1"/>
      <c r="P169" s="1" t="s">
        <v>12408</v>
      </c>
      <c r="Q169" s="1" t="s">
        <v>12409</v>
      </c>
      <c r="R169" s="1"/>
      <c r="S169" s="1" t="str">
        <f t="shared" si="6"/>
        <v>Clearly reported</v>
      </c>
      <c r="T169" s="1" t="str">
        <f t="shared" si="7"/>
        <v>Clearly reported</v>
      </c>
      <c r="U169" s="1" t="str">
        <f t="shared" si="8"/>
        <v>Clearly reported</v>
      </c>
    </row>
    <row r="170" spans="1:21" ht="96" customHeight="1">
      <c r="A170" s="1" t="s">
        <v>5063</v>
      </c>
      <c r="B170" s="1" t="s">
        <v>4688</v>
      </c>
      <c r="C170" s="1" t="s">
        <v>4810</v>
      </c>
      <c r="D170" s="1" t="s">
        <v>4811</v>
      </c>
      <c r="E170" s="1">
        <v>2</v>
      </c>
      <c r="F170" s="1">
        <v>0</v>
      </c>
      <c r="G170" s="1">
        <v>2</v>
      </c>
      <c r="H170" s="1" t="s">
        <v>4691</v>
      </c>
      <c r="I170" s="1" t="s">
        <v>5072</v>
      </c>
      <c r="J170" s="1" t="s">
        <v>4747</v>
      </c>
      <c r="K170" s="1"/>
      <c r="L170" s="1" t="s">
        <v>5073</v>
      </c>
      <c r="M170" s="1" t="s">
        <v>5074</v>
      </c>
      <c r="N170" s="1" t="s">
        <v>5075</v>
      </c>
      <c r="O170" s="1" t="s">
        <v>4697</v>
      </c>
      <c r="P170" s="1" t="s">
        <v>5076</v>
      </c>
      <c r="Q170" s="1" t="s">
        <v>5077</v>
      </c>
      <c r="R170" s="1" t="s">
        <v>5078</v>
      </c>
      <c r="S170" s="1" t="str">
        <f t="shared" si="6"/>
        <v>Clearly reported</v>
      </c>
      <c r="T170" s="1" t="str">
        <f t="shared" si="7"/>
        <v>Not reported</v>
      </c>
      <c r="U170" s="1" t="str">
        <f t="shared" si="8"/>
        <v>Clearly reported</v>
      </c>
    </row>
    <row r="171" spans="1:21" ht="48" customHeight="1">
      <c r="A171" s="1" t="s">
        <v>5063</v>
      </c>
      <c r="B171" s="1" t="s">
        <v>4688</v>
      </c>
      <c r="C171" s="1" t="s">
        <v>4714</v>
      </c>
      <c r="D171" s="1" t="s">
        <v>4715</v>
      </c>
      <c r="E171" s="1">
        <v>2</v>
      </c>
      <c r="F171" s="1">
        <v>2</v>
      </c>
      <c r="G171" s="1">
        <v>2</v>
      </c>
      <c r="H171" s="1" t="s">
        <v>4631</v>
      </c>
      <c r="I171" s="1" t="s">
        <v>12410</v>
      </c>
      <c r="J171" s="1" t="s">
        <v>4886</v>
      </c>
      <c r="K171" s="1"/>
      <c r="L171" s="1"/>
      <c r="M171" s="1"/>
      <c r="N171" s="1"/>
      <c r="O171" s="1"/>
      <c r="P171" s="1" t="s">
        <v>12411</v>
      </c>
      <c r="Q171" s="1" t="s">
        <v>12412</v>
      </c>
      <c r="R171" s="1"/>
      <c r="S171" s="1" t="str">
        <f t="shared" si="6"/>
        <v>Clearly reported</v>
      </c>
      <c r="T171" s="1" t="str">
        <f t="shared" si="7"/>
        <v>Clearly reported</v>
      </c>
      <c r="U171" s="1" t="str">
        <f t="shared" si="8"/>
        <v>Clearly reported</v>
      </c>
    </row>
    <row r="172" spans="1:21" ht="15" customHeight="1">
      <c r="A172" s="1" t="s">
        <v>5063</v>
      </c>
      <c r="B172" s="1" t="s">
        <v>4688</v>
      </c>
      <c r="C172" s="1" t="s">
        <v>4689</v>
      </c>
      <c r="D172" s="1" t="s">
        <v>4690</v>
      </c>
      <c r="E172" s="1">
        <v>2</v>
      </c>
      <c r="F172" s="1">
        <v>2</v>
      </c>
      <c r="G172" s="1">
        <v>2</v>
      </c>
      <c r="H172" s="1" t="s">
        <v>4631</v>
      </c>
      <c r="I172" s="1" t="s">
        <v>8571</v>
      </c>
      <c r="J172" s="1" t="s">
        <v>4737</v>
      </c>
      <c r="K172" s="1"/>
      <c r="L172" s="1"/>
      <c r="M172" s="1"/>
      <c r="N172" s="1"/>
      <c r="O172" s="1"/>
      <c r="P172" s="1" t="s">
        <v>12413</v>
      </c>
      <c r="Q172" s="1" t="s">
        <v>12414</v>
      </c>
      <c r="R172" s="1"/>
      <c r="S172" s="1" t="str">
        <f t="shared" si="6"/>
        <v>Clearly reported</v>
      </c>
      <c r="T172" s="1" t="str">
        <f t="shared" si="7"/>
        <v>Clearly reported</v>
      </c>
      <c r="U172" s="1" t="str">
        <f t="shared" si="8"/>
        <v>Clearly reported</v>
      </c>
    </row>
    <row r="173" spans="1:21" ht="24" customHeight="1">
      <c r="A173" s="1" t="s">
        <v>5745</v>
      </c>
      <c r="B173" s="1" t="s">
        <v>4688</v>
      </c>
      <c r="C173" s="1" t="s">
        <v>5475</v>
      </c>
      <c r="D173" s="1" t="s">
        <v>5476</v>
      </c>
      <c r="E173" s="1">
        <v>2</v>
      </c>
      <c r="F173" s="1">
        <v>2</v>
      </c>
      <c r="G173" s="1">
        <v>2</v>
      </c>
      <c r="H173" s="1" t="s">
        <v>4631</v>
      </c>
      <c r="I173" s="1" t="s">
        <v>12415</v>
      </c>
      <c r="J173" s="1" t="s">
        <v>5215</v>
      </c>
      <c r="K173" s="1"/>
      <c r="L173" s="1"/>
      <c r="M173" s="1"/>
      <c r="N173" s="1"/>
      <c r="O173" s="1"/>
      <c r="P173" s="1" t="s">
        <v>12416</v>
      </c>
      <c r="Q173" s="1" t="s">
        <v>12417</v>
      </c>
      <c r="R173" s="1"/>
      <c r="S173" s="1" t="str">
        <f t="shared" si="6"/>
        <v>Clearly reported</v>
      </c>
      <c r="T173" s="1" t="str">
        <f t="shared" si="7"/>
        <v>Clearly reported</v>
      </c>
      <c r="U173" s="1" t="str">
        <f t="shared" si="8"/>
        <v>Clearly reported</v>
      </c>
    </row>
    <row r="174" spans="1:21" ht="24" customHeight="1">
      <c r="A174" s="1" t="s">
        <v>5745</v>
      </c>
      <c r="B174" s="1" t="s">
        <v>4688</v>
      </c>
      <c r="C174" s="1" t="s">
        <v>5390</v>
      </c>
      <c r="D174" s="1" t="s">
        <v>5391</v>
      </c>
      <c r="E174" s="1">
        <v>2</v>
      </c>
      <c r="F174" s="1">
        <v>2</v>
      </c>
      <c r="G174" s="1">
        <v>2</v>
      </c>
      <c r="H174" s="1" t="s">
        <v>4631</v>
      </c>
      <c r="I174" s="1" t="s">
        <v>12418</v>
      </c>
      <c r="J174" s="1" t="s">
        <v>12419</v>
      </c>
      <c r="K174" s="1"/>
      <c r="L174" s="1"/>
      <c r="M174" s="1"/>
      <c r="N174" s="1"/>
      <c r="O174" s="1"/>
      <c r="P174" s="1" t="s">
        <v>12420</v>
      </c>
      <c r="Q174" s="1" t="s">
        <v>12421</v>
      </c>
      <c r="R174" s="1"/>
      <c r="S174" s="1" t="str">
        <f t="shared" si="6"/>
        <v>Clearly reported</v>
      </c>
      <c r="T174" s="1" t="str">
        <f t="shared" si="7"/>
        <v>Clearly reported</v>
      </c>
      <c r="U174" s="1" t="str">
        <f t="shared" si="8"/>
        <v>Clearly reported</v>
      </c>
    </row>
    <row r="175" spans="1:21" ht="15" customHeight="1">
      <c r="A175" s="1" t="s">
        <v>5745</v>
      </c>
      <c r="B175" s="1" t="s">
        <v>4688</v>
      </c>
      <c r="C175" s="1" t="s">
        <v>4734</v>
      </c>
      <c r="D175" s="1" t="s">
        <v>4735</v>
      </c>
      <c r="E175" s="1">
        <v>0</v>
      </c>
      <c r="F175" s="1">
        <v>0</v>
      </c>
      <c r="G175" s="1">
        <v>0</v>
      </c>
      <c r="H175" s="1" t="s">
        <v>4631</v>
      </c>
      <c r="I175" s="1" t="s">
        <v>4747</v>
      </c>
      <c r="J175" s="1" t="s">
        <v>4747</v>
      </c>
      <c r="K175" s="1"/>
      <c r="L175" s="1"/>
      <c r="M175" s="1"/>
      <c r="N175" s="1"/>
      <c r="O175" s="1"/>
      <c r="P175" s="1" t="s">
        <v>12422</v>
      </c>
      <c r="Q175" s="1" t="s">
        <v>12423</v>
      </c>
      <c r="R175" s="1"/>
      <c r="S175" s="1" t="str">
        <f t="shared" si="6"/>
        <v>Not reported</v>
      </c>
      <c r="T175" s="1" t="str">
        <f t="shared" si="7"/>
        <v>Not reported</v>
      </c>
      <c r="U175" s="1" t="str">
        <f t="shared" si="8"/>
        <v>Not reported</v>
      </c>
    </row>
    <row r="176" spans="1:21" ht="15" customHeight="1">
      <c r="A176" s="1" t="s">
        <v>5745</v>
      </c>
      <c r="B176" s="1" t="s">
        <v>4688</v>
      </c>
      <c r="C176" s="1" t="s">
        <v>4893</v>
      </c>
      <c r="D176" s="1" t="s">
        <v>4894</v>
      </c>
      <c r="E176" s="1">
        <v>0</v>
      </c>
      <c r="F176" s="1">
        <v>0</v>
      </c>
      <c r="G176" s="1">
        <v>0</v>
      </c>
      <c r="H176" s="1" t="s">
        <v>4631</v>
      </c>
      <c r="I176" s="1" t="s">
        <v>4747</v>
      </c>
      <c r="J176" s="1" t="s">
        <v>4747</v>
      </c>
      <c r="K176" s="1"/>
      <c r="L176" s="1"/>
      <c r="M176" s="1"/>
      <c r="N176" s="1"/>
      <c r="O176" s="1"/>
      <c r="P176" s="1" t="s">
        <v>12424</v>
      </c>
      <c r="Q176" s="1" t="s">
        <v>12425</v>
      </c>
      <c r="R176" s="1"/>
      <c r="S176" s="1" t="str">
        <f t="shared" si="6"/>
        <v>Not reported</v>
      </c>
      <c r="T176" s="1" t="str">
        <f t="shared" si="7"/>
        <v>Not reported</v>
      </c>
      <c r="U176" s="1" t="str">
        <f t="shared" si="8"/>
        <v>Not reported</v>
      </c>
    </row>
    <row r="177" spans="1:21" ht="24" customHeight="1">
      <c r="A177" s="1" t="s">
        <v>5745</v>
      </c>
      <c r="B177" s="1" t="s">
        <v>4688</v>
      </c>
      <c r="C177" s="1" t="s">
        <v>4744</v>
      </c>
      <c r="D177" s="1" t="s">
        <v>4745</v>
      </c>
      <c r="E177" s="1">
        <v>1</v>
      </c>
      <c r="F177" s="1">
        <v>1</v>
      </c>
      <c r="G177" s="1">
        <v>1</v>
      </c>
      <c r="H177" s="1" t="s">
        <v>4631</v>
      </c>
      <c r="I177" s="1" t="s">
        <v>12426</v>
      </c>
      <c r="J177" s="1" t="s">
        <v>4788</v>
      </c>
      <c r="K177" s="1"/>
      <c r="L177" s="1"/>
      <c r="M177" s="1"/>
      <c r="N177" s="1"/>
      <c r="O177" s="1"/>
      <c r="P177" s="1" t="s">
        <v>12427</v>
      </c>
      <c r="Q177" s="1" t="s">
        <v>12428</v>
      </c>
      <c r="R177" s="1"/>
      <c r="S177" s="1" t="str">
        <f t="shared" si="6"/>
        <v>Partly reported</v>
      </c>
      <c r="T177" s="1" t="str">
        <f t="shared" si="7"/>
        <v>Partly reported</v>
      </c>
      <c r="U177" s="1" t="str">
        <f t="shared" si="8"/>
        <v>Partly reported</v>
      </c>
    </row>
    <row r="178" spans="1:21" ht="15" customHeight="1">
      <c r="A178" s="1" t="s">
        <v>5745</v>
      </c>
      <c r="B178" s="1" t="s">
        <v>4688</v>
      </c>
      <c r="C178" s="1" t="s">
        <v>5117</v>
      </c>
      <c r="D178" s="1" t="s">
        <v>5118</v>
      </c>
      <c r="E178" s="1">
        <v>0</v>
      </c>
      <c r="F178" s="1">
        <v>0</v>
      </c>
      <c r="G178" s="1">
        <v>0</v>
      </c>
      <c r="H178" s="1" t="s">
        <v>4631</v>
      </c>
      <c r="I178" s="1" t="s">
        <v>4763</v>
      </c>
      <c r="J178" s="1" t="s">
        <v>4747</v>
      </c>
      <c r="K178" s="1"/>
      <c r="L178" s="1"/>
      <c r="M178" s="1"/>
      <c r="N178" s="1"/>
      <c r="O178" s="1"/>
      <c r="P178" s="1" t="s">
        <v>12429</v>
      </c>
      <c r="Q178" s="1" t="s">
        <v>12430</v>
      </c>
      <c r="R178" s="1"/>
      <c r="S178" s="1" t="str">
        <f t="shared" si="6"/>
        <v>Not reported</v>
      </c>
      <c r="T178" s="1" t="str">
        <f t="shared" si="7"/>
        <v>Not reported</v>
      </c>
      <c r="U178" s="1" t="str">
        <f t="shared" si="8"/>
        <v>Not reported</v>
      </c>
    </row>
    <row r="179" spans="1:21" ht="15" customHeight="1">
      <c r="A179" s="1" t="s">
        <v>5745</v>
      </c>
      <c r="B179" s="1" t="s">
        <v>4688</v>
      </c>
      <c r="C179" s="1" t="s">
        <v>4810</v>
      </c>
      <c r="D179" s="1" t="s">
        <v>4811</v>
      </c>
      <c r="E179" s="1">
        <v>0</v>
      </c>
      <c r="F179" s="1">
        <v>0</v>
      </c>
      <c r="G179" s="1">
        <v>0</v>
      </c>
      <c r="H179" s="1" t="s">
        <v>4631</v>
      </c>
      <c r="I179" s="1" t="s">
        <v>12066</v>
      </c>
      <c r="J179" s="1" t="s">
        <v>4747</v>
      </c>
      <c r="K179" s="1"/>
      <c r="L179" s="1"/>
      <c r="M179" s="1"/>
      <c r="N179" s="1"/>
      <c r="O179" s="1"/>
      <c r="P179" s="1" t="s">
        <v>12431</v>
      </c>
      <c r="Q179" s="1" t="s">
        <v>12432</v>
      </c>
      <c r="R179" s="1"/>
      <c r="S179" s="1" t="str">
        <f t="shared" si="6"/>
        <v>Not reported</v>
      </c>
      <c r="T179" s="1" t="str">
        <f t="shared" si="7"/>
        <v>Not reported</v>
      </c>
      <c r="U179" s="1" t="str">
        <f t="shared" si="8"/>
        <v>Not reported</v>
      </c>
    </row>
    <row r="180" spans="1:21" ht="36" customHeight="1">
      <c r="A180" s="1" t="s">
        <v>5745</v>
      </c>
      <c r="B180" s="1" t="s">
        <v>4688</v>
      </c>
      <c r="C180" s="1" t="s">
        <v>4714</v>
      </c>
      <c r="D180" s="1" t="s">
        <v>4715</v>
      </c>
      <c r="E180" s="1">
        <v>2</v>
      </c>
      <c r="F180" s="1">
        <v>2</v>
      </c>
      <c r="G180" s="1">
        <v>2</v>
      </c>
      <c r="H180" s="1" t="s">
        <v>4631</v>
      </c>
      <c r="I180" s="1" t="s">
        <v>12433</v>
      </c>
      <c r="J180" s="1" t="s">
        <v>4717</v>
      </c>
      <c r="K180" s="1"/>
      <c r="L180" s="1"/>
      <c r="M180" s="1"/>
      <c r="N180" s="1"/>
      <c r="O180" s="1"/>
      <c r="P180" s="1" t="s">
        <v>12434</v>
      </c>
      <c r="Q180" s="1" t="s">
        <v>12435</v>
      </c>
      <c r="R180" s="1"/>
      <c r="S180" s="1" t="str">
        <f t="shared" si="6"/>
        <v>Clearly reported</v>
      </c>
      <c r="T180" s="1" t="str">
        <f t="shared" si="7"/>
        <v>Clearly reported</v>
      </c>
      <c r="U180" s="1" t="str">
        <f t="shared" si="8"/>
        <v>Clearly reported</v>
      </c>
    </row>
    <row r="181" spans="1:21" ht="15" customHeight="1">
      <c r="A181" s="1" t="s">
        <v>5745</v>
      </c>
      <c r="B181" s="1" t="s">
        <v>4688</v>
      </c>
      <c r="C181" s="1" t="s">
        <v>4689</v>
      </c>
      <c r="D181" s="1" t="s">
        <v>4690</v>
      </c>
      <c r="E181" s="1">
        <v>2</v>
      </c>
      <c r="F181" s="1">
        <v>2</v>
      </c>
      <c r="G181" s="1">
        <v>2</v>
      </c>
      <c r="H181" s="1" t="s">
        <v>4631</v>
      </c>
      <c r="I181" s="1" t="s">
        <v>8712</v>
      </c>
      <c r="J181" s="1" t="s">
        <v>12436</v>
      </c>
      <c r="K181" s="1"/>
      <c r="L181" s="1"/>
      <c r="M181" s="1"/>
      <c r="N181" s="1"/>
      <c r="O181" s="1"/>
      <c r="P181" s="1" t="s">
        <v>12437</v>
      </c>
      <c r="Q181" s="1" t="s">
        <v>12438</v>
      </c>
      <c r="R181" s="1"/>
      <c r="S181" s="1" t="str">
        <f t="shared" si="6"/>
        <v>Clearly reported</v>
      </c>
      <c r="T181" s="1" t="str">
        <f t="shared" si="7"/>
        <v>Clearly reported</v>
      </c>
      <c r="U181" s="1" t="str">
        <f t="shared" si="8"/>
        <v>Clearly reported</v>
      </c>
    </row>
    <row r="182" spans="1:21" ht="24" customHeight="1">
      <c r="A182" s="1" t="s">
        <v>5079</v>
      </c>
      <c r="B182" s="1" t="s">
        <v>4688</v>
      </c>
      <c r="C182" s="1" t="s">
        <v>5475</v>
      </c>
      <c r="D182" s="1" t="s">
        <v>5476</v>
      </c>
      <c r="E182" s="1">
        <v>2</v>
      </c>
      <c r="F182" s="1">
        <v>2</v>
      </c>
      <c r="G182" s="1">
        <v>2</v>
      </c>
      <c r="H182" s="1" t="s">
        <v>4631</v>
      </c>
      <c r="I182" s="1" t="s">
        <v>12439</v>
      </c>
      <c r="J182" s="1" t="s">
        <v>4935</v>
      </c>
      <c r="K182" s="1"/>
      <c r="L182" s="1"/>
      <c r="M182" s="1"/>
      <c r="N182" s="1"/>
      <c r="O182" s="1"/>
      <c r="P182" s="1" t="s">
        <v>12440</v>
      </c>
      <c r="Q182" s="1" t="s">
        <v>12441</v>
      </c>
      <c r="R182" s="1"/>
      <c r="S182" s="1" t="str">
        <f t="shared" si="6"/>
        <v>Clearly reported</v>
      </c>
      <c r="T182" s="1" t="str">
        <f t="shared" si="7"/>
        <v>Clearly reported</v>
      </c>
      <c r="U182" s="1" t="str">
        <f t="shared" si="8"/>
        <v>Clearly reported</v>
      </c>
    </row>
    <row r="183" spans="1:21" ht="15" customHeight="1">
      <c r="A183" s="1" t="s">
        <v>5079</v>
      </c>
      <c r="B183" s="1" t="s">
        <v>4688</v>
      </c>
      <c r="C183" s="1" t="s">
        <v>5390</v>
      </c>
      <c r="D183" s="1" t="s">
        <v>5391</v>
      </c>
      <c r="E183" s="1">
        <v>2</v>
      </c>
      <c r="F183" s="1">
        <v>2</v>
      </c>
      <c r="G183" s="1">
        <v>2</v>
      </c>
      <c r="H183" s="1" t="s">
        <v>4631</v>
      </c>
      <c r="I183" s="1" t="s">
        <v>12442</v>
      </c>
      <c r="J183" s="1" t="s">
        <v>4886</v>
      </c>
      <c r="K183" s="1"/>
      <c r="L183" s="1"/>
      <c r="M183" s="1"/>
      <c r="N183" s="1"/>
      <c r="O183" s="1"/>
      <c r="P183" s="1" t="s">
        <v>12443</v>
      </c>
      <c r="Q183" s="1" t="s">
        <v>12444</v>
      </c>
      <c r="R183" s="1"/>
      <c r="S183" s="1" t="str">
        <f t="shared" si="6"/>
        <v>Clearly reported</v>
      </c>
      <c r="T183" s="1" t="str">
        <f t="shared" si="7"/>
        <v>Clearly reported</v>
      </c>
      <c r="U183" s="1" t="str">
        <f t="shared" si="8"/>
        <v>Clearly reported</v>
      </c>
    </row>
    <row r="184" spans="1:21" ht="15" customHeight="1">
      <c r="A184" s="1" t="s">
        <v>5079</v>
      </c>
      <c r="B184" s="1" t="s">
        <v>4688</v>
      </c>
      <c r="C184" s="1" t="s">
        <v>4734</v>
      </c>
      <c r="D184" s="1" t="s">
        <v>4735</v>
      </c>
      <c r="E184" s="1">
        <v>2</v>
      </c>
      <c r="F184" s="1">
        <v>2</v>
      </c>
      <c r="G184" s="1">
        <v>2</v>
      </c>
      <c r="H184" s="1" t="s">
        <v>4631</v>
      </c>
      <c r="I184" s="1" t="s">
        <v>8835</v>
      </c>
      <c r="J184" s="1" t="s">
        <v>4764</v>
      </c>
      <c r="K184" s="1"/>
      <c r="L184" s="1"/>
      <c r="M184" s="1"/>
      <c r="N184" s="1"/>
      <c r="O184" s="1"/>
      <c r="P184" s="1" t="s">
        <v>12445</v>
      </c>
      <c r="Q184" s="1" t="s">
        <v>12446</v>
      </c>
      <c r="R184" s="1"/>
      <c r="S184" s="1" t="str">
        <f t="shared" si="6"/>
        <v>Clearly reported</v>
      </c>
      <c r="T184" s="1" t="str">
        <f t="shared" si="7"/>
        <v>Clearly reported</v>
      </c>
      <c r="U184" s="1" t="str">
        <f t="shared" si="8"/>
        <v>Clearly reported</v>
      </c>
    </row>
    <row r="185" spans="1:21" ht="84" customHeight="1">
      <c r="A185" s="1" t="s">
        <v>5079</v>
      </c>
      <c r="B185" s="1" t="s">
        <v>4688</v>
      </c>
      <c r="C185" s="1" t="s">
        <v>4893</v>
      </c>
      <c r="D185" s="1" t="s">
        <v>4894</v>
      </c>
      <c r="E185" s="1">
        <v>2</v>
      </c>
      <c r="F185" s="1">
        <v>1</v>
      </c>
      <c r="G185" s="1">
        <v>2</v>
      </c>
      <c r="H185" s="1" t="s">
        <v>4691</v>
      </c>
      <c r="I185" s="1" t="s">
        <v>5080</v>
      </c>
      <c r="J185" s="1" t="s">
        <v>4904</v>
      </c>
      <c r="K185" s="1"/>
      <c r="L185" s="1" t="s">
        <v>5081</v>
      </c>
      <c r="M185" s="1" t="s">
        <v>5082</v>
      </c>
      <c r="N185" s="1" t="s">
        <v>5083</v>
      </c>
      <c r="O185" s="1" t="s">
        <v>4697</v>
      </c>
      <c r="P185" s="1" t="s">
        <v>5084</v>
      </c>
      <c r="Q185" s="1" t="s">
        <v>5085</v>
      </c>
      <c r="R185" s="1" t="s">
        <v>5086</v>
      </c>
      <c r="S185" s="1" t="str">
        <f t="shared" si="6"/>
        <v>Clearly reported</v>
      </c>
      <c r="T185" s="1" t="str">
        <f t="shared" si="7"/>
        <v>Partly reported</v>
      </c>
      <c r="U185" s="1" t="str">
        <f t="shared" si="8"/>
        <v>Clearly reported</v>
      </c>
    </row>
    <row r="186" spans="1:21" ht="24" customHeight="1">
      <c r="A186" s="1" t="s">
        <v>5079</v>
      </c>
      <c r="B186" s="1" t="s">
        <v>4688</v>
      </c>
      <c r="C186" s="1" t="s">
        <v>4744</v>
      </c>
      <c r="D186" s="1" t="s">
        <v>4745</v>
      </c>
      <c r="E186" s="1">
        <v>2</v>
      </c>
      <c r="F186" s="1">
        <v>2</v>
      </c>
      <c r="G186" s="1">
        <v>2</v>
      </c>
      <c r="H186" s="1" t="s">
        <v>4631</v>
      </c>
      <c r="I186" s="1" t="s">
        <v>12447</v>
      </c>
      <c r="J186" s="1" t="s">
        <v>4904</v>
      </c>
      <c r="K186" s="1"/>
      <c r="L186" s="1"/>
      <c r="M186" s="1"/>
      <c r="N186" s="1"/>
      <c r="O186" s="1"/>
      <c r="P186" s="1" t="s">
        <v>12448</v>
      </c>
      <c r="Q186" s="1" t="s">
        <v>12449</v>
      </c>
      <c r="R186" s="1"/>
      <c r="S186" s="1" t="str">
        <f t="shared" si="6"/>
        <v>Clearly reported</v>
      </c>
      <c r="T186" s="1" t="str">
        <f t="shared" si="7"/>
        <v>Clearly reported</v>
      </c>
      <c r="U186" s="1" t="str">
        <f t="shared" si="8"/>
        <v>Clearly reported</v>
      </c>
    </row>
    <row r="187" spans="1:21" ht="15" customHeight="1">
      <c r="A187" s="1" t="s">
        <v>5079</v>
      </c>
      <c r="B187" s="1" t="s">
        <v>4688</v>
      </c>
      <c r="C187" s="1" t="s">
        <v>5117</v>
      </c>
      <c r="D187" s="1" t="s">
        <v>5118</v>
      </c>
      <c r="E187" s="1">
        <v>2</v>
      </c>
      <c r="F187" s="1">
        <v>2</v>
      </c>
      <c r="G187" s="1">
        <v>2</v>
      </c>
      <c r="H187" s="1" t="s">
        <v>4631</v>
      </c>
      <c r="I187" s="1" t="s">
        <v>12450</v>
      </c>
      <c r="J187" s="1" t="s">
        <v>4959</v>
      </c>
      <c r="K187" s="1"/>
      <c r="L187" s="1"/>
      <c r="M187" s="1"/>
      <c r="N187" s="1"/>
      <c r="O187" s="1"/>
      <c r="P187" s="1" t="s">
        <v>12451</v>
      </c>
      <c r="Q187" s="1" t="s">
        <v>12452</v>
      </c>
      <c r="R187" s="1"/>
      <c r="S187" s="1" t="str">
        <f t="shared" si="6"/>
        <v>Clearly reported</v>
      </c>
      <c r="T187" s="1" t="str">
        <f t="shared" si="7"/>
        <v>Clearly reported</v>
      </c>
      <c r="U187" s="1" t="str">
        <f t="shared" si="8"/>
        <v>Clearly reported</v>
      </c>
    </row>
    <row r="188" spans="1:21" ht="15" customHeight="1">
      <c r="A188" s="1" t="s">
        <v>5079</v>
      </c>
      <c r="B188" s="1" t="s">
        <v>4688</v>
      </c>
      <c r="C188" s="1" t="s">
        <v>4810</v>
      </c>
      <c r="D188" s="1" t="s">
        <v>4811</v>
      </c>
      <c r="E188" s="1">
        <v>0</v>
      </c>
      <c r="F188" s="1">
        <v>0</v>
      </c>
      <c r="G188" s="1">
        <v>0</v>
      </c>
      <c r="H188" s="1" t="s">
        <v>4631</v>
      </c>
      <c r="I188" s="1" t="s">
        <v>12066</v>
      </c>
      <c r="J188" s="1" t="s">
        <v>4747</v>
      </c>
      <c r="K188" s="1"/>
      <c r="L188" s="1"/>
      <c r="M188" s="1"/>
      <c r="N188" s="1"/>
      <c r="O188" s="1"/>
      <c r="P188" s="1" t="s">
        <v>12453</v>
      </c>
      <c r="Q188" s="1" t="s">
        <v>12454</v>
      </c>
      <c r="R188" s="1"/>
      <c r="S188" s="1" t="str">
        <f t="shared" si="6"/>
        <v>Not reported</v>
      </c>
      <c r="T188" s="1" t="str">
        <f t="shared" si="7"/>
        <v>Not reported</v>
      </c>
      <c r="U188" s="1" t="str">
        <f t="shared" si="8"/>
        <v>Not reported</v>
      </c>
    </row>
    <row r="189" spans="1:21" ht="36" customHeight="1">
      <c r="A189" s="1" t="s">
        <v>5079</v>
      </c>
      <c r="B189" s="1" t="s">
        <v>4688</v>
      </c>
      <c r="C189" s="1" t="s">
        <v>4714</v>
      </c>
      <c r="D189" s="1" t="s">
        <v>4715</v>
      </c>
      <c r="E189" s="1">
        <v>2</v>
      </c>
      <c r="F189" s="1">
        <v>2</v>
      </c>
      <c r="G189" s="1">
        <v>2</v>
      </c>
      <c r="H189" s="1" t="s">
        <v>4631</v>
      </c>
      <c r="I189" s="1" t="s">
        <v>12455</v>
      </c>
      <c r="J189" s="1" t="s">
        <v>5362</v>
      </c>
      <c r="K189" s="1"/>
      <c r="L189" s="1"/>
      <c r="M189" s="1"/>
      <c r="N189" s="1"/>
      <c r="O189" s="1"/>
      <c r="P189" s="1" t="s">
        <v>12456</v>
      </c>
      <c r="Q189" s="1" t="s">
        <v>12457</v>
      </c>
      <c r="R189" s="1"/>
      <c r="S189" s="1" t="str">
        <f t="shared" si="6"/>
        <v>Clearly reported</v>
      </c>
      <c r="T189" s="1" t="str">
        <f t="shared" si="7"/>
        <v>Clearly reported</v>
      </c>
      <c r="U189" s="1" t="str">
        <f t="shared" si="8"/>
        <v>Clearly reported</v>
      </c>
    </row>
    <row r="190" spans="1:21" ht="15" customHeight="1">
      <c r="A190" s="1" t="s">
        <v>5079</v>
      </c>
      <c r="B190" s="1" t="s">
        <v>4688</v>
      </c>
      <c r="C190" s="1" t="s">
        <v>4689</v>
      </c>
      <c r="D190" s="1" t="s">
        <v>4690</v>
      </c>
      <c r="E190" s="1">
        <v>2</v>
      </c>
      <c r="F190" s="1">
        <v>2</v>
      </c>
      <c r="G190" s="1">
        <v>2</v>
      </c>
      <c r="H190" s="1" t="s">
        <v>4631</v>
      </c>
      <c r="I190" s="1" t="s">
        <v>8830</v>
      </c>
      <c r="J190" s="1" t="s">
        <v>5215</v>
      </c>
      <c r="K190" s="1"/>
      <c r="L190" s="1"/>
      <c r="M190" s="1"/>
      <c r="N190" s="1"/>
      <c r="O190" s="1"/>
      <c r="P190" s="1" t="s">
        <v>12458</v>
      </c>
      <c r="Q190" s="1" t="s">
        <v>12459</v>
      </c>
      <c r="R190" s="1"/>
      <c r="S190" s="1" t="str">
        <f t="shared" si="6"/>
        <v>Clearly reported</v>
      </c>
      <c r="T190" s="1" t="str">
        <f t="shared" si="7"/>
        <v>Clearly reported</v>
      </c>
      <c r="U190" s="1" t="str">
        <f t="shared" si="8"/>
        <v>Clearly reported</v>
      </c>
    </row>
    <row r="191" spans="1:21" ht="24" customHeight="1">
      <c r="A191" s="1" t="s">
        <v>5087</v>
      </c>
      <c r="B191" s="1" t="s">
        <v>4688</v>
      </c>
      <c r="C191" s="1" t="s">
        <v>5475</v>
      </c>
      <c r="D191" s="1" t="s">
        <v>5476</v>
      </c>
      <c r="E191" s="1">
        <v>2</v>
      </c>
      <c r="F191" s="1">
        <v>2</v>
      </c>
      <c r="G191" s="1">
        <v>2</v>
      </c>
      <c r="H191" s="1" t="s">
        <v>4631</v>
      </c>
      <c r="I191" s="1" t="s">
        <v>12460</v>
      </c>
      <c r="J191" s="1" t="s">
        <v>4737</v>
      </c>
      <c r="K191" s="1"/>
      <c r="L191" s="1"/>
      <c r="M191" s="1"/>
      <c r="N191" s="1"/>
      <c r="O191" s="1"/>
      <c r="P191" s="1" t="s">
        <v>12461</v>
      </c>
      <c r="Q191" s="1" t="s">
        <v>12462</v>
      </c>
      <c r="R191" s="1"/>
      <c r="S191" s="1" t="str">
        <f t="shared" si="6"/>
        <v>Clearly reported</v>
      </c>
      <c r="T191" s="1" t="str">
        <f t="shared" si="7"/>
        <v>Clearly reported</v>
      </c>
      <c r="U191" s="1" t="str">
        <f t="shared" si="8"/>
        <v>Clearly reported</v>
      </c>
    </row>
    <row r="192" spans="1:21" ht="24" customHeight="1">
      <c r="A192" s="1" t="s">
        <v>5087</v>
      </c>
      <c r="B192" s="1" t="s">
        <v>4688</v>
      </c>
      <c r="C192" s="1" t="s">
        <v>5390</v>
      </c>
      <c r="D192" s="1" t="s">
        <v>5391</v>
      </c>
      <c r="E192" s="1">
        <v>2</v>
      </c>
      <c r="F192" s="1">
        <v>2</v>
      </c>
      <c r="G192" s="1">
        <v>2</v>
      </c>
      <c r="H192" s="1" t="s">
        <v>4631</v>
      </c>
      <c r="I192" s="1" t="s">
        <v>12463</v>
      </c>
      <c r="J192" s="1" t="s">
        <v>5215</v>
      </c>
      <c r="K192" s="1"/>
      <c r="L192" s="1"/>
      <c r="M192" s="1"/>
      <c r="N192" s="1"/>
      <c r="O192" s="1"/>
      <c r="P192" s="1" t="s">
        <v>12464</v>
      </c>
      <c r="Q192" s="1" t="s">
        <v>12465</v>
      </c>
      <c r="R192" s="1"/>
      <c r="S192" s="1" t="str">
        <f t="shared" si="6"/>
        <v>Clearly reported</v>
      </c>
      <c r="T192" s="1" t="str">
        <f t="shared" si="7"/>
        <v>Clearly reported</v>
      </c>
      <c r="U192" s="1" t="str">
        <f t="shared" si="8"/>
        <v>Clearly reported</v>
      </c>
    </row>
    <row r="193" spans="1:21" ht="72" customHeight="1">
      <c r="A193" s="1" t="s">
        <v>5087</v>
      </c>
      <c r="B193" s="1" t="s">
        <v>4688</v>
      </c>
      <c r="C193" s="1" t="s">
        <v>4734</v>
      </c>
      <c r="D193" s="1" t="s">
        <v>4735</v>
      </c>
      <c r="E193" s="1">
        <v>0</v>
      </c>
      <c r="F193" s="1">
        <v>1</v>
      </c>
      <c r="G193" s="1">
        <v>0</v>
      </c>
      <c r="H193" s="1" t="s">
        <v>4691</v>
      </c>
      <c r="I193" s="1" t="s">
        <v>4747</v>
      </c>
      <c r="J193" s="1" t="s">
        <v>5005</v>
      </c>
      <c r="K193" s="1"/>
      <c r="L193" s="1" t="s">
        <v>5088</v>
      </c>
      <c r="M193" s="1" t="s">
        <v>5089</v>
      </c>
      <c r="N193" s="1" t="s">
        <v>5090</v>
      </c>
      <c r="O193" s="1" t="s">
        <v>4697</v>
      </c>
      <c r="P193" s="1" t="s">
        <v>5091</v>
      </c>
      <c r="Q193" s="1" t="s">
        <v>5092</v>
      </c>
      <c r="R193" s="1" t="s">
        <v>5093</v>
      </c>
      <c r="S193" s="1" t="str">
        <f t="shared" si="6"/>
        <v>Not reported</v>
      </c>
      <c r="T193" s="1" t="str">
        <f t="shared" si="7"/>
        <v>Partly reported</v>
      </c>
      <c r="U193" s="1" t="str">
        <f t="shared" si="8"/>
        <v>Not reported</v>
      </c>
    </row>
    <row r="194" spans="1:21" ht="15" customHeight="1">
      <c r="A194" s="1" t="s">
        <v>5087</v>
      </c>
      <c r="B194" s="1" t="s">
        <v>4688</v>
      </c>
      <c r="C194" s="1" t="s">
        <v>4893</v>
      </c>
      <c r="D194" s="1" t="s">
        <v>4894</v>
      </c>
      <c r="E194" s="1">
        <v>0</v>
      </c>
      <c r="F194" s="1">
        <v>0</v>
      </c>
      <c r="G194" s="1">
        <v>0</v>
      </c>
      <c r="H194" s="1" t="s">
        <v>4631</v>
      </c>
      <c r="I194" s="1" t="s">
        <v>4747</v>
      </c>
      <c r="J194" s="1" t="s">
        <v>4747</v>
      </c>
      <c r="K194" s="1"/>
      <c r="L194" s="1"/>
      <c r="M194" s="1"/>
      <c r="N194" s="1"/>
      <c r="O194" s="1"/>
      <c r="P194" s="1" t="s">
        <v>12466</v>
      </c>
      <c r="Q194" s="1" t="s">
        <v>12467</v>
      </c>
      <c r="R194" s="1"/>
      <c r="S194" s="1" t="str">
        <f t="shared" ref="S194:S257" si="9">IF(ISNUMBER(E194),CHOOSE(E194+1,"Not reported","Partly reported","Clearly reported"),IF(E194="NA","Not applicable","Pending"))</f>
        <v>Not reported</v>
      </c>
      <c r="T194" s="1" t="str">
        <f t="shared" ref="T194:T257" si="10">IF(ISNUMBER(F194),CHOOSE(F194+1,"Not reported","Partly reported","Clearly reported"),IF(F194="NA","Not applicable","Pending"))</f>
        <v>Not reported</v>
      </c>
      <c r="U194" s="1" t="str">
        <f t="shared" ref="U194:U257" si="11">IF(ISNUMBER(G194),CHOOSE(G194+1,"Not reported","Partly reported","Clearly reported"),IF(G194="NA","Not applicable","Pending"))</f>
        <v>Not reported</v>
      </c>
    </row>
    <row r="195" spans="1:21" ht="15" customHeight="1">
      <c r="A195" s="1" t="s">
        <v>5087</v>
      </c>
      <c r="B195" s="1" t="s">
        <v>4688</v>
      </c>
      <c r="C195" s="1" t="s">
        <v>4744</v>
      </c>
      <c r="D195" s="1" t="s">
        <v>4745</v>
      </c>
      <c r="E195" s="1">
        <v>1</v>
      </c>
      <c r="F195" s="1">
        <v>1</v>
      </c>
      <c r="G195" s="1">
        <v>1</v>
      </c>
      <c r="H195" s="1" t="s">
        <v>4631</v>
      </c>
      <c r="I195" s="1" t="s">
        <v>12468</v>
      </c>
      <c r="J195" s="1" t="s">
        <v>4862</v>
      </c>
      <c r="K195" s="1"/>
      <c r="L195" s="1"/>
      <c r="M195" s="1"/>
      <c r="N195" s="1"/>
      <c r="O195" s="1"/>
      <c r="P195" s="1" t="s">
        <v>12469</v>
      </c>
      <c r="Q195" s="1" t="s">
        <v>12470</v>
      </c>
      <c r="R195" s="1"/>
      <c r="S195" s="1" t="str">
        <f t="shared" si="9"/>
        <v>Partly reported</v>
      </c>
      <c r="T195" s="1" t="str">
        <f t="shared" si="10"/>
        <v>Partly reported</v>
      </c>
      <c r="U195" s="1" t="str">
        <f t="shared" si="11"/>
        <v>Partly reported</v>
      </c>
    </row>
    <row r="196" spans="1:21" ht="15" customHeight="1">
      <c r="A196" s="1" t="s">
        <v>5087</v>
      </c>
      <c r="B196" s="1" t="s">
        <v>4688</v>
      </c>
      <c r="C196" s="1" t="s">
        <v>5117</v>
      </c>
      <c r="D196" s="1" t="s">
        <v>5118</v>
      </c>
      <c r="E196" s="1">
        <v>0</v>
      </c>
      <c r="F196" s="1">
        <v>0</v>
      </c>
      <c r="G196" s="1">
        <v>0</v>
      </c>
      <c r="H196" s="1" t="s">
        <v>4631</v>
      </c>
      <c r="I196" s="1" t="s">
        <v>4763</v>
      </c>
      <c r="J196" s="1" t="s">
        <v>4747</v>
      </c>
      <c r="K196" s="1"/>
      <c r="L196" s="1"/>
      <c r="M196" s="1"/>
      <c r="N196" s="1"/>
      <c r="O196" s="1"/>
      <c r="P196" s="1" t="s">
        <v>12471</v>
      </c>
      <c r="Q196" s="1" t="s">
        <v>12472</v>
      </c>
      <c r="R196" s="1"/>
      <c r="S196" s="1" t="str">
        <f t="shared" si="9"/>
        <v>Not reported</v>
      </c>
      <c r="T196" s="1" t="str">
        <f t="shared" si="10"/>
        <v>Not reported</v>
      </c>
      <c r="U196" s="1" t="str">
        <f t="shared" si="11"/>
        <v>Not reported</v>
      </c>
    </row>
    <row r="197" spans="1:21" ht="15" customHeight="1">
      <c r="A197" s="1" t="s">
        <v>5087</v>
      </c>
      <c r="B197" s="1" t="s">
        <v>4688</v>
      </c>
      <c r="C197" s="1" t="s">
        <v>4810</v>
      </c>
      <c r="D197" s="1" t="s">
        <v>4811</v>
      </c>
      <c r="E197" s="1">
        <v>0</v>
      </c>
      <c r="F197" s="1">
        <v>0</v>
      </c>
      <c r="G197" s="1">
        <v>0</v>
      </c>
      <c r="H197" s="1" t="s">
        <v>4631</v>
      </c>
      <c r="I197" s="1" t="s">
        <v>12066</v>
      </c>
      <c r="J197" s="1" t="s">
        <v>4747</v>
      </c>
      <c r="K197" s="1"/>
      <c r="L197" s="1"/>
      <c r="M197" s="1"/>
      <c r="N197" s="1"/>
      <c r="O197" s="1"/>
      <c r="P197" s="1" t="s">
        <v>12473</v>
      </c>
      <c r="Q197" s="1" t="s">
        <v>12474</v>
      </c>
      <c r="R197" s="1"/>
      <c r="S197" s="1" t="str">
        <f t="shared" si="9"/>
        <v>Not reported</v>
      </c>
      <c r="T197" s="1" t="str">
        <f t="shared" si="10"/>
        <v>Not reported</v>
      </c>
      <c r="U197" s="1" t="str">
        <f t="shared" si="11"/>
        <v>Not reported</v>
      </c>
    </row>
    <row r="198" spans="1:21" ht="36" customHeight="1">
      <c r="A198" s="1" t="s">
        <v>5087</v>
      </c>
      <c r="B198" s="1" t="s">
        <v>4688</v>
      </c>
      <c r="C198" s="1" t="s">
        <v>4714</v>
      </c>
      <c r="D198" s="1" t="s">
        <v>4715</v>
      </c>
      <c r="E198" s="1">
        <v>2</v>
      </c>
      <c r="F198" s="1">
        <v>2</v>
      </c>
      <c r="G198" s="1">
        <v>2</v>
      </c>
      <c r="H198" s="1" t="s">
        <v>4631</v>
      </c>
      <c r="I198" s="1" t="s">
        <v>12475</v>
      </c>
      <c r="J198" s="1" t="s">
        <v>4862</v>
      </c>
      <c r="K198" s="1"/>
      <c r="L198" s="1"/>
      <c r="M198" s="1"/>
      <c r="N198" s="1"/>
      <c r="O198" s="1"/>
      <c r="P198" s="1" t="s">
        <v>12476</v>
      </c>
      <c r="Q198" s="1" t="s">
        <v>12477</v>
      </c>
      <c r="R198" s="1"/>
      <c r="S198" s="1" t="str">
        <f t="shared" si="9"/>
        <v>Clearly reported</v>
      </c>
      <c r="T198" s="1" t="str">
        <f t="shared" si="10"/>
        <v>Clearly reported</v>
      </c>
      <c r="U198" s="1" t="str">
        <f t="shared" si="11"/>
        <v>Clearly reported</v>
      </c>
    </row>
    <row r="199" spans="1:21" ht="15" customHeight="1">
      <c r="A199" s="1" t="s">
        <v>5087</v>
      </c>
      <c r="B199" s="1" t="s">
        <v>4688</v>
      </c>
      <c r="C199" s="1" t="s">
        <v>4689</v>
      </c>
      <c r="D199" s="1" t="s">
        <v>4690</v>
      </c>
      <c r="E199" s="1">
        <v>2</v>
      </c>
      <c r="F199" s="1">
        <v>2</v>
      </c>
      <c r="G199" s="1">
        <v>2</v>
      </c>
      <c r="H199" s="1" t="s">
        <v>4631</v>
      </c>
      <c r="I199" s="1" t="s">
        <v>8958</v>
      </c>
      <c r="J199" s="1" t="s">
        <v>4788</v>
      </c>
      <c r="K199" s="1"/>
      <c r="L199" s="1"/>
      <c r="M199" s="1"/>
      <c r="N199" s="1"/>
      <c r="O199" s="1"/>
      <c r="P199" s="1" t="s">
        <v>12478</v>
      </c>
      <c r="Q199" s="1" t="s">
        <v>12479</v>
      </c>
      <c r="R199" s="1"/>
      <c r="S199" s="1" t="str">
        <f t="shared" si="9"/>
        <v>Clearly reported</v>
      </c>
      <c r="T199" s="1" t="str">
        <f t="shared" si="10"/>
        <v>Clearly reported</v>
      </c>
      <c r="U199" s="1" t="str">
        <f t="shared" si="11"/>
        <v>Clearly reported</v>
      </c>
    </row>
    <row r="200" spans="1:21" ht="24" customHeight="1">
      <c r="A200" s="1" t="s">
        <v>5749</v>
      </c>
      <c r="B200" s="1" t="s">
        <v>4688</v>
      </c>
      <c r="C200" s="1" t="s">
        <v>5475</v>
      </c>
      <c r="D200" s="1" t="s">
        <v>5476</v>
      </c>
      <c r="E200" s="1">
        <v>2</v>
      </c>
      <c r="F200" s="1">
        <v>2</v>
      </c>
      <c r="G200" s="1">
        <v>2</v>
      </c>
      <c r="H200" s="1" t="s">
        <v>4631</v>
      </c>
      <c r="I200" s="1" t="s">
        <v>12480</v>
      </c>
      <c r="J200" s="1" t="s">
        <v>4862</v>
      </c>
      <c r="K200" s="1"/>
      <c r="L200" s="1"/>
      <c r="M200" s="1"/>
      <c r="N200" s="1"/>
      <c r="O200" s="1"/>
      <c r="P200" s="1" t="s">
        <v>12481</v>
      </c>
      <c r="Q200" s="1" t="s">
        <v>12482</v>
      </c>
      <c r="R200" s="1"/>
      <c r="S200" s="1" t="str">
        <f t="shared" si="9"/>
        <v>Clearly reported</v>
      </c>
      <c r="T200" s="1" t="str">
        <f t="shared" si="10"/>
        <v>Clearly reported</v>
      </c>
      <c r="U200" s="1" t="str">
        <f t="shared" si="11"/>
        <v>Clearly reported</v>
      </c>
    </row>
    <row r="201" spans="1:21" ht="15" customHeight="1">
      <c r="A201" s="1" t="s">
        <v>5749</v>
      </c>
      <c r="B201" s="1" t="s">
        <v>4688</v>
      </c>
      <c r="C201" s="1" t="s">
        <v>5390</v>
      </c>
      <c r="D201" s="1" t="s">
        <v>5391</v>
      </c>
      <c r="E201" s="1">
        <v>2</v>
      </c>
      <c r="F201" s="1">
        <v>2</v>
      </c>
      <c r="G201" s="1">
        <v>2</v>
      </c>
      <c r="H201" s="1" t="s">
        <v>4631</v>
      </c>
      <c r="I201" s="1" t="s">
        <v>12483</v>
      </c>
      <c r="J201" s="1" t="s">
        <v>4862</v>
      </c>
      <c r="K201" s="1"/>
      <c r="L201" s="1"/>
      <c r="M201" s="1"/>
      <c r="N201" s="1"/>
      <c r="O201" s="1"/>
      <c r="P201" s="1" t="s">
        <v>12484</v>
      </c>
      <c r="Q201" s="1" t="s">
        <v>12485</v>
      </c>
      <c r="R201" s="1"/>
      <c r="S201" s="1" t="str">
        <f t="shared" si="9"/>
        <v>Clearly reported</v>
      </c>
      <c r="T201" s="1" t="str">
        <f t="shared" si="10"/>
        <v>Clearly reported</v>
      </c>
      <c r="U201" s="1" t="str">
        <f t="shared" si="11"/>
        <v>Clearly reported</v>
      </c>
    </row>
    <row r="202" spans="1:21" ht="15" customHeight="1">
      <c r="A202" s="1" t="s">
        <v>5749</v>
      </c>
      <c r="B202" s="1" t="s">
        <v>4688</v>
      </c>
      <c r="C202" s="1" t="s">
        <v>4734</v>
      </c>
      <c r="D202" s="1" t="s">
        <v>4735</v>
      </c>
      <c r="E202" s="1">
        <v>2</v>
      </c>
      <c r="F202" s="1">
        <v>2</v>
      </c>
      <c r="G202" s="1">
        <v>2</v>
      </c>
      <c r="H202" s="1" t="s">
        <v>4631</v>
      </c>
      <c r="I202" s="1" t="s">
        <v>9073</v>
      </c>
      <c r="J202" s="1" t="s">
        <v>4935</v>
      </c>
      <c r="K202" s="1"/>
      <c r="L202" s="1"/>
      <c r="M202" s="1"/>
      <c r="N202" s="1"/>
      <c r="O202" s="1"/>
      <c r="P202" s="1" t="s">
        <v>12486</v>
      </c>
      <c r="Q202" s="1" t="s">
        <v>12487</v>
      </c>
      <c r="R202" s="1"/>
      <c r="S202" s="1" t="str">
        <f t="shared" si="9"/>
        <v>Clearly reported</v>
      </c>
      <c r="T202" s="1" t="str">
        <f t="shared" si="10"/>
        <v>Clearly reported</v>
      </c>
      <c r="U202" s="1" t="str">
        <f t="shared" si="11"/>
        <v>Clearly reported</v>
      </c>
    </row>
    <row r="203" spans="1:21" ht="15" customHeight="1">
      <c r="A203" s="1" t="s">
        <v>5749</v>
      </c>
      <c r="B203" s="1" t="s">
        <v>4688</v>
      </c>
      <c r="C203" s="1" t="s">
        <v>4893</v>
      </c>
      <c r="D203" s="1" t="s">
        <v>4894</v>
      </c>
      <c r="E203" s="1">
        <v>2</v>
      </c>
      <c r="F203" s="1">
        <v>2</v>
      </c>
      <c r="G203" s="1">
        <v>2</v>
      </c>
      <c r="H203" s="1" t="s">
        <v>4631</v>
      </c>
      <c r="I203" s="1" t="s">
        <v>9080</v>
      </c>
      <c r="J203" s="1" t="s">
        <v>4862</v>
      </c>
      <c r="K203" s="1"/>
      <c r="L203" s="1"/>
      <c r="M203" s="1"/>
      <c r="N203" s="1"/>
      <c r="O203" s="1"/>
      <c r="P203" s="1" t="s">
        <v>12488</v>
      </c>
      <c r="Q203" s="1" t="s">
        <v>12489</v>
      </c>
      <c r="R203" s="1"/>
      <c r="S203" s="1" t="str">
        <f t="shared" si="9"/>
        <v>Clearly reported</v>
      </c>
      <c r="T203" s="1" t="str">
        <f t="shared" si="10"/>
        <v>Clearly reported</v>
      </c>
      <c r="U203" s="1" t="str">
        <f t="shared" si="11"/>
        <v>Clearly reported</v>
      </c>
    </row>
    <row r="204" spans="1:21" ht="24" customHeight="1">
      <c r="A204" s="1" t="s">
        <v>5749</v>
      </c>
      <c r="B204" s="1" t="s">
        <v>4688</v>
      </c>
      <c r="C204" s="1" t="s">
        <v>4744</v>
      </c>
      <c r="D204" s="1" t="s">
        <v>4745</v>
      </c>
      <c r="E204" s="1">
        <v>1</v>
      </c>
      <c r="F204" s="1">
        <v>1</v>
      </c>
      <c r="G204" s="1">
        <v>1</v>
      </c>
      <c r="H204" s="1" t="s">
        <v>4631</v>
      </c>
      <c r="I204" s="1" t="s">
        <v>12490</v>
      </c>
      <c r="J204" s="1" t="s">
        <v>12491</v>
      </c>
      <c r="K204" s="1"/>
      <c r="L204" s="1"/>
      <c r="M204" s="1"/>
      <c r="N204" s="1"/>
      <c r="O204" s="1"/>
      <c r="P204" s="1" t="s">
        <v>12492</v>
      </c>
      <c r="Q204" s="1" t="s">
        <v>12493</v>
      </c>
      <c r="R204" s="1"/>
      <c r="S204" s="1" t="str">
        <f t="shared" si="9"/>
        <v>Partly reported</v>
      </c>
      <c r="T204" s="1" t="str">
        <f t="shared" si="10"/>
        <v>Partly reported</v>
      </c>
      <c r="U204" s="1" t="str">
        <f t="shared" si="11"/>
        <v>Partly reported</v>
      </c>
    </row>
    <row r="205" spans="1:21" ht="15" customHeight="1">
      <c r="A205" s="1" t="s">
        <v>5749</v>
      </c>
      <c r="B205" s="1" t="s">
        <v>4688</v>
      </c>
      <c r="C205" s="1" t="s">
        <v>5117</v>
      </c>
      <c r="D205" s="1" t="s">
        <v>5118</v>
      </c>
      <c r="E205" s="1">
        <v>2</v>
      </c>
      <c r="F205" s="1">
        <v>2</v>
      </c>
      <c r="G205" s="1">
        <v>2</v>
      </c>
      <c r="H205" s="1" t="s">
        <v>4631</v>
      </c>
      <c r="I205" s="1" t="s">
        <v>12494</v>
      </c>
      <c r="J205" s="1" t="s">
        <v>4862</v>
      </c>
      <c r="K205" s="1"/>
      <c r="L205" s="1"/>
      <c r="M205" s="1"/>
      <c r="N205" s="1"/>
      <c r="O205" s="1"/>
      <c r="P205" s="1" t="s">
        <v>12495</v>
      </c>
      <c r="Q205" s="1" t="s">
        <v>12496</v>
      </c>
      <c r="R205" s="1"/>
      <c r="S205" s="1" t="str">
        <f t="shared" si="9"/>
        <v>Clearly reported</v>
      </c>
      <c r="T205" s="1" t="str">
        <f t="shared" si="10"/>
        <v>Clearly reported</v>
      </c>
      <c r="U205" s="1" t="str">
        <f t="shared" si="11"/>
        <v>Clearly reported</v>
      </c>
    </row>
    <row r="206" spans="1:21" ht="36" customHeight="1">
      <c r="A206" s="1" t="s">
        <v>5749</v>
      </c>
      <c r="B206" s="1" t="s">
        <v>4688</v>
      </c>
      <c r="C206" s="1" t="s">
        <v>4810</v>
      </c>
      <c r="D206" s="1" t="s">
        <v>4811</v>
      </c>
      <c r="E206" s="1">
        <v>2</v>
      </c>
      <c r="F206" s="1">
        <v>2</v>
      </c>
      <c r="G206" s="1">
        <v>2</v>
      </c>
      <c r="H206" s="1" t="s">
        <v>4631</v>
      </c>
      <c r="I206" s="1" t="s">
        <v>12497</v>
      </c>
      <c r="J206" s="1" t="s">
        <v>4717</v>
      </c>
      <c r="K206" s="1"/>
      <c r="L206" s="1"/>
      <c r="M206" s="1"/>
      <c r="N206" s="1"/>
      <c r="O206" s="1"/>
      <c r="P206" s="1" t="s">
        <v>12498</v>
      </c>
      <c r="Q206" s="1" t="s">
        <v>12499</v>
      </c>
      <c r="R206" s="1"/>
      <c r="S206" s="1" t="str">
        <f t="shared" si="9"/>
        <v>Clearly reported</v>
      </c>
      <c r="T206" s="1" t="str">
        <f t="shared" si="10"/>
        <v>Clearly reported</v>
      </c>
      <c r="U206" s="1" t="str">
        <f t="shared" si="11"/>
        <v>Clearly reported</v>
      </c>
    </row>
    <row r="207" spans="1:21" ht="48" customHeight="1">
      <c r="A207" s="1" t="s">
        <v>5749</v>
      </c>
      <c r="B207" s="1" t="s">
        <v>4688</v>
      </c>
      <c r="C207" s="1" t="s">
        <v>4714</v>
      </c>
      <c r="D207" s="1" t="s">
        <v>4715</v>
      </c>
      <c r="E207" s="1">
        <v>1</v>
      </c>
      <c r="F207" s="1">
        <v>1</v>
      </c>
      <c r="G207" s="1">
        <v>1</v>
      </c>
      <c r="H207" s="1" t="s">
        <v>4631</v>
      </c>
      <c r="I207" s="1" t="s">
        <v>12500</v>
      </c>
      <c r="J207" s="1" t="s">
        <v>4862</v>
      </c>
      <c r="K207" s="1"/>
      <c r="L207" s="1"/>
      <c r="M207" s="1"/>
      <c r="N207" s="1"/>
      <c r="O207" s="1"/>
      <c r="P207" s="1" t="s">
        <v>12501</v>
      </c>
      <c r="Q207" s="1" t="s">
        <v>12502</v>
      </c>
      <c r="R207" s="1"/>
      <c r="S207" s="1" t="str">
        <f t="shared" si="9"/>
        <v>Partly reported</v>
      </c>
      <c r="T207" s="1" t="str">
        <f t="shared" si="10"/>
        <v>Partly reported</v>
      </c>
      <c r="U207" s="1" t="str">
        <f t="shared" si="11"/>
        <v>Partly reported</v>
      </c>
    </row>
    <row r="208" spans="1:21" ht="15" customHeight="1">
      <c r="A208" s="1" t="s">
        <v>5749</v>
      </c>
      <c r="B208" s="1" t="s">
        <v>4688</v>
      </c>
      <c r="C208" s="1" t="s">
        <v>4689</v>
      </c>
      <c r="D208" s="1" t="s">
        <v>4690</v>
      </c>
      <c r="E208" s="1">
        <v>0</v>
      </c>
      <c r="F208" s="1">
        <v>0</v>
      </c>
      <c r="G208" s="1">
        <v>0</v>
      </c>
      <c r="H208" s="1" t="s">
        <v>4631</v>
      </c>
      <c r="I208" s="1" t="s">
        <v>6452</v>
      </c>
      <c r="J208" s="1" t="s">
        <v>5200</v>
      </c>
      <c r="K208" s="1"/>
      <c r="L208" s="1"/>
      <c r="M208" s="1"/>
      <c r="N208" s="1"/>
      <c r="O208" s="1"/>
      <c r="P208" s="1" t="s">
        <v>12503</v>
      </c>
      <c r="Q208" s="1" t="s">
        <v>12504</v>
      </c>
      <c r="R208" s="1"/>
      <c r="S208" s="1" t="str">
        <f t="shared" si="9"/>
        <v>Not reported</v>
      </c>
      <c r="T208" s="1" t="str">
        <f t="shared" si="10"/>
        <v>Not reported</v>
      </c>
      <c r="U208" s="1" t="str">
        <f t="shared" si="11"/>
        <v>Not reported</v>
      </c>
    </row>
    <row r="209" spans="1:21" ht="24" customHeight="1">
      <c r="A209" s="1" t="s">
        <v>5094</v>
      </c>
      <c r="B209" s="1" t="s">
        <v>4688</v>
      </c>
      <c r="C209" s="1" t="s">
        <v>5475</v>
      </c>
      <c r="D209" s="1" t="s">
        <v>5476</v>
      </c>
      <c r="E209" s="1">
        <v>2</v>
      </c>
      <c r="F209" s="1">
        <v>2</v>
      </c>
      <c r="G209" s="1">
        <v>2</v>
      </c>
      <c r="H209" s="1" t="s">
        <v>4631</v>
      </c>
      <c r="I209" s="1" t="s">
        <v>12505</v>
      </c>
      <c r="J209" s="1" t="s">
        <v>4886</v>
      </c>
      <c r="K209" s="1"/>
      <c r="L209" s="1"/>
      <c r="M209" s="1"/>
      <c r="N209" s="1"/>
      <c r="O209" s="1"/>
      <c r="P209" s="1" t="s">
        <v>12506</v>
      </c>
      <c r="Q209" s="1" t="s">
        <v>12507</v>
      </c>
      <c r="R209" s="1"/>
      <c r="S209" s="1" t="str">
        <f t="shared" si="9"/>
        <v>Clearly reported</v>
      </c>
      <c r="T209" s="1" t="str">
        <f t="shared" si="10"/>
        <v>Clearly reported</v>
      </c>
      <c r="U209" s="1" t="str">
        <f t="shared" si="11"/>
        <v>Clearly reported</v>
      </c>
    </row>
    <row r="210" spans="1:21" ht="24" customHeight="1">
      <c r="A210" s="1" t="s">
        <v>5094</v>
      </c>
      <c r="B210" s="1" t="s">
        <v>4688</v>
      </c>
      <c r="C210" s="1" t="s">
        <v>5390</v>
      </c>
      <c r="D210" s="1" t="s">
        <v>5391</v>
      </c>
      <c r="E210" s="1">
        <v>2</v>
      </c>
      <c r="F210" s="1">
        <v>2</v>
      </c>
      <c r="G210" s="1">
        <v>2</v>
      </c>
      <c r="H210" s="1" t="s">
        <v>4631</v>
      </c>
      <c r="I210" s="1" t="s">
        <v>12508</v>
      </c>
      <c r="J210" s="1" t="s">
        <v>4896</v>
      </c>
      <c r="K210" s="1"/>
      <c r="L210" s="1"/>
      <c r="M210" s="1"/>
      <c r="N210" s="1"/>
      <c r="O210" s="1"/>
      <c r="P210" s="1" t="s">
        <v>12509</v>
      </c>
      <c r="Q210" s="1" t="s">
        <v>12510</v>
      </c>
      <c r="R210" s="1"/>
      <c r="S210" s="1" t="str">
        <f t="shared" si="9"/>
        <v>Clearly reported</v>
      </c>
      <c r="T210" s="1" t="str">
        <f t="shared" si="10"/>
        <v>Clearly reported</v>
      </c>
      <c r="U210" s="1" t="str">
        <f t="shared" si="11"/>
        <v>Clearly reported</v>
      </c>
    </row>
    <row r="211" spans="1:21" ht="15" customHeight="1">
      <c r="A211" s="1" t="s">
        <v>5094</v>
      </c>
      <c r="B211" s="1" t="s">
        <v>4688</v>
      </c>
      <c r="C211" s="1" t="s">
        <v>4734</v>
      </c>
      <c r="D211" s="1" t="s">
        <v>4735</v>
      </c>
      <c r="E211" s="1">
        <v>2</v>
      </c>
      <c r="F211" s="1">
        <v>2</v>
      </c>
      <c r="G211" s="1">
        <v>2</v>
      </c>
      <c r="H211" s="1" t="s">
        <v>4631</v>
      </c>
      <c r="I211" s="1" t="s">
        <v>9204</v>
      </c>
      <c r="J211" s="1" t="s">
        <v>4845</v>
      </c>
      <c r="K211" s="1"/>
      <c r="L211" s="1"/>
      <c r="M211" s="1"/>
      <c r="N211" s="1"/>
      <c r="O211" s="1"/>
      <c r="P211" s="1" t="s">
        <v>12511</v>
      </c>
      <c r="Q211" s="1" t="s">
        <v>12512</v>
      </c>
      <c r="R211" s="1"/>
      <c r="S211" s="1" t="str">
        <f t="shared" si="9"/>
        <v>Clearly reported</v>
      </c>
      <c r="T211" s="1" t="str">
        <f t="shared" si="10"/>
        <v>Clearly reported</v>
      </c>
      <c r="U211" s="1" t="str">
        <f t="shared" si="11"/>
        <v>Clearly reported</v>
      </c>
    </row>
    <row r="212" spans="1:21" ht="60" customHeight="1">
      <c r="A212" s="1" t="s">
        <v>5094</v>
      </c>
      <c r="B212" s="1" t="s">
        <v>4688</v>
      </c>
      <c r="C212" s="1" t="s">
        <v>4893</v>
      </c>
      <c r="D212" s="1" t="s">
        <v>4894</v>
      </c>
      <c r="E212" s="1">
        <v>2</v>
      </c>
      <c r="F212" s="1">
        <v>1</v>
      </c>
      <c r="G212" s="1">
        <v>2</v>
      </c>
      <c r="H212" s="1" t="s">
        <v>4691</v>
      </c>
      <c r="I212" s="1" t="s">
        <v>5095</v>
      </c>
      <c r="J212" s="1" t="s">
        <v>5096</v>
      </c>
      <c r="K212" s="1"/>
      <c r="L212" s="1" t="s">
        <v>5097</v>
      </c>
      <c r="M212" s="1" t="s">
        <v>5098</v>
      </c>
      <c r="N212" s="1" t="s">
        <v>5099</v>
      </c>
      <c r="O212" s="1" t="s">
        <v>4697</v>
      </c>
      <c r="P212" s="1" t="s">
        <v>5100</v>
      </c>
      <c r="Q212" s="1" t="s">
        <v>5101</v>
      </c>
      <c r="R212" s="1" t="s">
        <v>5102</v>
      </c>
      <c r="S212" s="1" t="str">
        <f t="shared" si="9"/>
        <v>Clearly reported</v>
      </c>
      <c r="T212" s="1" t="str">
        <f t="shared" si="10"/>
        <v>Partly reported</v>
      </c>
      <c r="U212" s="1" t="str">
        <f t="shared" si="11"/>
        <v>Clearly reported</v>
      </c>
    </row>
    <row r="213" spans="1:21" ht="36" customHeight="1">
      <c r="A213" s="1" t="s">
        <v>5094</v>
      </c>
      <c r="B213" s="1" t="s">
        <v>4688</v>
      </c>
      <c r="C213" s="1" t="s">
        <v>4744</v>
      </c>
      <c r="D213" s="1" t="s">
        <v>4745</v>
      </c>
      <c r="E213" s="1">
        <v>2</v>
      </c>
      <c r="F213" s="1">
        <v>2</v>
      </c>
      <c r="G213" s="1">
        <v>2</v>
      </c>
      <c r="H213" s="1" t="s">
        <v>4631</v>
      </c>
      <c r="I213" s="1" t="s">
        <v>12513</v>
      </c>
      <c r="J213" s="1" t="s">
        <v>5278</v>
      </c>
      <c r="K213" s="1"/>
      <c r="L213" s="1"/>
      <c r="M213" s="1"/>
      <c r="N213" s="1"/>
      <c r="O213" s="1"/>
      <c r="P213" s="1" t="s">
        <v>12514</v>
      </c>
      <c r="Q213" s="1" t="s">
        <v>12515</v>
      </c>
      <c r="R213" s="1"/>
      <c r="S213" s="1" t="str">
        <f t="shared" si="9"/>
        <v>Clearly reported</v>
      </c>
      <c r="T213" s="1" t="str">
        <f t="shared" si="10"/>
        <v>Clearly reported</v>
      </c>
      <c r="U213" s="1" t="str">
        <f t="shared" si="11"/>
        <v>Clearly reported</v>
      </c>
    </row>
    <row r="214" spans="1:21" ht="36" customHeight="1">
      <c r="A214" s="1" t="s">
        <v>5094</v>
      </c>
      <c r="B214" s="1" t="s">
        <v>4688</v>
      </c>
      <c r="C214" s="1" t="s">
        <v>5117</v>
      </c>
      <c r="D214" s="1" t="s">
        <v>5118</v>
      </c>
      <c r="E214" s="1">
        <v>2</v>
      </c>
      <c r="F214" s="1">
        <v>2</v>
      </c>
      <c r="G214" s="1">
        <v>2</v>
      </c>
      <c r="H214" s="1" t="s">
        <v>4631</v>
      </c>
      <c r="I214" s="1" t="s">
        <v>12516</v>
      </c>
      <c r="J214" s="1" t="s">
        <v>5316</v>
      </c>
      <c r="K214" s="1"/>
      <c r="L214" s="1"/>
      <c r="M214" s="1"/>
      <c r="N214" s="1"/>
      <c r="O214" s="1"/>
      <c r="P214" s="1" t="s">
        <v>12517</v>
      </c>
      <c r="Q214" s="1" t="s">
        <v>12518</v>
      </c>
      <c r="R214" s="1"/>
      <c r="S214" s="1" t="str">
        <f t="shared" si="9"/>
        <v>Clearly reported</v>
      </c>
      <c r="T214" s="1" t="str">
        <f t="shared" si="10"/>
        <v>Clearly reported</v>
      </c>
      <c r="U214" s="1" t="str">
        <f t="shared" si="11"/>
        <v>Clearly reported</v>
      </c>
    </row>
    <row r="215" spans="1:21" ht="60" customHeight="1">
      <c r="A215" s="1" t="s">
        <v>5094</v>
      </c>
      <c r="B215" s="1" t="s">
        <v>4688</v>
      </c>
      <c r="C215" s="1" t="s">
        <v>4810</v>
      </c>
      <c r="D215" s="1" t="s">
        <v>4811</v>
      </c>
      <c r="E215" s="1">
        <v>2</v>
      </c>
      <c r="F215" s="1">
        <v>1</v>
      </c>
      <c r="G215" s="1">
        <v>2</v>
      </c>
      <c r="H215" s="1" t="s">
        <v>4691</v>
      </c>
      <c r="I215" s="1" t="s">
        <v>5103</v>
      </c>
      <c r="J215" s="1" t="s">
        <v>4764</v>
      </c>
      <c r="K215" s="1"/>
      <c r="L215" s="1" t="s">
        <v>5104</v>
      </c>
      <c r="M215" s="1" t="s">
        <v>5105</v>
      </c>
      <c r="N215" s="1" t="s">
        <v>5106</v>
      </c>
      <c r="O215" s="1" t="s">
        <v>4697</v>
      </c>
      <c r="P215" s="1" t="s">
        <v>5107</v>
      </c>
      <c r="Q215" s="1" t="s">
        <v>5108</v>
      </c>
      <c r="R215" s="1" t="s">
        <v>5109</v>
      </c>
      <c r="S215" s="1" t="str">
        <f t="shared" si="9"/>
        <v>Clearly reported</v>
      </c>
      <c r="T215" s="1" t="str">
        <f t="shared" si="10"/>
        <v>Partly reported</v>
      </c>
      <c r="U215" s="1" t="str">
        <f t="shared" si="11"/>
        <v>Clearly reported</v>
      </c>
    </row>
    <row r="216" spans="1:21" ht="48" customHeight="1">
      <c r="A216" s="1" t="s">
        <v>5094</v>
      </c>
      <c r="B216" s="1" t="s">
        <v>4688</v>
      </c>
      <c r="C216" s="1" t="s">
        <v>4714</v>
      </c>
      <c r="D216" s="1" t="s">
        <v>4715</v>
      </c>
      <c r="E216" s="1">
        <v>2</v>
      </c>
      <c r="F216" s="1">
        <v>1</v>
      </c>
      <c r="G216" s="1">
        <v>1</v>
      </c>
      <c r="H216" s="1" t="s">
        <v>4646</v>
      </c>
      <c r="I216" s="1" t="s">
        <v>5110</v>
      </c>
      <c r="J216" s="1" t="s">
        <v>4959</v>
      </c>
      <c r="K216" s="1"/>
      <c r="L216" s="1" t="s">
        <v>5111</v>
      </c>
      <c r="M216" s="1" t="s">
        <v>5112</v>
      </c>
      <c r="N216" s="1" t="s">
        <v>4720</v>
      </c>
      <c r="O216" s="1" t="s">
        <v>4721</v>
      </c>
      <c r="P216" s="1" t="s">
        <v>5113</v>
      </c>
      <c r="Q216" s="1" t="s">
        <v>5114</v>
      </c>
      <c r="R216" s="1" t="s">
        <v>5115</v>
      </c>
      <c r="S216" s="1" t="str">
        <f t="shared" si="9"/>
        <v>Clearly reported</v>
      </c>
      <c r="T216" s="1" t="str">
        <f t="shared" si="10"/>
        <v>Partly reported</v>
      </c>
      <c r="U216" s="1" t="str">
        <f t="shared" si="11"/>
        <v>Partly reported</v>
      </c>
    </row>
    <row r="217" spans="1:21" ht="24" customHeight="1">
      <c r="A217" s="1" t="s">
        <v>5094</v>
      </c>
      <c r="B217" s="1" t="s">
        <v>4688</v>
      </c>
      <c r="C217" s="1" t="s">
        <v>4689</v>
      </c>
      <c r="D217" s="1" t="s">
        <v>4690</v>
      </c>
      <c r="E217" s="1">
        <v>0</v>
      </c>
      <c r="F217" s="1">
        <v>0</v>
      </c>
      <c r="G217" s="1">
        <v>0</v>
      </c>
      <c r="H217" s="1" t="s">
        <v>4631</v>
      </c>
      <c r="I217" s="1" t="s">
        <v>9199</v>
      </c>
      <c r="J217" s="1" t="s">
        <v>12173</v>
      </c>
      <c r="K217" s="1"/>
      <c r="L217" s="1"/>
      <c r="M217" s="1"/>
      <c r="N217" s="1"/>
      <c r="O217" s="1"/>
      <c r="P217" s="1" t="s">
        <v>12519</v>
      </c>
      <c r="Q217" s="1" t="s">
        <v>12520</v>
      </c>
      <c r="R217" s="1"/>
      <c r="S217" s="1" t="str">
        <f t="shared" si="9"/>
        <v>Not reported</v>
      </c>
      <c r="T217" s="1" t="str">
        <f t="shared" si="10"/>
        <v>Not reported</v>
      </c>
      <c r="U217" s="1" t="str">
        <f t="shared" si="11"/>
        <v>Not reported</v>
      </c>
    </row>
    <row r="218" spans="1:21" ht="36" customHeight="1">
      <c r="A218" s="1" t="s">
        <v>5116</v>
      </c>
      <c r="B218" s="1" t="s">
        <v>4688</v>
      </c>
      <c r="C218" s="1" t="s">
        <v>5475</v>
      </c>
      <c r="D218" s="1" t="s">
        <v>5476</v>
      </c>
      <c r="E218" s="1">
        <v>2</v>
      </c>
      <c r="F218" s="1">
        <v>2</v>
      </c>
      <c r="G218" s="1">
        <v>2</v>
      </c>
      <c r="H218" s="1" t="s">
        <v>4631</v>
      </c>
      <c r="I218" s="1" t="s">
        <v>12521</v>
      </c>
      <c r="J218" s="1" t="s">
        <v>4959</v>
      </c>
      <c r="K218" s="1"/>
      <c r="L218" s="1"/>
      <c r="M218" s="1"/>
      <c r="N218" s="1"/>
      <c r="O218" s="1"/>
      <c r="P218" s="1" t="s">
        <v>12522</v>
      </c>
      <c r="Q218" s="1" t="s">
        <v>12523</v>
      </c>
      <c r="R218" s="1"/>
      <c r="S218" s="1" t="str">
        <f t="shared" si="9"/>
        <v>Clearly reported</v>
      </c>
      <c r="T218" s="1" t="str">
        <f t="shared" si="10"/>
        <v>Clearly reported</v>
      </c>
      <c r="U218" s="1" t="str">
        <f t="shared" si="11"/>
        <v>Clearly reported</v>
      </c>
    </row>
    <row r="219" spans="1:21" ht="24" customHeight="1">
      <c r="A219" s="1" t="s">
        <v>5116</v>
      </c>
      <c r="B219" s="1" t="s">
        <v>4688</v>
      </c>
      <c r="C219" s="1" t="s">
        <v>5390</v>
      </c>
      <c r="D219" s="1" t="s">
        <v>5391</v>
      </c>
      <c r="E219" s="1">
        <v>2</v>
      </c>
      <c r="F219" s="1">
        <v>2</v>
      </c>
      <c r="G219" s="1">
        <v>2</v>
      </c>
      <c r="H219" s="1" t="s">
        <v>4631</v>
      </c>
      <c r="I219" s="1" t="s">
        <v>12524</v>
      </c>
      <c r="J219" s="1" t="s">
        <v>4717</v>
      </c>
      <c r="K219" s="1"/>
      <c r="L219" s="1"/>
      <c r="M219" s="1"/>
      <c r="N219" s="1"/>
      <c r="O219" s="1"/>
      <c r="P219" s="1" t="s">
        <v>12525</v>
      </c>
      <c r="Q219" s="1" t="s">
        <v>12526</v>
      </c>
      <c r="R219" s="1"/>
      <c r="S219" s="1" t="str">
        <f t="shared" si="9"/>
        <v>Clearly reported</v>
      </c>
      <c r="T219" s="1" t="str">
        <f t="shared" si="10"/>
        <v>Clearly reported</v>
      </c>
      <c r="U219" s="1" t="str">
        <f t="shared" si="11"/>
        <v>Clearly reported</v>
      </c>
    </row>
    <row r="220" spans="1:21" ht="24" customHeight="1">
      <c r="A220" s="1" t="s">
        <v>5116</v>
      </c>
      <c r="B220" s="1" t="s">
        <v>4688</v>
      </c>
      <c r="C220" s="1" t="s">
        <v>4734</v>
      </c>
      <c r="D220" s="1" t="s">
        <v>4735</v>
      </c>
      <c r="E220" s="1">
        <v>2</v>
      </c>
      <c r="F220" s="1">
        <v>2</v>
      </c>
      <c r="G220" s="1">
        <v>2</v>
      </c>
      <c r="H220" s="1" t="s">
        <v>4631</v>
      </c>
      <c r="I220" s="1" t="s">
        <v>9353</v>
      </c>
      <c r="J220" s="1" t="s">
        <v>4886</v>
      </c>
      <c r="K220" s="1"/>
      <c r="L220" s="1"/>
      <c r="M220" s="1"/>
      <c r="N220" s="1"/>
      <c r="O220" s="1"/>
      <c r="P220" s="1" t="s">
        <v>12527</v>
      </c>
      <c r="Q220" s="1" t="s">
        <v>12528</v>
      </c>
      <c r="R220" s="1"/>
      <c r="S220" s="1" t="str">
        <f t="shared" si="9"/>
        <v>Clearly reported</v>
      </c>
      <c r="T220" s="1" t="str">
        <f t="shared" si="10"/>
        <v>Clearly reported</v>
      </c>
      <c r="U220" s="1" t="str">
        <f t="shared" si="11"/>
        <v>Clearly reported</v>
      </c>
    </row>
    <row r="221" spans="1:21" ht="15" customHeight="1">
      <c r="A221" s="1" t="s">
        <v>5116</v>
      </c>
      <c r="B221" s="1" t="s">
        <v>4688</v>
      </c>
      <c r="C221" s="1" t="s">
        <v>4893</v>
      </c>
      <c r="D221" s="1" t="s">
        <v>4894</v>
      </c>
      <c r="E221" s="1">
        <v>2</v>
      </c>
      <c r="F221" s="1">
        <v>2</v>
      </c>
      <c r="G221" s="1">
        <v>2</v>
      </c>
      <c r="H221" s="1" t="s">
        <v>4631</v>
      </c>
      <c r="I221" s="1" t="s">
        <v>9360</v>
      </c>
      <c r="J221" s="1" t="s">
        <v>4959</v>
      </c>
      <c r="K221" s="1"/>
      <c r="L221" s="1"/>
      <c r="M221" s="1"/>
      <c r="N221" s="1"/>
      <c r="O221" s="1"/>
      <c r="P221" s="1" t="s">
        <v>12529</v>
      </c>
      <c r="Q221" s="1" t="s">
        <v>12530</v>
      </c>
      <c r="R221" s="1"/>
      <c r="S221" s="1" t="str">
        <f t="shared" si="9"/>
        <v>Clearly reported</v>
      </c>
      <c r="T221" s="1" t="str">
        <f t="shared" si="10"/>
        <v>Clearly reported</v>
      </c>
      <c r="U221" s="1" t="str">
        <f t="shared" si="11"/>
        <v>Clearly reported</v>
      </c>
    </row>
    <row r="222" spans="1:21" ht="48" customHeight="1">
      <c r="A222" s="1" t="s">
        <v>5116</v>
      </c>
      <c r="B222" s="1" t="s">
        <v>4688</v>
      </c>
      <c r="C222" s="1" t="s">
        <v>4744</v>
      </c>
      <c r="D222" s="1" t="s">
        <v>4745</v>
      </c>
      <c r="E222" s="1">
        <v>2</v>
      </c>
      <c r="F222" s="1">
        <v>2</v>
      </c>
      <c r="G222" s="1">
        <v>2</v>
      </c>
      <c r="H222" s="1" t="s">
        <v>4631</v>
      </c>
      <c r="I222" s="1" t="s">
        <v>12531</v>
      </c>
      <c r="J222" s="1" t="s">
        <v>12532</v>
      </c>
      <c r="K222" s="1"/>
      <c r="L222" s="1"/>
      <c r="M222" s="1"/>
      <c r="N222" s="1"/>
      <c r="O222" s="1"/>
      <c r="P222" s="1" t="s">
        <v>12533</v>
      </c>
      <c r="Q222" s="1" t="s">
        <v>12534</v>
      </c>
      <c r="R222" s="1"/>
      <c r="S222" s="1" t="str">
        <f t="shared" si="9"/>
        <v>Clearly reported</v>
      </c>
      <c r="T222" s="1" t="str">
        <f t="shared" si="10"/>
        <v>Clearly reported</v>
      </c>
      <c r="U222" s="1" t="str">
        <f t="shared" si="11"/>
        <v>Clearly reported</v>
      </c>
    </row>
    <row r="223" spans="1:21" ht="108" customHeight="1">
      <c r="A223" s="1" t="s">
        <v>5116</v>
      </c>
      <c r="B223" s="1" t="s">
        <v>4688</v>
      </c>
      <c r="C223" s="1" t="s">
        <v>5117</v>
      </c>
      <c r="D223" s="1" t="s">
        <v>5118</v>
      </c>
      <c r="E223" s="1">
        <v>2</v>
      </c>
      <c r="F223" s="1">
        <v>1</v>
      </c>
      <c r="G223" s="1">
        <v>2</v>
      </c>
      <c r="H223" s="1" t="s">
        <v>4691</v>
      </c>
      <c r="I223" s="1" t="s">
        <v>5119</v>
      </c>
      <c r="J223" s="1" t="s">
        <v>4788</v>
      </c>
      <c r="K223" s="1"/>
      <c r="L223" s="1" t="s">
        <v>5120</v>
      </c>
      <c r="M223" s="1" t="s">
        <v>5121</v>
      </c>
      <c r="N223" s="1" t="s">
        <v>5122</v>
      </c>
      <c r="O223" s="1" t="s">
        <v>4697</v>
      </c>
      <c r="P223" s="1" t="s">
        <v>5123</v>
      </c>
      <c r="Q223" s="1" t="s">
        <v>5124</v>
      </c>
      <c r="R223" s="1" t="s">
        <v>5125</v>
      </c>
      <c r="S223" s="1" t="str">
        <f t="shared" si="9"/>
        <v>Clearly reported</v>
      </c>
      <c r="T223" s="1" t="str">
        <f t="shared" si="10"/>
        <v>Partly reported</v>
      </c>
      <c r="U223" s="1" t="str">
        <f t="shared" si="11"/>
        <v>Clearly reported</v>
      </c>
    </row>
    <row r="224" spans="1:21" ht="60" customHeight="1">
      <c r="A224" s="1" t="s">
        <v>5116</v>
      </c>
      <c r="B224" s="1" t="s">
        <v>4688</v>
      </c>
      <c r="C224" s="1" t="s">
        <v>4810</v>
      </c>
      <c r="D224" s="1" t="s">
        <v>4811</v>
      </c>
      <c r="E224" s="1">
        <v>1</v>
      </c>
      <c r="F224" s="1">
        <v>0</v>
      </c>
      <c r="G224" s="1">
        <v>0</v>
      </c>
      <c r="H224" s="1" t="s">
        <v>4691</v>
      </c>
      <c r="I224" s="1" t="s">
        <v>5126</v>
      </c>
      <c r="J224" s="1" t="s">
        <v>4747</v>
      </c>
      <c r="K224" s="1"/>
      <c r="L224" s="1" t="s">
        <v>5127</v>
      </c>
      <c r="M224" s="1" t="s">
        <v>5128</v>
      </c>
      <c r="N224" s="1" t="s">
        <v>5129</v>
      </c>
      <c r="O224" s="1" t="s">
        <v>4697</v>
      </c>
      <c r="P224" s="1" t="s">
        <v>5130</v>
      </c>
      <c r="Q224" s="1" t="s">
        <v>5131</v>
      </c>
      <c r="R224" s="1" t="s">
        <v>5132</v>
      </c>
      <c r="S224" s="1" t="str">
        <f t="shared" si="9"/>
        <v>Partly reported</v>
      </c>
      <c r="T224" s="1" t="str">
        <f t="shared" si="10"/>
        <v>Not reported</v>
      </c>
      <c r="U224" s="1" t="str">
        <f t="shared" si="11"/>
        <v>Not reported</v>
      </c>
    </row>
    <row r="225" spans="1:21" ht="36" customHeight="1">
      <c r="A225" s="1" t="s">
        <v>5116</v>
      </c>
      <c r="B225" s="1" t="s">
        <v>4688</v>
      </c>
      <c r="C225" s="1" t="s">
        <v>4714</v>
      </c>
      <c r="D225" s="1" t="s">
        <v>4715</v>
      </c>
      <c r="E225" s="1">
        <v>2</v>
      </c>
      <c r="F225" s="1">
        <v>2</v>
      </c>
      <c r="G225" s="1">
        <v>2</v>
      </c>
      <c r="H225" s="1" t="s">
        <v>4631</v>
      </c>
      <c r="I225" s="1" t="s">
        <v>12535</v>
      </c>
      <c r="J225" s="1" t="s">
        <v>4862</v>
      </c>
      <c r="K225" s="1"/>
      <c r="L225" s="1"/>
      <c r="M225" s="1"/>
      <c r="N225" s="1"/>
      <c r="O225" s="1"/>
      <c r="P225" s="1" t="s">
        <v>12536</v>
      </c>
      <c r="Q225" s="1" t="s">
        <v>12537</v>
      </c>
      <c r="R225" s="1"/>
      <c r="S225" s="1" t="str">
        <f t="shared" si="9"/>
        <v>Clearly reported</v>
      </c>
      <c r="T225" s="1" t="str">
        <f t="shared" si="10"/>
        <v>Clearly reported</v>
      </c>
      <c r="U225" s="1" t="str">
        <f t="shared" si="11"/>
        <v>Clearly reported</v>
      </c>
    </row>
    <row r="226" spans="1:21" ht="24" customHeight="1">
      <c r="A226" s="1" t="s">
        <v>5116</v>
      </c>
      <c r="B226" s="1" t="s">
        <v>4688</v>
      </c>
      <c r="C226" s="1" t="s">
        <v>4689</v>
      </c>
      <c r="D226" s="1" t="s">
        <v>4690</v>
      </c>
      <c r="E226" s="1">
        <v>1</v>
      </c>
      <c r="F226" s="1">
        <v>1</v>
      </c>
      <c r="G226" s="1">
        <v>1</v>
      </c>
      <c r="H226" s="1" t="s">
        <v>4631</v>
      </c>
      <c r="I226" s="1" t="s">
        <v>9348</v>
      </c>
      <c r="J226" s="1" t="s">
        <v>4788</v>
      </c>
      <c r="K226" s="1"/>
      <c r="L226" s="1"/>
      <c r="M226" s="1"/>
      <c r="N226" s="1"/>
      <c r="O226" s="1"/>
      <c r="P226" s="1" t="s">
        <v>12538</v>
      </c>
      <c r="Q226" s="1" t="s">
        <v>12539</v>
      </c>
      <c r="R226" s="1"/>
      <c r="S226" s="1" t="str">
        <f t="shared" si="9"/>
        <v>Partly reported</v>
      </c>
      <c r="T226" s="1" t="str">
        <f t="shared" si="10"/>
        <v>Partly reported</v>
      </c>
      <c r="U226" s="1" t="str">
        <f t="shared" si="11"/>
        <v>Partly reported</v>
      </c>
    </row>
    <row r="227" spans="1:21" ht="36" customHeight="1">
      <c r="A227" s="1" t="s">
        <v>5133</v>
      </c>
      <c r="B227" s="1" t="s">
        <v>4688</v>
      </c>
      <c r="C227" s="1" t="s">
        <v>5475</v>
      </c>
      <c r="D227" s="1" t="s">
        <v>5476</v>
      </c>
      <c r="E227" s="1">
        <v>2</v>
      </c>
      <c r="F227" s="1">
        <v>2</v>
      </c>
      <c r="G227" s="1">
        <v>2</v>
      </c>
      <c r="H227" s="1" t="s">
        <v>4631</v>
      </c>
      <c r="I227" s="1" t="s">
        <v>12540</v>
      </c>
      <c r="J227" s="1" t="s">
        <v>4862</v>
      </c>
      <c r="K227" s="1"/>
      <c r="L227" s="1"/>
      <c r="M227" s="1"/>
      <c r="N227" s="1"/>
      <c r="O227" s="1"/>
      <c r="P227" s="1" t="s">
        <v>12541</v>
      </c>
      <c r="Q227" s="1" t="s">
        <v>12542</v>
      </c>
      <c r="R227" s="1"/>
      <c r="S227" s="1" t="str">
        <f t="shared" si="9"/>
        <v>Clearly reported</v>
      </c>
      <c r="T227" s="1" t="str">
        <f t="shared" si="10"/>
        <v>Clearly reported</v>
      </c>
      <c r="U227" s="1" t="str">
        <f t="shared" si="11"/>
        <v>Clearly reported</v>
      </c>
    </row>
    <row r="228" spans="1:21" ht="15" customHeight="1">
      <c r="A228" s="1" t="s">
        <v>5133</v>
      </c>
      <c r="B228" s="1" t="s">
        <v>4688</v>
      </c>
      <c r="C228" s="1" t="s">
        <v>5390</v>
      </c>
      <c r="D228" s="1" t="s">
        <v>5391</v>
      </c>
      <c r="E228" s="1">
        <v>2</v>
      </c>
      <c r="F228" s="1">
        <v>2</v>
      </c>
      <c r="G228" s="1">
        <v>2</v>
      </c>
      <c r="H228" s="1" t="s">
        <v>4631</v>
      </c>
      <c r="I228" s="1" t="s">
        <v>12543</v>
      </c>
      <c r="J228" s="1" t="s">
        <v>4862</v>
      </c>
      <c r="K228" s="1"/>
      <c r="L228" s="1"/>
      <c r="M228" s="1"/>
      <c r="N228" s="1"/>
      <c r="O228" s="1"/>
      <c r="P228" s="1" t="s">
        <v>12544</v>
      </c>
      <c r="Q228" s="1" t="s">
        <v>12545</v>
      </c>
      <c r="R228" s="1"/>
      <c r="S228" s="1" t="str">
        <f t="shared" si="9"/>
        <v>Clearly reported</v>
      </c>
      <c r="T228" s="1" t="str">
        <f t="shared" si="10"/>
        <v>Clearly reported</v>
      </c>
      <c r="U228" s="1" t="str">
        <f t="shared" si="11"/>
        <v>Clearly reported</v>
      </c>
    </row>
    <row r="229" spans="1:21" ht="15" customHeight="1">
      <c r="A229" s="1" t="s">
        <v>5133</v>
      </c>
      <c r="B229" s="1" t="s">
        <v>4688</v>
      </c>
      <c r="C229" s="1" t="s">
        <v>4734</v>
      </c>
      <c r="D229" s="1" t="s">
        <v>4735</v>
      </c>
      <c r="E229" s="1">
        <v>2</v>
      </c>
      <c r="F229" s="1">
        <v>2</v>
      </c>
      <c r="G229" s="1">
        <v>2</v>
      </c>
      <c r="H229" s="1" t="s">
        <v>4631</v>
      </c>
      <c r="I229" s="1" t="s">
        <v>9488</v>
      </c>
      <c r="J229" s="1" t="s">
        <v>4896</v>
      </c>
      <c r="K229" s="1"/>
      <c r="L229" s="1"/>
      <c r="M229" s="1"/>
      <c r="N229" s="1"/>
      <c r="O229" s="1"/>
      <c r="P229" s="1" t="s">
        <v>12546</v>
      </c>
      <c r="Q229" s="1" t="s">
        <v>12547</v>
      </c>
      <c r="R229" s="1"/>
      <c r="S229" s="1" t="str">
        <f t="shared" si="9"/>
        <v>Clearly reported</v>
      </c>
      <c r="T229" s="1" t="str">
        <f t="shared" si="10"/>
        <v>Clearly reported</v>
      </c>
      <c r="U229" s="1" t="str">
        <f t="shared" si="11"/>
        <v>Clearly reported</v>
      </c>
    </row>
    <row r="230" spans="1:21" ht="15" customHeight="1">
      <c r="A230" s="1" t="s">
        <v>5133</v>
      </c>
      <c r="B230" s="1" t="s">
        <v>4688</v>
      </c>
      <c r="C230" s="1" t="s">
        <v>4893</v>
      </c>
      <c r="D230" s="1" t="s">
        <v>4894</v>
      </c>
      <c r="E230" s="1">
        <v>2</v>
      </c>
      <c r="F230" s="1">
        <v>2</v>
      </c>
      <c r="G230" s="1">
        <v>2</v>
      </c>
      <c r="H230" s="1" t="s">
        <v>4631</v>
      </c>
      <c r="I230" s="1" t="s">
        <v>9495</v>
      </c>
      <c r="J230" s="1" t="s">
        <v>4788</v>
      </c>
      <c r="K230" s="1"/>
      <c r="L230" s="1"/>
      <c r="M230" s="1"/>
      <c r="N230" s="1"/>
      <c r="O230" s="1"/>
      <c r="P230" s="1" t="s">
        <v>12548</v>
      </c>
      <c r="Q230" s="1" t="s">
        <v>12549</v>
      </c>
      <c r="R230" s="1"/>
      <c r="S230" s="1" t="str">
        <f t="shared" si="9"/>
        <v>Clearly reported</v>
      </c>
      <c r="T230" s="1" t="str">
        <f t="shared" si="10"/>
        <v>Clearly reported</v>
      </c>
      <c r="U230" s="1" t="str">
        <f t="shared" si="11"/>
        <v>Clearly reported</v>
      </c>
    </row>
    <row r="231" spans="1:21" ht="72" customHeight="1">
      <c r="A231" s="1" t="s">
        <v>5133</v>
      </c>
      <c r="B231" s="1" t="s">
        <v>4688</v>
      </c>
      <c r="C231" s="1" t="s">
        <v>4744</v>
      </c>
      <c r="D231" s="1" t="s">
        <v>4745</v>
      </c>
      <c r="E231" s="1">
        <v>2</v>
      </c>
      <c r="F231" s="1">
        <v>1</v>
      </c>
      <c r="G231" s="1">
        <v>1</v>
      </c>
      <c r="H231" s="1" t="s">
        <v>4691</v>
      </c>
      <c r="I231" s="1" t="s">
        <v>5142</v>
      </c>
      <c r="J231" s="1" t="s">
        <v>4788</v>
      </c>
      <c r="K231" s="1"/>
      <c r="L231" s="1" t="s">
        <v>5143</v>
      </c>
      <c r="M231" s="1" t="s">
        <v>5144</v>
      </c>
      <c r="N231" s="1" t="s">
        <v>5145</v>
      </c>
      <c r="O231" s="1" t="s">
        <v>4697</v>
      </c>
      <c r="P231" s="1" t="s">
        <v>5146</v>
      </c>
      <c r="Q231" s="1" t="s">
        <v>5147</v>
      </c>
      <c r="R231" s="1" t="s">
        <v>5148</v>
      </c>
      <c r="S231" s="1" t="str">
        <f t="shared" si="9"/>
        <v>Clearly reported</v>
      </c>
      <c r="T231" s="1" t="str">
        <f t="shared" si="10"/>
        <v>Partly reported</v>
      </c>
      <c r="U231" s="1" t="str">
        <f t="shared" si="11"/>
        <v>Partly reported</v>
      </c>
    </row>
    <row r="232" spans="1:21" ht="15" customHeight="1">
      <c r="A232" s="1" t="s">
        <v>5133</v>
      </c>
      <c r="B232" s="1" t="s">
        <v>4688</v>
      </c>
      <c r="C232" s="1" t="s">
        <v>5117</v>
      </c>
      <c r="D232" s="1" t="s">
        <v>5118</v>
      </c>
      <c r="E232" s="1">
        <v>2</v>
      </c>
      <c r="F232" s="1">
        <v>2</v>
      </c>
      <c r="G232" s="1">
        <v>2</v>
      </c>
      <c r="H232" s="1" t="s">
        <v>4631</v>
      </c>
      <c r="I232" s="1" t="s">
        <v>12550</v>
      </c>
      <c r="J232" s="1" t="s">
        <v>12551</v>
      </c>
      <c r="K232" s="1"/>
      <c r="L232" s="1"/>
      <c r="M232" s="1"/>
      <c r="N232" s="1"/>
      <c r="O232" s="1"/>
      <c r="P232" s="1" t="s">
        <v>12552</v>
      </c>
      <c r="Q232" s="1" t="s">
        <v>12553</v>
      </c>
      <c r="R232" s="1"/>
      <c r="S232" s="1" t="str">
        <f t="shared" si="9"/>
        <v>Clearly reported</v>
      </c>
      <c r="T232" s="1" t="str">
        <f t="shared" si="10"/>
        <v>Clearly reported</v>
      </c>
      <c r="U232" s="1" t="str">
        <f t="shared" si="11"/>
        <v>Clearly reported</v>
      </c>
    </row>
    <row r="233" spans="1:21" ht="15" customHeight="1">
      <c r="A233" s="1" t="s">
        <v>5133</v>
      </c>
      <c r="B233" s="1" t="s">
        <v>4688</v>
      </c>
      <c r="C233" s="1" t="s">
        <v>4810</v>
      </c>
      <c r="D233" s="1" t="s">
        <v>4811</v>
      </c>
      <c r="E233" s="1">
        <v>0</v>
      </c>
      <c r="F233" s="1">
        <v>0</v>
      </c>
      <c r="G233" s="1">
        <v>0</v>
      </c>
      <c r="H233" s="1" t="s">
        <v>4631</v>
      </c>
      <c r="I233" s="1" t="s">
        <v>12066</v>
      </c>
      <c r="J233" s="1" t="s">
        <v>4747</v>
      </c>
      <c r="K233" s="1"/>
      <c r="L233" s="1"/>
      <c r="M233" s="1"/>
      <c r="N233" s="1"/>
      <c r="O233" s="1"/>
      <c r="P233" s="1" t="s">
        <v>12554</v>
      </c>
      <c r="Q233" s="1" t="s">
        <v>12555</v>
      </c>
      <c r="R233" s="1"/>
      <c r="S233" s="1" t="str">
        <f t="shared" si="9"/>
        <v>Not reported</v>
      </c>
      <c r="T233" s="1" t="str">
        <f t="shared" si="10"/>
        <v>Not reported</v>
      </c>
      <c r="U233" s="1" t="str">
        <f t="shared" si="11"/>
        <v>Not reported</v>
      </c>
    </row>
    <row r="234" spans="1:21" ht="36" customHeight="1">
      <c r="A234" s="1" t="s">
        <v>5133</v>
      </c>
      <c r="B234" s="1" t="s">
        <v>4688</v>
      </c>
      <c r="C234" s="1" t="s">
        <v>4714</v>
      </c>
      <c r="D234" s="1" t="s">
        <v>4715</v>
      </c>
      <c r="E234" s="1">
        <v>2</v>
      </c>
      <c r="F234" s="1">
        <v>1</v>
      </c>
      <c r="G234" s="1">
        <v>1</v>
      </c>
      <c r="H234" s="1" t="s">
        <v>4646</v>
      </c>
      <c r="I234" s="1" t="s">
        <v>5149</v>
      </c>
      <c r="J234" s="1" t="s">
        <v>4896</v>
      </c>
      <c r="K234" s="1"/>
      <c r="L234" s="1" t="s">
        <v>5150</v>
      </c>
      <c r="M234" s="1" t="s">
        <v>5151</v>
      </c>
      <c r="N234" s="1" t="s">
        <v>4720</v>
      </c>
      <c r="O234" s="1" t="s">
        <v>4721</v>
      </c>
      <c r="P234" s="1" t="s">
        <v>5152</v>
      </c>
      <c r="Q234" s="1" t="s">
        <v>5153</v>
      </c>
      <c r="R234" s="1" t="s">
        <v>5154</v>
      </c>
      <c r="S234" s="1" t="str">
        <f t="shared" si="9"/>
        <v>Clearly reported</v>
      </c>
      <c r="T234" s="1" t="str">
        <f t="shared" si="10"/>
        <v>Partly reported</v>
      </c>
      <c r="U234" s="1" t="str">
        <f t="shared" si="11"/>
        <v>Partly reported</v>
      </c>
    </row>
    <row r="235" spans="1:21" ht="84" customHeight="1">
      <c r="A235" s="1" t="s">
        <v>5133</v>
      </c>
      <c r="B235" s="1" t="s">
        <v>4688</v>
      </c>
      <c r="C235" s="1" t="s">
        <v>4689</v>
      </c>
      <c r="D235" s="1" t="s">
        <v>4690</v>
      </c>
      <c r="E235" s="1">
        <v>0</v>
      </c>
      <c r="F235" s="1">
        <v>1</v>
      </c>
      <c r="G235" s="1">
        <v>0</v>
      </c>
      <c r="H235" s="1" t="s">
        <v>4691</v>
      </c>
      <c r="I235" s="1" t="s">
        <v>5155</v>
      </c>
      <c r="J235" s="1" t="s">
        <v>4862</v>
      </c>
      <c r="K235" s="1"/>
      <c r="L235" s="1" t="s">
        <v>5156</v>
      </c>
      <c r="M235" s="1" t="s">
        <v>5157</v>
      </c>
      <c r="N235" s="1" t="s">
        <v>5158</v>
      </c>
      <c r="O235" s="1" t="s">
        <v>4697</v>
      </c>
      <c r="P235" s="1" t="s">
        <v>5159</v>
      </c>
      <c r="Q235" s="1" t="s">
        <v>5160</v>
      </c>
      <c r="R235" s="1" t="s">
        <v>5161</v>
      </c>
      <c r="S235" s="1" t="str">
        <f t="shared" si="9"/>
        <v>Not reported</v>
      </c>
      <c r="T235" s="1" t="str">
        <f t="shared" si="10"/>
        <v>Partly reported</v>
      </c>
      <c r="U235" s="1" t="str">
        <f t="shared" si="11"/>
        <v>Not reported</v>
      </c>
    </row>
    <row r="236" spans="1:21" ht="24" customHeight="1">
      <c r="A236" s="1" t="s">
        <v>5162</v>
      </c>
      <c r="B236" s="1" t="s">
        <v>4688</v>
      </c>
      <c r="C236" s="1" t="s">
        <v>5475</v>
      </c>
      <c r="D236" s="1" t="s">
        <v>5476</v>
      </c>
      <c r="E236" s="1">
        <v>2</v>
      </c>
      <c r="F236" s="1">
        <v>2</v>
      </c>
      <c r="G236" s="1">
        <v>2</v>
      </c>
      <c r="H236" s="1" t="s">
        <v>4631</v>
      </c>
      <c r="I236" s="1" t="s">
        <v>12556</v>
      </c>
      <c r="J236" s="1" t="s">
        <v>4959</v>
      </c>
      <c r="K236" s="1"/>
      <c r="L236" s="1"/>
      <c r="M236" s="1"/>
      <c r="N236" s="1"/>
      <c r="O236" s="1"/>
      <c r="P236" s="1" t="s">
        <v>12557</v>
      </c>
      <c r="Q236" s="1" t="s">
        <v>12558</v>
      </c>
      <c r="R236" s="1"/>
      <c r="S236" s="1" t="str">
        <f t="shared" si="9"/>
        <v>Clearly reported</v>
      </c>
      <c r="T236" s="1" t="str">
        <f t="shared" si="10"/>
        <v>Clearly reported</v>
      </c>
      <c r="U236" s="1" t="str">
        <f t="shared" si="11"/>
        <v>Clearly reported</v>
      </c>
    </row>
    <row r="237" spans="1:21" ht="24" customHeight="1">
      <c r="A237" s="1" t="s">
        <v>5162</v>
      </c>
      <c r="B237" s="1" t="s">
        <v>4688</v>
      </c>
      <c r="C237" s="1" t="s">
        <v>5390</v>
      </c>
      <c r="D237" s="1" t="s">
        <v>5391</v>
      </c>
      <c r="E237" s="1">
        <v>2</v>
      </c>
      <c r="F237" s="1">
        <v>2</v>
      </c>
      <c r="G237" s="1">
        <v>2</v>
      </c>
      <c r="H237" s="1" t="s">
        <v>4631</v>
      </c>
      <c r="I237" s="1" t="s">
        <v>12559</v>
      </c>
      <c r="J237" s="1" t="s">
        <v>4862</v>
      </c>
      <c r="K237" s="1"/>
      <c r="L237" s="1"/>
      <c r="M237" s="1"/>
      <c r="N237" s="1"/>
      <c r="O237" s="1"/>
      <c r="P237" s="1" t="s">
        <v>12560</v>
      </c>
      <c r="Q237" s="1" t="s">
        <v>12561</v>
      </c>
      <c r="R237" s="1"/>
      <c r="S237" s="1" t="str">
        <f t="shared" si="9"/>
        <v>Clearly reported</v>
      </c>
      <c r="T237" s="1" t="str">
        <f t="shared" si="10"/>
        <v>Clearly reported</v>
      </c>
      <c r="U237" s="1" t="str">
        <f t="shared" si="11"/>
        <v>Clearly reported</v>
      </c>
    </row>
    <row r="238" spans="1:21" ht="15" customHeight="1">
      <c r="A238" s="1" t="s">
        <v>5162</v>
      </c>
      <c r="B238" s="1" t="s">
        <v>4688</v>
      </c>
      <c r="C238" s="1" t="s">
        <v>4734</v>
      </c>
      <c r="D238" s="1" t="s">
        <v>4735</v>
      </c>
      <c r="E238" s="1">
        <v>2</v>
      </c>
      <c r="F238" s="1">
        <v>2</v>
      </c>
      <c r="G238" s="1">
        <v>2</v>
      </c>
      <c r="H238" s="1" t="s">
        <v>4631</v>
      </c>
      <c r="I238" s="1" t="s">
        <v>9621</v>
      </c>
      <c r="J238" s="1" t="s">
        <v>4788</v>
      </c>
      <c r="K238" s="1"/>
      <c r="L238" s="1"/>
      <c r="M238" s="1"/>
      <c r="N238" s="1"/>
      <c r="O238" s="1"/>
      <c r="P238" s="1" t="s">
        <v>12562</v>
      </c>
      <c r="Q238" s="1" t="s">
        <v>12563</v>
      </c>
      <c r="R238" s="1"/>
      <c r="S238" s="1" t="str">
        <f t="shared" si="9"/>
        <v>Clearly reported</v>
      </c>
      <c r="T238" s="1" t="str">
        <f t="shared" si="10"/>
        <v>Clearly reported</v>
      </c>
      <c r="U238" s="1" t="str">
        <f t="shared" si="11"/>
        <v>Clearly reported</v>
      </c>
    </row>
    <row r="239" spans="1:21" ht="60" customHeight="1">
      <c r="A239" s="1" t="s">
        <v>5162</v>
      </c>
      <c r="B239" s="1" t="s">
        <v>4688</v>
      </c>
      <c r="C239" s="1" t="s">
        <v>4893</v>
      </c>
      <c r="D239" s="1" t="s">
        <v>4894</v>
      </c>
      <c r="E239" s="1">
        <v>2</v>
      </c>
      <c r="F239" s="1">
        <v>0</v>
      </c>
      <c r="G239" s="1">
        <v>2</v>
      </c>
      <c r="H239" s="1" t="s">
        <v>4691</v>
      </c>
      <c r="I239" s="1" t="s">
        <v>5163</v>
      </c>
      <c r="J239" s="1" t="s">
        <v>4747</v>
      </c>
      <c r="K239" s="1"/>
      <c r="L239" s="1" t="s">
        <v>5164</v>
      </c>
      <c r="M239" s="1" t="s">
        <v>5165</v>
      </c>
      <c r="N239" s="1" t="s">
        <v>5166</v>
      </c>
      <c r="O239" s="1" t="s">
        <v>4697</v>
      </c>
      <c r="P239" s="1" t="s">
        <v>5167</v>
      </c>
      <c r="Q239" s="1" t="s">
        <v>5168</v>
      </c>
      <c r="R239" s="1" t="s">
        <v>5169</v>
      </c>
      <c r="S239" s="1" t="str">
        <f t="shared" si="9"/>
        <v>Clearly reported</v>
      </c>
      <c r="T239" s="1" t="str">
        <f t="shared" si="10"/>
        <v>Not reported</v>
      </c>
      <c r="U239" s="1" t="str">
        <f t="shared" si="11"/>
        <v>Clearly reported</v>
      </c>
    </row>
    <row r="240" spans="1:21" ht="84" customHeight="1">
      <c r="A240" s="1" t="s">
        <v>5162</v>
      </c>
      <c r="B240" s="1" t="s">
        <v>4688</v>
      </c>
      <c r="C240" s="1" t="s">
        <v>4744</v>
      </c>
      <c r="D240" s="1" t="s">
        <v>4745</v>
      </c>
      <c r="E240" s="1">
        <v>2</v>
      </c>
      <c r="F240" s="1">
        <v>0</v>
      </c>
      <c r="G240" s="1">
        <v>1</v>
      </c>
      <c r="H240" s="1" t="s">
        <v>4691</v>
      </c>
      <c r="I240" s="1" t="s">
        <v>5170</v>
      </c>
      <c r="J240" s="1" t="s">
        <v>4747</v>
      </c>
      <c r="K240" s="1"/>
      <c r="L240" s="1" t="s">
        <v>5171</v>
      </c>
      <c r="M240" s="1" t="s">
        <v>5172</v>
      </c>
      <c r="N240" s="1" t="s">
        <v>5173</v>
      </c>
      <c r="O240" s="1" t="s">
        <v>4697</v>
      </c>
      <c r="P240" s="1" t="s">
        <v>5174</v>
      </c>
      <c r="Q240" s="1" t="s">
        <v>5175</v>
      </c>
      <c r="R240" s="1" t="s">
        <v>5176</v>
      </c>
      <c r="S240" s="1" t="str">
        <f t="shared" si="9"/>
        <v>Clearly reported</v>
      </c>
      <c r="T240" s="1" t="str">
        <f t="shared" si="10"/>
        <v>Not reported</v>
      </c>
      <c r="U240" s="1" t="str">
        <f t="shared" si="11"/>
        <v>Partly reported</v>
      </c>
    </row>
    <row r="241" spans="1:21" ht="24" customHeight="1">
      <c r="A241" s="1" t="s">
        <v>5162</v>
      </c>
      <c r="B241" s="1" t="s">
        <v>4688</v>
      </c>
      <c r="C241" s="1" t="s">
        <v>5117</v>
      </c>
      <c r="D241" s="1" t="s">
        <v>5118</v>
      </c>
      <c r="E241" s="1">
        <v>2</v>
      </c>
      <c r="F241" s="1">
        <v>2</v>
      </c>
      <c r="G241" s="1">
        <v>2</v>
      </c>
      <c r="H241" s="1" t="s">
        <v>4631</v>
      </c>
      <c r="I241" s="1" t="s">
        <v>12564</v>
      </c>
      <c r="J241" s="1" t="s">
        <v>4717</v>
      </c>
      <c r="K241" s="1"/>
      <c r="L241" s="1"/>
      <c r="M241" s="1"/>
      <c r="N241" s="1"/>
      <c r="O241" s="1"/>
      <c r="P241" s="1" t="s">
        <v>12565</v>
      </c>
      <c r="Q241" s="1" t="s">
        <v>12566</v>
      </c>
      <c r="R241" s="1"/>
      <c r="S241" s="1" t="str">
        <f t="shared" si="9"/>
        <v>Clearly reported</v>
      </c>
      <c r="T241" s="1" t="str">
        <f t="shared" si="10"/>
        <v>Clearly reported</v>
      </c>
      <c r="U241" s="1" t="str">
        <f t="shared" si="11"/>
        <v>Clearly reported</v>
      </c>
    </row>
    <row r="242" spans="1:21" ht="24" customHeight="1">
      <c r="A242" s="1" t="s">
        <v>5162</v>
      </c>
      <c r="B242" s="1" t="s">
        <v>4688</v>
      </c>
      <c r="C242" s="1" t="s">
        <v>4810</v>
      </c>
      <c r="D242" s="1" t="s">
        <v>4811</v>
      </c>
      <c r="E242" s="1">
        <v>2</v>
      </c>
      <c r="F242" s="1">
        <v>2</v>
      </c>
      <c r="G242" s="1">
        <v>2</v>
      </c>
      <c r="H242" s="1" t="s">
        <v>4631</v>
      </c>
      <c r="I242" s="1" t="s">
        <v>12567</v>
      </c>
      <c r="J242" s="1" t="s">
        <v>5278</v>
      </c>
      <c r="K242" s="1"/>
      <c r="L242" s="1"/>
      <c r="M242" s="1"/>
      <c r="N242" s="1"/>
      <c r="O242" s="1"/>
      <c r="P242" s="1" t="s">
        <v>12568</v>
      </c>
      <c r="Q242" s="1" t="s">
        <v>12569</v>
      </c>
      <c r="R242" s="1"/>
      <c r="S242" s="1" t="str">
        <f t="shared" si="9"/>
        <v>Clearly reported</v>
      </c>
      <c r="T242" s="1" t="str">
        <f t="shared" si="10"/>
        <v>Clearly reported</v>
      </c>
      <c r="U242" s="1" t="str">
        <f t="shared" si="11"/>
        <v>Clearly reported</v>
      </c>
    </row>
    <row r="243" spans="1:21" ht="36" customHeight="1">
      <c r="A243" s="1" t="s">
        <v>5162</v>
      </c>
      <c r="B243" s="1" t="s">
        <v>4688</v>
      </c>
      <c r="C243" s="1" t="s">
        <v>4714</v>
      </c>
      <c r="D243" s="1" t="s">
        <v>4715</v>
      </c>
      <c r="E243" s="1">
        <v>2</v>
      </c>
      <c r="F243" s="1">
        <v>1</v>
      </c>
      <c r="G243" s="1">
        <v>1</v>
      </c>
      <c r="H243" s="1" t="s">
        <v>4646</v>
      </c>
      <c r="I243" s="1" t="s">
        <v>5177</v>
      </c>
      <c r="J243" s="1" t="s">
        <v>5178</v>
      </c>
      <c r="K243" s="1"/>
      <c r="L243" s="1" t="s">
        <v>5179</v>
      </c>
      <c r="M243" s="1" t="s">
        <v>5180</v>
      </c>
      <c r="N243" s="1" t="s">
        <v>4720</v>
      </c>
      <c r="O243" s="1" t="s">
        <v>4721</v>
      </c>
      <c r="P243" s="1" t="s">
        <v>5181</v>
      </c>
      <c r="Q243" s="1" t="s">
        <v>5182</v>
      </c>
      <c r="R243" s="1" t="s">
        <v>5183</v>
      </c>
      <c r="S243" s="1" t="str">
        <f t="shared" si="9"/>
        <v>Clearly reported</v>
      </c>
      <c r="T243" s="1" t="str">
        <f t="shared" si="10"/>
        <v>Partly reported</v>
      </c>
      <c r="U243" s="1" t="str">
        <f t="shared" si="11"/>
        <v>Partly reported</v>
      </c>
    </row>
    <row r="244" spans="1:21" ht="15" customHeight="1">
      <c r="A244" s="1" t="s">
        <v>5162</v>
      </c>
      <c r="B244" s="1" t="s">
        <v>4688</v>
      </c>
      <c r="C244" s="1" t="s">
        <v>4689</v>
      </c>
      <c r="D244" s="1" t="s">
        <v>4690</v>
      </c>
      <c r="E244" s="1">
        <v>0</v>
      </c>
      <c r="F244" s="1">
        <v>0</v>
      </c>
      <c r="G244" s="1">
        <v>0</v>
      </c>
      <c r="H244" s="1" t="s">
        <v>4631</v>
      </c>
      <c r="I244" s="1" t="s">
        <v>9617</v>
      </c>
      <c r="J244" s="1" t="s">
        <v>4911</v>
      </c>
      <c r="K244" s="1"/>
      <c r="L244" s="1"/>
      <c r="M244" s="1"/>
      <c r="N244" s="1"/>
      <c r="O244" s="1"/>
      <c r="P244" s="1" t="s">
        <v>12570</v>
      </c>
      <c r="Q244" s="1" t="s">
        <v>12571</v>
      </c>
      <c r="R244" s="1"/>
      <c r="S244" s="1" t="str">
        <f t="shared" si="9"/>
        <v>Not reported</v>
      </c>
      <c r="T244" s="1" t="str">
        <f t="shared" si="10"/>
        <v>Not reported</v>
      </c>
      <c r="U244" s="1" t="str">
        <f t="shared" si="11"/>
        <v>Not reported</v>
      </c>
    </row>
    <row r="245" spans="1:21" ht="24" customHeight="1">
      <c r="A245" s="1" t="s">
        <v>5184</v>
      </c>
      <c r="B245" s="1" t="s">
        <v>4688</v>
      </c>
      <c r="C245" s="1" t="s">
        <v>5475</v>
      </c>
      <c r="D245" s="1" t="s">
        <v>5476</v>
      </c>
      <c r="E245" s="1">
        <v>2</v>
      </c>
      <c r="F245" s="1">
        <v>2</v>
      </c>
      <c r="G245" s="1">
        <v>2</v>
      </c>
      <c r="H245" s="1" t="s">
        <v>4631</v>
      </c>
      <c r="I245" s="1" t="s">
        <v>12572</v>
      </c>
      <c r="J245" s="1" t="s">
        <v>4717</v>
      </c>
      <c r="K245" s="1"/>
      <c r="L245" s="1"/>
      <c r="M245" s="1"/>
      <c r="N245" s="1"/>
      <c r="O245" s="1"/>
      <c r="P245" s="1" t="s">
        <v>12573</v>
      </c>
      <c r="Q245" s="1" t="s">
        <v>12574</v>
      </c>
      <c r="R245" s="1"/>
      <c r="S245" s="1" t="str">
        <f t="shared" si="9"/>
        <v>Clearly reported</v>
      </c>
      <c r="T245" s="1" t="str">
        <f t="shared" si="10"/>
        <v>Clearly reported</v>
      </c>
      <c r="U245" s="1" t="str">
        <f t="shared" si="11"/>
        <v>Clearly reported</v>
      </c>
    </row>
    <row r="246" spans="1:21" ht="15" customHeight="1">
      <c r="A246" s="1" t="s">
        <v>5184</v>
      </c>
      <c r="B246" s="1" t="s">
        <v>4688</v>
      </c>
      <c r="C246" s="1" t="s">
        <v>5390</v>
      </c>
      <c r="D246" s="1" t="s">
        <v>5391</v>
      </c>
      <c r="E246" s="1">
        <v>2</v>
      </c>
      <c r="F246" s="1">
        <v>2</v>
      </c>
      <c r="G246" s="1">
        <v>2</v>
      </c>
      <c r="H246" s="1" t="s">
        <v>4631</v>
      </c>
      <c r="I246" s="1" t="s">
        <v>12575</v>
      </c>
      <c r="J246" s="1" t="s">
        <v>4862</v>
      </c>
      <c r="K246" s="1"/>
      <c r="L246" s="1"/>
      <c r="M246" s="1"/>
      <c r="N246" s="1"/>
      <c r="O246" s="1"/>
      <c r="P246" s="1" t="s">
        <v>12576</v>
      </c>
      <c r="Q246" s="1" t="s">
        <v>12577</v>
      </c>
      <c r="R246" s="1"/>
      <c r="S246" s="1" t="str">
        <f t="shared" si="9"/>
        <v>Clearly reported</v>
      </c>
      <c r="T246" s="1" t="str">
        <f t="shared" si="10"/>
        <v>Clearly reported</v>
      </c>
      <c r="U246" s="1" t="str">
        <f t="shared" si="11"/>
        <v>Clearly reported</v>
      </c>
    </row>
    <row r="247" spans="1:21" ht="60" customHeight="1">
      <c r="A247" s="1" t="s">
        <v>5184</v>
      </c>
      <c r="B247" s="1" t="s">
        <v>4688</v>
      </c>
      <c r="C247" s="1" t="s">
        <v>4734</v>
      </c>
      <c r="D247" s="1" t="s">
        <v>4735</v>
      </c>
      <c r="E247" s="1">
        <v>1</v>
      </c>
      <c r="F247" s="1">
        <v>2</v>
      </c>
      <c r="G247" s="1">
        <v>2</v>
      </c>
      <c r="H247" s="1" t="s">
        <v>4691</v>
      </c>
      <c r="I247" s="1" t="s">
        <v>5185</v>
      </c>
      <c r="J247" s="1" t="s">
        <v>4862</v>
      </c>
      <c r="K247" s="1"/>
      <c r="L247" s="1" t="s">
        <v>5186</v>
      </c>
      <c r="M247" s="1" t="s">
        <v>5187</v>
      </c>
      <c r="N247" s="1" t="s">
        <v>5188</v>
      </c>
      <c r="O247" s="1" t="s">
        <v>4697</v>
      </c>
      <c r="P247" s="1" t="s">
        <v>5189</v>
      </c>
      <c r="Q247" s="1" t="s">
        <v>5190</v>
      </c>
      <c r="R247" s="1" t="s">
        <v>5191</v>
      </c>
      <c r="S247" s="1" t="str">
        <f t="shared" si="9"/>
        <v>Partly reported</v>
      </c>
      <c r="T247" s="1" t="str">
        <f t="shared" si="10"/>
        <v>Clearly reported</v>
      </c>
      <c r="U247" s="1" t="str">
        <f t="shared" si="11"/>
        <v>Clearly reported</v>
      </c>
    </row>
    <row r="248" spans="1:21" ht="96" customHeight="1">
      <c r="A248" s="1" t="s">
        <v>5184</v>
      </c>
      <c r="B248" s="1" t="s">
        <v>4688</v>
      </c>
      <c r="C248" s="1" t="s">
        <v>4893</v>
      </c>
      <c r="D248" s="1" t="s">
        <v>4894</v>
      </c>
      <c r="E248" s="1">
        <v>2</v>
      </c>
      <c r="F248" s="1">
        <v>1</v>
      </c>
      <c r="G248" s="1">
        <v>1</v>
      </c>
      <c r="H248" s="1" t="s">
        <v>4691</v>
      </c>
      <c r="I248" s="1" t="s">
        <v>5192</v>
      </c>
      <c r="J248" s="1" t="s">
        <v>4862</v>
      </c>
      <c r="K248" s="1"/>
      <c r="L248" s="1" t="s">
        <v>5193</v>
      </c>
      <c r="M248" s="1" t="s">
        <v>5194</v>
      </c>
      <c r="N248" s="1" t="s">
        <v>5195</v>
      </c>
      <c r="O248" s="1" t="s">
        <v>4697</v>
      </c>
      <c r="P248" s="1" t="s">
        <v>5196</v>
      </c>
      <c r="Q248" s="1" t="s">
        <v>5197</v>
      </c>
      <c r="R248" s="1" t="s">
        <v>5198</v>
      </c>
      <c r="S248" s="1" t="str">
        <f t="shared" si="9"/>
        <v>Clearly reported</v>
      </c>
      <c r="T248" s="1" t="str">
        <f t="shared" si="10"/>
        <v>Partly reported</v>
      </c>
      <c r="U248" s="1" t="str">
        <f t="shared" si="11"/>
        <v>Partly reported</v>
      </c>
    </row>
    <row r="249" spans="1:21" ht="48" customHeight="1">
      <c r="A249" s="1" t="s">
        <v>5184</v>
      </c>
      <c r="B249" s="1" t="s">
        <v>4688</v>
      </c>
      <c r="C249" s="1" t="s">
        <v>4744</v>
      </c>
      <c r="D249" s="1" t="s">
        <v>4745</v>
      </c>
      <c r="E249" s="1">
        <v>2</v>
      </c>
      <c r="F249" s="1">
        <v>2</v>
      </c>
      <c r="G249" s="1">
        <v>2</v>
      </c>
      <c r="H249" s="1" t="s">
        <v>4631</v>
      </c>
      <c r="I249" s="1" t="s">
        <v>12578</v>
      </c>
      <c r="J249" s="1" t="s">
        <v>4935</v>
      </c>
      <c r="K249" s="1"/>
      <c r="L249" s="1"/>
      <c r="M249" s="1"/>
      <c r="N249" s="1"/>
      <c r="O249" s="1"/>
      <c r="P249" s="1" t="s">
        <v>12579</v>
      </c>
      <c r="Q249" s="1" t="s">
        <v>12580</v>
      </c>
      <c r="R249" s="1"/>
      <c r="S249" s="1" t="str">
        <f t="shared" si="9"/>
        <v>Clearly reported</v>
      </c>
      <c r="T249" s="1" t="str">
        <f t="shared" si="10"/>
        <v>Clearly reported</v>
      </c>
      <c r="U249" s="1" t="str">
        <f t="shared" si="11"/>
        <v>Clearly reported</v>
      </c>
    </row>
    <row r="250" spans="1:21" ht="15" customHeight="1">
      <c r="A250" s="1" t="s">
        <v>5184</v>
      </c>
      <c r="B250" s="1" t="s">
        <v>4688</v>
      </c>
      <c r="C250" s="1" t="s">
        <v>5117</v>
      </c>
      <c r="D250" s="1" t="s">
        <v>5118</v>
      </c>
      <c r="E250" s="1">
        <v>2</v>
      </c>
      <c r="F250" s="1">
        <v>2</v>
      </c>
      <c r="G250" s="1">
        <v>2</v>
      </c>
      <c r="H250" s="1" t="s">
        <v>4631</v>
      </c>
      <c r="I250" s="1" t="s">
        <v>12581</v>
      </c>
      <c r="J250" s="1" t="s">
        <v>4935</v>
      </c>
      <c r="K250" s="1"/>
      <c r="L250" s="1"/>
      <c r="M250" s="1"/>
      <c r="N250" s="1"/>
      <c r="O250" s="1"/>
      <c r="P250" s="1" t="s">
        <v>12582</v>
      </c>
      <c r="Q250" s="1" t="s">
        <v>12583</v>
      </c>
      <c r="R250" s="1"/>
      <c r="S250" s="1" t="str">
        <f t="shared" si="9"/>
        <v>Clearly reported</v>
      </c>
      <c r="T250" s="1" t="str">
        <f t="shared" si="10"/>
        <v>Clearly reported</v>
      </c>
      <c r="U250" s="1" t="str">
        <f t="shared" si="11"/>
        <v>Clearly reported</v>
      </c>
    </row>
    <row r="251" spans="1:21" ht="84" customHeight="1">
      <c r="A251" s="1" t="s">
        <v>5184</v>
      </c>
      <c r="B251" s="1" t="s">
        <v>4688</v>
      </c>
      <c r="C251" s="1" t="s">
        <v>4810</v>
      </c>
      <c r="D251" s="1" t="s">
        <v>4811</v>
      </c>
      <c r="E251" s="1">
        <v>1</v>
      </c>
      <c r="F251" s="1">
        <v>0</v>
      </c>
      <c r="G251" s="1">
        <v>2</v>
      </c>
      <c r="H251" s="1" t="s">
        <v>4691</v>
      </c>
      <c r="I251" s="1" t="s">
        <v>5199</v>
      </c>
      <c r="J251" s="1" t="s">
        <v>5200</v>
      </c>
      <c r="K251" s="1"/>
      <c r="L251" s="1" t="s">
        <v>5201</v>
      </c>
      <c r="M251" s="1" t="s">
        <v>5202</v>
      </c>
      <c r="N251" s="1" t="s">
        <v>5203</v>
      </c>
      <c r="O251" s="1" t="s">
        <v>4697</v>
      </c>
      <c r="P251" s="1" t="s">
        <v>5204</v>
      </c>
      <c r="Q251" s="1" t="s">
        <v>5205</v>
      </c>
      <c r="R251" s="1" t="s">
        <v>5206</v>
      </c>
      <c r="S251" s="1" t="str">
        <f t="shared" si="9"/>
        <v>Partly reported</v>
      </c>
      <c r="T251" s="1" t="str">
        <f t="shared" si="10"/>
        <v>Not reported</v>
      </c>
      <c r="U251" s="1" t="str">
        <f t="shared" si="11"/>
        <v>Clearly reported</v>
      </c>
    </row>
    <row r="252" spans="1:21" ht="48" customHeight="1">
      <c r="A252" s="1" t="s">
        <v>5184</v>
      </c>
      <c r="B252" s="1" t="s">
        <v>4688</v>
      </c>
      <c r="C252" s="1" t="s">
        <v>4714</v>
      </c>
      <c r="D252" s="1" t="s">
        <v>4715</v>
      </c>
      <c r="E252" s="1">
        <v>2</v>
      </c>
      <c r="F252" s="1">
        <v>1</v>
      </c>
      <c r="G252" s="1">
        <v>1</v>
      </c>
      <c r="H252" s="1" t="s">
        <v>4646</v>
      </c>
      <c r="I252" s="1" t="s">
        <v>5207</v>
      </c>
      <c r="J252" s="1" t="s">
        <v>5208</v>
      </c>
      <c r="K252" s="1"/>
      <c r="L252" s="1" t="s">
        <v>5209</v>
      </c>
      <c r="M252" s="1" t="s">
        <v>5210</v>
      </c>
      <c r="N252" s="1" t="s">
        <v>4720</v>
      </c>
      <c r="O252" s="1" t="s">
        <v>4721</v>
      </c>
      <c r="P252" s="1" t="s">
        <v>5211</v>
      </c>
      <c r="Q252" s="1" t="s">
        <v>5212</v>
      </c>
      <c r="R252" s="1" t="s">
        <v>5213</v>
      </c>
      <c r="S252" s="1" t="str">
        <f t="shared" si="9"/>
        <v>Clearly reported</v>
      </c>
      <c r="T252" s="1" t="str">
        <f t="shared" si="10"/>
        <v>Partly reported</v>
      </c>
      <c r="U252" s="1" t="str">
        <f t="shared" si="11"/>
        <v>Partly reported</v>
      </c>
    </row>
    <row r="253" spans="1:21" ht="72" customHeight="1">
      <c r="A253" s="1" t="s">
        <v>5184</v>
      </c>
      <c r="B253" s="1" t="s">
        <v>4688</v>
      </c>
      <c r="C253" s="1" t="s">
        <v>4689</v>
      </c>
      <c r="D253" s="1" t="s">
        <v>4690</v>
      </c>
      <c r="E253" s="1">
        <v>0</v>
      </c>
      <c r="F253" s="1">
        <v>1</v>
      </c>
      <c r="G253" s="1">
        <v>0</v>
      </c>
      <c r="H253" s="1" t="s">
        <v>4691</v>
      </c>
      <c r="I253" s="1" t="s">
        <v>5214</v>
      </c>
      <c r="J253" s="1" t="s">
        <v>5215</v>
      </c>
      <c r="K253" s="1"/>
      <c r="L253" s="1" t="s">
        <v>5216</v>
      </c>
      <c r="M253" s="1" t="s">
        <v>5217</v>
      </c>
      <c r="N253" s="1" t="s">
        <v>5218</v>
      </c>
      <c r="O253" s="1" t="s">
        <v>4697</v>
      </c>
      <c r="P253" s="1" t="s">
        <v>5219</v>
      </c>
      <c r="Q253" s="1" t="s">
        <v>5220</v>
      </c>
      <c r="R253" s="1" t="s">
        <v>5221</v>
      </c>
      <c r="S253" s="1" t="str">
        <f t="shared" si="9"/>
        <v>Not reported</v>
      </c>
      <c r="T253" s="1" t="str">
        <f t="shared" si="10"/>
        <v>Partly reported</v>
      </c>
      <c r="U253" s="1" t="str">
        <f t="shared" si="11"/>
        <v>Not reported</v>
      </c>
    </row>
    <row r="254" spans="1:21" ht="36" customHeight="1">
      <c r="A254" s="1" t="s">
        <v>5222</v>
      </c>
      <c r="B254" s="1" t="s">
        <v>4688</v>
      </c>
      <c r="C254" s="1" t="s">
        <v>5475</v>
      </c>
      <c r="D254" s="1" t="s">
        <v>5476</v>
      </c>
      <c r="E254" s="1">
        <v>2</v>
      </c>
      <c r="F254" s="1">
        <v>2</v>
      </c>
      <c r="G254" s="1">
        <v>2</v>
      </c>
      <c r="H254" s="1" t="s">
        <v>4631</v>
      </c>
      <c r="I254" s="1" t="s">
        <v>12584</v>
      </c>
      <c r="J254" s="1" t="s">
        <v>4764</v>
      </c>
      <c r="K254" s="1"/>
      <c r="L254" s="1"/>
      <c r="M254" s="1"/>
      <c r="N254" s="1"/>
      <c r="O254" s="1"/>
      <c r="P254" s="1" t="s">
        <v>12585</v>
      </c>
      <c r="Q254" s="1" t="s">
        <v>12586</v>
      </c>
      <c r="R254" s="1"/>
      <c r="S254" s="1" t="str">
        <f t="shared" si="9"/>
        <v>Clearly reported</v>
      </c>
      <c r="T254" s="1" t="str">
        <f t="shared" si="10"/>
        <v>Clearly reported</v>
      </c>
      <c r="U254" s="1" t="str">
        <f t="shared" si="11"/>
        <v>Clearly reported</v>
      </c>
    </row>
    <row r="255" spans="1:21" ht="24" customHeight="1">
      <c r="A255" s="1" t="s">
        <v>5222</v>
      </c>
      <c r="B255" s="1" t="s">
        <v>4688</v>
      </c>
      <c r="C255" s="1" t="s">
        <v>5390</v>
      </c>
      <c r="D255" s="1" t="s">
        <v>5391</v>
      </c>
      <c r="E255" s="1">
        <v>2</v>
      </c>
      <c r="F255" s="1">
        <v>2</v>
      </c>
      <c r="G255" s="1">
        <v>2</v>
      </c>
      <c r="H255" s="1" t="s">
        <v>4631</v>
      </c>
      <c r="I255" s="1" t="s">
        <v>12587</v>
      </c>
      <c r="J255" s="1" t="s">
        <v>4862</v>
      </c>
      <c r="K255" s="1"/>
      <c r="L255" s="1"/>
      <c r="M255" s="1"/>
      <c r="N255" s="1"/>
      <c r="O255" s="1"/>
      <c r="P255" s="1" t="s">
        <v>12588</v>
      </c>
      <c r="Q255" s="1" t="s">
        <v>12589</v>
      </c>
      <c r="R255" s="1"/>
      <c r="S255" s="1" t="str">
        <f t="shared" si="9"/>
        <v>Clearly reported</v>
      </c>
      <c r="T255" s="1" t="str">
        <f t="shared" si="10"/>
        <v>Clearly reported</v>
      </c>
      <c r="U255" s="1" t="str">
        <f t="shared" si="11"/>
        <v>Clearly reported</v>
      </c>
    </row>
    <row r="256" spans="1:21" ht="15" customHeight="1">
      <c r="A256" s="1" t="s">
        <v>5222</v>
      </c>
      <c r="B256" s="1" t="s">
        <v>4688</v>
      </c>
      <c r="C256" s="1" t="s">
        <v>4734</v>
      </c>
      <c r="D256" s="1" t="s">
        <v>4735</v>
      </c>
      <c r="E256" s="1">
        <v>2</v>
      </c>
      <c r="F256" s="1">
        <v>2</v>
      </c>
      <c r="G256" s="1">
        <v>2</v>
      </c>
      <c r="H256" s="1" t="s">
        <v>4631</v>
      </c>
      <c r="I256" s="1" t="s">
        <v>9915</v>
      </c>
      <c r="J256" s="1" t="s">
        <v>4959</v>
      </c>
      <c r="K256" s="1"/>
      <c r="L256" s="1"/>
      <c r="M256" s="1"/>
      <c r="N256" s="1"/>
      <c r="O256" s="1"/>
      <c r="P256" s="1" t="s">
        <v>12590</v>
      </c>
      <c r="Q256" s="1" t="s">
        <v>12591</v>
      </c>
      <c r="R256" s="1"/>
      <c r="S256" s="1" t="str">
        <f t="shared" si="9"/>
        <v>Clearly reported</v>
      </c>
      <c r="T256" s="1" t="str">
        <f t="shared" si="10"/>
        <v>Clearly reported</v>
      </c>
      <c r="U256" s="1" t="str">
        <f t="shared" si="11"/>
        <v>Clearly reported</v>
      </c>
    </row>
    <row r="257" spans="1:21" ht="15" customHeight="1">
      <c r="A257" s="1" t="s">
        <v>5222</v>
      </c>
      <c r="B257" s="1" t="s">
        <v>4688</v>
      </c>
      <c r="C257" s="1" t="s">
        <v>4893</v>
      </c>
      <c r="D257" s="1" t="s">
        <v>4894</v>
      </c>
      <c r="E257" s="1">
        <v>2</v>
      </c>
      <c r="F257" s="1">
        <v>2</v>
      </c>
      <c r="G257" s="1">
        <v>2</v>
      </c>
      <c r="H257" s="1" t="s">
        <v>4631</v>
      </c>
      <c r="I257" s="1" t="s">
        <v>9922</v>
      </c>
      <c r="J257" s="1" t="s">
        <v>4788</v>
      </c>
      <c r="K257" s="1"/>
      <c r="L257" s="1"/>
      <c r="M257" s="1"/>
      <c r="N257" s="1"/>
      <c r="O257" s="1"/>
      <c r="P257" s="1" t="s">
        <v>12592</v>
      </c>
      <c r="Q257" s="1" t="s">
        <v>12593</v>
      </c>
      <c r="R257" s="1"/>
      <c r="S257" s="1" t="str">
        <f t="shared" si="9"/>
        <v>Clearly reported</v>
      </c>
      <c r="T257" s="1" t="str">
        <f t="shared" si="10"/>
        <v>Clearly reported</v>
      </c>
      <c r="U257" s="1" t="str">
        <f t="shared" si="11"/>
        <v>Clearly reported</v>
      </c>
    </row>
    <row r="258" spans="1:21" ht="60" customHeight="1">
      <c r="A258" s="1" t="s">
        <v>5222</v>
      </c>
      <c r="B258" s="1" t="s">
        <v>4688</v>
      </c>
      <c r="C258" s="1" t="s">
        <v>4744</v>
      </c>
      <c r="D258" s="1" t="s">
        <v>4745</v>
      </c>
      <c r="E258" s="1">
        <v>2</v>
      </c>
      <c r="F258" s="1">
        <v>0</v>
      </c>
      <c r="G258" s="1">
        <v>1</v>
      </c>
      <c r="H258" s="1" t="s">
        <v>4691</v>
      </c>
      <c r="I258" s="1" t="s">
        <v>5231</v>
      </c>
      <c r="J258" s="1" t="s">
        <v>4747</v>
      </c>
      <c r="K258" s="1"/>
      <c r="L258" s="1" t="s">
        <v>5232</v>
      </c>
      <c r="M258" s="1" t="s">
        <v>5233</v>
      </c>
      <c r="N258" s="1" t="s">
        <v>5234</v>
      </c>
      <c r="O258" s="1" t="s">
        <v>4697</v>
      </c>
      <c r="P258" s="1" t="s">
        <v>5235</v>
      </c>
      <c r="Q258" s="1" t="s">
        <v>5236</v>
      </c>
      <c r="R258" s="1" t="s">
        <v>5237</v>
      </c>
      <c r="S258" s="1" t="str">
        <f t="shared" ref="S258:S321" si="12">IF(ISNUMBER(E258),CHOOSE(E258+1,"Not reported","Partly reported","Clearly reported"),IF(E258="NA","Not applicable","Pending"))</f>
        <v>Clearly reported</v>
      </c>
      <c r="T258" s="1" t="str">
        <f t="shared" ref="T258:T321" si="13">IF(ISNUMBER(F258),CHOOSE(F258+1,"Not reported","Partly reported","Clearly reported"),IF(F258="NA","Not applicable","Pending"))</f>
        <v>Not reported</v>
      </c>
      <c r="U258" s="1" t="str">
        <f t="shared" ref="U258:U321" si="14">IF(ISNUMBER(G258),CHOOSE(G258+1,"Not reported","Partly reported","Clearly reported"),IF(G258="NA","Not applicable","Pending"))</f>
        <v>Partly reported</v>
      </c>
    </row>
    <row r="259" spans="1:21" ht="15" customHeight="1">
      <c r="A259" s="1" t="s">
        <v>5222</v>
      </c>
      <c r="B259" s="1" t="s">
        <v>4688</v>
      </c>
      <c r="C259" s="1" t="s">
        <v>5117</v>
      </c>
      <c r="D259" s="1" t="s">
        <v>5118</v>
      </c>
      <c r="E259" s="1">
        <v>2</v>
      </c>
      <c r="F259" s="1">
        <v>2</v>
      </c>
      <c r="G259" s="1">
        <v>2</v>
      </c>
      <c r="H259" s="1" t="s">
        <v>4631</v>
      </c>
      <c r="I259" s="1" t="s">
        <v>12594</v>
      </c>
      <c r="J259" s="1" t="s">
        <v>12595</v>
      </c>
      <c r="K259" s="1"/>
      <c r="L259" s="1"/>
      <c r="M259" s="1"/>
      <c r="N259" s="1"/>
      <c r="O259" s="1"/>
      <c r="P259" s="1" t="s">
        <v>12596</v>
      </c>
      <c r="Q259" s="1" t="s">
        <v>12597</v>
      </c>
      <c r="R259" s="1"/>
      <c r="S259" s="1" t="str">
        <f t="shared" si="12"/>
        <v>Clearly reported</v>
      </c>
      <c r="T259" s="1" t="str">
        <f t="shared" si="13"/>
        <v>Clearly reported</v>
      </c>
      <c r="U259" s="1" t="str">
        <f t="shared" si="14"/>
        <v>Clearly reported</v>
      </c>
    </row>
    <row r="260" spans="1:21" ht="72" customHeight="1">
      <c r="A260" s="1" t="s">
        <v>5222</v>
      </c>
      <c r="B260" s="1" t="s">
        <v>4688</v>
      </c>
      <c r="C260" s="1" t="s">
        <v>4810</v>
      </c>
      <c r="D260" s="1" t="s">
        <v>4811</v>
      </c>
      <c r="E260" s="1">
        <v>2</v>
      </c>
      <c r="F260" s="1">
        <v>0</v>
      </c>
      <c r="G260" s="1">
        <v>2</v>
      </c>
      <c r="H260" s="1" t="s">
        <v>4691</v>
      </c>
      <c r="I260" s="1" t="s">
        <v>5238</v>
      </c>
      <c r="J260" s="1" t="s">
        <v>4747</v>
      </c>
      <c r="K260" s="1"/>
      <c r="L260" s="1" t="s">
        <v>5239</v>
      </c>
      <c r="M260" s="1" t="s">
        <v>5240</v>
      </c>
      <c r="N260" s="1" t="s">
        <v>5241</v>
      </c>
      <c r="O260" s="1" t="s">
        <v>4697</v>
      </c>
      <c r="P260" s="1" t="s">
        <v>5242</v>
      </c>
      <c r="Q260" s="1" t="s">
        <v>5243</v>
      </c>
      <c r="R260" s="1" t="s">
        <v>5244</v>
      </c>
      <c r="S260" s="1" t="str">
        <f t="shared" si="12"/>
        <v>Clearly reported</v>
      </c>
      <c r="T260" s="1" t="str">
        <f t="shared" si="13"/>
        <v>Not reported</v>
      </c>
      <c r="U260" s="1" t="str">
        <f t="shared" si="14"/>
        <v>Clearly reported</v>
      </c>
    </row>
    <row r="261" spans="1:21" ht="36" customHeight="1">
      <c r="A261" s="1" t="s">
        <v>5222</v>
      </c>
      <c r="B261" s="1" t="s">
        <v>4688</v>
      </c>
      <c r="C261" s="1" t="s">
        <v>4714</v>
      </c>
      <c r="D261" s="1" t="s">
        <v>4715</v>
      </c>
      <c r="E261" s="1">
        <v>2</v>
      </c>
      <c r="F261" s="1">
        <v>1</v>
      </c>
      <c r="G261" s="1">
        <v>1</v>
      </c>
      <c r="H261" s="1" t="s">
        <v>4646</v>
      </c>
      <c r="I261" s="1" t="s">
        <v>5245</v>
      </c>
      <c r="J261" s="1" t="s">
        <v>4896</v>
      </c>
      <c r="K261" s="1"/>
      <c r="L261" s="1" t="s">
        <v>5246</v>
      </c>
      <c r="M261" s="1" t="s">
        <v>5247</v>
      </c>
      <c r="N261" s="1" t="s">
        <v>4720</v>
      </c>
      <c r="O261" s="1" t="s">
        <v>4721</v>
      </c>
      <c r="P261" s="1" t="s">
        <v>5248</v>
      </c>
      <c r="Q261" s="1" t="s">
        <v>5249</v>
      </c>
      <c r="R261" s="1" t="s">
        <v>5250</v>
      </c>
      <c r="S261" s="1" t="str">
        <f t="shared" si="12"/>
        <v>Clearly reported</v>
      </c>
      <c r="T261" s="1" t="str">
        <f t="shared" si="13"/>
        <v>Partly reported</v>
      </c>
      <c r="U261" s="1" t="str">
        <f t="shared" si="14"/>
        <v>Partly reported</v>
      </c>
    </row>
    <row r="262" spans="1:21" ht="15" customHeight="1">
      <c r="A262" s="1" t="s">
        <v>5222</v>
      </c>
      <c r="B262" s="1" t="s">
        <v>4688</v>
      </c>
      <c r="C262" s="1" t="s">
        <v>4689</v>
      </c>
      <c r="D262" s="1" t="s">
        <v>4690</v>
      </c>
      <c r="E262" s="1">
        <v>0</v>
      </c>
      <c r="F262" s="1">
        <v>0</v>
      </c>
      <c r="G262" s="1">
        <v>0</v>
      </c>
      <c r="H262" s="1" t="s">
        <v>4631</v>
      </c>
      <c r="I262" s="1" t="s">
        <v>9909</v>
      </c>
      <c r="J262" s="1" t="s">
        <v>12598</v>
      </c>
      <c r="K262" s="1"/>
      <c r="L262" s="1"/>
      <c r="M262" s="1"/>
      <c r="N262" s="1"/>
      <c r="O262" s="1"/>
      <c r="P262" s="1" t="s">
        <v>12599</v>
      </c>
      <c r="Q262" s="1" t="s">
        <v>12600</v>
      </c>
      <c r="R262" s="1"/>
      <c r="S262" s="1" t="str">
        <f t="shared" si="12"/>
        <v>Not reported</v>
      </c>
      <c r="T262" s="1" t="str">
        <f t="shared" si="13"/>
        <v>Not reported</v>
      </c>
      <c r="U262" s="1" t="str">
        <f t="shared" si="14"/>
        <v>Not reported</v>
      </c>
    </row>
    <row r="263" spans="1:21" ht="36" customHeight="1">
      <c r="A263" s="1" t="s">
        <v>5776</v>
      </c>
      <c r="B263" s="1" t="s">
        <v>4688</v>
      </c>
      <c r="C263" s="1" t="s">
        <v>5475</v>
      </c>
      <c r="D263" s="1" t="s">
        <v>5476</v>
      </c>
      <c r="E263" s="1">
        <v>2</v>
      </c>
      <c r="F263" s="1">
        <v>2</v>
      </c>
      <c r="G263" s="1">
        <v>2</v>
      </c>
      <c r="H263" s="1" t="s">
        <v>4631</v>
      </c>
      <c r="I263" s="1" t="s">
        <v>12601</v>
      </c>
      <c r="J263" s="1" t="s">
        <v>4862</v>
      </c>
      <c r="K263" s="1"/>
      <c r="L263" s="1"/>
      <c r="M263" s="1"/>
      <c r="N263" s="1"/>
      <c r="O263" s="1"/>
      <c r="P263" s="1" t="s">
        <v>12602</v>
      </c>
      <c r="Q263" s="1" t="s">
        <v>12603</v>
      </c>
      <c r="R263" s="1"/>
      <c r="S263" s="1" t="str">
        <f t="shared" si="12"/>
        <v>Clearly reported</v>
      </c>
      <c r="T263" s="1" t="str">
        <f t="shared" si="13"/>
        <v>Clearly reported</v>
      </c>
      <c r="U263" s="1" t="str">
        <f t="shared" si="14"/>
        <v>Clearly reported</v>
      </c>
    </row>
    <row r="264" spans="1:21" ht="24" customHeight="1">
      <c r="A264" s="1" t="s">
        <v>5776</v>
      </c>
      <c r="B264" s="1" t="s">
        <v>4688</v>
      </c>
      <c r="C264" s="1" t="s">
        <v>5390</v>
      </c>
      <c r="D264" s="1" t="s">
        <v>5391</v>
      </c>
      <c r="E264" s="1">
        <v>2</v>
      </c>
      <c r="F264" s="1">
        <v>2</v>
      </c>
      <c r="G264" s="1">
        <v>2</v>
      </c>
      <c r="H264" s="1" t="s">
        <v>4631</v>
      </c>
      <c r="I264" s="1" t="s">
        <v>12604</v>
      </c>
      <c r="J264" s="1" t="s">
        <v>4862</v>
      </c>
      <c r="K264" s="1"/>
      <c r="L264" s="1"/>
      <c r="M264" s="1"/>
      <c r="N264" s="1"/>
      <c r="O264" s="1"/>
      <c r="P264" s="1" t="s">
        <v>12605</v>
      </c>
      <c r="Q264" s="1" t="s">
        <v>12606</v>
      </c>
      <c r="R264" s="1"/>
      <c r="S264" s="1" t="str">
        <f t="shared" si="12"/>
        <v>Clearly reported</v>
      </c>
      <c r="T264" s="1" t="str">
        <f t="shared" si="13"/>
        <v>Clearly reported</v>
      </c>
      <c r="U264" s="1" t="str">
        <f t="shared" si="14"/>
        <v>Clearly reported</v>
      </c>
    </row>
    <row r="265" spans="1:21" ht="15" customHeight="1">
      <c r="A265" s="1" t="s">
        <v>5776</v>
      </c>
      <c r="B265" s="1" t="s">
        <v>4688</v>
      </c>
      <c r="C265" s="1" t="s">
        <v>4734</v>
      </c>
      <c r="D265" s="1" t="s">
        <v>4735</v>
      </c>
      <c r="E265" s="1">
        <v>2</v>
      </c>
      <c r="F265" s="1">
        <v>2</v>
      </c>
      <c r="G265" s="1">
        <v>2</v>
      </c>
      <c r="H265" s="1" t="s">
        <v>4631</v>
      </c>
      <c r="I265" s="1" t="s">
        <v>10048</v>
      </c>
      <c r="J265" s="1" t="s">
        <v>4764</v>
      </c>
      <c r="K265" s="1"/>
      <c r="L265" s="1"/>
      <c r="M265" s="1"/>
      <c r="N265" s="1"/>
      <c r="O265" s="1"/>
      <c r="P265" s="1" t="s">
        <v>12607</v>
      </c>
      <c r="Q265" s="1" t="s">
        <v>12608</v>
      </c>
      <c r="R265" s="1"/>
      <c r="S265" s="1" t="str">
        <f t="shared" si="12"/>
        <v>Clearly reported</v>
      </c>
      <c r="T265" s="1" t="str">
        <f t="shared" si="13"/>
        <v>Clearly reported</v>
      </c>
      <c r="U265" s="1" t="str">
        <f t="shared" si="14"/>
        <v>Clearly reported</v>
      </c>
    </row>
    <row r="266" spans="1:21" ht="15" customHeight="1">
      <c r="A266" s="1" t="s">
        <v>5776</v>
      </c>
      <c r="B266" s="1" t="s">
        <v>4688</v>
      </c>
      <c r="C266" s="1" t="s">
        <v>4893</v>
      </c>
      <c r="D266" s="1" t="s">
        <v>4894</v>
      </c>
      <c r="E266" s="1">
        <v>2</v>
      </c>
      <c r="F266" s="1">
        <v>2</v>
      </c>
      <c r="G266" s="1">
        <v>2</v>
      </c>
      <c r="H266" s="1" t="s">
        <v>4631</v>
      </c>
      <c r="I266" s="1" t="s">
        <v>10055</v>
      </c>
      <c r="J266" s="1" t="s">
        <v>4904</v>
      </c>
      <c r="K266" s="1"/>
      <c r="L266" s="1"/>
      <c r="M266" s="1"/>
      <c r="N266" s="1"/>
      <c r="O266" s="1"/>
      <c r="P266" s="1" t="s">
        <v>12609</v>
      </c>
      <c r="Q266" s="1" t="s">
        <v>12610</v>
      </c>
      <c r="R266" s="1"/>
      <c r="S266" s="1" t="str">
        <f t="shared" si="12"/>
        <v>Clearly reported</v>
      </c>
      <c r="T266" s="1" t="str">
        <f t="shared" si="13"/>
        <v>Clearly reported</v>
      </c>
      <c r="U266" s="1" t="str">
        <f t="shared" si="14"/>
        <v>Clearly reported</v>
      </c>
    </row>
    <row r="267" spans="1:21" ht="48" customHeight="1">
      <c r="A267" s="1" t="s">
        <v>5776</v>
      </c>
      <c r="B267" s="1" t="s">
        <v>4688</v>
      </c>
      <c r="C267" s="1" t="s">
        <v>4744</v>
      </c>
      <c r="D267" s="1" t="s">
        <v>4745</v>
      </c>
      <c r="E267" s="1">
        <v>2</v>
      </c>
      <c r="F267" s="1">
        <v>2</v>
      </c>
      <c r="G267" s="1">
        <v>2</v>
      </c>
      <c r="H267" s="1" t="s">
        <v>4631</v>
      </c>
      <c r="I267" s="1" t="s">
        <v>12611</v>
      </c>
      <c r="J267" s="1" t="s">
        <v>5316</v>
      </c>
      <c r="K267" s="1"/>
      <c r="L267" s="1"/>
      <c r="M267" s="1"/>
      <c r="N267" s="1"/>
      <c r="O267" s="1"/>
      <c r="P267" s="1" t="s">
        <v>12612</v>
      </c>
      <c r="Q267" s="1" t="s">
        <v>12613</v>
      </c>
      <c r="R267" s="1"/>
      <c r="S267" s="1" t="str">
        <f t="shared" si="12"/>
        <v>Clearly reported</v>
      </c>
      <c r="T267" s="1" t="str">
        <f t="shared" si="13"/>
        <v>Clearly reported</v>
      </c>
      <c r="U267" s="1" t="str">
        <f t="shared" si="14"/>
        <v>Clearly reported</v>
      </c>
    </row>
    <row r="268" spans="1:21" ht="24" customHeight="1">
      <c r="A268" s="1" t="s">
        <v>5776</v>
      </c>
      <c r="B268" s="1" t="s">
        <v>4688</v>
      </c>
      <c r="C268" s="1" t="s">
        <v>5117</v>
      </c>
      <c r="D268" s="1" t="s">
        <v>5118</v>
      </c>
      <c r="E268" s="1">
        <v>2</v>
      </c>
      <c r="F268" s="1">
        <v>2</v>
      </c>
      <c r="G268" s="1">
        <v>2</v>
      </c>
      <c r="H268" s="1" t="s">
        <v>4631</v>
      </c>
      <c r="I268" s="1" t="s">
        <v>12614</v>
      </c>
      <c r="J268" s="1" t="s">
        <v>12615</v>
      </c>
      <c r="K268" s="1"/>
      <c r="L268" s="1"/>
      <c r="M268" s="1"/>
      <c r="N268" s="1"/>
      <c r="O268" s="1"/>
      <c r="P268" s="1" t="s">
        <v>12616</v>
      </c>
      <c r="Q268" s="1" t="s">
        <v>12617</v>
      </c>
      <c r="R268" s="1"/>
      <c r="S268" s="1" t="str">
        <f t="shared" si="12"/>
        <v>Clearly reported</v>
      </c>
      <c r="T268" s="1" t="str">
        <f t="shared" si="13"/>
        <v>Clearly reported</v>
      </c>
      <c r="U268" s="1" t="str">
        <f t="shared" si="14"/>
        <v>Clearly reported</v>
      </c>
    </row>
    <row r="269" spans="1:21" ht="15" customHeight="1">
      <c r="A269" s="1" t="s">
        <v>5776</v>
      </c>
      <c r="B269" s="1" t="s">
        <v>4688</v>
      </c>
      <c r="C269" s="1" t="s">
        <v>4810</v>
      </c>
      <c r="D269" s="1" t="s">
        <v>4811</v>
      </c>
      <c r="E269" s="1">
        <v>0</v>
      </c>
      <c r="F269" s="1">
        <v>0</v>
      </c>
      <c r="G269" s="1">
        <v>0</v>
      </c>
      <c r="H269" s="1" t="s">
        <v>4631</v>
      </c>
      <c r="I269" s="1" t="s">
        <v>12066</v>
      </c>
      <c r="J269" s="1" t="s">
        <v>4747</v>
      </c>
      <c r="K269" s="1"/>
      <c r="L269" s="1"/>
      <c r="M269" s="1"/>
      <c r="N269" s="1"/>
      <c r="O269" s="1"/>
      <c r="P269" s="1" t="s">
        <v>12618</v>
      </c>
      <c r="Q269" s="1" t="s">
        <v>12619</v>
      </c>
      <c r="R269" s="1"/>
      <c r="S269" s="1" t="str">
        <f t="shared" si="12"/>
        <v>Not reported</v>
      </c>
      <c r="T269" s="1" t="str">
        <f t="shared" si="13"/>
        <v>Not reported</v>
      </c>
      <c r="U269" s="1" t="str">
        <f t="shared" si="14"/>
        <v>Not reported</v>
      </c>
    </row>
    <row r="270" spans="1:21" ht="48" customHeight="1">
      <c r="A270" s="1" t="s">
        <v>5776</v>
      </c>
      <c r="B270" s="1" t="s">
        <v>4688</v>
      </c>
      <c r="C270" s="1" t="s">
        <v>4714</v>
      </c>
      <c r="D270" s="1" t="s">
        <v>4715</v>
      </c>
      <c r="E270" s="1">
        <v>2</v>
      </c>
      <c r="F270" s="1">
        <v>2</v>
      </c>
      <c r="G270" s="1">
        <v>2</v>
      </c>
      <c r="H270" s="1" t="s">
        <v>4631</v>
      </c>
      <c r="I270" s="1" t="s">
        <v>12620</v>
      </c>
      <c r="J270" s="1" t="s">
        <v>4862</v>
      </c>
      <c r="K270" s="1"/>
      <c r="L270" s="1"/>
      <c r="M270" s="1"/>
      <c r="N270" s="1"/>
      <c r="O270" s="1"/>
      <c r="P270" s="1" t="s">
        <v>12621</v>
      </c>
      <c r="Q270" s="1" t="s">
        <v>12622</v>
      </c>
      <c r="R270" s="1"/>
      <c r="S270" s="1" t="str">
        <f t="shared" si="12"/>
        <v>Clearly reported</v>
      </c>
      <c r="T270" s="1" t="str">
        <f t="shared" si="13"/>
        <v>Clearly reported</v>
      </c>
      <c r="U270" s="1" t="str">
        <f t="shared" si="14"/>
        <v>Clearly reported</v>
      </c>
    </row>
    <row r="271" spans="1:21" ht="15" customHeight="1">
      <c r="A271" s="1" t="s">
        <v>5776</v>
      </c>
      <c r="B271" s="1" t="s">
        <v>4688</v>
      </c>
      <c r="C271" s="1" t="s">
        <v>4689</v>
      </c>
      <c r="D271" s="1" t="s">
        <v>4690</v>
      </c>
      <c r="E271" s="1">
        <v>2</v>
      </c>
      <c r="F271" s="1">
        <v>2</v>
      </c>
      <c r="G271" s="1">
        <v>2</v>
      </c>
      <c r="H271" s="1" t="s">
        <v>4631</v>
      </c>
      <c r="I271" s="1" t="s">
        <v>8712</v>
      </c>
      <c r="J271" s="1" t="s">
        <v>4959</v>
      </c>
      <c r="K271" s="1"/>
      <c r="L271" s="1"/>
      <c r="M271" s="1"/>
      <c r="N271" s="1"/>
      <c r="O271" s="1"/>
      <c r="P271" s="1" t="s">
        <v>12623</v>
      </c>
      <c r="Q271" s="1" t="s">
        <v>12624</v>
      </c>
      <c r="R271" s="1"/>
      <c r="S271" s="1" t="str">
        <f t="shared" si="12"/>
        <v>Clearly reported</v>
      </c>
      <c r="T271" s="1" t="str">
        <f t="shared" si="13"/>
        <v>Clearly reported</v>
      </c>
      <c r="U271" s="1" t="str">
        <f t="shared" si="14"/>
        <v>Clearly reported</v>
      </c>
    </row>
    <row r="272" spans="1:21" ht="36" customHeight="1">
      <c r="A272" s="1" t="s">
        <v>5251</v>
      </c>
      <c r="B272" s="1" t="s">
        <v>4688</v>
      </c>
      <c r="C272" s="1" t="s">
        <v>5475</v>
      </c>
      <c r="D272" s="1" t="s">
        <v>5476</v>
      </c>
      <c r="E272" s="1">
        <v>2</v>
      </c>
      <c r="F272" s="1">
        <v>2</v>
      </c>
      <c r="G272" s="1">
        <v>2</v>
      </c>
      <c r="H272" s="1" t="s">
        <v>4631</v>
      </c>
      <c r="I272" s="1" t="s">
        <v>12625</v>
      </c>
      <c r="J272" s="1" t="s">
        <v>4862</v>
      </c>
      <c r="K272" s="1"/>
      <c r="L272" s="1"/>
      <c r="M272" s="1"/>
      <c r="N272" s="1"/>
      <c r="O272" s="1"/>
      <c r="P272" s="1" t="s">
        <v>12626</v>
      </c>
      <c r="Q272" s="1" t="s">
        <v>12627</v>
      </c>
      <c r="R272" s="1"/>
      <c r="S272" s="1" t="str">
        <f t="shared" si="12"/>
        <v>Clearly reported</v>
      </c>
      <c r="T272" s="1" t="str">
        <f t="shared" si="13"/>
        <v>Clearly reported</v>
      </c>
      <c r="U272" s="1" t="str">
        <f t="shared" si="14"/>
        <v>Clearly reported</v>
      </c>
    </row>
    <row r="273" spans="1:21" ht="24" customHeight="1">
      <c r="A273" s="1" t="s">
        <v>5251</v>
      </c>
      <c r="B273" s="1" t="s">
        <v>4688</v>
      </c>
      <c r="C273" s="1" t="s">
        <v>5390</v>
      </c>
      <c r="D273" s="1" t="s">
        <v>5391</v>
      </c>
      <c r="E273" s="1">
        <v>2</v>
      </c>
      <c r="F273" s="1">
        <v>2</v>
      </c>
      <c r="G273" s="1">
        <v>2</v>
      </c>
      <c r="H273" s="1" t="s">
        <v>4631</v>
      </c>
      <c r="I273" s="1" t="s">
        <v>12628</v>
      </c>
      <c r="J273" s="1" t="s">
        <v>4717</v>
      </c>
      <c r="K273" s="1"/>
      <c r="L273" s="1"/>
      <c r="M273" s="1"/>
      <c r="N273" s="1"/>
      <c r="O273" s="1"/>
      <c r="P273" s="1" t="s">
        <v>12629</v>
      </c>
      <c r="Q273" s="1" t="s">
        <v>12630</v>
      </c>
      <c r="R273" s="1"/>
      <c r="S273" s="1" t="str">
        <f t="shared" si="12"/>
        <v>Clearly reported</v>
      </c>
      <c r="T273" s="1" t="str">
        <f t="shared" si="13"/>
        <v>Clearly reported</v>
      </c>
      <c r="U273" s="1" t="str">
        <f t="shared" si="14"/>
        <v>Clearly reported</v>
      </c>
    </row>
    <row r="274" spans="1:21" ht="15" customHeight="1">
      <c r="A274" s="1" t="s">
        <v>5251</v>
      </c>
      <c r="B274" s="1" t="s">
        <v>4688</v>
      </c>
      <c r="C274" s="1" t="s">
        <v>4734</v>
      </c>
      <c r="D274" s="1" t="s">
        <v>4735</v>
      </c>
      <c r="E274" s="1">
        <v>2</v>
      </c>
      <c r="F274" s="1">
        <v>2</v>
      </c>
      <c r="G274" s="1">
        <v>2</v>
      </c>
      <c r="H274" s="1" t="s">
        <v>4631</v>
      </c>
      <c r="I274" s="1" t="s">
        <v>10188</v>
      </c>
      <c r="J274" s="1" t="s">
        <v>4886</v>
      </c>
      <c r="K274" s="1"/>
      <c r="L274" s="1"/>
      <c r="M274" s="1"/>
      <c r="N274" s="1"/>
      <c r="O274" s="1"/>
      <c r="P274" s="1" t="s">
        <v>12631</v>
      </c>
      <c r="Q274" s="1" t="s">
        <v>12632</v>
      </c>
      <c r="R274" s="1"/>
      <c r="S274" s="1" t="str">
        <f t="shared" si="12"/>
        <v>Clearly reported</v>
      </c>
      <c r="T274" s="1" t="str">
        <f t="shared" si="13"/>
        <v>Clearly reported</v>
      </c>
      <c r="U274" s="1" t="str">
        <f t="shared" si="14"/>
        <v>Clearly reported</v>
      </c>
    </row>
    <row r="275" spans="1:21" ht="15" customHeight="1">
      <c r="A275" s="1" t="s">
        <v>5251</v>
      </c>
      <c r="B275" s="1" t="s">
        <v>4688</v>
      </c>
      <c r="C275" s="1" t="s">
        <v>4893</v>
      </c>
      <c r="D275" s="1" t="s">
        <v>4894</v>
      </c>
      <c r="E275" s="1">
        <v>2</v>
      </c>
      <c r="F275" s="1">
        <v>2</v>
      </c>
      <c r="G275" s="1">
        <v>2</v>
      </c>
      <c r="H275" s="1" t="s">
        <v>4631</v>
      </c>
      <c r="I275" s="1" t="s">
        <v>10195</v>
      </c>
      <c r="J275" s="1" t="s">
        <v>12633</v>
      </c>
      <c r="K275" s="1"/>
      <c r="L275" s="1"/>
      <c r="M275" s="1"/>
      <c r="N275" s="1"/>
      <c r="O275" s="1"/>
      <c r="P275" s="1" t="s">
        <v>12634</v>
      </c>
      <c r="Q275" s="1" t="s">
        <v>12635</v>
      </c>
      <c r="R275" s="1"/>
      <c r="S275" s="1" t="str">
        <f t="shared" si="12"/>
        <v>Clearly reported</v>
      </c>
      <c r="T275" s="1" t="str">
        <f t="shared" si="13"/>
        <v>Clearly reported</v>
      </c>
      <c r="U275" s="1" t="str">
        <f t="shared" si="14"/>
        <v>Clearly reported</v>
      </c>
    </row>
    <row r="276" spans="1:21" ht="48" customHeight="1">
      <c r="A276" s="1" t="s">
        <v>5251</v>
      </c>
      <c r="B276" s="1" t="s">
        <v>4688</v>
      </c>
      <c r="C276" s="1" t="s">
        <v>4744</v>
      </c>
      <c r="D276" s="1" t="s">
        <v>4745</v>
      </c>
      <c r="E276" s="1">
        <v>2</v>
      </c>
      <c r="F276" s="1">
        <v>1</v>
      </c>
      <c r="G276" s="1">
        <v>2</v>
      </c>
      <c r="H276" s="1" t="s">
        <v>4691</v>
      </c>
      <c r="I276" s="1" t="s">
        <v>5261</v>
      </c>
      <c r="J276" s="1" t="s">
        <v>5215</v>
      </c>
      <c r="K276" s="1"/>
      <c r="L276" s="1" t="s">
        <v>5262</v>
      </c>
      <c r="M276" s="1" t="s">
        <v>5263</v>
      </c>
      <c r="N276" s="1" t="s">
        <v>5264</v>
      </c>
      <c r="O276" s="1" t="s">
        <v>4697</v>
      </c>
      <c r="P276" s="1" t="s">
        <v>5265</v>
      </c>
      <c r="Q276" s="1" t="s">
        <v>5266</v>
      </c>
      <c r="R276" s="1" t="s">
        <v>5267</v>
      </c>
      <c r="S276" s="1" t="str">
        <f t="shared" si="12"/>
        <v>Clearly reported</v>
      </c>
      <c r="T276" s="1" t="str">
        <f t="shared" si="13"/>
        <v>Partly reported</v>
      </c>
      <c r="U276" s="1" t="str">
        <f t="shared" si="14"/>
        <v>Clearly reported</v>
      </c>
    </row>
    <row r="277" spans="1:21" ht="24" customHeight="1">
      <c r="A277" s="1" t="s">
        <v>5251</v>
      </c>
      <c r="B277" s="1" t="s">
        <v>4688</v>
      </c>
      <c r="C277" s="1" t="s">
        <v>5117</v>
      </c>
      <c r="D277" s="1" t="s">
        <v>5118</v>
      </c>
      <c r="E277" s="1">
        <v>2</v>
      </c>
      <c r="F277" s="1">
        <v>2</v>
      </c>
      <c r="G277" s="1">
        <v>2</v>
      </c>
      <c r="H277" s="1" t="s">
        <v>4631</v>
      </c>
      <c r="I277" s="1" t="s">
        <v>12636</v>
      </c>
      <c r="J277" s="1" t="s">
        <v>4935</v>
      </c>
      <c r="K277" s="1"/>
      <c r="L277" s="1"/>
      <c r="M277" s="1"/>
      <c r="N277" s="1"/>
      <c r="O277" s="1"/>
      <c r="P277" s="1" t="s">
        <v>12637</v>
      </c>
      <c r="Q277" s="1" t="s">
        <v>12638</v>
      </c>
      <c r="R277" s="1"/>
      <c r="S277" s="1" t="str">
        <f t="shared" si="12"/>
        <v>Clearly reported</v>
      </c>
      <c r="T277" s="1" t="str">
        <f t="shared" si="13"/>
        <v>Clearly reported</v>
      </c>
      <c r="U277" s="1" t="str">
        <f t="shared" si="14"/>
        <v>Clearly reported</v>
      </c>
    </row>
    <row r="278" spans="1:21" ht="24" customHeight="1">
      <c r="A278" s="1" t="s">
        <v>5251</v>
      </c>
      <c r="B278" s="1" t="s">
        <v>4688</v>
      </c>
      <c r="C278" s="1" t="s">
        <v>4810</v>
      </c>
      <c r="D278" s="1" t="s">
        <v>4811</v>
      </c>
      <c r="E278" s="1">
        <v>0</v>
      </c>
      <c r="F278" s="1">
        <v>0</v>
      </c>
      <c r="G278" s="1">
        <v>0</v>
      </c>
      <c r="H278" s="1" t="s">
        <v>4631</v>
      </c>
      <c r="I278" s="1" t="s">
        <v>12639</v>
      </c>
      <c r="J278" s="1" t="s">
        <v>4693</v>
      </c>
      <c r="K278" s="1"/>
      <c r="L278" s="1"/>
      <c r="M278" s="1"/>
      <c r="N278" s="1"/>
      <c r="O278" s="1"/>
      <c r="P278" s="1" t="s">
        <v>12640</v>
      </c>
      <c r="Q278" s="1" t="s">
        <v>12641</v>
      </c>
      <c r="R278" s="1"/>
      <c r="S278" s="1" t="str">
        <f t="shared" si="12"/>
        <v>Not reported</v>
      </c>
      <c r="T278" s="1" t="str">
        <f t="shared" si="13"/>
        <v>Not reported</v>
      </c>
      <c r="U278" s="1" t="str">
        <f t="shared" si="14"/>
        <v>Not reported</v>
      </c>
    </row>
    <row r="279" spans="1:21" ht="36" customHeight="1">
      <c r="A279" s="1" t="s">
        <v>5251</v>
      </c>
      <c r="B279" s="1" t="s">
        <v>4688</v>
      </c>
      <c r="C279" s="1" t="s">
        <v>4714</v>
      </c>
      <c r="D279" s="1" t="s">
        <v>4715</v>
      </c>
      <c r="E279" s="1">
        <v>2</v>
      </c>
      <c r="F279" s="1">
        <v>2</v>
      </c>
      <c r="G279" s="1">
        <v>2</v>
      </c>
      <c r="H279" s="1" t="s">
        <v>4631</v>
      </c>
      <c r="I279" s="1" t="s">
        <v>12642</v>
      </c>
      <c r="J279" s="1" t="s">
        <v>5253</v>
      </c>
      <c r="K279" s="1"/>
      <c r="L279" s="1"/>
      <c r="M279" s="1"/>
      <c r="N279" s="1"/>
      <c r="O279" s="1"/>
      <c r="P279" s="1" t="s">
        <v>12643</v>
      </c>
      <c r="Q279" s="1" t="s">
        <v>12644</v>
      </c>
      <c r="R279" s="1"/>
      <c r="S279" s="1" t="str">
        <f t="shared" si="12"/>
        <v>Clearly reported</v>
      </c>
      <c r="T279" s="1" t="str">
        <f t="shared" si="13"/>
        <v>Clearly reported</v>
      </c>
      <c r="U279" s="1" t="str">
        <f t="shared" si="14"/>
        <v>Clearly reported</v>
      </c>
    </row>
    <row r="280" spans="1:21" ht="24" customHeight="1">
      <c r="A280" s="1" t="s">
        <v>5251</v>
      </c>
      <c r="B280" s="1" t="s">
        <v>4688</v>
      </c>
      <c r="C280" s="1" t="s">
        <v>4689</v>
      </c>
      <c r="D280" s="1" t="s">
        <v>4690</v>
      </c>
      <c r="E280" s="1">
        <v>1</v>
      </c>
      <c r="F280" s="1">
        <v>1</v>
      </c>
      <c r="G280" s="1">
        <v>1</v>
      </c>
      <c r="H280" s="1" t="s">
        <v>4631</v>
      </c>
      <c r="I280" s="1" t="s">
        <v>10183</v>
      </c>
      <c r="J280" s="1" t="s">
        <v>5253</v>
      </c>
      <c r="K280" s="1"/>
      <c r="L280" s="1"/>
      <c r="M280" s="1"/>
      <c r="N280" s="1"/>
      <c r="O280" s="1"/>
      <c r="P280" s="1" t="s">
        <v>12645</v>
      </c>
      <c r="Q280" s="1" t="s">
        <v>12646</v>
      </c>
      <c r="R280" s="1"/>
      <c r="S280" s="1" t="str">
        <f t="shared" si="12"/>
        <v>Partly reported</v>
      </c>
      <c r="T280" s="1" t="str">
        <f t="shared" si="13"/>
        <v>Partly reported</v>
      </c>
      <c r="U280" s="1" t="str">
        <f t="shared" si="14"/>
        <v>Partly reported</v>
      </c>
    </row>
    <row r="281" spans="1:21" ht="36" customHeight="1">
      <c r="A281" s="1" t="s">
        <v>5268</v>
      </c>
      <c r="B281" s="1" t="s">
        <v>4688</v>
      </c>
      <c r="C281" s="1" t="s">
        <v>5475</v>
      </c>
      <c r="D281" s="1" t="s">
        <v>5476</v>
      </c>
      <c r="E281" s="1">
        <v>2</v>
      </c>
      <c r="F281" s="1">
        <v>2</v>
      </c>
      <c r="G281" s="1">
        <v>2</v>
      </c>
      <c r="H281" s="1" t="s">
        <v>4631</v>
      </c>
      <c r="I281" s="1" t="s">
        <v>12647</v>
      </c>
      <c r="J281" s="1" t="s">
        <v>4862</v>
      </c>
      <c r="K281" s="1"/>
      <c r="L281" s="1"/>
      <c r="M281" s="1"/>
      <c r="N281" s="1"/>
      <c r="O281" s="1"/>
      <c r="P281" s="1" t="s">
        <v>12648</v>
      </c>
      <c r="Q281" s="1" t="s">
        <v>12649</v>
      </c>
      <c r="R281" s="1"/>
      <c r="S281" s="1" t="str">
        <f t="shared" si="12"/>
        <v>Clearly reported</v>
      </c>
      <c r="T281" s="1" t="str">
        <f t="shared" si="13"/>
        <v>Clearly reported</v>
      </c>
      <c r="U281" s="1" t="str">
        <f t="shared" si="14"/>
        <v>Clearly reported</v>
      </c>
    </row>
    <row r="282" spans="1:21" ht="24" customHeight="1">
      <c r="A282" s="1" t="s">
        <v>5268</v>
      </c>
      <c r="B282" s="1" t="s">
        <v>4688</v>
      </c>
      <c r="C282" s="1" t="s">
        <v>5390</v>
      </c>
      <c r="D282" s="1" t="s">
        <v>5391</v>
      </c>
      <c r="E282" s="1">
        <v>2</v>
      </c>
      <c r="F282" s="1">
        <v>2</v>
      </c>
      <c r="G282" s="1">
        <v>2</v>
      </c>
      <c r="H282" s="1" t="s">
        <v>4631</v>
      </c>
      <c r="I282" s="1" t="s">
        <v>12650</v>
      </c>
      <c r="J282" s="1" t="s">
        <v>12651</v>
      </c>
      <c r="K282" s="1"/>
      <c r="L282" s="1"/>
      <c r="M282" s="1"/>
      <c r="N282" s="1"/>
      <c r="O282" s="1"/>
      <c r="P282" s="1" t="s">
        <v>12652</v>
      </c>
      <c r="Q282" s="1" t="s">
        <v>12653</v>
      </c>
      <c r="R282" s="1"/>
      <c r="S282" s="1" t="str">
        <f t="shared" si="12"/>
        <v>Clearly reported</v>
      </c>
      <c r="T282" s="1" t="str">
        <f t="shared" si="13"/>
        <v>Clearly reported</v>
      </c>
      <c r="U282" s="1" t="str">
        <f t="shared" si="14"/>
        <v>Clearly reported</v>
      </c>
    </row>
    <row r="283" spans="1:21" ht="96" customHeight="1">
      <c r="A283" s="1" t="s">
        <v>5268</v>
      </c>
      <c r="B283" s="1" t="s">
        <v>4688</v>
      </c>
      <c r="C283" s="1" t="s">
        <v>4734</v>
      </c>
      <c r="D283" s="1" t="s">
        <v>4735</v>
      </c>
      <c r="E283" s="1">
        <v>2</v>
      </c>
      <c r="F283" s="1">
        <v>1</v>
      </c>
      <c r="G283" s="1">
        <v>2</v>
      </c>
      <c r="H283" s="1" t="s">
        <v>4691</v>
      </c>
      <c r="I283" s="1" t="s">
        <v>5277</v>
      </c>
      <c r="J283" s="1" t="s">
        <v>5278</v>
      </c>
      <c r="K283" s="1"/>
      <c r="L283" s="1" t="s">
        <v>5279</v>
      </c>
      <c r="M283" s="1" t="s">
        <v>5280</v>
      </c>
      <c r="N283" s="1" t="s">
        <v>5281</v>
      </c>
      <c r="O283" s="1" t="s">
        <v>4697</v>
      </c>
      <c r="P283" s="1" t="s">
        <v>5282</v>
      </c>
      <c r="Q283" s="1" t="s">
        <v>5283</v>
      </c>
      <c r="R283" s="1" t="s">
        <v>5284</v>
      </c>
      <c r="S283" s="1" t="str">
        <f t="shared" si="12"/>
        <v>Clearly reported</v>
      </c>
      <c r="T283" s="1" t="str">
        <f t="shared" si="13"/>
        <v>Partly reported</v>
      </c>
      <c r="U283" s="1" t="str">
        <f t="shared" si="14"/>
        <v>Clearly reported</v>
      </c>
    </row>
    <row r="284" spans="1:21" ht="96" customHeight="1">
      <c r="A284" s="1" t="s">
        <v>5268</v>
      </c>
      <c r="B284" s="1" t="s">
        <v>4688</v>
      </c>
      <c r="C284" s="1" t="s">
        <v>4893</v>
      </c>
      <c r="D284" s="1" t="s">
        <v>4894</v>
      </c>
      <c r="E284" s="1">
        <v>0</v>
      </c>
      <c r="F284" s="1">
        <v>1</v>
      </c>
      <c r="G284" s="1">
        <v>0</v>
      </c>
      <c r="H284" s="1" t="s">
        <v>4691</v>
      </c>
      <c r="I284" s="1" t="s">
        <v>5285</v>
      </c>
      <c r="J284" s="1" t="s">
        <v>4862</v>
      </c>
      <c r="K284" s="1"/>
      <c r="L284" s="1" t="s">
        <v>5286</v>
      </c>
      <c r="M284" s="1" t="s">
        <v>5287</v>
      </c>
      <c r="N284" s="1" t="s">
        <v>5288</v>
      </c>
      <c r="O284" s="1" t="s">
        <v>5289</v>
      </c>
      <c r="P284" s="1" t="s">
        <v>5290</v>
      </c>
      <c r="Q284" s="1" t="s">
        <v>5291</v>
      </c>
      <c r="R284" s="1" t="s">
        <v>5292</v>
      </c>
      <c r="S284" s="1" t="str">
        <f t="shared" si="12"/>
        <v>Not reported</v>
      </c>
      <c r="T284" s="1" t="str">
        <f t="shared" si="13"/>
        <v>Partly reported</v>
      </c>
      <c r="U284" s="1" t="str">
        <f t="shared" si="14"/>
        <v>Not reported</v>
      </c>
    </row>
    <row r="285" spans="1:21" ht="84" customHeight="1">
      <c r="A285" s="1" t="s">
        <v>5268</v>
      </c>
      <c r="B285" s="1" t="s">
        <v>4688</v>
      </c>
      <c r="C285" s="1" t="s">
        <v>4744</v>
      </c>
      <c r="D285" s="1" t="s">
        <v>4745</v>
      </c>
      <c r="E285" s="1">
        <v>2</v>
      </c>
      <c r="F285" s="1">
        <v>0</v>
      </c>
      <c r="G285" s="1">
        <v>1</v>
      </c>
      <c r="H285" s="1" t="s">
        <v>4691</v>
      </c>
      <c r="I285" s="1" t="s">
        <v>5293</v>
      </c>
      <c r="J285" s="1" t="s">
        <v>4747</v>
      </c>
      <c r="K285" s="1"/>
      <c r="L285" s="1" t="s">
        <v>5294</v>
      </c>
      <c r="M285" s="1" t="s">
        <v>5295</v>
      </c>
      <c r="N285" s="1" t="s">
        <v>5296</v>
      </c>
      <c r="O285" s="1" t="s">
        <v>5289</v>
      </c>
      <c r="P285" s="1" t="s">
        <v>5297</v>
      </c>
      <c r="Q285" s="1" t="s">
        <v>5298</v>
      </c>
      <c r="R285" s="1" t="s">
        <v>5299</v>
      </c>
      <c r="S285" s="1" t="str">
        <f t="shared" si="12"/>
        <v>Clearly reported</v>
      </c>
      <c r="T285" s="1" t="str">
        <f t="shared" si="13"/>
        <v>Not reported</v>
      </c>
      <c r="U285" s="1" t="str">
        <f t="shared" si="14"/>
        <v>Partly reported</v>
      </c>
    </row>
    <row r="286" spans="1:21" ht="24" customHeight="1">
      <c r="A286" s="1" t="s">
        <v>5268</v>
      </c>
      <c r="B286" s="1" t="s">
        <v>4688</v>
      </c>
      <c r="C286" s="1" t="s">
        <v>5117</v>
      </c>
      <c r="D286" s="1" t="s">
        <v>5118</v>
      </c>
      <c r="E286" s="1">
        <v>1</v>
      </c>
      <c r="F286" s="1">
        <v>1</v>
      </c>
      <c r="G286" s="1">
        <v>1</v>
      </c>
      <c r="H286" s="1" t="s">
        <v>4631</v>
      </c>
      <c r="I286" s="1" t="s">
        <v>12654</v>
      </c>
      <c r="J286" s="1" t="s">
        <v>5362</v>
      </c>
      <c r="K286" s="1"/>
      <c r="L286" s="1"/>
      <c r="M286" s="1"/>
      <c r="N286" s="1"/>
      <c r="O286" s="1"/>
      <c r="P286" s="1" t="s">
        <v>12655</v>
      </c>
      <c r="Q286" s="1" t="s">
        <v>12656</v>
      </c>
      <c r="R286" s="1"/>
      <c r="S286" s="1" t="str">
        <f t="shared" si="12"/>
        <v>Partly reported</v>
      </c>
      <c r="T286" s="1" t="str">
        <f t="shared" si="13"/>
        <v>Partly reported</v>
      </c>
      <c r="U286" s="1" t="str">
        <f t="shared" si="14"/>
        <v>Partly reported</v>
      </c>
    </row>
    <row r="287" spans="1:21" ht="15" customHeight="1">
      <c r="A287" s="1" t="s">
        <v>5268</v>
      </c>
      <c r="B287" s="1" t="s">
        <v>4688</v>
      </c>
      <c r="C287" s="1" t="s">
        <v>4810</v>
      </c>
      <c r="D287" s="1" t="s">
        <v>4811</v>
      </c>
      <c r="E287" s="1">
        <v>0</v>
      </c>
      <c r="F287" s="1">
        <v>0</v>
      </c>
      <c r="G287" s="1">
        <v>0</v>
      </c>
      <c r="H287" s="1" t="s">
        <v>4631</v>
      </c>
      <c r="I287" s="1" t="s">
        <v>12066</v>
      </c>
      <c r="J287" s="1" t="s">
        <v>4747</v>
      </c>
      <c r="K287" s="1"/>
      <c r="L287" s="1"/>
      <c r="M287" s="1"/>
      <c r="N287" s="1"/>
      <c r="O287" s="1"/>
      <c r="P287" s="1" t="s">
        <v>12657</v>
      </c>
      <c r="Q287" s="1" t="s">
        <v>12658</v>
      </c>
      <c r="R287" s="1"/>
      <c r="S287" s="1" t="str">
        <f t="shared" si="12"/>
        <v>Not reported</v>
      </c>
      <c r="T287" s="1" t="str">
        <f t="shared" si="13"/>
        <v>Not reported</v>
      </c>
      <c r="U287" s="1" t="str">
        <f t="shared" si="14"/>
        <v>Not reported</v>
      </c>
    </row>
    <row r="288" spans="1:21" ht="36" customHeight="1">
      <c r="A288" s="1" t="s">
        <v>5268</v>
      </c>
      <c r="B288" s="1" t="s">
        <v>4688</v>
      </c>
      <c r="C288" s="1" t="s">
        <v>4714</v>
      </c>
      <c r="D288" s="1" t="s">
        <v>4715</v>
      </c>
      <c r="E288" s="1">
        <v>2</v>
      </c>
      <c r="F288" s="1">
        <v>1</v>
      </c>
      <c r="G288" s="1">
        <v>2</v>
      </c>
      <c r="H288" s="1" t="s">
        <v>4646</v>
      </c>
      <c r="I288" s="1" t="s">
        <v>5300</v>
      </c>
      <c r="J288" s="1" t="s">
        <v>4862</v>
      </c>
      <c r="K288" s="1"/>
      <c r="L288" s="1" t="s">
        <v>5301</v>
      </c>
      <c r="M288" s="1" t="s">
        <v>5302</v>
      </c>
      <c r="N288" s="1" t="s">
        <v>4758</v>
      </c>
      <c r="O288" s="1" t="s">
        <v>4721</v>
      </c>
      <c r="P288" s="1" t="s">
        <v>5303</v>
      </c>
      <c r="Q288" s="1" t="s">
        <v>5304</v>
      </c>
      <c r="R288" s="1" t="s">
        <v>5305</v>
      </c>
      <c r="S288" s="1" t="str">
        <f t="shared" si="12"/>
        <v>Clearly reported</v>
      </c>
      <c r="T288" s="1" t="str">
        <f t="shared" si="13"/>
        <v>Partly reported</v>
      </c>
      <c r="U288" s="1" t="str">
        <f t="shared" si="14"/>
        <v>Clearly reported</v>
      </c>
    </row>
    <row r="289" spans="1:21" ht="15" customHeight="1">
      <c r="A289" s="1" t="s">
        <v>5268</v>
      </c>
      <c r="B289" s="1" t="s">
        <v>4688</v>
      </c>
      <c r="C289" s="1" t="s">
        <v>4689</v>
      </c>
      <c r="D289" s="1" t="s">
        <v>4690</v>
      </c>
      <c r="E289" s="1">
        <v>2</v>
      </c>
      <c r="F289" s="1">
        <v>2</v>
      </c>
      <c r="G289" s="1">
        <v>2</v>
      </c>
      <c r="H289" s="1" t="s">
        <v>4631</v>
      </c>
      <c r="I289" s="1" t="s">
        <v>10331</v>
      </c>
      <c r="J289" s="1" t="s">
        <v>4862</v>
      </c>
      <c r="K289" s="1"/>
      <c r="L289" s="1"/>
      <c r="M289" s="1"/>
      <c r="N289" s="1"/>
      <c r="O289" s="1"/>
      <c r="P289" s="1" t="s">
        <v>12659</v>
      </c>
      <c r="Q289" s="1" t="s">
        <v>12660</v>
      </c>
      <c r="R289" s="1"/>
      <c r="S289" s="1" t="str">
        <f t="shared" si="12"/>
        <v>Clearly reported</v>
      </c>
      <c r="T289" s="1" t="str">
        <f t="shared" si="13"/>
        <v>Clearly reported</v>
      </c>
      <c r="U289" s="1" t="str">
        <f t="shared" si="14"/>
        <v>Clearly reported</v>
      </c>
    </row>
    <row r="290" spans="1:21" ht="36" customHeight="1">
      <c r="A290" s="1" t="s">
        <v>5306</v>
      </c>
      <c r="B290" s="1" t="s">
        <v>4688</v>
      </c>
      <c r="C290" s="1" t="s">
        <v>5475</v>
      </c>
      <c r="D290" s="1" t="s">
        <v>5476</v>
      </c>
      <c r="E290" s="1">
        <v>2</v>
      </c>
      <c r="F290" s="1">
        <v>2</v>
      </c>
      <c r="G290" s="1">
        <v>2</v>
      </c>
      <c r="H290" s="1" t="s">
        <v>4631</v>
      </c>
      <c r="I290" s="1" t="s">
        <v>12661</v>
      </c>
      <c r="J290" s="1" t="s">
        <v>4862</v>
      </c>
      <c r="K290" s="1"/>
      <c r="L290" s="1"/>
      <c r="M290" s="1"/>
      <c r="N290" s="1"/>
      <c r="O290" s="1"/>
      <c r="P290" s="1" t="s">
        <v>12662</v>
      </c>
      <c r="Q290" s="1" t="s">
        <v>12663</v>
      </c>
      <c r="R290" s="1"/>
      <c r="S290" s="1" t="str">
        <f t="shared" si="12"/>
        <v>Clearly reported</v>
      </c>
      <c r="T290" s="1" t="str">
        <f t="shared" si="13"/>
        <v>Clearly reported</v>
      </c>
      <c r="U290" s="1" t="str">
        <f t="shared" si="14"/>
        <v>Clearly reported</v>
      </c>
    </row>
    <row r="291" spans="1:21" ht="24" customHeight="1">
      <c r="A291" s="1" t="s">
        <v>5306</v>
      </c>
      <c r="B291" s="1" t="s">
        <v>4688</v>
      </c>
      <c r="C291" s="1" t="s">
        <v>5390</v>
      </c>
      <c r="D291" s="1" t="s">
        <v>5391</v>
      </c>
      <c r="E291" s="1">
        <v>2</v>
      </c>
      <c r="F291" s="1">
        <v>2</v>
      </c>
      <c r="G291" s="1">
        <v>2</v>
      </c>
      <c r="H291" s="1" t="s">
        <v>4631</v>
      </c>
      <c r="I291" s="1" t="s">
        <v>12664</v>
      </c>
      <c r="J291" s="1" t="s">
        <v>4862</v>
      </c>
      <c r="K291" s="1"/>
      <c r="L291" s="1"/>
      <c r="M291" s="1"/>
      <c r="N291" s="1"/>
      <c r="O291" s="1"/>
      <c r="P291" s="1" t="s">
        <v>12665</v>
      </c>
      <c r="Q291" s="1" t="s">
        <v>12666</v>
      </c>
      <c r="R291" s="1"/>
      <c r="S291" s="1" t="str">
        <f t="shared" si="12"/>
        <v>Clearly reported</v>
      </c>
      <c r="T291" s="1" t="str">
        <f t="shared" si="13"/>
        <v>Clearly reported</v>
      </c>
      <c r="U291" s="1" t="str">
        <f t="shared" si="14"/>
        <v>Clearly reported</v>
      </c>
    </row>
    <row r="292" spans="1:21" ht="15" customHeight="1">
      <c r="A292" s="1" t="s">
        <v>5306</v>
      </c>
      <c r="B292" s="1" t="s">
        <v>4688</v>
      </c>
      <c r="C292" s="1" t="s">
        <v>4734</v>
      </c>
      <c r="D292" s="1" t="s">
        <v>4735</v>
      </c>
      <c r="E292" s="1">
        <v>2</v>
      </c>
      <c r="F292" s="1">
        <v>2</v>
      </c>
      <c r="G292" s="1">
        <v>2</v>
      </c>
      <c r="H292" s="1" t="s">
        <v>4631</v>
      </c>
      <c r="I292" s="1" t="s">
        <v>10464</v>
      </c>
      <c r="J292" s="1" t="s">
        <v>12667</v>
      </c>
      <c r="K292" s="1"/>
      <c r="L292" s="1"/>
      <c r="M292" s="1"/>
      <c r="N292" s="1"/>
      <c r="O292" s="1"/>
      <c r="P292" s="1" t="s">
        <v>12668</v>
      </c>
      <c r="Q292" s="1" t="s">
        <v>12669</v>
      </c>
      <c r="R292" s="1"/>
      <c r="S292" s="1" t="str">
        <f t="shared" si="12"/>
        <v>Clearly reported</v>
      </c>
      <c r="T292" s="1" t="str">
        <f t="shared" si="13"/>
        <v>Clearly reported</v>
      </c>
      <c r="U292" s="1" t="str">
        <f t="shared" si="14"/>
        <v>Clearly reported</v>
      </c>
    </row>
    <row r="293" spans="1:21" ht="15" customHeight="1">
      <c r="A293" s="1" t="s">
        <v>5306</v>
      </c>
      <c r="B293" s="1" t="s">
        <v>4688</v>
      </c>
      <c r="C293" s="1" t="s">
        <v>4893</v>
      </c>
      <c r="D293" s="1" t="s">
        <v>4894</v>
      </c>
      <c r="E293" s="1">
        <v>2</v>
      </c>
      <c r="F293" s="1">
        <v>2</v>
      </c>
      <c r="G293" s="1">
        <v>2</v>
      </c>
      <c r="H293" s="1" t="s">
        <v>4631</v>
      </c>
      <c r="I293" s="1" t="s">
        <v>10470</v>
      </c>
      <c r="J293" s="1" t="s">
        <v>11803</v>
      </c>
      <c r="K293" s="1"/>
      <c r="L293" s="1"/>
      <c r="M293" s="1"/>
      <c r="N293" s="1"/>
      <c r="O293" s="1"/>
      <c r="P293" s="1" t="s">
        <v>12670</v>
      </c>
      <c r="Q293" s="1" t="s">
        <v>12671</v>
      </c>
      <c r="R293" s="1"/>
      <c r="S293" s="1" t="str">
        <f t="shared" si="12"/>
        <v>Clearly reported</v>
      </c>
      <c r="T293" s="1" t="str">
        <f t="shared" si="13"/>
        <v>Clearly reported</v>
      </c>
      <c r="U293" s="1" t="str">
        <f t="shared" si="14"/>
        <v>Clearly reported</v>
      </c>
    </row>
    <row r="294" spans="1:21" ht="36" customHeight="1">
      <c r="A294" s="1" t="s">
        <v>5306</v>
      </c>
      <c r="B294" s="1" t="s">
        <v>4688</v>
      </c>
      <c r="C294" s="1" t="s">
        <v>4744</v>
      </c>
      <c r="D294" s="1" t="s">
        <v>4745</v>
      </c>
      <c r="E294" s="1">
        <v>2</v>
      </c>
      <c r="F294" s="1">
        <v>2</v>
      </c>
      <c r="G294" s="1">
        <v>2</v>
      </c>
      <c r="H294" s="1" t="s">
        <v>4631</v>
      </c>
      <c r="I294" s="1" t="s">
        <v>12672</v>
      </c>
      <c r="J294" s="1" t="s">
        <v>4717</v>
      </c>
      <c r="K294" s="1"/>
      <c r="L294" s="1"/>
      <c r="M294" s="1"/>
      <c r="N294" s="1"/>
      <c r="O294" s="1"/>
      <c r="P294" s="1" t="s">
        <v>12673</v>
      </c>
      <c r="Q294" s="1" t="s">
        <v>12674</v>
      </c>
      <c r="R294" s="1"/>
      <c r="S294" s="1" t="str">
        <f t="shared" si="12"/>
        <v>Clearly reported</v>
      </c>
      <c r="T294" s="1" t="str">
        <f t="shared" si="13"/>
        <v>Clearly reported</v>
      </c>
      <c r="U294" s="1" t="str">
        <f t="shared" si="14"/>
        <v>Clearly reported</v>
      </c>
    </row>
    <row r="295" spans="1:21" ht="24" customHeight="1">
      <c r="A295" s="1" t="s">
        <v>5306</v>
      </c>
      <c r="B295" s="1" t="s">
        <v>4688</v>
      </c>
      <c r="C295" s="1" t="s">
        <v>5117</v>
      </c>
      <c r="D295" s="1" t="s">
        <v>5118</v>
      </c>
      <c r="E295" s="1">
        <v>2</v>
      </c>
      <c r="F295" s="1">
        <v>2</v>
      </c>
      <c r="G295" s="1">
        <v>2</v>
      </c>
      <c r="H295" s="1" t="s">
        <v>4631</v>
      </c>
      <c r="I295" s="1" t="s">
        <v>12675</v>
      </c>
      <c r="J295" s="1" t="s">
        <v>12676</v>
      </c>
      <c r="K295" s="1"/>
      <c r="L295" s="1"/>
      <c r="M295" s="1"/>
      <c r="N295" s="1"/>
      <c r="O295" s="1"/>
      <c r="P295" s="1" t="s">
        <v>12677</v>
      </c>
      <c r="Q295" s="1" t="s">
        <v>12678</v>
      </c>
      <c r="R295" s="1"/>
      <c r="S295" s="1" t="str">
        <f t="shared" si="12"/>
        <v>Clearly reported</v>
      </c>
      <c r="T295" s="1" t="str">
        <f t="shared" si="13"/>
        <v>Clearly reported</v>
      </c>
      <c r="U295" s="1" t="str">
        <f t="shared" si="14"/>
        <v>Clearly reported</v>
      </c>
    </row>
    <row r="296" spans="1:21" ht="60" customHeight="1">
      <c r="A296" s="1" t="s">
        <v>5306</v>
      </c>
      <c r="B296" s="1" t="s">
        <v>4688</v>
      </c>
      <c r="C296" s="1" t="s">
        <v>4810</v>
      </c>
      <c r="D296" s="1" t="s">
        <v>4811</v>
      </c>
      <c r="E296" s="1">
        <v>2</v>
      </c>
      <c r="F296" s="1">
        <v>1</v>
      </c>
      <c r="G296" s="1">
        <v>2</v>
      </c>
      <c r="H296" s="1" t="s">
        <v>4691</v>
      </c>
      <c r="I296" s="1" t="s">
        <v>5315</v>
      </c>
      <c r="J296" s="1" t="s">
        <v>5316</v>
      </c>
      <c r="K296" s="1"/>
      <c r="L296" s="1" t="s">
        <v>5317</v>
      </c>
      <c r="M296" s="1" t="s">
        <v>5318</v>
      </c>
      <c r="N296" s="1" t="s">
        <v>5319</v>
      </c>
      <c r="O296" s="1" t="s">
        <v>4697</v>
      </c>
      <c r="P296" s="1" t="s">
        <v>5320</v>
      </c>
      <c r="Q296" s="1" t="s">
        <v>5321</v>
      </c>
      <c r="R296" s="1" t="s">
        <v>5322</v>
      </c>
      <c r="S296" s="1" t="str">
        <f t="shared" si="12"/>
        <v>Clearly reported</v>
      </c>
      <c r="T296" s="1" t="str">
        <f t="shared" si="13"/>
        <v>Partly reported</v>
      </c>
      <c r="U296" s="1" t="str">
        <f t="shared" si="14"/>
        <v>Clearly reported</v>
      </c>
    </row>
    <row r="297" spans="1:21" ht="60" customHeight="1">
      <c r="A297" s="1" t="s">
        <v>5306</v>
      </c>
      <c r="B297" s="1" t="s">
        <v>4688</v>
      </c>
      <c r="C297" s="1" t="s">
        <v>4714</v>
      </c>
      <c r="D297" s="1" t="s">
        <v>4715</v>
      </c>
      <c r="E297" s="1">
        <v>2</v>
      </c>
      <c r="F297" s="1">
        <v>1</v>
      </c>
      <c r="G297" s="1">
        <v>1</v>
      </c>
      <c r="H297" s="1" t="s">
        <v>4646</v>
      </c>
      <c r="I297" s="1" t="s">
        <v>5323</v>
      </c>
      <c r="J297" s="1" t="s">
        <v>5316</v>
      </c>
      <c r="K297" s="1"/>
      <c r="L297" s="1" t="s">
        <v>5324</v>
      </c>
      <c r="M297" s="1" t="s">
        <v>5325</v>
      </c>
      <c r="N297" s="1" t="s">
        <v>5326</v>
      </c>
      <c r="O297" s="1" t="s">
        <v>4721</v>
      </c>
      <c r="P297" s="1" t="s">
        <v>5327</v>
      </c>
      <c r="Q297" s="1" t="s">
        <v>5328</v>
      </c>
      <c r="R297" s="1" t="s">
        <v>5329</v>
      </c>
      <c r="S297" s="1" t="str">
        <f t="shared" si="12"/>
        <v>Clearly reported</v>
      </c>
      <c r="T297" s="1" t="str">
        <f t="shared" si="13"/>
        <v>Partly reported</v>
      </c>
      <c r="U297" s="1" t="str">
        <f t="shared" si="14"/>
        <v>Partly reported</v>
      </c>
    </row>
    <row r="298" spans="1:21" ht="15" customHeight="1">
      <c r="A298" s="1" t="s">
        <v>5306</v>
      </c>
      <c r="B298" s="1" t="s">
        <v>4688</v>
      </c>
      <c r="C298" s="1" t="s">
        <v>4689</v>
      </c>
      <c r="D298" s="1" t="s">
        <v>4690</v>
      </c>
      <c r="E298" s="1">
        <v>0</v>
      </c>
      <c r="F298" s="1">
        <v>0</v>
      </c>
      <c r="G298" s="1">
        <v>0</v>
      </c>
      <c r="H298" s="1" t="s">
        <v>4631</v>
      </c>
      <c r="I298" s="1" t="s">
        <v>10460</v>
      </c>
      <c r="J298" s="1" t="s">
        <v>12679</v>
      </c>
      <c r="K298" s="1"/>
      <c r="L298" s="1"/>
      <c r="M298" s="1"/>
      <c r="N298" s="1"/>
      <c r="O298" s="1"/>
      <c r="P298" s="1" t="s">
        <v>12680</v>
      </c>
      <c r="Q298" s="1" t="s">
        <v>12681</v>
      </c>
      <c r="R298" s="1"/>
      <c r="S298" s="1" t="str">
        <f t="shared" si="12"/>
        <v>Not reported</v>
      </c>
      <c r="T298" s="1" t="str">
        <f t="shared" si="13"/>
        <v>Not reported</v>
      </c>
      <c r="U298" s="1" t="str">
        <f t="shared" si="14"/>
        <v>Not reported</v>
      </c>
    </row>
    <row r="299" spans="1:21" ht="24" customHeight="1">
      <c r="A299" s="1" t="s">
        <v>5330</v>
      </c>
      <c r="B299" s="1" t="s">
        <v>4688</v>
      </c>
      <c r="C299" s="1" t="s">
        <v>5475</v>
      </c>
      <c r="D299" s="1" t="s">
        <v>5476</v>
      </c>
      <c r="E299" s="1">
        <v>2</v>
      </c>
      <c r="F299" s="1">
        <v>2</v>
      </c>
      <c r="G299" s="1">
        <v>2</v>
      </c>
      <c r="H299" s="1" t="s">
        <v>4631</v>
      </c>
      <c r="I299" s="1" t="s">
        <v>12682</v>
      </c>
      <c r="J299" s="1" t="s">
        <v>4862</v>
      </c>
      <c r="K299" s="1"/>
      <c r="L299" s="1"/>
      <c r="M299" s="1"/>
      <c r="N299" s="1"/>
      <c r="O299" s="1"/>
      <c r="P299" s="1" t="s">
        <v>12683</v>
      </c>
      <c r="Q299" s="1" t="s">
        <v>12684</v>
      </c>
      <c r="R299" s="1"/>
      <c r="S299" s="1" t="str">
        <f t="shared" si="12"/>
        <v>Clearly reported</v>
      </c>
      <c r="T299" s="1" t="str">
        <f t="shared" si="13"/>
        <v>Clearly reported</v>
      </c>
      <c r="U299" s="1" t="str">
        <f t="shared" si="14"/>
        <v>Clearly reported</v>
      </c>
    </row>
    <row r="300" spans="1:21" ht="36" customHeight="1">
      <c r="A300" s="1" t="s">
        <v>5330</v>
      </c>
      <c r="B300" s="1" t="s">
        <v>4688</v>
      </c>
      <c r="C300" s="1" t="s">
        <v>5390</v>
      </c>
      <c r="D300" s="1" t="s">
        <v>5391</v>
      </c>
      <c r="E300" s="1">
        <v>2</v>
      </c>
      <c r="F300" s="1">
        <v>2</v>
      </c>
      <c r="G300" s="1">
        <v>2</v>
      </c>
      <c r="H300" s="1" t="s">
        <v>4631</v>
      </c>
      <c r="I300" s="1" t="s">
        <v>12685</v>
      </c>
      <c r="J300" s="1" t="s">
        <v>4717</v>
      </c>
      <c r="K300" s="1"/>
      <c r="L300" s="1"/>
      <c r="M300" s="1"/>
      <c r="N300" s="1"/>
      <c r="O300" s="1"/>
      <c r="P300" s="1" t="s">
        <v>12686</v>
      </c>
      <c r="Q300" s="1" t="s">
        <v>12687</v>
      </c>
      <c r="R300" s="1"/>
      <c r="S300" s="1" t="str">
        <f t="shared" si="12"/>
        <v>Clearly reported</v>
      </c>
      <c r="T300" s="1" t="str">
        <f t="shared" si="13"/>
        <v>Clearly reported</v>
      </c>
      <c r="U300" s="1" t="str">
        <f t="shared" si="14"/>
        <v>Clearly reported</v>
      </c>
    </row>
    <row r="301" spans="1:21" ht="60" customHeight="1">
      <c r="A301" s="1" t="s">
        <v>5330</v>
      </c>
      <c r="B301" s="1" t="s">
        <v>4688</v>
      </c>
      <c r="C301" s="1" t="s">
        <v>4734</v>
      </c>
      <c r="D301" s="1" t="s">
        <v>4735</v>
      </c>
      <c r="E301" s="1">
        <v>0</v>
      </c>
      <c r="F301" s="1">
        <v>1</v>
      </c>
      <c r="G301" s="1">
        <v>1</v>
      </c>
      <c r="H301" s="1" t="s">
        <v>4691</v>
      </c>
      <c r="I301" s="1" t="s">
        <v>4747</v>
      </c>
      <c r="J301" s="1" t="s">
        <v>5005</v>
      </c>
      <c r="K301" s="1"/>
      <c r="L301" s="1" t="s">
        <v>5331</v>
      </c>
      <c r="M301" s="1" t="s">
        <v>5332</v>
      </c>
      <c r="N301" s="1" t="s">
        <v>5333</v>
      </c>
      <c r="O301" s="1" t="s">
        <v>4697</v>
      </c>
      <c r="P301" s="1" t="s">
        <v>5334</v>
      </c>
      <c r="Q301" s="1" t="s">
        <v>5335</v>
      </c>
      <c r="R301" s="1" t="s">
        <v>5336</v>
      </c>
      <c r="S301" s="1" t="str">
        <f t="shared" si="12"/>
        <v>Not reported</v>
      </c>
      <c r="T301" s="1" t="str">
        <f t="shared" si="13"/>
        <v>Partly reported</v>
      </c>
      <c r="U301" s="1" t="str">
        <f t="shared" si="14"/>
        <v>Partly reported</v>
      </c>
    </row>
    <row r="302" spans="1:21" ht="15" customHeight="1">
      <c r="A302" s="1" t="s">
        <v>5330</v>
      </c>
      <c r="B302" s="1" t="s">
        <v>4688</v>
      </c>
      <c r="C302" s="1" t="s">
        <v>4893</v>
      </c>
      <c r="D302" s="1" t="s">
        <v>4894</v>
      </c>
      <c r="E302" s="1">
        <v>0</v>
      </c>
      <c r="F302" s="1">
        <v>0</v>
      </c>
      <c r="G302" s="1">
        <v>0</v>
      </c>
      <c r="H302" s="1" t="s">
        <v>4631</v>
      </c>
      <c r="I302" s="1" t="s">
        <v>4747</v>
      </c>
      <c r="J302" s="1" t="s">
        <v>4747</v>
      </c>
      <c r="K302" s="1"/>
      <c r="L302" s="1"/>
      <c r="M302" s="1"/>
      <c r="N302" s="1"/>
      <c r="O302" s="1"/>
      <c r="P302" s="1" t="s">
        <v>12688</v>
      </c>
      <c r="Q302" s="1" t="s">
        <v>12689</v>
      </c>
      <c r="R302" s="1"/>
      <c r="S302" s="1" t="str">
        <f t="shared" si="12"/>
        <v>Not reported</v>
      </c>
      <c r="T302" s="1" t="str">
        <f t="shared" si="13"/>
        <v>Not reported</v>
      </c>
      <c r="U302" s="1" t="str">
        <f t="shared" si="14"/>
        <v>Not reported</v>
      </c>
    </row>
    <row r="303" spans="1:21" ht="15" customHeight="1">
      <c r="A303" s="1" t="s">
        <v>5330</v>
      </c>
      <c r="B303" s="1" t="s">
        <v>4688</v>
      </c>
      <c r="C303" s="1" t="s">
        <v>4744</v>
      </c>
      <c r="D303" s="1" t="s">
        <v>4745</v>
      </c>
      <c r="E303" s="1">
        <v>0</v>
      </c>
      <c r="F303" s="1">
        <v>0</v>
      </c>
      <c r="G303" s="1">
        <v>0</v>
      </c>
      <c r="H303" s="1" t="s">
        <v>4631</v>
      </c>
      <c r="I303" s="1" t="s">
        <v>4763</v>
      </c>
      <c r="J303" s="1" t="s">
        <v>4747</v>
      </c>
      <c r="K303" s="1"/>
      <c r="L303" s="1"/>
      <c r="M303" s="1"/>
      <c r="N303" s="1"/>
      <c r="O303" s="1"/>
      <c r="P303" s="1" t="s">
        <v>12690</v>
      </c>
      <c r="Q303" s="1" t="s">
        <v>12691</v>
      </c>
      <c r="R303" s="1"/>
      <c r="S303" s="1" t="str">
        <f t="shared" si="12"/>
        <v>Not reported</v>
      </c>
      <c r="T303" s="1" t="str">
        <f t="shared" si="13"/>
        <v>Not reported</v>
      </c>
      <c r="U303" s="1" t="str">
        <f t="shared" si="14"/>
        <v>Not reported</v>
      </c>
    </row>
    <row r="304" spans="1:21" ht="15" customHeight="1">
      <c r="A304" s="1" t="s">
        <v>5330</v>
      </c>
      <c r="B304" s="1" t="s">
        <v>4688</v>
      </c>
      <c r="C304" s="1" t="s">
        <v>5117</v>
      </c>
      <c r="D304" s="1" t="s">
        <v>5118</v>
      </c>
      <c r="E304" s="1">
        <v>0</v>
      </c>
      <c r="F304" s="1">
        <v>0</v>
      </c>
      <c r="G304" s="1">
        <v>0</v>
      </c>
      <c r="H304" s="1" t="s">
        <v>4631</v>
      </c>
      <c r="I304" s="1" t="s">
        <v>4763</v>
      </c>
      <c r="J304" s="1" t="s">
        <v>4747</v>
      </c>
      <c r="K304" s="1"/>
      <c r="L304" s="1"/>
      <c r="M304" s="1"/>
      <c r="N304" s="1"/>
      <c r="O304" s="1"/>
      <c r="P304" s="1" t="s">
        <v>12692</v>
      </c>
      <c r="Q304" s="1" t="s">
        <v>12693</v>
      </c>
      <c r="R304" s="1"/>
      <c r="S304" s="1" t="str">
        <f t="shared" si="12"/>
        <v>Not reported</v>
      </c>
      <c r="T304" s="1" t="str">
        <f t="shared" si="13"/>
        <v>Not reported</v>
      </c>
      <c r="U304" s="1" t="str">
        <f t="shared" si="14"/>
        <v>Not reported</v>
      </c>
    </row>
    <row r="305" spans="1:21" ht="15" customHeight="1">
      <c r="A305" s="1" t="s">
        <v>5330</v>
      </c>
      <c r="B305" s="1" t="s">
        <v>4688</v>
      </c>
      <c r="C305" s="1" t="s">
        <v>4810</v>
      </c>
      <c r="D305" s="1" t="s">
        <v>4811</v>
      </c>
      <c r="E305" s="1">
        <v>0</v>
      </c>
      <c r="F305" s="1">
        <v>0</v>
      </c>
      <c r="G305" s="1">
        <v>0</v>
      </c>
      <c r="H305" s="1" t="s">
        <v>4631</v>
      </c>
      <c r="I305" s="1" t="s">
        <v>12066</v>
      </c>
      <c r="J305" s="1" t="s">
        <v>12694</v>
      </c>
      <c r="K305" s="1"/>
      <c r="L305" s="1"/>
      <c r="M305" s="1"/>
      <c r="N305" s="1"/>
      <c r="O305" s="1"/>
      <c r="P305" s="1" t="s">
        <v>12695</v>
      </c>
      <c r="Q305" s="1" t="s">
        <v>12696</v>
      </c>
      <c r="R305" s="1"/>
      <c r="S305" s="1" t="str">
        <f t="shared" si="12"/>
        <v>Not reported</v>
      </c>
      <c r="T305" s="1" t="str">
        <f t="shared" si="13"/>
        <v>Not reported</v>
      </c>
      <c r="U305" s="1" t="str">
        <f t="shared" si="14"/>
        <v>Not reported</v>
      </c>
    </row>
    <row r="306" spans="1:21" ht="36" customHeight="1">
      <c r="A306" s="1" t="s">
        <v>5330</v>
      </c>
      <c r="B306" s="1" t="s">
        <v>4688</v>
      </c>
      <c r="C306" s="1" t="s">
        <v>4714</v>
      </c>
      <c r="D306" s="1" t="s">
        <v>4715</v>
      </c>
      <c r="E306" s="1">
        <v>2</v>
      </c>
      <c r="F306" s="1">
        <v>2</v>
      </c>
      <c r="G306" s="1">
        <v>2</v>
      </c>
      <c r="H306" s="1" t="s">
        <v>4631</v>
      </c>
      <c r="I306" s="1" t="s">
        <v>12697</v>
      </c>
      <c r="J306" s="1" t="s">
        <v>4886</v>
      </c>
      <c r="K306" s="1"/>
      <c r="L306" s="1"/>
      <c r="M306" s="1"/>
      <c r="N306" s="1"/>
      <c r="O306" s="1"/>
      <c r="P306" s="1" t="s">
        <v>12698</v>
      </c>
      <c r="Q306" s="1" t="s">
        <v>12699</v>
      </c>
      <c r="R306" s="1"/>
      <c r="S306" s="1" t="str">
        <f t="shared" si="12"/>
        <v>Clearly reported</v>
      </c>
      <c r="T306" s="1" t="str">
        <f t="shared" si="13"/>
        <v>Clearly reported</v>
      </c>
      <c r="U306" s="1" t="str">
        <f t="shared" si="14"/>
        <v>Clearly reported</v>
      </c>
    </row>
    <row r="307" spans="1:21" ht="24" customHeight="1">
      <c r="A307" s="1" t="s">
        <v>5330</v>
      </c>
      <c r="B307" s="1" t="s">
        <v>4688</v>
      </c>
      <c r="C307" s="1" t="s">
        <v>4689</v>
      </c>
      <c r="D307" s="1" t="s">
        <v>4690</v>
      </c>
      <c r="E307" s="1">
        <v>2</v>
      </c>
      <c r="F307" s="1">
        <v>2</v>
      </c>
      <c r="G307" s="1">
        <v>2</v>
      </c>
      <c r="H307" s="1" t="s">
        <v>4631</v>
      </c>
      <c r="I307" s="1" t="s">
        <v>10604</v>
      </c>
      <c r="J307" s="1" t="s">
        <v>4764</v>
      </c>
      <c r="K307" s="1"/>
      <c r="L307" s="1"/>
      <c r="M307" s="1"/>
      <c r="N307" s="1"/>
      <c r="O307" s="1"/>
      <c r="P307" s="1" t="s">
        <v>12700</v>
      </c>
      <c r="Q307" s="1" t="s">
        <v>12701</v>
      </c>
      <c r="R307" s="1"/>
      <c r="S307" s="1" t="str">
        <f t="shared" si="12"/>
        <v>Clearly reported</v>
      </c>
      <c r="T307" s="1" t="str">
        <f t="shared" si="13"/>
        <v>Clearly reported</v>
      </c>
      <c r="U307" s="1" t="str">
        <f t="shared" si="14"/>
        <v>Clearly reported</v>
      </c>
    </row>
    <row r="308" spans="1:21" ht="36" customHeight="1">
      <c r="A308" s="1" t="s">
        <v>5337</v>
      </c>
      <c r="B308" s="1" t="s">
        <v>4688</v>
      </c>
      <c r="C308" s="1" t="s">
        <v>5475</v>
      </c>
      <c r="D308" s="1" t="s">
        <v>5476</v>
      </c>
      <c r="E308" s="1">
        <v>2</v>
      </c>
      <c r="F308" s="1">
        <v>2</v>
      </c>
      <c r="G308" s="1">
        <v>2</v>
      </c>
      <c r="H308" s="1" t="s">
        <v>4631</v>
      </c>
      <c r="I308" s="1" t="s">
        <v>12702</v>
      </c>
      <c r="J308" s="1" t="s">
        <v>5215</v>
      </c>
      <c r="K308" s="1"/>
      <c r="L308" s="1"/>
      <c r="M308" s="1"/>
      <c r="N308" s="1"/>
      <c r="O308" s="1"/>
      <c r="P308" s="1" t="s">
        <v>12703</v>
      </c>
      <c r="Q308" s="1" t="s">
        <v>12704</v>
      </c>
      <c r="R308" s="1"/>
      <c r="S308" s="1" t="str">
        <f t="shared" si="12"/>
        <v>Clearly reported</v>
      </c>
      <c r="T308" s="1" t="str">
        <f t="shared" si="13"/>
        <v>Clearly reported</v>
      </c>
      <c r="U308" s="1" t="str">
        <f t="shared" si="14"/>
        <v>Clearly reported</v>
      </c>
    </row>
    <row r="309" spans="1:21" ht="24" customHeight="1">
      <c r="A309" s="1" t="s">
        <v>5337</v>
      </c>
      <c r="B309" s="1" t="s">
        <v>4688</v>
      </c>
      <c r="C309" s="1" t="s">
        <v>5390</v>
      </c>
      <c r="D309" s="1" t="s">
        <v>5391</v>
      </c>
      <c r="E309" s="1">
        <v>2</v>
      </c>
      <c r="F309" s="1">
        <v>2</v>
      </c>
      <c r="G309" s="1">
        <v>2</v>
      </c>
      <c r="H309" s="1" t="s">
        <v>4631</v>
      </c>
      <c r="I309" s="1" t="s">
        <v>12705</v>
      </c>
      <c r="J309" s="1" t="s">
        <v>4788</v>
      </c>
      <c r="K309" s="1"/>
      <c r="L309" s="1"/>
      <c r="M309" s="1"/>
      <c r="N309" s="1"/>
      <c r="O309" s="1"/>
      <c r="P309" s="1" t="s">
        <v>12706</v>
      </c>
      <c r="Q309" s="1" t="s">
        <v>12707</v>
      </c>
      <c r="R309" s="1"/>
      <c r="S309" s="1" t="str">
        <f t="shared" si="12"/>
        <v>Clearly reported</v>
      </c>
      <c r="T309" s="1" t="str">
        <f t="shared" si="13"/>
        <v>Clearly reported</v>
      </c>
      <c r="U309" s="1" t="str">
        <f t="shared" si="14"/>
        <v>Clearly reported</v>
      </c>
    </row>
    <row r="310" spans="1:21" ht="48" customHeight="1">
      <c r="A310" s="1" t="s">
        <v>5337</v>
      </c>
      <c r="B310" s="1" t="s">
        <v>4688</v>
      </c>
      <c r="C310" s="1" t="s">
        <v>4734</v>
      </c>
      <c r="D310" s="1" t="s">
        <v>4735</v>
      </c>
      <c r="E310" s="1">
        <v>0</v>
      </c>
      <c r="F310" s="1">
        <v>1</v>
      </c>
      <c r="G310" s="1">
        <v>2</v>
      </c>
      <c r="H310" s="1" t="s">
        <v>4691</v>
      </c>
      <c r="I310" s="1" t="s">
        <v>4747</v>
      </c>
      <c r="J310" s="1" t="s">
        <v>5005</v>
      </c>
      <c r="K310" s="1"/>
      <c r="L310" s="1" t="s">
        <v>5346</v>
      </c>
      <c r="M310" s="1" t="s">
        <v>5347</v>
      </c>
      <c r="N310" s="1" t="s">
        <v>5348</v>
      </c>
      <c r="O310" s="1" t="s">
        <v>4697</v>
      </c>
      <c r="P310" s="1" t="s">
        <v>5349</v>
      </c>
      <c r="Q310" s="1" t="s">
        <v>5350</v>
      </c>
      <c r="R310" s="1" t="s">
        <v>5351</v>
      </c>
      <c r="S310" s="1" t="str">
        <f t="shared" si="12"/>
        <v>Not reported</v>
      </c>
      <c r="T310" s="1" t="str">
        <f t="shared" si="13"/>
        <v>Partly reported</v>
      </c>
      <c r="U310" s="1" t="str">
        <f t="shared" si="14"/>
        <v>Clearly reported</v>
      </c>
    </row>
    <row r="311" spans="1:21" ht="24" customHeight="1">
      <c r="A311" s="1" t="s">
        <v>5337</v>
      </c>
      <c r="B311" s="1" t="s">
        <v>4688</v>
      </c>
      <c r="C311" s="1" t="s">
        <v>4893</v>
      </c>
      <c r="D311" s="1" t="s">
        <v>4894</v>
      </c>
      <c r="E311" s="1">
        <v>1</v>
      </c>
      <c r="F311" s="1">
        <v>1</v>
      </c>
      <c r="G311" s="1">
        <v>1</v>
      </c>
      <c r="H311" s="1" t="s">
        <v>4631</v>
      </c>
      <c r="I311" s="1" t="s">
        <v>10720</v>
      </c>
      <c r="J311" s="1" t="s">
        <v>5215</v>
      </c>
      <c r="K311" s="1"/>
      <c r="L311" s="1"/>
      <c r="M311" s="1"/>
      <c r="N311" s="1"/>
      <c r="O311" s="1"/>
      <c r="P311" s="1" t="s">
        <v>12708</v>
      </c>
      <c r="Q311" s="1" t="s">
        <v>12709</v>
      </c>
      <c r="R311" s="1"/>
      <c r="S311" s="1" t="str">
        <f t="shared" si="12"/>
        <v>Partly reported</v>
      </c>
      <c r="T311" s="1" t="str">
        <f t="shared" si="13"/>
        <v>Partly reported</v>
      </c>
      <c r="U311" s="1" t="str">
        <f t="shared" si="14"/>
        <v>Partly reported</v>
      </c>
    </row>
    <row r="312" spans="1:21" ht="36" customHeight="1">
      <c r="A312" s="1" t="s">
        <v>5337</v>
      </c>
      <c r="B312" s="1" t="s">
        <v>4688</v>
      </c>
      <c r="C312" s="1" t="s">
        <v>4744</v>
      </c>
      <c r="D312" s="1" t="s">
        <v>4745</v>
      </c>
      <c r="E312" s="1">
        <v>2</v>
      </c>
      <c r="F312" s="1">
        <v>2</v>
      </c>
      <c r="G312" s="1">
        <v>2</v>
      </c>
      <c r="H312" s="1" t="s">
        <v>4631</v>
      </c>
      <c r="I312" s="1" t="s">
        <v>12710</v>
      </c>
      <c r="J312" s="1" t="s">
        <v>12711</v>
      </c>
      <c r="K312" s="1"/>
      <c r="L312" s="1"/>
      <c r="M312" s="1"/>
      <c r="N312" s="1"/>
      <c r="O312" s="1"/>
      <c r="P312" s="1" t="s">
        <v>12712</v>
      </c>
      <c r="Q312" s="1" t="s">
        <v>12713</v>
      </c>
      <c r="R312" s="1"/>
      <c r="S312" s="1" t="str">
        <f t="shared" si="12"/>
        <v>Clearly reported</v>
      </c>
      <c r="T312" s="1" t="str">
        <f t="shared" si="13"/>
        <v>Clearly reported</v>
      </c>
      <c r="U312" s="1" t="str">
        <f t="shared" si="14"/>
        <v>Clearly reported</v>
      </c>
    </row>
    <row r="313" spans="1:21" ht="15" customHeight="1">
      <c r="A313" s="1" t="s">
        <v>5337</v>
      </c>
      <c r="B313" s="1" t="s">
        <v>4688</v>
      </c>
      <c r="C313" s="1" t="s">
        <v>5117</v>
      </c>
      <c r="D313" s="1" t="s">
        <v>5118</v>
      </c>
      <c r="E313" s="1">
        <v>0</v>
      </c>
      <c r="F313" s="1">
        <v>0</v>
      </c>
      <c r="G313" s="1">
        <v>0</v>
      </c>
      <c r="H313" s="1" t="s">
        <v>4631</v>
      </c>
      <c r="I313" s="1" t="s">
        <v>4763</v>
      </c>
      <c r="J313" s="1" t="s">
        <v>4747</v>
      </c>
      <c r="K313" s="1"/>
      <c r="L313" s="1"/>
      <c r="M313" s="1"/>
      <c r="N313" s="1"/>
      <c r="O313" s="1"/>
      <c r="P313" s="1" t="s">
        <v>12714</v>
      </c>
      <c r="Q313" s="1" t="s">
        <v>12715</v>
      </c>
      <c r="R313" s="1"/>
      <c r="S313" s="1" t="str">
        <f t="shared" si="12"/>
        <v>Not reported</v>
      </c>
      <c r="T313" s="1" t="str">
        <f t="shared" si="13"/>
        <v>Not reported</v>
      </c>
      <c r="U313" s="1" t="str">
        <f t="shared" si="14"/>
        <v>Not reported</v>
      </c>
    </row>
    <row r="314" spans="1:21" ht="15" customHeight="1">
      <c r="A314" s="1" t="s">
        <v>5337</v>
      </c>
      <c r="B314" s="1" t="s">
        <v>4688</v>
      </c>
      <c r="C314" s="1" t="s">
        <v>4810</v>
      </c>
      <c r="D314" s="1" t="s">
        <v>4811</v>
      </c>
      <c r="E314" s="1">
        <v>0</v>
      </c>
      <c r="F314" s="1">
        <v>0</v>
      </c>
      <c r="G314" s="1">
        <v>0</v>
      </c>
      <c r="H314" s="1" t="s">
        <v>4631</v>
      </c>
      <c r="I314" s="1" t="s">
        <v>12066</v>
      </c>
      <c r="J314" s="1" t="s">
        <v>4747</v>
      </c>
      <c r="K314" s="1"/>
      <c r="L314" s="1"/>
      <c r="M314" s="1"/>
      <c r="N314" s="1"/>
      <c r="O314" s="1"/>
      <c r="P314" s="1" t="s">
        <v>12716</v>
      </c>
      <c r="Q314" s="1" t="s">
        <v>12717</v>
      </c>
      <c r="R314" s="1"/>
      <c r="S314" s="1" t="str">
        <f t="shared" si="12"/>
        <v>Not reported</v>
      </c>
      <c r="T314" s="1" t="str">
        <f t="shared" si="13"/>
        <v>Not reported</v>
      </c>
      <c r="U314" s="1" t="str">
        <f t="shared" si="14"/>
        <v>Not reported</v>
      </c>
    </row>
    <row r="315" spans="1:21" ht="36" customHeight="1">
      <c r="A315" s="1" t="s">
        <v>5337</v>
      </c>
      <c r="B315" s="1" t="s">
        <v>4688</v>
      </c>
      <c r="C315" s="1" t="s">
        <v>4714</v>
      </c>
      <c r="D315" s="1" t="s">
        <v>4715</v>
      </c>
      <c r="E315" s="1">
        <v>2</v>
      </c>
      <c r="F315" s="1">
        <v>2</v>
      </c>
      <c r="G315" s="1">
        <v>2</v>
      </c>
      <c r="H315" s="1" t="s">
        <v>4631</v>
      </c>
      <c r="I315" s="1" t="s">
        <v>12718</v>
      </c>
      <c r="J315" s="1" t="s">
        <v>4737</v>
      </c>
      <c r="K315" s="1"/>
      <c r="L315" s="1"/>
      <c r="M315" s="1"/>
      <c r="N315" s="1"/>
      <c r="O315" s="1"/>
      <c r="P315" s="1" t="s">
        <v>12719</v>
      </c>
      <c r="Q315" s="1" t="s">
        <v>12720</v>
      </c>
      <c r="R315" s="1"/>
      <c r="S315" s="1" t="str">
        <f t="shared" si="12"/>
        <v>Clearly reported</v>
      </c>
      <c r="T315" s="1" t="str">
        <f t="shared" si="13"/>
        <v>Clearly reported</v>
      </c>
      <c r="U315" s="1" t="str">
        <f t="shared" si="14"/>
        <v>Clearly reported</v>
      </c>
    </row>
    <row r="316" spans="1:21" ht="15" customHeight="1">
      <c r="A316" s="1" t="s">
        <v>5337</v>
      </c>
      <c r="B316" s="1" t="s">
        <v>4688</v>
      </c>
      <c r="C316" s="1" t="s">
        <v>4689</v>
      </c>
      <c r="D316" s="1" t="s">
        <v>4690</v>
      </c>
      <c r="E316" s="1">
        <v>2</v>
      </c>
      <c r="F316" s="1">
        <v>2</v>
      </c>
      <c r="G316" s="1">
        <v>2</v>
      </c>
      <c r="H316" s="1" t="s">
        <v>4631</v>
      </c>
      <c r="I316" s="1" t="s">
        <v>10710</v>
      </c>
      <c r="J316" s="1" t="s">
        <v>5215</v>
      </c>
      <c r="K316" s="1"/>
      <c r="L316" s="1"/>
      <c r="M316" s="1"/>
      <c r="N316" s="1"/>
      <c r="O316" s="1"/>
      <c r="P316" s="1" t="s">
        <v>12721</v>
      </c>
      <c r="Q316" s="1" t="s">
        <v>12722</v>
      </c>
      <c r="R316" s="1"/>
      <c r="S316" s="1" t="str">
        <f t="shared" si="12"/>
        <v>Clearly reported</v>
      </c>
      <c r="T316" s="1" t="str">
        <f t="shared" si="13"/>
        <v>Clearly reported</v>
      </c>
      <c r="U316" s="1" t="str">
        <f t="shared" si="14"/>
        <v>Clearly reported</v>
      </c>
    </row>
    <row r="317" spans="1:21" ht="36" customHeight="1">
      <c r="A317" s="1" t="s">
        <v>5352</v>
      </c>
      <c r="B317" s="1" t="s">
        <v>4688</v>
      </c>
      <c r="C317" s="1" t="s">
        <v>5475</v>
      </c>
      <c r="D317" s="1" t="s">
        <v>5476</v>
      </c>
      <c r="E317" s="1">
        <v>2</v>
      </c>
      <c r="F317" s="1">
        <v>2</v>
      </c>
      <c r="G317" s="1">
        <v>2</v>
      </c>
      <c r="H317" s="1" t="s">
        <v>4631</v>
      </c>
      <c r="I317" s="1" t="s">
        <v>12723</v>
      </c>
      <c r="J317" s="1" t="s">
        <v>4862</v>
      </c>
      <c r="K317" s="1"/>
      <c r="L317" s="1"/>
      <c r="M317" s="1"/>
      <c r="N317" s="1"/>
      <c r="O317" s="1"/>
      <c r="P317" s="1" t="s">
        <v>12724</v>
      </c>
      <c r="Q317" s="1" t="s">
        <v>12725</v>
      </c>
      <c r="R317" s="1"/>
      <c r="S317" s="1" t="str">
        <f t="shared" si="12"/>
        <v>Clearly reported</v>
      </c>
      <c r="T317" s="1" t="str">
        <f t="shared" si="13"/>
        <v>Clearly reported</v>
      </c>
      <c r="U317" s="1" t="str">
        <f t="shared" si="14"/>
        <v>Clearly reported</v>
      </c>
    </row>
    <row r="318" spans="1:21" ht="24" customHeight="1">
      <c r="A318" s="1" t="s">
        <v>5352</v>
      </c>
      <c r="B318" s="1" t="s">
        <v>4688</v>
      </c>
      <c r="C318" s="1" t="s">
        <v>5390</v>
      </c>
      <c r="D318" s="1" t="s">
        <v>5391</v>
      </c>
      <c r="E318" s="1">
        <v>2</v>
      </c>
      <c r="F318" s="1">
        <v>2</v>
      </c>
      <c r="G318" s="1">
        <v>2</v>
      </c>
      <c r="H318" s="1" t="s">
        <v>4631</v>
      </c>
      <c r="I318" s="1" t="s">
        <v>12726</v>
      </c>
      <c r="J318" s="1" t="s">
        <v>4862</v>
      </c>
      <c r="K318" s="1"/>
      <c r="L318" s="1"/>
      <c r="M318" s="1"/>
      <c r="N318" s="1"/>
      <c r="O318" s="1"/>
      <c r="P318" s="1" t="s">
        <v>12727</v>
      </c>
      <c r="Q318" s="1" t="s">
        <v>12728</v>
      </c>
      <c r="R318" s="1"/>
      <c r="S318" s="1" t="str">
        <f t="shared" si="12"/>
        <v>Clearly reported</v>
      </c>
      <c r="T318" s="1" t="str">
        <f t="shared" si="13"/>
        <v>Clearly reported</v>
      </c>
      <c r="U318" s="1" t="str">
        <f t="shared" si="14"/>
        <v>Clearly reported</v>
      </c>
    </row>
    <row r="319" spans="1:21" ht="24" customHeight="1">
      <c r="A319" s="1" t="s">
        <v>5352</v>
      </c>
      <c r="B319" s="1" t="s">
        <v>4688</v>
      </c>
      <c r="C319" s="1" t="s">
        <v>4734</v>
      </c>
      <c r="D319" s="1" t="s">
        <v>4735</v>
      </c>
      <c r="E319" s="1">
        <v>1</v>
      </c>
      <c r="F319" s="1">
        <v>1</v>
      </c>
      <c r="G319" s="1">
        <v>1</v>
      </c>
      <c r="H319" s="1" t="s">
        <v>4631</v>
      </c>
      <c r="I319" s="1" t="s">
        <v>10828</v>
      </c>
      <c r="J319" s="1" t="s">
        <v>5005</v>
      </c>
      <c r="K319" s="1"/>
      <c r="L319" s="1"/>
      <c r="M319" s="1"/>
      <c r="N319" s="1"/>
      <c r="O319" s="1"/>
      <c r="P319" s="1" t="s">
        <v>12729</v>
      </c>
      <c r="Q319" s="1" t="s">
        <v>12730</v>
      </c>
      <c r="R319" s="1"/>
      <c r="S319" s="1" t="str">
        <f t="shared" si="12"/>
        <v>Partly reported</v>
      </c>
      <c r="T319" s="1" t="str">
        <f t="shared" si="13"/>
        <v>Partly reported</v>
      </c>
      <c r="U319" s="1" t="str">
        <f t="shared" si="14"/>
        <v>Partly reported</v>
      </c>
    </row>
    <row r="320" spans="1:21" ht="15" customHeight="1">
      <c r="A320" s="1" t="s">
        <v>5352</v>
      </c>
      <c r="B320" s="1" t="s">
        <v>4688</v>
      </c>
      <c r="C320" s="1" t="s">
        <v>4893</v>
      </c>
      <c r="D320" s="1" t="s">
        <v>4894</v>
      </c>
      <c r="E320" s="1">
        <v>0</v>
      </c>
      <c r="F320" s="1">
        <v>0</v>
      </c>
      <c r="G320" s="1">
        <v>0</v>
      </c>
      <c r="H320" s="1" t="s">
        <v>4631</v>
      </c>
      <c r="I320" s="1" t="s">
        <v>4747</v>
      </c>
      <c r="J320" s="1" t="s">
        <v>4747</v>
      </c>
      <c r="K320" s="1"/>
      <c r="L320" s="1"/>
      <c r="M320" s="1"/>
      <c r="N320" s="1"/>
      <c r="O320" s="1"/>
      <c r="P320" s="1" t="s">
        <v>12731</v>
      </c>
      <c r="Q320" s="1" t="s">
        <v>12732</v>
      </c>
      <c r="R320" s="1"/>
      <c r="S320" s="1" t="str">
        <f t="shared" si="12"/>
        <v>Not reported</v>
      </c>
      <c r="T320" s="1" t="str">
        <f t="shared" si="13"/>
        <v>Not reported</v>
      </c>
      <c r="U320" s="1" t="str">
        <f t="shared" si="14"/>
        <v>Not reported</v>
      </c>
    </row>
    <row r="321" spans="1:21" ht="48" customHeight="1">
      <c r="A321" s="1" t="s">
        <v>5352</v>
      </c>
      <c r="B321" s="1" t="s">
        <v>4688</v>
      </c>
      <c r="C321" s="1" t="s">
        <v>4744</v>
      </c>
      <c r="D321" s="1" t="s">
        <v>4745</v>
      </c>
      <c r="E321" s="1">
        <v>2</v>
      </c>
      <c r="F321" s="1">
        <v>2</v>
      </c>
      <c r="G321" s="1">
        <v>2</v>
      </c>
      <c r="H321" s="1" t="s">
        <v>4631</v>
      </c>
      <c r="I321" s="1" t="s">
        <v>12733</v>
      </c>
      <c r="J321" s="1" t="s">
        <v>5362</v>
      </c>
      <c r="K321" s="1"/>
      <c r="L321" s="1"/>
      <c r="M321" s="1"/>
      <c r="N321" s="1"/>
      <c r="O321" s="1"/>
      <c r="P321" s="1" t="s">
        <v>12734</v>
      </c>
      <c r="Q321" s="1" t="s">
        <v>12735</v>
      </c>
      <c r="R321" s="1"/>
      <c r="S321" s="1" t="str">
        <f t="shared" si="12"/>
        <v>Clearly reported</v>
      </c>
      <c r="T321" s="1" t="str">
        <f t="shared" si="13"/>
        <v>Clearly reported</v>
      </c>
      <c r="U321" s="1" t="str">
        <f t="shared" si="14"/>
        <v>Clearly reported</v>
      </c>
    </row>
    <row r="322" spans="1:21" ht="24" customHeight="1">
      <c r="A322" s="1" t="s">
        <v>5352</v>
      </c>
      <c r="B322" s="1" t="s">
        <v>4688</v>
      </c>
      <c r="C322" s="1" t="s">
        <v>5117</v>
      </c>
      <c r="D322" s="1" t="s">
        <v>5118</v>
      </c>
      <c r="E322" s="1">
        <v>2</v>
      </c>
      <c r="F322" s="1">
        <v>2</v>
      </c>
      <c r="G322" s="1">
        <v>2</v>
      </c>
      <c r="H322" s="1" t="s">
        <v>4631</v>
      </c>
      <c r="I322" s="1" t="s">
        <v>12736</v>
      </c>
      <c r="J322" s="1" t="s">
        <v>12737</v>
      </c>
      <c r="K322" s="1"/>
      <c r="L322" s="1"/>
      <c r="M322" s="1"/>
      <c r="N322" s="1"/>
      <c r="O322" s="1"/>
      <c r="P322" s="1" t="s">
        <v>12738</v>
      </c>
      <c r="Q322" s="1" t="s">
        <v>12739</v>
      </c>
      <c r="R322" s="1"/>
      <c r="S322" s="1" t="str">
        <f t="shared" ref="S322:S352" si="15">IF(ISNUMBER(E322),CHOOSE(E322+1,"Not reported","Partly reported","Clearly reported"),IF(E322="NA","Not applicable","Pending"))</f>
        <v>Clearly reported</v>
      </c>
      <c r="T322" s="1" t="str">
        <f t="shared" ref="T322:T352" si="16">IF(ISNUMBER(F322),CHOOSE(F322+1,"Not reported","Partly reported","Clearly reported"),IF(F322="NA","Not applicable","Pending"))</f>
        <v>Clearly reported</v>
      </c>
      <c r="U322" s="1" t="str">
        <f t="shared" ref="U322:U352" si="17">IF(ISNUMBER(G322),CHOOSE(G322+1,"Not reported","Partly reported","Clearly reported"),IF(G322="NA","Not applicable","Pending"))</f>
        <v>Clearly reported</v>
      </c>
    </row>
    <row r="323" spans="1:21" ht="36" customHeight="1">
      <c r="A323" s="1" t="s">
        <v>5352</v>
      </c>
      <c r="B323" s="1" t="s">
        <v>4688</v>
      </c>
      <c r="C323" s="1" t="s">
        <v>4810</v>
      </c>
      <c r="D323" s="1" t="s">
        <v>4811</v>
      </c>
      <c r="E323" s="1">
        <v>2</v>
      </c>
      <c r="F323" s="1">
        <v>2</v>
      </c>
      <c r="G323" s="1">
        <v>2</v>
      </c>
      <c r="H323" s="1" t="s">
        <v>4631</v>
      </c>
      <c r="I323" s="1" t="s">
        <v>12740</v>
      </c>
      <c r="J323" s="1" t="s">
        <v>4862</v>
      </c>
      <c r="K323" s="1"/>
      <c r="L323" s="1"/>
      <c r="M323" s="1"/>
      <c r="N323" s="1"/>
      <c r="O323" s="1"/>
      <c r="P323" s="1" t="s">
        <v>12741</v>
      </c>
      <c r="Q323" s="1" t="s">
        <v>12742</v>
      </c>
      <c r="R323" s="1"/>
      <c r="S323" s="1" t="str">
        <f t="shared" si="15"/>
        <v>Clearly reported</v>
      </c>
      <c r="T323" s="1" t="str">
        <f t="shared" si="16"/>
        <v>Clearly reported</v>
      </c>
      <c r="U323" s="1" t="str">
        <f t="shared" si="17"/>
        <v>Clearly reported</v>
      </c>
    </row>
    <row r="324" spans="1:21" ht="72" customHeight="1">
      <c r="A324" s="1" t="s">
        <v>5352</v>
      </c>
      <c r="B324" s="1" t="s">
        <v>4688</v>
      </c>
      <c r="C324" s="1" t="s">
        <v>4714</v>
      </c>
      <c r="D324" s="1" t="s">
        <v>4715</v>
      </c>
      <c r="E324" s="1">
        <v>2</v>
      </c>
      <c r="F324" s="1">
        <v>2</v>
      </c>
      <c r="G324" s="1">
        <v>2</v>
      </c>
      <c r="H324" s="1" t="s">
        <v>4631</v>
      </c>
      <c r="I324" s="1" t="s">
        <v>12743</v>
      </c>
      <c r="J324" s="1" t="s">
        <v>4886</v>
      </c>
      <c r="K324" s="1"/>
      <c r="L324" s="1"/>
      <c r="M324" s="1"/>
      <c r="N324" s="1"/>
      <c r="O324" s="1"/>
      <c r="P324" s="1" t="s">
        <v>12744</v>
      </c>
      <c r="Q324" s="1" t="s">
        <v>12745</v>
      </c>
      <c r="R324" s="1"/>
      <c r="S324" s="1" t="str">
        <f t="shared" si="15"/>
        <v>Clearly reported</v>
      </c>
      <c r="T324" s="1" t="str">
        <f t="shared" si="16"/>
        <v>Clearly reported</v>
      </c>
      <c r="U324" s="1" t="str">
        <f t="shared" si="17"/>
        <v>Clearly reported</v>
      </c>
    </row>
    <row r="325" spans="1:21" ht="84" customHeight="1">
      <c r="A325" s="1" t="s">
        <v>5352</v>
      </c>
      <c r="B325" s="1" t="s">
        <v>4688</v>
      </c>
      <c r="C325" s="1" t="s">
        <v>4689</v>
      </c>
      <c r="D325" s="1" t="s">
        <v>4690</v>
      </c>
      <c r="E325" s="1">
        <v>0</v>
      </c>
      <c r="F325" s="1">
        <v>1</v>
      </c>
      <c r="G325" s="1">
        <v>0</v>
      </c>
      <c r="H325" s="1" t="s">
        <v>4691</v>
      </c>
      <c r="I325" s="1" t="s">
        <v>5361</v>
      </c>
      <c r="J325" s="1" t="s">
        <v>5362</v>
      </c>
      <c r="K325" s="1"/>
      <c r="L325" s="1" t="s">
        <v>5363</v>
      </c>
      <c r="M325" s="1" t="s">
        <v>5364</v>
      </c>
      <c r="N325" s="1" t="s">
        <v>5365</v>
      </c>
      <c r="O325" s="1" t="s">
        <v>4697</v>
      </c>
      <c r="P325" s="1" t="s">
        <v>5366</v>
      </c>
      <c r="Q325" s="1" t="s">
        <v>5367</v>
      </c>
      <c r="R325" s="1" t="s">
        <v>5368</v>
      </c>
      <c r="S325" s="1" t="str">
        <f t="shared" si="15"/>
        <v>Not reported</v>
      </c>
      <c r="T325" s="1" t="str">
        <f t="shared" si="16"/>
        <v>Partly reported</v>
      </c>
      <c r="U325" s="1" t="str">
        <f t="shared" si="17"/>
        <v>Not reported</v>
      </c>
    </row>
    <row r="326" spans="1:21" ht="24" customHeight="1">
      <c r="A326" s="1" t="s">
        <v>5369</v>
      </c>
      <c r="B326" s="1" t="s">
        <v>4688</v>
      </c>
      <c r="C326" s="1" t="s">
        <v>5475</v>
      </c>
      <c r="D326" s="1" t="s">
        <v>5476</v>
      </c>
      <c r="E326" s="1">
        <v>2</v>
      </c>
      <c r="F326" s="1">
        <v>2</v>
      </c>
      <c r="G326" s="1">
        <v>2</v>
      </c>
      <c r="H326" s="1" t="s">
        <v>4631</v>
      </c>
      <c r="I326" s="1" t="s">
        <v>12746</v>
      </c>
      <c r="J326" s="1" t="s">
        <v>5005</v>
      </c>
      <c r="K326" s="1"/>
      <c r="L326" s="1"/>
      <c r="M326" s="1"/>
      <c r="N326" s="1"/>
      <c r="O326" s="1"/>
      <c r="P326" s="1" t="s">
        <v>12747</v>
      </c>
      <c r="Q326" s="1" t="s">
        <v>12748</v>
      </c>
      <c r="R326" s="1"/>
      <c r="S326" s="1" t="str">
        <f t="shared" si="15"/>
        <v>Clearly reported</v>
      </c>
      <c r="T326" s="1" t="str">
        <f t="shared" si="16"/>
        <v>Clearly reported</v>
      </c>
      <c r="U326" s="1" t="str">
        <f t="shared" si="17"/>
        <v>Clearly reported</v>
      </c>
    </row>
    <row r="327" spans="1:21" ht="24" customHeight="1">
      <c r="A327" s="1" t="s">
        <v>5369</v>
      </c>
      <c r="B327" s="1" t="s">
        <v>4688</v>
      </c>
      <c r="C327" s="1" t="s">
        <v>5390</v>
      </c>
      <c r="D327" s="1" t="s">
        <v>5391</v>
      </c>
      <c r="E327" s="1">
        <v>2</v>
      </c>
      <c r="F327" s="1">
        <v>2</v>
      </c>
      <c r="G327" s="1">
        <v>2</v>
      </c>
      <c r="H327" s="1" t="s">
        <v>4631</v>
      </c>
      <c r="I327" s="1" t="s">
        <v>12749</v>
      </c>
      <c r="J327" s="1" t="s">
        <v>4788</v>
      </c>
      <c r="K327" s="1"/>
      <c r="L327" s="1"/>
      <c r="M327" s="1"/>
      <c r="N327" s="1"/>
      <c r="O327" s="1"/>
      <c r="P327" s="1" t="s">
        <v>12750</v>
      </c>
      <c r="Q327" s="1" t="s">
        <v>12751</v>
      </c>
      <c r="R327" s="1"/>
      <c r="S327" s="1" t="str">
        <f t="shared" si="15"/>
        <v>Clearly reported</v>
      </c>
      <c r="T327" s="1" t="str">
        <f t="shared" si="16"/>
        <v>Clearly reported</v>
      </c>
      <c r="U327" s="1" t="str">
        <f t="shared" si="17"/>
        <v>Clearly reported</v>
      </c>
    </row>
    <row r="328" spans="1:21" ht="60" customHeight="1">
      <c r="A328" s="1" t="s">
        <v>5369</v>
      </c>
      <c r="B328" s="1" t="s">
        <v>4688</v>
      </c>
      <c r="C328" s="1" t="s">
        <v>4734</v>
      </c>
      <c r="D328" s="1" t="s">
        <v>4735</v>
      </c>
      <c r="E328" s="1">
        <v>0</v>
      </c>
      <c r="F328" s="1">
        <v>1</v>
      </c>
      <c r="G328" s="1">
        <v>1</v>
      </c>
      <c r="H328" s="1" t="s">
        <v>4691</v>
      </c>
      <c r="I328" s="1" t="s">
        <v>4747</v>
      </c>
      <c r="J328" s="1" t="s">
        <v>5005</v>
      </c>
      <c r="K328" s="1"/>
      <c r="L328" s="1" t="s">
        <v>5370</v>
      </c>
      <c r="M328" s="1" t="s">
        <v>5371</v>
      </c>
      <c r="N328" s="1" t="s">
        <v>5372</v>
      </c>
      <c r="O328" s="1" t="s">
        <v>4697</v>
      </c>
      <c r="P328" s="1" t="s">
        <v>5373</v>
      </c>
      <c r="Q328" s="1" t="s">
        <v>5374</v>
      </c>
      <c r="R328" s="1" t="s">
        <v>5375</v>
      </c>
      <c r="S328" s="1" t="str">
        <f t="shared" si="15"/>
        <v>Not reported</v>
      </c>
      <c r="T328" s="1" t="str">
        <f t="shared" si="16"/>
        <v>Partly reported</v>
      </c>
      <c r="U328" s="1" t="str">
        <f t="shared" si="17"/>
        <v>Partly reported</v>
      </c>
    </row>
    <row r="329" spans="1:21" ht="60" customHeight="1">
      <c r="A329" s="1" t="s">
        <v>5369</v>
      </c>
      <c r="B329" s="1" t="s">
        <v>4688</v>
      </c>
      <c r="C329" s="1" t="s">
        <v>4893</v>
      </c>
      <c r="D329" s="1" t="s">
        <v>4894</v>
      </c>
      <c r="E329" s="1">
        <v>0</v>
      </c>
      <c r="F329" s="1">
        <v>1</v>
      </c>
      <c r="G329" s="1">
        <v>1</v>
      </c>
      <c r="H329" s="1" t="s">
        <v>4691</v>
      </c>
      <c r="I329" s="1" t="s">
        <v>4747</v>
      </c>
      <c r="J329" s="1" t="s">
        <v>4717</v>
      </c>
      <c r="K329" s="1"/>
      <c r="L329" s="1" t="s">
        <v>5376</v>
      </c>
      <c r="M329" s="1" t="s">
        <v>5377</v>
      </c>
      <c r="N329" s="1" t="s">
        <v>5378</v>
      </c>
      <c r="O329" s="1" t="s">
        <v>4697</v>
      </c>
      <c r="P329" s="1" t="s">
        <v>5379</v>
      </c>
      <c r="Q329" s="1" t="s">
        <v>5380</v>
      </c>
      <c r="R329" s="1" t="s">
        <v>5381</v>
      </c>
      <c r="S329" s="1" t="str">
        <f t="shared" si="15"/>
        <v>Not reported</v>
      </c>
      <c r="T329" s="1" t="str">
        <f t="shared" si="16"/>
        <v>Partly reported</v>
      </c>
      <c r="U329" s="1" t="str">
        <f t="shared" si="17"/>
        <v>Partly reported</v>
      </c>
    </row>
    <row r="330" spans="1:21" ht="72" customHeight="1">
      <c r="A330" s="1" t="s">
        <v>5369</v>
      </c>
      <c r="B330" s="1" t="s">
        <v>4688</v>
      </c>
      <c r="C330" s="1" t="s">
        <v>4744</v>
      </c>
      <c r="D330" s="1" t="s">
        <v>4745</v>
      </c>
      <c r="E330" s="1">
        <v>2</v>
      </c>
      <c r="F330" s="1">
        <v>0</v>
      </c>
      <c r="G330" s="1">
        <v>2</v>
      </c>
      <c r="H330" s="1" t="s">
        <v>4691</v>
      </c>
      <c r="I330" s="1" t="s">
        <v>5382</v>
      </c>
      <c r="J330" s="1" t="s">
        <v>4747</v>
      </c>
      <c r="K330" s="1"/>
      <c r="L330" s="1" t="s">
        <v>5383</v>
      </c>
      <c r="M330" s="1" t="s">
        <v>5384</v>
      </c>
      <c r="N330" s="1" t="s">
        <v>5385</v>
      </c>
      <c r="O330" s="1" t="s">
        <v>4697</v>
      </c>
      <c r="P330" s="1" t="s">
        <v>5386</v>
      </c>
      <c r="Q330" s="1" t="s">
        <v>5387</v>
      </c>
      <c r="R330" s="1" t="s">
        <v>5388</v>
      </c>
      <c r="S330" s="1" t="str">
        <f t="shared" si="15"/>
        <v>Clearly reported</v>
      </c>
      <c r="T330" s="1" t="str">
        <f t="shared" si="16"/>
        <v>Not reported</v>
      </c>
      <c r="U330" s="1" t="str">
        <f t="shared" si="17"/>
        <v>Clearly reported</v>
      </c>
    </row>
    <row r="331" spans="1:21" ht="15" customHeight="1">
      <c r="A331" s="1" t="s">
        <v>5369</v>
      </c>
      <c r="B331" s="1" t="s">
        <v>4688</v>
      </c>
      <c r="C331" s="1" t="s">
        <v>5117</v>
      </c>
      <c r="D331" s="1" t="s">
        <v>5118</v>
      </c>
      <c r="E331" s="1">
        <v>0</v>
      </c>
      <c r="F331" s="1">
        <v>0</v>
      </c>
      <c r="G331" s="1">
        <v>0</v>
      </c>
      <c r="H331" s="1" t="s">
        <v>4631</v>
      </c>
      <c r="I331" s="1" t="s">
        <v>4763</v>
      </c>
      <c r="J331" s="1" t="s">
        <v>4747</v>
      </c>
      <c r="K331" s="1"/>
      <c r="L331" s="1"/>
      <c r="M331" s="1"/>
      <c r="N331" s="1"/>
      <c r="O331" s="1"/>
      <c r="P331" s="1" t="s">
        <v>12752</v>
      </c>
      <c r="Q331" s="1" t="s">
        <v>12753</v>
      </c>
      <c r="R331" s="1"/>
      <c r="S331" s="1" t="str">
        <f t="shared" si="15"/>
        <v>Not reported</v>
      </c>
      <c r="T331" s="1" t="str">
        <f t="shared" si="16"/>
        <v>Not reported</v>
      </c>
      <c r="U331" s="1" t="str">
        <f t="shared" si="17"/>
        <v>Not reported</v>
      </c>
    </row>
    <row r="332" spans="1:21" ht="15" customHeight="1">
      <c r="A332" s="1" t="s">
        <v>5369</v>
      </c>
      <c r="B332" s="1" t="s">
        <v>4688</v>
      </c>
      <c r="C332" s="1" t="s">
        <v>4810</v>
      </c>
      <c r="D332" s="1" t="s">
        <v>4811</v>
      </c>
      <c r="E332" s="1">
        <v>0</v>
      </c>
      <c r="F332" s="1">
        <v>0</v>
      </c>
      <c r="G332" s="1">
        <v>0</v>
      </c>
      <c r="H332" s="1" t="s">
        <v>4631</v>
      </c>
      <c r="I332" s="1" t="s">
        <v>12066</v>
      </c>
      <c r="J332" s="1" t="s">
        <v>4747</v>
      </c>
      <c r="K332" s="1"/>
      <c r="L332" s="1"/>
      <c r="M332" s="1"/>
      <c r="N332" s="1"/>
      <c r="O332" s="1"/>
      <c r="P332" s="1" t="s">
        <v>12754</v>
      </c>
      <c r="Q332" s="1" t="s">
        <v>12755</v>
      </c>
      <c r="R332" s="1"/>
      <c r="S332" s="1" t="str">
        <f t="shared" si="15"/>
        <v>Not reported</v>
      </c>
      <c r="T332" s="1" t="str">
        <f t="shared" si="16"/>
        <v>Not reported</v>
      </c>
      <c r="U332" s="1" t="str">
        <f t="shared" si="17"/>
        <v>Not reported</v>
      </c>
    </row>
    <row r="333" spans="1:21" ht="24" customHeight="1">
      <c r="A333" s="1" t="s">
        <v>5369</v>
      </c>
      <c r="B333" s="1" t="s">
        <v>4688</v>
      </c>
      <c r="C333" s="1" t="s">
        <v>4714</v>
      </c>
      <c r="D333" s="1" t="s">
        <v>4715</v>
      </c>
      <c r="E333" s="1">
        <v>2</v>
      </c>
      <c r="F333" s="1">
        <v>2</v>
      </c>
      <c r="G333" s="1">
        <v>2</v>
      </c>
      <c r="H333" s="1" t="s">
        <v>4631</v>
      </c>
      <c r="I333" s="1" t="s">
        <v>12756</v>
      </c>
      <c r="J333" s="1" t="s">
        <v>4862</v>
      </c>
      <c r="K333" s="1"/>
      <c r="L333" s="1"/>
      <c r="M333" s="1"/>
      <c r="N333" s="1"/>
      <c r="O333" s="1"/>
      <c r="P333" s="1" t="s">
        <v>12757</v>
      </c>
      <c r="Q333" s="1" t="s">
        <v>12758</v>
      </c>
      <c r="R333" s="1"/>
      <c r="S333" s="1" t="str">
        <f t="shared" si="15"/>
        <v>Clearly reported</v>
      </c>
      <c r="T333" s="1" t="str">
        <f t="shared" si="16"/>
        <v>Clearly reported</v>
      </c>
      <c r="U333" s="1" t="str">
        <f t="shared" si="17"/>
        <v>Clearly reported</v>
      </c>
    </row>
    <row r="334" spans="1:21" ht="15" customHeight="1">
      <c r="A334" s="1" t="s">
        <v>5369</v>
      </c>
      <c r="B334" s="1" t="s">
        <v>4688</v>
      </c>
      <c r="C334" s="1" t="s">
        <v>4689</v>
      </c>
      <c r="D334" s="1" t="s">
        <v>4690</v>
      </c>
      <c r="E334" s="1">
        <v>2</v>
      </c>
      <c r="F334" s="1">
        <v>2</v>
      </c>
      <c r="G334" s="1">
        <v>2</v>
      </c>
      <c r="H334" s="1" t="s">
        <v>4631</v>
      </c>
      <c r="I334" s="1" t="s">
        <v>10955</v>
      </c>
      <c r="J334" s="1" t="s">
        <v>12759</v>
      </c>
      <c r="K334" s="1"/>
      <c r="L334" s="1"/>
      <c r="M334" s="1"/>
      <c r="N334" s="1"/>
      <c r="O334" s="1"/>
      <c r="P334" s="1" t="s">
        <v>12760</v>
      </c>
      <c r="Q334" s="1" t="s">
        <v>12761</v>
      </c>
      <c r="R334" s="1"/>
      <c r="S334" s="1" t="str">
        <f t="shared" si="15"/>
        <v>Clearly reported</v>
      </c>
      <c r="T334" s="1" t="str">
        <f t="shared" si="16"/>
        <v>Clearly reported</v>
      </c>
      <c r="U334" s="1" t="str">
        <f t="shared" si="17"/>
        <v>Clearly reported</v>
      </c>
    </row>
    <row r="335" spans="1:21" ht="36" customHeight="1">
      <c r="A335" s="1" t="s">
        <v>5389</v>
      </c>
      <c r="B335" s="1" t="s">
        <v>4688</v>
      </c>
      <c r="C335" s="1" t="s">
        <v>5475</v>
      </c>
      <c r="D335" s="1" t="s">
        <v>5476</v>
      </c>
      <c r="E335" s="1">
        <v>2</v>
      </c>
      <c r="F335" s="1">
        <v>2</v>
      </c>
      <c r="G335" s="1">
        <v>2</v>
      </c>
      <c r="H335" s="1" t="s">
        <v>4631</v>
      </c>
      <c r="I335" s="1" t="s">
        <v>12762</v>
      </c>
      <c r="J335" s="1" t="s">
        <v>5005</v>
      </c>
      <c r="K335" s="1"/>
      <c r="L335" s="1"/>
      <c r="M335" s="1"/>
      <c r="N335" s="1"/>
      <c r="O335" s="1"/>
      <c r="P335" s="1" t="s">
        <v>12763</v>
      </c>
      <c r="Q335" s="1" t="s">
        <v>12764</v>
      </c>
      <c r="R335" s="1"/>
      <c r="S335" s="1" t="str">
        <f t="shared" si="15"/>
        <v>Clearly reported</v>
      </c>
      <c r="T335" s="1" t="str">
        <f t="shared" si="16"/>
        <v>Clearly reported</v>
      </c>
      <c r="U335" s="1" t="str">
        <f t="shared" si="17"/>
        <v>Clearly reported</v>
      </c>
    </row>
    <row r="336" spans="1:21" ht="60" customHeight="1">
      <c r="A336" s="1" t="s">
        <v>5389</v>
      </c>
      <c r="B336" s="1" t="s">
        <v>4688</v>
      </c>
      <c r="C336" s="1" t="s">
        <v>5390</v>
      </c>
      <c r="D336" s="1" t="s">
        <v>5391</v>
      </c>
      <c r="E336" s="1">
        <v>2</v>
      </c>
      <c r="F336" s="1">
        <v>1</v>
      </c>
      <c r="G336" s="1">
        <v>1</v>
      </c>
      <c r="H336" s="1" t="s">
        <v>4691</v>
      </c>
      <c r="I336" s="1" t="s">
        <v>5392</v>
      </c>
      <c r="J336" s="1" t="s">
        <v>4788</v>
      </c>
      <c r="K336" s="1"/>
      <c r="L336" s="1" t="s">
        <v>5393</v>
      </c>
      <c r="M336" s="1" t="s">
        <v>5394</v>
      </c>
      <c r="N336" s="1" t="s">
        <v>5395</v>
      </c>
      <c r="O336" s="1" t="s">
        <v>4697</v>
      </c>
      <c r="P336" s="1" t="s">
        <v>5396</v>
      </c>
      <c r="Q336" s="1" t="s">
        <v>5397</v>
      </c>
      <c r="R336" s="1" t="s">
        <v>5398</v>
      </c>
      <c r="S336" s="1" t="str">
        <f t="shared" si="15"/>
        <v>Clearly reported</v>
      </c>
      <c r="T336" s="1" t="str">
        <f t="shared" si="16"/>
        <v>Partly reported</v>
      </c>
      <c r="U336" s="1" t="str">
        <f t="shared" si="17"/>
        <v>Partly reported</v>
      </c>
    </row>
    <row r="337" spans="1:21" ht="60" customHeight="1">
      <c r="A337" s="1" t="s">
        <v>5389</v>
      </c>
      <c r="B337" s="1" t="s">
        <v>4688</v>
      </c>
      <c r="C337" s="1" t="s">
        <v>4734</v>
      </c>
      <c r="D337" s="1" t="s">
        <v>4735</v>
      </c>
      <c r="E337" s="1">
        <v>2</v>
      </c>
      <c r="F337" s="1">
        <v>0</v>
      </c>
      <c r="G337" s="1">
        <v>0</v>
      </c>
      <c r="H337" s="1" t="s">
        <v>4691</v>
      </c>
      <c r="I337" s="1" t="s">
        <v>5399</v>
      </c>
      <c r="J337" s="1" t="s">
        <v>4747</v>
      </c>
      <c r="K337" s="1"/>
      <c r="L337" s="1" t="s">
        <v>5400</v>
      </c>
      <c r="M337" s="1" t="s">
        <v>5401</v>
      </c>
      <c r="N337" s="1" t="s">
        <v>5402</v>
      </c>
      <c r="O337" s="1" t="s">
        <v>4697</v>
      </c>
      <c r="P337" s="1" t="s">
        <v>5403</v>
      </c>
      <c r="Q337" s="1" t="s">
        <v>5404</v>
      </c>
      <c r="R337" s="1" t="s">
        <v>5405</v>
      </c>
      <c r="S337" s="1" t="str">
        <f t="shared" si="15"/>
        <v>Clearly reported</v>
      </c>
      <c r="T337" s="1" t="str">
        <f t="shared" si="16"/>
        <v>Not reported</v>
      </c>
      <c r="U337" s="1" t="str">
        <f t="shared" si="17"/>
        <v>Not reported</v>
      </c>
    </row>
    <row r="338" spans="1:21" ht="15" customHeight="1">
      <c r="A338" s="1" t="s">
        <v>5389</v>
      </c>
      <c r="B338" s="1" t="s">
        <v>4688</v>
      </c>
      <c r="C338" s="1" t="s">
        <v>4893</v>
      </c>
      <c r="D338" s="1" t="s">
        <v>4894</v>
      </c>
      <c r="E338" s="1">
        <v>0</v>
      </c>
      <c r="F338" s="1">
        <v>0</v>
      </c>
      <c r="G338" s="1">
        <v>0</v>
      </c>
      <c r="H338" s="1" t="s">
        <v>4631</v>
      </c>
      <c r="I338" s="1" t="s">
        <v>4747</v>
      </c>
      <c r="J338" s="1" t="s">
        <v>4747</v>
      </c>
      <c r="K338" s="1"/>
      <c r="L338" s="1"/>
      <c r="M338" s="1"/>
      <c r="N338" s="1"/>
      <c r="O338" s="1"/>
      <c r="P338" s="1" t="s">
        <v>12765</v>
      </c>
      <c r="Q338" s="1" t="s">
        <v>12766</v>
      </c>
      <c r="R338" s="1"/>
      <c r="S338" s="1" t="str">
        <f t="shared" si="15"/>
        <v>Not reported</v>
      </c>
      <c r="T338" s="1" t="str">
        <f t="shared" si="16"/>
        <v>Not reported</v>
      </c>
      <c r="U338" s="1" t="str">
        <f t="shared" si="17"/>
        <v>Not reported</v>
      </c>
    </row>
    <row r="339" spans="1:21" ht="48" customHeight="1">
      <c r="A339" s="1" t="s">
        <v>5389</v>
      </c>
      <c r="B339" s="1" t="s">
        <v>4688</v>
      </c>
      <c r="C339" s="1" t="s">
        <v>4744</v>
      </c>
      <c r="D339" s="1" t="s">
        <v>4745</v>
      </c>
      <c r="E339" s="1">
        <v>1</v>
      </c>
      <c r="F339" s="1">
        <v>1</v>
      </c>
      <c r="G339" s="1">
        <v>1</v>
      </c>
      <c r="H339" s="1" t="s">
        <v>4631</v>
      </c>
      <c r="I339" s="1" t="s">
        <v>12767</v>
      </c>
      <c r="J339" s="1" t="s">
        <v>5215</v>
      </c>
      <c r="K339" s="1"/>
      <c r="L339" s="1"/>
      <c r="M339" s="1"/>
      <c r="N339" s="1"/>
      <c r="O339" s="1"/>
      <c r="P339" s="1" t="s">
        <v>12768</v>
      </c>
      <c r="Q339" s="1" t="s">
        <v>12769</v>
      </c>
      <c r="R339" s="1"/>
      <c r="S339" s="1" t="str">
        <f t="shared" si="15"/>
        <v>Partly reported</v>
      </c>
      <c r="T339" s="1" t="str">
        <f t="shared" si="16"/>
        <v>Partly reported</v>
      </c>
      <c r="U339" s="1" t="str">
        <f t="shared" si="17"/>
        <v>Partly reported</v>
      </c>
    </row>
    <row r="340" spans="1:21" ht="72" customHeight="1">
      <c r="A340" s="1" t="s">
        <v>5389</v>
      </c>
      <c r="B340" s="1" t="s">
        <v>4688</v>
      </c>
      <c r="C340" s="1" t="s">
        <v>5117</v>
      </c>
      <c r="D340" s="1" t="s">
        <v>5118</v>
      </c>
      <c r="E340" s="1">
        <v>2</v>
      </c>
      <c r="F340" s="1">
        <v>0</v>
      </c>
      <c r="G340" s="1">
        <v>1</v>
      </c>
      <c r="H340" s="1" t="s">
        <v>4691</v>
      </c>
      <c r="I340" s="1" t="s">
        <v>5406</v>
      </c>
      <c r="J340" s="1" t="s">
        <v>4747</v>
      </c>
      <c r="K340" s="1"/>
      <c r="L340" s="1" t="s">
        <v>5407</v>
      </c>
      <c r="M340" s="1" t="s">
        <v>5408</v>
      </c>
      <c r="N340" s="1" t="s">
        <v>5409</v>
      </c>
      <c r="O340" s="1" t="s">
        <v>4697</v>
      </c>
      <c r="P340" s="1" t="s">
        <v>5410</v>
      </c>
      <c r="Q340" s="1" t="s">
        <v>5411</v>
      </c>
      <c r="R340" s="1" t="s">
        <v>5412</v>
      </c>
      <c r="S340" s="1" t="str">
        <f t="shared" si="15"/>
        <v>Clearly reported</v>
      </c>
      <c r="T340" s="1" t="str">
        <f t="shared" si="16"/>
        <v>Not reported</v>
      </c>
      <c r="U340" s="1" t="str">
        <f t="shared" si="17"/>
        <v>Partly reported</v>
      </c>
    </row>
    <row r="341" spans="1:21" ht="15" customHeight="1">
      <c r="A341" s="1" t="s">
        <v>5389</v>
      </c>
      <c r="B341" s="1" t="s">
        <v>4688</v>
      </c>
      <c r="C341" s="1" t="s">
        <v>4810</v>
      </c>
      <c r="D341" s="1" t="s">
        <v>4811</v>
      </c>
      <c r="E341" s="1">
        <v>0</v>
      </c>
      <c r="F341" s="1">
        <v>0</v>
      </c>
      <c r="G341" s="1">
        <v>0</v>
      </c>
      <c r="H341" s="1" t="s">
        <v>4631</v>
      </c>
      <c r="I341" s="1" t="s">
        <v>12066</v>
      </c>
      <c r="J341" s="1" t="s">
        <v>4747</v>
      </c>
      <c r="K341" s="1"/>
      <c r="L341" s="1"/>
      <c r="M341" s="1"/>
      <c r="N341" s="1"/>
      <c r="O341" s="1"/>
      <c r="P341" s="1" t="s">
        <v>12770</v>
      </c>
      <c r="Q341" s="1" t="s">
        <v>12771</v>
      </c>
      <c r="R341" s="1"/>
      <c r="S341" s="1" t="str">
        <f t="shared" si="15"/>
        <v>Not reported</v>
      </c>
      <c r="T341" s="1" t="str">
        <f t="shared" si="16"/>
        <v>Not reported</v>
      </c>
      <c r="U341" s="1" t="str">
        <f t="shared" si="17"/>
        <v>Not reported</v>
      </c>
    </row>
    <row r="342" spans="1:21" ht="48" customHeight="1">
      <c r="A342" s="1" t="s">
        <v>5389</v>
      </c>
      <c r="B342" s="1" t="s">
        <v>4688</v>
      </c>
      <c r="C342" s="1" t="s">
        <v>4714</v>
      </c>
      <c r="D342" s="1" t="s">
        <v>4715</v>
      </c>
      <c r="E342" s="1">
        <v>2</v>
      </c>
      <c r="F342" s="1">
        <v>2</v>
      </c>
      <c r="G342" s="1">
        <v>2</v>
      </c>
      <c r="H342" s="1" t="s">
        <v>4631</v>
      </c>
      <c r="I342" s="1" t="s">
        <v>12772</v>
      </c>
      <c r="J342" s="1" t="s">
        <v>4959</v>
      </c>
      <c r="K342" s="1"/>
      <c r="L342" s="1"/>
      <c r="M342" s="1"/>
      <c r="N342" s="1"/>
      <c r="O342" s="1"/>
      <c r="P342" s="1" t="s">
        <v>12773</v>
      </c>
      <c r="Q342" s="1" t="s">
        <v>12774</v>
      </c>
      <c r="R342" s="1"/>
      <c r="S342" s="1" t="str">
        <f t="shared" si="15"/>
        <v>Clearly reported</v>
      </c>
      <c r="T342" s="1" t="str">
        <f t="shared" si="16"/>
        <v>Clearly reported</v>
      </c>
      <c r="U342" s="1" t="str">
        <f t="shared" si="17"/>
        <v>Clearly reported</v>
      </c>
    </row>
    <row r="343" spans="1:21" ht="15" customHeight="1">
      <c r="A343" s="1" t="s">
        <v>5389</v>
      </c>
      <c r="B343" s="1" t="s">
        <v>4688</v>
      </c>
      <c r="C343" s="1" t="s">
        <v>4689</v>
      </c>
      <c r="D343" s="1" t="s">
        <v>4690</v>
      </c>
      <c r="E343" s="1">
        <v>2</v>
      </c>
      <c r="F343" s="1">
        <v>2</v>
      </c>
      <c r="G343" s="1">
        <v>2</v>
      </c>
      <c r="H343" s="1" t="s">
        <v>4631</v>
      </c>
      <c r="I343" s="1" t="s">
        <v>11072</v>
      </c>
      <c r="J343" s="1" t="s">
        <v>4862</v>
      </c>
      <c r="K343" s="1"/>
      <c r="L343" s="1"/>
      <c r="M343" s="1"/>
      <c r="N343" s="1"/>
      <c r="O343" s="1"/>
      <c r="P343" s="1" t="s">
        <v>12775</v>
      </c>
      <c r="Q343" s="1" t="s">
        <v>12776</v>
      </c>
      <c r="R343" s="1"/>
      <c r="S343" s="1" t="str">
        <f t="shared" si="15"/>
        <v>Clearly reported</v>
      </c>
      <c r="T343" s="1" t="str">
        <f t="shared" si="16"/>
        <v>Clearly reported</v>
      </c>
      <c r="U343" s="1" t="str">
        <f t="shared" si="17"/>
        <v>Clearly reported</v>
      </c>
    </row>
    <row r="344" spans="1:21" ht="36" customHeight="1">
      <c r="A344" s="1" t="s">
        <v>5413</v>
      </c>
      <c r="B344" s="1" t="s">
        <v>4688</v>
      </c>
      <c r="C344" s="1" t="s">
        <v>5475</v>
      </c>
      <c r="D344" s="1" t="s">
        <v>5476</v>
      </c>
      <c r="E344" s="1">
        <v>2</v>
      </c>
      <c r="F344" s="1">
        <v>2</v>
      </c>
      <c r="G344" s="1">
        <v>2</v>
      </c>
      <c r="H344" s="1" t="s">
        <v>4631</v>
      </c>
      <c r="I344" s="1" t="s">
        <v>12777</v>
      </c>
      <c r="J344" s="1" t="s">
        <v>5215</v>
      </c>
      <c r="K344" s="1"/>
      <c r="L344" s="1"/>
      <c r="M344" s="1"/>
      <c r="N344" s="1"/>
      <c r="O344" s="1"/>
      <c r="P344" s="1" t="s">
        <v>12778</v>
      </c>
      <c r="Q344" s="1" t="s">
        <v>12779</v>
      </c>
      <c r="R344" s="1"/>
      <c r="S344" s="1" t="str">
        <f t="shared" si="15"/>
        <v>Clearly reported</v>
      </c>
      <c r="T344" s="1" t="str">
        <f t="shared" si="16"/>
        <v>Clearly reported</v>
      </c>
      <c r="U344" s="1" t="str">
        <f t="shared" si="17"/>
        <v>Clearly reported</v>
      </c>
    </row>
    <row r="345" spans="1:21" ht="24" customHeight="1">
      <c r="A345" s="1" t="s">
        <v>5413</v>
      </c>
      <c r="B345" s="1" t="s">
        <v>4688</v>
      </c>
      <c r="C345" s="1" t="s">
        <v>5390</v>
      </c>
      <c r="D345" s="1" t="s">
        <v>5391</v>
      </c>
      <c r="E345" s="1">
        <v>2</v>
      </c>
      <c r="F345" s="1">
        <v>2</v>
      </c>
      <c r="G345" s="1">
        <v>2</v>
      </c>
      <c r="H345" s="1" t="s">
        <v>4631</v>
      </c>
      <c r="I345" s="1" t="s">
        <v>12780</v>
      </c>
      <c r="J345" s="1" t="s">
        <v>5215</v>
      </c>
      <c r="K345" s="1"/>
      <c r="L345" s="1"/>
      <c r="M345" s="1"/>
      <c r="N345" s="1"/>
      <c r="O345" s="1"/>
      <c r="P345" s="1" t="s">
        <v>12781</v>
      </c>
      <c r="Q345" s="1" t="s">
        <v>12782</v>
      </c>
      <c r="R345" s="1"/>
      <c r="S345" s="1" t="str">
        <f t="shared" si="15"/>
        <v>Clearly reported</v>
      </c>
      <c r="T345" s="1" t="str">
        <f t="shared" si="16"/>
        <v>Clearly reported</v>
      </c>
      <c r="U345" s="1" t="str">
        <f t="shared" si="17"/>
        <v>Clearly reported</v>
      </c>
    </row>
    <row r="346" spans="1:21" ht="15" customHeight="1">
      <c r="A346" s="1" t="s">
        <v>5413</v>
      </c>
      <c r="B346" s="1" t="s">
        <v>4688</v>
      </c>
      <c r="C346" s="1" t="s">
        <v>4734</v>
      </c>
      <c r="D346" s="1" t="s">
        <v>4735</v>
      </c>
      <c r="E346" s="1">
        <v>0</v>
      </c>
      <c r="F346" s="1">
        <v>0</v>
      </c>
      <c r="G346" s="1">
        <v>0</v>
      </c>
      <c r="H346" s="1" t="s">
        <v>4631</v>
      </c>
      <c r="I346" s="1" t="s">
        <v>4747</v>
      </c>
      <c r="J346" s="1" t="s">
        <v>4747</v>
      </c>
      <c r="K346" s="1"/>
      <c r="L346" s="1"/>
      <c r="M346" s="1"/>
      <c r="N346" s="1"/>
      <c r="O346" s="1"/>
      <c r="P346" s="1" t="s">
        <v>12783</v>
      </c>
      <c r="Q346" s="1" t="s">
        <v>12784</v>
      </c>
      <c r="R346" s="1"/>
      <c r="S346" s="1" t="str">
        <f t="shared" si="15"/>
        <v>Not reported</v>
      </c>
      <c r="T346" s="1" t="str">
        <f t="shared" si="16"/>
        <v>Not reported</v>
      </c>
      <c r="U346" s="1" t="str">
        <f t="shared" si="17"/>
        <v>Not reported</v>
      </c>
    </row>
    <row r="347" spans="1:21" ht="15" customHeight="1">
      <c r="A347" s="1" t="s">
        <v>5413</v>
      </c>
      <c r="B347" s="1" t="s">
        <v>4688</v>
      </c>
      <c r="C347" s="1" t="s">
        <v>4893</v>
      </c>
      <c r="D347" s="1" t="s">
        <v>4894</v>
      </c>
      <c r="E347" s="1">
        <v>0</v>
      </c>
      <c r="F347" s="1">
        <v>0</v>
      </c>
      <c r="G347" s="1">
        <v>0</v>
      </c>
      <c r="H347" s="1" t="s">
        <v>4631</v>
      </c>
      <c r="I347" s="1" t="s">
        <v>4747</v>
      </c>
      <c r="J347" s="1" t="s">
        <v>4747</v>
      </c>
      <c r="K347" s="1"/>
      <c r="L347" s="1"/>
      <c r="M347" s="1"/>
      <c r="N347" s="1"/>
      <c r="O347" s="1"/>
      <c r="P347" s="1" t="s">
        <v>12785</v>
      </c>
      <c r="Q347" s="1" t="s">
        <v>12786</v>
      </c>
      <c r="R347" s="1"/>
      <c r="S347" s="1" t="str">
        <f t="shared" si="15"/>
        <v>Not reported</v>
      </c>
      <c r="T347" s="1" t="str">
        <f t="shared" si="16"/>
        <v>Not reported</v>
      </c>
      <c r="U347" s="1" t="str">
        <f t="shared" si="17"/>
        <v>Not reported</v>
      </c>
    </row>
    <row r="348" spans="1:21" ht="72" customHeight="1">
      <c r="A348" s="1" t="s">
        <v>5413</v>
      </c>
      <c r="B348" s="1" t="s">
        <v>4688</v>
      </c>
      <c r="C348" s="1" t="s">
        <v>4744</v>
      </c>
      <c r="D348" s="1" t="s">
        <v>4745</v>
      </c>
      <c r="E348" s="1">
        <v>2</v>
      </c>
      <c r="F348" s="1">
        <v>0</v>
      </c>
      <c r="G348" s="1">
        <v>1</v>
      </c>
      <c r="H348" s="1" t="s">
        <v>4691</v>
      </c>
      <c r="I348" s="1" t="s">
        <v>5422</v>
      </c>
      <c r="J348" s="1" t="s">
        <v>4747</v>
      </c>
      <c r="K348" s="1"/>
      <c r="L348" s="1" t="s">
        <v>5423</v>
      </c>
      <c r="M348" s="1" t="s">
        <v>5424</v>
      </c>
      <c r="N348" s="1" t="s">
        <v>5425</v>
      </c>
      <c r="O348" s="1" t="s">
        <v>4697</v>
      </c>
      <c r="P348" s="1" t="s">
        <v>5426</v>
      </c>
      <c r="Q348" s="1" t="s">
        <v>5427</v>
      </c>
      <c r="R348" s="1" t="s">
        <v>5428</v>
      </c>
      <c r="S348" s="1" t="str">
        <f t="shared" si="15"/>
        <v>Clearly reported</v>
      </c>
      <c r="T348" s="1" t="str">
        <f t="shared" si="16"/>
        <v>Not reported</v>
      </c>
      <c r="U348" s="1" t="str">
        <f t="shared" si="17"/>
        <v>Partly reported</v>
      </c>
    </row>
    <row r="349" spans="1:21" ht="15" customHeight="1">
      <c r="A349" s="1" t="s">
        <v>5413</v>
      </c>
      <c r="B349" s="1" t="s">
        <v>4688</v>
      </c>
      <c r="C349" s="1" t="s">
        <v>5117</v>
      </c>
      <c r="D349" s="1" t="s">
        <v>5118</v>
      </c>
      <c r="E349" s="1">
        <v>0</v>
      </c>
      <c r="F349" s="1">
        <v>0</v>
      </c>
      <c r="G349" s="1">
        <v>0</v>
      </c>
      <c r="H349" s="1" t="s">
        <v>4631</v>
      </c>
      <c r="I349" s="1" t="s">
        <v>4763</v>
      </c>
      <c r="J349" s="1" t="s">
        <v>4747</v>
      </c>
      <c r="K349" s="1"/>
      <c r="L349" s="1"/>
      <c r="M349" s="1"/>
      <c r="N349" s="1"/>
      <c r="O349" s="1"/>
      <c r="P349" s="1" t="s">
        <v>12787</v>
      </c>
      <c r="Q349" s="1" t="s">
        <v>12788</v>
      </c>
      <c r="R349" s="1"/>
      <c r="S349" s="1" t="str">
        <f t="shared" si="15"/>
        <v>Not reported</v>
      </c>
      <c r="T349" s="1" t="str">
        <f t="shared" si="16"/>
        <v>Not reported</v>
      </c>
      <c r="U349" s="1" t="str">
        <f t="shared" si="17"/>
        <v>Not reported</v>
      </c>
    </row>
    <row r="350" spans="1:21" ht="15" customHeight="1">
      <c r="A350" s="1" t="s">
        <v>5413</v>
      </c>
      <c r="B350" s="1" t="s">
        <v>4688</v>
      </c>
      <c r="C350" s="1" t="s">
        <v>4810</v>
      </c>
      <c r="D350" s="1" t="s">
        <v>4811</v>
      </c>
      <c r="E350" s="1">
        <v>0</v>
      </c>
      <c r="F350" s="1">
        <v>0</v>
      </c>
      <c r="G350" s="1">
        <v>0</v>
      </c>
      <c r="H350" s="1" t="s">
        <v>4631</v>
      </c>
      <c r="I350" s="1" t="s">
        <v>12066</v>
      </c>
      <c r="J350" s="1" t="s">
        <v>4747</v>
      </c>
      <c r="K350" s="1"/>
      <c r="L350" s="1"/>
      <c r="M350" s="1"/>
      <c r="N350" s="1"/>
      <c r="O350" s="1"/>
      <c r="P350" s="1" t="s">
        <v>12789</v>
      </c>
      <c r="Q350" s="1" t="s">
        <v>12790</v>
      </c>
      <c r="R350" s="1"/>
      <c r="S350" s="1" t="str">
        <f t="shared" si="15"/>
        <v>Not reported</v>
      </c>
      <c r="T350" s="1" t="str">
        <f t="shared" si="16"/>
        <v>Not reported</v>
      </c>
      <c r="U350" s="1" t="str">
        <f t="shared" si="17"/>
        <v>Not reported</v>
      </c>
    </row>
    <row r="351" spans="1:21" ht="36" customHeight="1">
      <c r="A351" s="1" t="s">
        <v>5413</v>
      </c>
      <c r="B351" s="1" t="s">
        <v>4688</v>
      </c>
      <c r="C351" s="1" t="s">
        <v>4714</v>
      </c>
      <c r="D351" s="1" t="s">
        <v>4715</v>
      </c>
      <c r="E351" s="1">
        <v>2</v>
      </c>
      <c r="F351" s="1">
        <v>2</v>
      </c>
      <c r="G351" s="1">
        <v>2</v>
      </c>
      <c r="H351" s="1" t="s">
        <v>4631</v>
      </c>
      <c r="I351" s="1" t="s">
        <v>12791</v>
      </c>
      <c r="J351" s="1" t="s">
        <v>5215</v>
      </c>
      <c r="K351" s="1"/>
      <c r="L351" s="1"/>
      <c r="M351" s="1"/>
      <c r="N351" s="1"/>
      <c r="O351" s="1"/>
      <c r="P351" s="1" t="s">
        <v>12792</v>
      </c>
      <c r="Q351" s="1" t="s">
        <v>12793</v>
      </c>
      <c r="R351" s="1"/>
      <c r="S351" s="1" t="str">
        <f t="shared" si="15"/>
        <v>Clearly reported</v>
      </c>
      <c r="T351" s="1" t="str">
        <f t="shared" si="16"/>
        <v>Clearly reported</v>
      </c>
      <c r="U351" s="1" t="str">
        <f t="shared" si="17"/>
        <v>Clearly reported</v>
      </c>
    </row>
    <row r="352" spans="1:21" ht="24" customHeight="1">
      <c r="A352" s="1" t="s">
        <v>5413</v>
      </c>
      <c r="B352" s="1" t="s">
        <v>4688</v>
      </c>
      <c r="C352" s="1" t="s">
        <v>4689</v>
      </c>
      <c r="D352" s="1" t="s">
        <v>4690</v>
      </c>
      <c r="E352" s="1">
        <v>1</v>
      </c>
      <c r="F352" s="1">
        <v>1</v>
      </c>
      <c r="G352" s="1">
        <v>1</v>
      </c>
      <c r="H352" s="1" t="s">
        <v>4631</v>
      </c>
      <c r="I352" s="1" t="s">
        <v>11199</v>
      </c>
      <c r="J352" s="1" t="s">
        <v>4959</v>
      </c>
      <c r="K352" s="1"/>
      <c r="L352" s="1"/>
      <c r="M352" s="1"/>
      <c r="N352" s="1"/>
      <c r="O352" s="1"/>
      <c r="P352" s="1" t="s">
        <v>12794</v>
      </c>
      <c r="Q352" s="1" t="s">
        <v>12795</v>
      </c>
      <c r="R352" s="1"/>
      <c r="S352" s="1" t="str">
        <f t="shared" si="15"/>
        <v>Partly reported</v>
      </c>
      <c r="T352" s="1" t="str">
        <f t="shared" si="16"/>
        <v>Partly reported</v>
      </c>
      <c r="U352" s="1" t="str">
        <f t="shared" si="17"/>
        <v>Partly reported</v>
      </c>
    </row>
    <row r="353" spans="1:21" ht="48" customHeight="1">
      <c r="A353" s="1" t="s">
        <v>5465</v>
      </c>
      <c r="B353" s="1">
        <v>6</v>
      </c>
      <c r="C353" s="1" t="s">
        <v>5475</v>
      </c>
      <c r="D353" s="1" t="s">
        <v>5476</v>
      </c>
      <c r="E353" s="1"/>
      <c r="F353" s="1"/>
      <c r="G353" s="1">
        <v>2</v>
      </c>
      <c r="H353" s="1" t="s">
        <v>4691</v>
      </c>
      <c r="I353" s="1"/>
      <c r="J353" s="1"/>
      <c r="K353" s="1"/>
      <c r="L353" s="1" t="s">
        <v>5477</v>
      </c>
      <c r="M353" s="1" t="s">
        <v>5478</v>
      </c>
      <c r="N353" s="1" t="s">
        <v>11893</v>
      </c>
      <c r="O353" s="1" t="s">
        <v>5461</v>
      </c>
      <c r="P353" s="1"/>
      <c r="Q353" s="1"/>
      <c r="R353" s="1" t="s">
        <v>12796</v>
      </c>
      <c r="S353" s="1" t="s">
        <v>12797</v>
      </c>
      <c r="T353" s="1" t="s">
        <v>12797</v>
      </c>
      <c r="U353" s="1" t="s">
        <v>12798</v>
      </c>
    </row>
    <row r="354" spans="1:21" ht="48" customHeight="1">
      <c r="A354" s="1" t="s">
        <v>5465</v>
      </c>
      <c r="B354" s="1">
        <v>6</v>
      </c>
      <c r="C354" s="1" t="s">
        <v>5390</v>
      </c>
      <c r="D354" s="1" t="s">
        <v>5391</v>
      </c>
      <c r="E354" s="1"/>
      <c r="F354" s="1"/>
      <c r="G354" s="1">
        <v>2</v>
      </c>
      <c r="H354" s="1" t="s">
        <v>4691</v>
      </c>
      <c r="I354" s="1"/>
      <c r="J354" s="1"/>
      <c r="K354" s="1"/>
      <c r="L354" s="1" t="s">
        <v>5480</v>
      </c>
      <c r="M354" s="1" t="s">
        <v>5481</v>
      </c>
      <c r="N354" s="1" t="s">
        <v>11893</v>
      </c>
      <c r="O354" s="1" t="s">
        <v>5461</v>
      </c>
      <c r="P354" s="1"/>
      <c r="Q354" s="1"/>
      <c r="R354" s="1" t="s">
        <v>12799</v>
      </c>
      <c r="S354" s="1" t="s">
        <v>12797</v>
      </c>
      <c r="T354" s="1" t="s">
        <v>12797</v>
      </c>
      <c r="U354" s="1" t="s">
        <v>12798</v>
      </c>
    </row>
    <row r="355" spans="1:21" ht="48" customHeight="1">
      <c r="A355" s="1" t="s">
        <v>5465</v>
      </c>
      <c r="B355" s="1">
        <v>6</v>
      </c>
      <c r="C355" s="1" t="s">
        <v>4734</v>
      </c>
      <c r="D355" s="1" t="s">
        <v>4735</v>
      </c>
      <c r="E355" s="1"/>
      <c r="F355" s="1"/>
      <c r="G355" s="1">
        <v>2</v>
      </c>
      <c r="H355" s="1" t="s">
        <v>4691</v>
      </c>
      <c r="I355" s="1"/>
      <c r="J355" s="1"/>
      <c r="K355" s="1"/>
      <c r="L355" s="1" t="s">
        <v>5483</v>
      </c>
      <c r="M355" s="1" t="s">
        <v>5484</v>
      </c>
      <c r="N355" s="1" t="s">
        <v>11893</v>
      </c>
      <c r="O355" s="1" t="s">
        <v>5461</v>
      </c>
      <c r="P355" s="1"/>
      <c r="Q355" s="1"/>
      <c r="R355" s="1" t="s">
        <v>12800</v>
      </c>
      <c r="S355" s="1" t="s">
        <v>12797</v>
      </c>
      <c r="T355" s="1" t="s">
        <v>12797</v>
      </c>
      <c r="U355" s="1" t="s">
        <v>12798</v>
      </c>
    </row>
    <row r="356" spans="1:21" ht="48" customHeight="1">
      <c r="A356" s="1" t="s">
        <v>5465</v>
      </c>
      <c r="B356" s="1">
        <v>6</v>
      </c>
      <c r="C356" s="1" t="s">
        <v>4893</v>
      </c>
      <c r="D356" s="1" t="s">
        <v>4894</v>
      </c>
      <c r="E356" s="1"/>
      <c r="F356" s="1"/>
      <c r="G356" s="1">
        <v>2</v>
      </c>
      <c r="H356" s="1" t="s">
        <v>4691</v>
      </c>
      <c r="I356" s="1"/>
      <c r="J356" s="1"/>
      <c r="K356" s="1"/>
      <c r="L356" s="1" t="s">
        <v>5486</v>
      </c>
      <c r="M356" s="1" t="s">
        <v>5487</v>
      </c>
      <c r="N356" s="1" t="s">
        <v>11893</v>
      </c>
      <c r="O356" s="1" t="s">
        <v>5461</v>
      </c>
      <c r="P356" s="1"/>
      <c r="Q356" s="1"/>
      <c r="R356" s="1" t="s">
        <v>12801</v>
      </c>
      <c r="S356" s="1" t="s">
        <v>12797</v>
      </c>
      <c r="T356" s="1" t="s">
        <v>12797</v>
      </c>
      <c r="U356" s="1" t="s">
        <v>12798</v>
      </c>
    </row>
    <row r="357" spans="1:21" ht="48" customHeight="1">
      <c r="A357" s="1" t="s">
        <v>5465</v>
      </c>
      <c r="B357" s="1">
        <v>6</v>
      </c>
      <c r="C357" s="1" t="s">
        <v>4744</v>
      </c>
      <c r="D357" s="1" t="s">
        <v>4745</v>
      </c>
      <c r="E357" s="1"/>
      <c r="F357" s="1"/>
      <c r="G357" s="1">
        <v>2</v>
      </c>
      <c r="H357" s="1" t="s">
        <v>4691</v>
      </c>
      <c r="I357" s="1"/>
      <c r="J357" s="1"/>
      <c r="K357" s="1"/>
      <c r="L357" s="1" t="s">
        <v>5489</v>
      </c>
      <c r="M357" s="1" t="s">
        <v>5490</v>
      </c>
      <c r="N357" s="1" t="s">
        <v>11893</v>
      </c>
      <c r="O357" s="1" t="s">
        <v>5461</v>
      </c>
      <c r="P357" s="1"/>
      <c r="Q357" s="1"/>
      <c r="R357" s="1" t="s">
        <v>12802</v>
      </c>
      <c r="S357" s="1" t="s">
        <v>12797</v>
      </c>
      <c r="T357" s="1" t="s">
        <v>12797</v>
      </c>
      <c r="U357" s="1" t="s">
        <v>12798</v>
      </c>
    </row>
    <row r="358" spans="1:21" ht="48" customHeight="1">
      <c r="A358" s="1" t="s">
        <v>5465</v>
      </c>
      <c r="B358" s="1">
        <v>6</v>
      </c>
      <c r="C358" s="1" t="s">
        <v>5117</v>
      </c>
      <c r="D358" s="1" t="s">
        <v>5118</v>
      </c>
      <c r="E358" s="1"/>
      <c r="F358" s="1"/>
      <c r="G358" s="1">
        <v>2</v>
      </c>
      <c r="H358" s="1" t="s">
        <v>4691</v>
      </c>
      <c r="I358" s="1"/>
      <c r="J358" s="1"/>
      <c r="K358" s="1"/>
      <c r="L358" s="1" t="s">
        <v>5492</v>
      </c>
      <c r="M358" s="1" t="s">
        <v>5493</v>
      </c>
      <c r="N358" s="1" t="s">
        <v>11893</v>
      </c>
      <c r="O358" s="1" t="s">
        <v>5461</v>
      </c>
      <c r="P358" s="1"/>
      <c r="Q358" s="1"/>
      <c r="R358" s="1" t="s">
        <v>12803</v>
      </c>
      <c r="S358" s="1" t="s">
        <v>12797</v>
      </c>
      <c r="T358" s="1" t="s">
        <v>12797</v>
      </c>
      <c r="U358" s="1" t="s">
        <v>12798</v>
      </c>
    </row>
    <row r="359" spans="1:21" ht="48" customHeight="1">
      <c r="A359" s="1" t="s">
        <v>5465</v>
      </c>
      <c r="B359" s="1">
        <v>6</v>
      </c>
      <c r="C359" s="1" t="s">
        <v>4810</v>
      </c>
      <c r="D359" s="1" t="s">
        <v>4811</v>
      </c>
      <c r="E359" s="1"/>
      <c r="F359" s="1"/>
      <c r="G359" s="1">
        <v>2</v>
      </c>
      <c r="H359" s="1" t="s">
        <v>4691</v>
      </c>
      <c r="I359" s="1"/>
      <c r="J359" s="1"/>
      <c r="K359" s="1"/>
      <c r="L359" s="1" t="s">
        <v>5495</v>
      </c>
      <c r="M359" s="1" t="s">
        <v>5496</v>
      </c>
      <c r="N359" s="1" t="s">
        <v>11893</v>
      </c>
      <c r="O359" s="1" t="s">
        <v>5461</v>
      </c>
      <c r="P359" s="1"/>
      <c r="Q359" s="1"/>
      <c r="R359" s="1" t="s">
        <v>12804</v>
      </c>
      <c r="S359" s="1" t="s">
        <v>12797</v>
      </c>
      <c r="T359" s="1" t="s">
        <v>12797</v>
      </c>
      <c r="U359" s="1" t="s">
        <v>12798</v>
      </c>
    </row>
    <row r="360" spans="1:21" ht="48" customHeight="1">
      <c r="A360" s="1" t="s">
        <v>5465</v>
      </c>
      <c r="B360" s="1">
        <v>6</v>
      </c>
      <c r="C360" s="1" t="s">
        <v>4714</v>
      </c>
      <c r="D360" s="1" t="s">
        <v>4715</v>
      </c>
      <c r="E360" s="1"/>
      <c r="F360" s="1"/>
      <c r="G360" s="1">
        <v>1</v>
      </c>
      <c r="H360" s="1" t="s">
        <v>4691</v>
      </c>
      <c r="I360" s="1"/>
      <c r="J360" s="1"/>
      <c r="K360" s="1"/>
      <c r="L360" s="1" t="s">
        <v>5498</v>
      </c>
      <c r="M360" s="1" t="s">
        <v>5499</v>
      </c>
      <c r="N360" s="1" t="s">
        <v>11893</v>
      </c>
      <c r="O360" s="1" t="s">
        <v>5461</v>
      </c>
      <c r="P360" s="1"/>
      <c r="Q360" s="1"/>
      <c r="R360" s="1" t="s">
        <v>12805</v>
      </c>
      <c r="S360" s="1" t="s">
        <v>12797</v>
      </c>
      <c r="T360" s="1" t="s">
        <v>12797</v>
      </c>
      <c r="U360" s="1" t="s">
        <v>12806</v>
      </c>
    </row>
    <row r="361" spans="1:21" ht="48" customHeight="1">
      <c r="A361" s="1" t="s">
        <v>5465</v>
      </c>
      <c r="B361" s="1">
        <v>6</v>
      </c>
      <c r="C361" s="1" t="s">
        <v>4689</v>
      </c>
      <c r="D361" s="1" t="s">
        <v>4690</v>
      </c>
      <c r="E361" s="1"/>
      <c r="F361" s="1"/>
      <c r="G361" s="1">
        <v>0</v>
      </c>
      <c r="H361" s="1" t="s">
        <v>4691</v>
      </c>
      <c r="I361" s="1"/>
      <c r="J361" s="1"/>
      <c r="K361" s="1"/>
      <c r="L361" s="1" t="s">
        <v>5501</v>
      </c>
      <c r="M361" s="1" t="s">
        <v>5502</v>
      </c>
      <c r="N361" s="1" t="s">
        <v>11893</v>
      </c>
      <c r="O361" s="1" t="s">
        <v>5461</v>
      </c>
      <c r="P361" s="1"/>
      <c r="Q361" s="1"/>
      <c r="R361" s="1" t="s">
        <v>12807</v>
      </c>
      <c r="S361" s="1" t="s">
        <v>12797</v>
      </c>
      <c r="T361" s="1" t="s">
        <v>12797</v>
      </c>
      <c r="U361" s="1" t="s">
        <v>4747</v>
      </c>
    </row>
    <row r="362" spans="1:21" ht="48" customHeight="1">
      <c r="A362" s="1" t="s">
        <v>5504</v>
      </c>
      <c r="B362" s="1">
        <v>6</v>
      </c>
      <c r="C362" s="1" t="s">
        <v>5475</v>
      </c>
      <c r="D362" s="1" t="s">
        <v>5476</v>
      </c>
      <c r="E362" s="1"/>
      <c r="F362" s="1"/>
      <c r="G362" s="1">
        <v>2</v>
      </c>
      <c r="H362" s="1" t="s">
        <v>4691</v>
      </c>
      <c r="I362" s="1"/>
      <c r="J362" s="1"/>
      <c r="K362" s="1"/>
      <c r="L362" s="1" t="s">
        <v>5511</v>
      </c>
      <c r="M362" s="1" t="s">
        <v>5512</v>
      </c>
      <c r="N362" s="1" t="s">
        <v>11893</v>
      </c>
      <c r="O362" s="1" t="s">
        <v>5461</v>
      </c>
      <c r="P362" s="1"/>
      <c r="Q362" s="1"/>
      <c r="R362" s="1" t="s">
        <v>12808</v>
      </c>
      <c r="S362" s="1" t="s">
        <v>12797</v>
      </c>
      <c r="T362" s="1" t="s">
        <v>12797</v>
      </c>
      <c r="U362" s="1" t="s">
        <v>12798</v>
      </c>
    </row>
    <row r="363" spans="1:21" ht="48" customHeight="1">
      <c r="A363" s="1" t="s">
        <v>5504</v>
      </c>
      <c r="B363" s="1">
        <v>6</v>
      </c>
      <c r="C363" s="1" t="s">
        <v>5390</v>
      </c>
      <c r="D363" s="1" t="s">
        <v>5391</v>
      </c>
      <c r="E363" s="1"/>
      <c r="F363" s="1"/>
      <c r="G363" s="1">
        <v>2</v>
      </c>
      <c r="H363" s="1" t="s">
        <v>4691</v>
      </c>
      <c r="I363" s="1"/>
      <c r="J363" s="1"/>
      <c r="K363" s="1"/>
      <c r="L363" s="1" t="s">
        <v>5514</v>
      </c>
      <c r="M363" s="1" t="s">
        <v>5515</v>
      </c>
      <c r="N363" s="1" t="s">
        <v>11893</v>
      </c>
      <c r="O363" s="1" t="s">
        <v>5461</v>
      </c>
      <c r="P363" s="1"/>
      <c r="Q363" s="1"/>
      <c r="R363" s="1" t="s">
        <v>12809</v>
      </c>
      <c r="S363" s="1" t="s">
        <v>12797</v>
      </c>
      <c r="T363" s="1" t="s">
        <v>12797</v>
      </c>
      <c r="U363" s="1" t="s">
        <v>12798</v>
      </c>
    </row>
    <row r="364" spans="1:21" ht="48" customHeight="1">
      <c r="A364" s="1" t="s">
        <v>5504</v>
      </c>
      <c r="B364" s="1">
        <v>6</v>
      </c>
      <c r="C364" s="1" t="s">
        <v>4734</v>
      </c>
      <c r="D364" s="1" t="s">
        <v>4735</v>
      </c>
      <c r="E364" s="1"/>
      <c r="F364" s="1"/>
      <c r="G364" s="1">
        <v>2</v>
      </c>
      <c r="H364" s="1" t="s">
        <v>4691</v>
      </c>
      <c r="I364" s="1"/>
      <c r="J364" s="1"/>
      <c r="K364" s="1"/>
      <c r="L364" s="1" t="s">
        <v>5517</v>
      </c>
      <c r="M364" s="1" t="s">
        <v>5518</v>
      </c>
      <c r="N364" s="1" t="s">
        <v>11893</v>
      </c>
      <c r="O364" s="1" t="s">
        <v>5461</v>
      </c>
      <c r="P364" s="1"/>
      <c r="Q364" s="1"/>
      <c r="R364" s="1" t="s">
        <v>12810</v>
      </c>
      <c r="S364" s="1" t="s">
        <v>12797</v>
      </c>
      <c r="T364" s="1" t="s">
        <v>12797</v>
      </c>
      <c r="U364" s="1" t="s">
        <v>12798</v>
      </c>
    </row>
    <row r="365" spans="1:21" ht="48" customHeight="1">
      <c r="A365" s="1" t="s">
        <v>5504</v>
      </c>
      <c r="B365" s="1">
        <v>6</v>
      </c>
      <c r="C365" s="1" t="s">
        <v>4893</v>
      </c>
      <c r="D365" s="1" t="s">
        <v>4894</v>
      </c>
      <c r="E365" s="1"/>
      <c r="F365" s="1"/>
      <c r="G365" s="1">
        <v>2</v>
      </c>
      <c r="H365" s="1" t="s">
        <v>4691</v>
      </c>
      <c r="I365" s="1"/>
      <c r="J365" s="1"/>
      <c r="K365" s="1"/>
      <c r="L365" s="1" t="s">
        <v>5520</v>
      </c>
      <c r="M365" s="1" t="s">
        <v>5521</v>
      </c>
      <c r="N365" s="1" t="s">
        <v>11893</v>
      </c>
      <c r="O365" s="1" t="s">
        <v>5461</v>
      </c>
      <c r="P365" s="1"/>
      <c r="Q365" s="1"/>
      <c r="R365" s="1" t="s">
        <v>12811</v>
      </c>
      <c r="S365" s="1" t="s">
        <v>12797</v>
      </c>
      <c r="T365" s="1" t="s">
        <v>12797</v>
      </c>
      <c r="U365" s="1" t="s">
        <v>12798</v>
      </c>
    </row>
    <row r="366" spans="1:21" ht="48" customHeight="1">
      <c r="A366" s="1" t="s">
        <v>5504</v>
      </c>
      <c r="B366" s="1">
        <v>6</v>
      </c>
      <c r="C366" s="1" t="s">
        <v>4744</v>
      </c>
      <c r="D366" s="1" t="s">
        <v>4745</v>
      </c>
      <c r="E366" s="1"/>
      <c r="F366" s="1"/>
      <c r="G366" s="1">
        <v>1</v>
      </c>
      <c r="H366" s="1" t="s">
        <v>4691</v>
      </c>
      <c r="I366" s="1"/>
      <c r="J366" s="1"/>
      <c r="K366" s="1"/>
      <c r="L366" s="1" t="s">
        <v>5517</v>
      </c>
      <c r="M366" s="1" t="s">
        <v>5523</v>
      </c>
      <c r="N366" s="1" t="s">
        <v>11893</v>
      </c>
      <c r="O366" s="1" t="s">
        <v>5461</v>
      </c>
      <c r="P366" s="1"/>
      <c r="Q366" s="1"/>
      <c r="R366" s="1" t="s">
        <v>12812</v>
      </c>
      <c r="S366" s="1" t="s">
        <v>12797</v>
      </c>
      <c r="T366" s="1" t="s">
        <v>12797</v>
      </c>
      <c r="U366" s="1" t="s">
        <v>12806</v>
      </c>
    </row>
    <row r="367" spans="1:21" ht="48" customHeight="1">
      <c r="A367" s="1" t="s">
        <v>5504</v>
      </c>
      <c r="B367" s="1">
        <v>6</v>
      </c>
      <c r="C367" s="1" t="s">
        <v>5117</v>
      </c>
      <c r="D367" s="1" t="s">
        <v>5118</v>
      </c>
      <c r="E367" s="1"/>
      <c r="F367" s="1"/>
      <c r="G367" s="1">
        <v>2</v>
      </c>
      <c r="H367" s="1" t="s">
        <v>4691</v>
      </c>
      <c r="I367" s="1"/>
      <c r="J367" s="1"/>
      <c r="K367" s="1"/>
      <c r="L367" s="1" t="s">
        <v>5525</v>
      </c>
      <c r="M367" s="1" t="s">
        <v>5526</v>
      </c>
      <c r="N367" s="1" t="s">
        <v>11893</v>
      </c>
      <c r="O367" s="1" t="s">
        <v>5461</v>
      </c>
      <c r="P367" s="1"/>
      <c r="Q367" s="1"/>
      <c r="R367" s="1" t="s">
        <v>12813</v>
      </c>
      <c r="S367" s="1" t="s">
        <v>12797</v>
      </c>
      <c r="T367" s="1" t="s">
        <v>12797</v>
      </c>
      <c r="U367" s="1" t="s">
        <v>12798</v>
      </c>
    </row>
    <row r="368" spans="1:21" ht="48" customHeight="1">
      <c r="A368" s="1" t="s">
        <v>5504</v>
      </c>
      <c r="B368" s="1">
        <v>6</v>
      </c>
      <c r="C368" s="1" t="s">
        <v>4810</v>
      </c>
      <c r="D368" s="1" t="s">
        <v>4811</v>
      </c>
      <c r="E368" s="1"/>
      <c r="F368" s="1"/>
      <c r="G368" s="1">
        <v>1</v>
      </c>
      <c r="H368" s="1" t="s">
        <v>4691</v>
      </c>
      <c r="I368" s="1"/>
      <c r="J368" s="1"/>
      <c r="K368" s="1"/>
      <c r="L368" s="1" t="s">
        <v>5528</v>
      </c>
      <c r="M368" s="1" t="s">
        <v>5529</v>
      </c>
      <c r="N368" s="1" t="s">
        <v>11893</v>
      </c>
      <c r="O368" s="1" t="s">
        <v>5461</v>
      </c>
      <c r="P368" s="1"/>
      <c r="Q368" s="1"/>
      <c r="R368" s="1" t="s">
        <v>12814</v>
      </c>
      <c r="S368" s="1" t="s">
        <v>12797</v>
      </c>
      <c r="T368" s="1" t="s">
        <v>12797</v>
      </c>
      <c r="U368" s="1" t="s">
        <v>12806</v>
      </c>
    </row>
    <row r="369" spans="1:21" ht="48" customHeight="1">
      <c r="A369" s="1" t="s">
        <v>5504</v>
      </c>
      <c r="B369" s="1">
        <v>6</v>
      </c>
      <c r="C369" s="1" t="s">
        <v>4714</v>
      </c>
      <c r="D369" s="1" t="s">
        <v>4715</v>
      </c>
      <c r="E369" s="1"/>
      <c r="F369" s="1"/>
      <c r="G369" s="1">
        <v>1</v>
      </c>
      <c r="H369" s="1" t="s">
        <v>4691</v>
      </c>
      <c r="I369" s="1"/>
      <c r="J369" s="1"/>
      <c r="K369" s="1"/>
      <c r="L369" s="1" t="s">
        <v>5531</v>
      </c>
      <c r="M369" s="1" t="s">
        <v>5532</v>
      </c>
      <c r="N369" s="1" t="s">
        <v>11893</v>
      </c>
      <c r="O369" s="1" t="s">
        <v>5461</v>
      </c>
      <c r="P369" s="1"/>
      <c r="Q369" s="1"/>
      <c r="R369" s="1" t="s">
        <v>12815</v>
      </c>
      <c r="S369" s="1" t="s">
        <v>12797</v>
      </c>
      <c r="T369" s="1" t="s">
        <v>12797</v>
      </c>
      <c r="U369" s="1" t="s">
        <v>12806</v>
      </c>
    </row>
    <row r="370" spans="1:21" ht="48" customHeight="1">
      <c r="A370" s="1" t="s">
        <v>5504</v>
      </c>
      <c r="B370" s="1">
        <v>6</v>
      </c>
      <c r="C370" s="1" t="s">
        <v>4689</v>
      </c>
      <c r="D370" s="1" t="s">
        <v>4690</v>
      </c>
      <c r="E370" s="1"/>
      <c r="F370" s="1"/>
      <c r="G370" s="1">
        <v>0</v>
      </c>
      <c r="H370" s="1" t="s">
        <v>4691</v>
      </c>
      <c r="I370" s="1"/>
      <c r="J370" s="1"/>
      <c r="K370" s="1"/>
      <c r="L370" s="1" t="s">
        <v>5534</v>
      </c>
      <c r="M370" s="1" t="s">
        <v>5535</v>
      </c>
      <c r="N370" s="1" t="s">
        <v>11893</v>
      </c>
      <c r="O370" s="1" t="s">
        <v>5461</v>
      </c>
      <c r="P370" s="1"/>
      <c r="Q370" s="1"/>
      <c r="R370" s="1" t="s">
        <v>12816</v>
      </c>
      <c r="S370" s="1" t="s">
        <v>12797</v>
      </c>
      <c r="T370" s="1" t="s">
        <v>12797</v>
      </c>
      <c r="U370" s="1" t="s">
        <v>4747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28"/>
  <sheetViews>
    <sheetView showGridLines="0" workbookViewId="0">
      <pane xSplit="1" ySplit="1" topLeftCell="B2" activePane="bottomRight" state="frozen"/>
      <selection pane="topRight"/>
      <selection pane="bottomLeft"/>
      <selection pane="bottomRight" activeCell="B2" sqref="B2"/>
    </sheetView>
  </sheetViews>
  <sheetFormatPr baseColWidth="10" defaultColWidth="8.83203125" defaultRowHeight="15"/>
  <cols>
    <col min="1" max="3" width="34" customWidth="1"/>
    <col min="4" max="4" width="16" customWidth="1"/>
    <col min="5" max="10" width="34" customWidth="1"/>
    <col min="11" max="11" width="16" customWidth="1"/>
    <col min="12" max="18" width="34" customWidth="1"/>
  </cols>
  <sheetData>
    <row r="1" spans="1:18" ht="38" customHeight="1">
      <c r="A1" s="2" t="s">
        <v>11898</v>
      </c>
      <c r="B1" s="2" t="s">
        <v>4671</v>
      </c>
      <c r="C1" s="2" t="s">
        <v>4672</v>
      </c>
      <c r="D1" s="2" t="s">
        <v>11373</v>
      </c>
      <c r="E1" s="2" t="s">
        <v>12817</v>
      </c>
      <c r="F1" s="2" t="s">
        <v>12818</v>
      </c>
      <c r="G1" s="2" t="s">
        <v>12819</v>
      </c>
      <c r="H1" s="2" t="s">
        <v>56</v>
      </c>
      <c r="I1" s="2" t="s">
        <v>12820</v>
      </c>
      <c r="J1" s="2" t="s">
        <v>12821</v>
      </c>
      <c r="K1" s="2" t="s">
        <v>12822</v>
      </c>
      <c r="L1" s="2" t="s">
        <v>12823</v>
      </c>
      <c r="M1" s="2" t="s">
        <v>12824</v>
      </c>
      <c r="N1" s="2" t="s">
        <v>12825</v>
      </c>
      <c r="O1" s="2" t="s">
        <v>11910</v>
      </c>
      <c r="P1" s="2" t="s">
        <v>12826</v>
      </c>
      <c r="Q1" s="2" t="s">
        <v>12827</v>
      </c>
      <c r="R1" s="2" t="s">
        <v>11582</v>
      </c>
    </row>
    <row r="2" spans="1:18" ht="15" customHeight="1">
      <c r="A2" s="1" t="s">
        <v>11911</v>
      </c>
      <c r="B2" s="1" t="s">
        <v>5475</v>
      </c>
      <c r="C2" s="1" t="s">
        <v>5476</v>
      </c>
      <c r="D2" s="1">
        <v>41</v>
      </c>
      <c r="E2" s="1">
        <f>COUNTIFS('S9 reporting scores'!$C$2:$C$370,B2,'S9 reporting scores'!$U$2:$U$370,"Not reported")</f>
        <v>0</v>
      </c>
      <c r="F2" s="1">
        <f>COUNTIFS('S9 reporting scores'!$C$2:$C$370,B2,'S9 reporting scores'!$U$2:$U$370,"Partly reported")</f>
        <v>0</v>
      </c>
      <c r="G2" s="1">
        <f>COUNTIFS('S9 reporting scores'!$C$2:$C$370,B2,'S9 reporting scores'!$U$2:$U$370,"Clearly reported")</f>
        <v>41</v>
      </c>
      <c r="H2" s="1">
        <f>COUNTIFS('S9 reporting scores'!$C$2:$C$370,B2,'S9 reporting scores'!$U$2:$U$370,"Pending")</f>
        <v>0</v>
      </c>
      <c r="I2" s="1">
        <f>COUNTIFS('S9 reporting scores'!$C$2:$C$370,B2,'S9 reporting scores'!$U$2:$U$370,"Not applicable")</f>
        <v>0</v>
      </c>
      <c r="J2" s="1">
        <f t="shared" ref="J2:J28" si="0">SUM(E2:G2)</f>
        <v>41</v>
      </c>
      <c r="K2" s="1">
        <f t="shared" ref="K2:K28" si="1">IF(H2&gt;0,"Pending",D2-I2)</f>
        <v>41</v>
      </c>
      <c r="L2" s="3">
        <f t="shared" ref="L2:L28" si="2">E2/D2</f>
        <v>0</v>
      </c>
      <c r="M2" s="3">
        <f t="shared" ref="M2:M28" si="3">F2/D2</f>
        <v>0</v>
      </c>
      <c r="N2" s="3">
        <f t="shared" ref="N2:N28" si="4">G2/D2</f>
        <v>1</v>
      </c>
      <c r="O2" s="3">
        <f t="shared" ref="O2:O28" si="5">H2/D2</f>
        <v>0</v>
      </c>
      <c r="P2" s="3">
        <f t="shared" ref="P2:P28" si="6">I2/D2</f>
        <v>0</v>
      </c>
      <c r="Q2" s="3">
        <f t="shared" ref="Q2:Q28" si="7">IF(H2&gt;0,"Pending",IF(K2=0,"Not applicable",G2/K2))</f>
        <v>1</v>
      </c>
      <c r="R2" s="1" t="str">
        <f t="shared" ref="R2:R10" si="8">IF(H2=0,"Complete analysis","Pending scores")</f>
        <v>Complete analysis</v>
      </c>
    </row>
    <row r="3" spans="1:18" ht="15" customHeight="1">
      <c r="A3" s="1" t="s">
        <v>11911</v>
      </c>
      <c r="B3" s="1" t="s">
        <v>5390</v>
      </c>
      <c r="C3" s="1" t="s">
        <v>5391</v>
      </c>
      <c r="D3" s="1">
        <v>41</v>
      </c>
      <c r="E3" s="1">
        <f>COUNTIFS('S9 reporting scores'!$C$2:$C$370,B3,'S9 reporting scores'!$U$2:$U$370,"Not reported")</f>
        <v>0</v>
      </c>
      <c r="F3" s="1">
        <f>COUNTIFS('S9 reporting scores'!$C$2:$C$370,B3,'S9 reporting scores'!$U$2:$U$370,"Partly reported")</f>
        <v>3</v>
      </c>
      <c r="G3" s="1">
        <f>COUNTIFS('S9 reporting scores'!$C$2:$C$370,B3,'S9 reporting scores'!$U$2:$U$370,"Clearly reported")</f>
        <v>38</v>
      </c>
      <c r="H3" s="1">
        <f>COUNTIFS('S9 reporting scores'!$C$2:$C$370,B3,'S9 reporting scores'!$U$2:$U$370,"Pending")</f>
        <v>0</v>
      </c>
      <c r="I3" s="1">
        <f>COUNTIFS('S9 reporting scores'!$C$2:$C$370,B3,'S9 reporting scores'!$U$2:$U$370,"Not applicable")</f>
        <v>0</v>
      </c>
      <c r="J3" s="1">
        <f t="shared" si="0"/>
        <v>41</v>
      </c>
      <c r="K3" s="1">
        <f t="shared" si="1"/>
        <v>41</v>
      </c>
      <c r="L3" s="3">
        <f t="shared" si="2"/>
        <v>0</v>
      </c>
      <c r="M3" s="3">
        <f t="shared" si="3"/>
        <v>7.3170731707317069E-2</v>
      </c>
      <c r="N3" s="3">
        <f t="shared" si="4"/>
        <v>0.92682926829268297</v>
      </c>
      <c r="O3" s="3">
        <f t="shared" si="5"/>
        <v>0</v>
      </c>
      <c r="P3" s="3">
        <f t="shared" si="6"/>
        <v>0</v>
      </c>
      <c r="Q3" s="3">
        <f t="shared" si="7"/>
        <v>0.92682926829268297</v>
      </c>
      <c r="R3" s="1" t="str">
        <f t="shared" si="8"/>
        <v>Complete analysis</v>
      </c>
    </row>
    <row r="4" spans="1:18" ht="15" customHeight="1">
      <c r="A4" s="1" t="s">
        <v>11911</v>
      </c>
      <c r="B4" s="1" t="s">
        <v>4734</v>
      </c>
      <c r="C4" s="1" t="s">
        <v>4735</v>
      </c>
      <c r="D4" s="1">
        <v>41</v>
      </c>
      <c r="E4" s="1">
        <f>COUNTIFS('S9 reporting scores'!$C$2:$C$370,B4,'S9 reporting scores'!$U$2:$U$370,"Not reported")</f>
        <v>7</v>
      </c>
      <c r="F4" s="1">
        <f>COUNTIFS('S9 reporting scores'!$C$2:$C$370,B4,'S9 reporting scores'!$U$2:$U$370,"Partly reported")</f>
        <v>3</v>
      </c>
      <c r="G4" s="1">
        <f>COUNTIFS('S9 reporting scores'!$C$2:$C$370,B4,'S9 reporting scores'!$U$2:$U$370,"Clearly reported")</f>
        <v>31</v>
      </c>
      <c r="H4" s="1">
        <f>COUNTIFS('S9 reporting scores'!$C$2:$C$370,B4,'S9 reporting scores'!$U$2:$U$370,"Pending")</f>
        <v>0</v>
      </c>
      <c r="I4" s="1">
        <f>COUNTIFS('S9 reporting scores'!$C$2:$C$370,B4,'S9 reporting scores'!$U$2:$U$370,"Not applicable")</f>
        <v>0</v>
      </c>
      <c r="J4" s="1">
        <f t="shared" si="0"/>
        <v>41</v>
      </c>
      <c r="K4" s="1">
        <f t="shared" si="1"/>
        <v>41</v>
      </c>
      <c r="L4" s="3">
        <f t="shared" si="2"/>
        <v>0.17073170731707318</v>
      </c>
      <c r="M4" s="3">
        <f t="shared" si="3"/>
        <v>7.3170731707317069E-2</v>
      </c>
      <c r="N4" s="3">
        <f t="shared" si="4"/>
        <v>0.75609756097560976</v>
      </c>
      <c r="O4" s="3">
        <f t="shared" si="5"/>
        <v>0</v>
      </c>
      <c r="P4" s="3">
        <f t="shared" si="6"/>
        <v>0</v>
      </c>
      <c r="Q4" s="3">
        <f t="shared" si="7"/>
        <v>0.75609756097560976</v>
      </c>
      <c r="R4" s="1" t="str">
        <f t="shared" si="8"/>
        <v>Complete analysis</v>
      </c>
    </row>
    <row r="5" spans="1:18" ht="15" customHeight="1">
      <c r="A5" s="1" t="s">
        <v>11911</v>
      </c>
      <c r="B5" s="1" t="s">
        <v>4893</v>
      </c>
      <c r="C5" s="1" t="s">
        <v>12828</v>
      </c>
      <c r="D5" s="1">
        <v>41</v>
      </c>
      <c r="E5" s="1">
        <f>COUNTIFS('S9 reporting scores'!$C$2:$C$370,B5,'S9 reporting scores'!$U$2:$U$370,"Not reported")</f>
        <v>12</v>
      </c>
      <c r="F5" s="1">
        <f>COUNTIFS('S9 reporting scores'!$C$2:$C$370,B5,'S9 reporting scores'!$U$2:$U$370,"Partly reported")</f>
        <v>3</v>
      </c>
      <c r="G5" s="1">
        <f>COUNTIFS('S9 reporting scores'!$C$2:$C$370,B5,'S9 reporting scores'!$U$2:$U$370,"Clearly reported")</f>
        <v>26</v>
      </c>
      <c r="H5" s="1">
        <f>COUNTIFS('S9 reporting scores'!$C$2:$C$370,B5,'S9 reporting scores'!$U$2:$U$370,"Pending")</f>
        <v>0</v>
      </c>
      <c r="I5" s="1">
        <f>COUNTIFS('S9 reporting scores'!$C$2:$C$370,B5,'S9 reporting scores'!$U$2:$U$370,"Not applicable")</f>
        <v>0</v>
      </c>
      <c r="J5" s="1">
        <f t="shared" si="0"/>
        <v>41</v>
      </c>
      <c r="K5" s="1">
        <f t="shared" si="1"/>
        <v>41</v>
      </c>
      <c r="L5" s="3">
        <f t="shared" si="2"/>
        <v>0.29268292682926828</v>
      </c>
      <c r="M5" s="3">
        <f t="shared" si="3"/>
        <v>7.3170731707317069E-2</v>
      </c>
      <c r="N5" s="3">
        <f t="shared" si="4"/>
        <v>0.63414634146341464</v>
      </c>
      <c r="O5" s="3">
        <f t="shared" si="5"/>
        <v>0</v>
      </c>
      <c r="P5" s="3">
        <f t="shared" si="6"/>
        <v>0</v>
      </c>
      <c r="Q5" s="3">
        <f t="shared" si="7"/>
        <v>0.63414634146341464</v>
      </c>
      <c r="R5" s="1" t="str">
        <f t="shared" si="8"/>
        <v>Complete analysis</v>
      </c>
    </row>
    <row r="6" spans="1:18" ht="15" customHeight="1">
      <c r="A6" s="1" t="s">
        <v>11911</v>
      </c>
      <c r="B6" s="1" t="s">
        <v>4744</v>
      </c>
      <c r="C6" s="1" t="s">
        <v>4745</v>
      </c>
      <c r="D6" s="1">
        <v>41</v>
      </c>
      <c r="E6" s="1">
        <f>COUNTIFS('S9 reporting scores'!$C$2:$C$370,B6,'S9 reporting scores'!$U$2:$U$370,"Not reported")</f>
        <v>1</v>
      </c>
      <c r="F6" s="1">
        <f>COUNTIFS('S9 reporting scores'!$C$2:$C$370,B6,'S9 reporting scores'!$U$2:$U$370,"Partly reported")</f>
        <v>15</v>
      </c>
      <c r="G6" s="1">
        <f>COUNTIFS('S9 reporting scores'!$C$2:$C$370,B6,'S9 reporting scores'!$U$2:$U$370,"Clearly reported")</f>
        <v>25</v>
      </c>
      <c r="H6" s="1">
        <f>COUNTIFS('S9 reporting scores'!$C$2:$C$370,B6,'S9 reporting scores'!$U$2:$U$370,"Pending")</f>
        <v>0</v>
      </c>
      <c r="I6" s="1">
        <f>COUNTIFS('S9 reporting scores'!$C$2:$C$370,B6,'S9 reporting scores'!$U$2:$U$370,"Not applicable")</f>
        <v>0</v>
      </c>
      <c r="J6" s="1">
        <f t="shared" si="0"/>
        <v>41</v>
      </c>
      <c r="K6" s="1">
        <f t="shared" si="1"/>
        <v>41</v>
      </c>
      <c r="L6" s="3">
        <f t="shared" si="2"/>
        <v>2.4390243902439025E-2</v>
      </c>
      <c r="M6" s="3">
        <f t="shared" si="3"/>
        <v>0.36585365853658536</v>
      </c>
      <c r="N6" s="3">
        <f t="shared" si="4"/>
        <v>0.6097560975609756</v>
      </c>
      <c r="O6" s="3">
        <f t="shared" si="5"/>
        <v>0</v>
      </c>
      <c r="P6" s="3">
        <f t="shared" si="6"/>
        <v>0</v>
      </c>
      <c r="Q6" s="3">
        <f t="shared" si="7"/>
        <v>0.6097560975609756</v>
      </c>
      <c r="R6" s="1" t="str">
        <f t="shared" si="8"/>
        <v>Complete analysis</v>
      </c>
    </row>
    <row r="7" spans="1:18" ht="15" customHeight="1">
      <c r="A7" s="1" t="s">
        <v>11911</v>
      </c>
      <c r="B7" s="1" t="s">
        <v>5117</v>
      </c>
      <c r="C7" s="1" t="s">
        <v>5118</v>
      </c>
      <c r="D7" s="1">
        <v>41</v>
      </c>
      <c r="E7" s="1">
        <f>COUNTIFS('S9 reporting scores'!$C$2:$C$370,B7,'S9 reporting scores'!$U$2:$U$370,"Not reported")</f>
        <v>9</v>
      </c>
      <c r="F7" s="1">
        <f>COUNTIFS('S9 reporting scores'!$C$2:$C$370,B7,'S9 reporting scores'!$U$2:$U$370,"Partly reported")</f>
        <v>2</v>
      </c>
      <c r="G7" s="1">
        <f>COUNTIFS('S9 reporting scores'!$C$2:$C$370,B7,'S9 reporting scores'!$U$2:$U$370,"Clearly reported")</f>
        <v>30</v>
      </c>
      <c r="H7" s="1">
        <f>COUNTIFS('S9 reporting scores'!$C$2:$C$370,B7,'S9 reporting scores'!$U$2:$U$370,"Pending")</f>
        <v>0</v>
      </c>
      <c r="I7" s="1">
        <f>COUNTIFS('S9 reporting scores'!$C$2:$C$370,B7,'S9 reporting scores'!$U$2:$U$370,"Not applicable")</f>
        <v>0</v>
      </c>
      <c r="J7" s="1">
        <f t="shared" si="0"/>
        <v>41</v>
      </c>
      <c r="K7" s="1">
        <f t="shared" si="1"/>
        <v>41</v>
      </c>
      <c r="L7" s="3">
        <f t="shared" si="2"/>
        <v>0.21951219512195122</v>
      </c>
      <c r="M7" s="3">
        <f t="shared" si="3"/>
        <v>4.878048780487805E-2</v>
      </c>
      <c r="N7" s="3">
        <f t="shared" si="4"/>
        <v>0.73170731707317072</v>
      </c>
      <c r="O7" s="3">
        <f t="shared" si="5"/>
        <v>0</v>
      </c>
      <c r="P7" s="3">
        <f t="shared" si="6"/>
        <v>0</v>
      </c>
      <c r="Q7" s="3">
        <f t="shared" si="7"/>
        <v>0.73170731707317072</v>
      </c>
      <c r="R7" s="1" t="str">
        <f t="shared" si="8"/>
        <v>Complete analysis</v>
      </c>
    </row>
    <row r="8" spans="1:18" ht="15" customHeight="1">
      <c r="A8" s="1" t="s">
        <v>11911</v>
      </c>
      <c r="B8" s="1" t="s">
        <v>4810</v>
      </c>
      <c r="C8" s="1" t="s">
        <v>4811</v>
      </c>
      <c r="D8" s="1">
        <v>41</v>
      </c>
      <c r="E8" s="1">
        <f>COUNTIFS('S9 reporting scores'!$C$2:$C$370,B8,'S9 reporting scores'!$U$2:$U$370,"Not reported")</f>
        <v>17</v>
      </c>
      <c r="F8" s="1">
        <f>COUNTIFS('S9 reporting scores'!$C$2:$C$370,B8,'S9 reporting scores'!$U$2:$U$370,"Partly reported")</f>
        <v>2</v>
      </c>
      <c r="G8" s="1">
        <f>COUNTIFS('S9 reporting scores'!$C$2:$C$370,B8,'S9 reporting scores'!$U$2:$U$370,"Clearly reported")</f>
        <v>22</v>
      </c>
      <c r="H8" s="1">
        <f>COUNTIFS('S9 reporting scores'!$C$2:$C$370,B8,'S9 reporting scores'!$U$2:$U$370,"Pending")</f>
        <v>0</v>
      </c>
      <c r="I8" s="1">
        <f>COUNTIFS('S9 reporting scores'!$C$2:$C$370,B8,'S9 reporting scores'!$U$2:$U$370,"Not applicable")</f>
        <v>0</v>
      </c>
      <c r="J8" s="1">
        <f t="shared" si="0"/>
        <v>41</v>
      </c>
      <c r="K8" s="1">
        <f t="shared" si="1"/>
        <v>41</v>
      </c>
      <c r="L8" s="3">
        <f t="shared" si="2"/>
        <v>0.41463414634146339</v>
      </c>
      <c r="M8" s="3">
        <f t="shared" si="3"/>
        <v>4.878048780487805E-2</v>
      </c>
      <c r="N8" s="3">
        <f t="shared" si="4"/>
        <v>0.53658536585365857</v>
      </c>
      <c r="O8" s="3">
        <f t="shared" si="5"/>
        <v>0</v>
      </c>
      <c r="P8" s="3">
        <f t="shared" si="6"/>
        <v>0</v>
      </c>
      <c r="Q8" s="3">
        <f t="shared" si="7"/>
        <v>0.53658536585365857</v>
      </c>
      <c r="R8" s="1" t="str">
        <f t="shared" si="8"/>
        <v>Complete analysis</v>
      </c>
    </row>
    <row r="9" spans="1:18" ht="15" customHeight="1">
      <c r="A9" s="1" t="s">
        <v>11911</v>
      </c>
      <c r="B9" s="1" t="s">
        <v>4714</v>
      </c>
      <c r="C9" s="1" t="s">
        <v>4715</v>
      </c>
      <c r="D9" s="1">
        <v>41</v>
      </c>
      <c r="E9" s="1">
        <f>COUNTIFS('S9 reporting scores'!$C$2:$C$370,B9,'S9 reporting scores'!$U$2:$U$370,"Not reported")</f>
        <v>0</v>
      </c>
      <c r="F9" s="1">
        <f>COUNTIFS('S9 reporting scores'!$C$2:$C$370,B9,'S9 reporting scores'!$U$2:$U$370,"Partly reported")</f>
        <v>19</v>
      </c>
      <c r="G9" s="1">
        <f>COUNTIFS('S9 reporting scores'!$C$2:$C$370,B9,'S9 reporting scores'!$U$2:$U$370,"Clearly reported")</f>
        <v>22</v>
      </c>
      <c r="H9" s="1">
        <f>COUNTIFS('S9 reporting scores'!$C$2:$C$370,B9,'S9 reporting scores'!$U$2:$U$370,"Pending")</f>
        <v>0</v>
      </c>
      <c r="I9" s="1">
        <f>COUNTIFS('S9 reporting scores'!$C$2:$C$370,B9,'S9 reporting scores'!$U$2:$U$370,"Not applicable")</f>
        <v>0</v>
      </c>
      <c r="J9" s="1">
        <f t="shared" si="0"/>
        <v>41</v>
      </c>
      <c r="K9" s="1">
        <f t="shared" si="1"/>
        <v>41</v>
      </c>
      <c r="L9" s="3">
        <f t="shared" si="2"/>
        <v>0</v>
      </c>
      <c r="M9" s="3">
        <f t="shared" si="3"/>
        <v>0.46341463414634149</v>
      </c>
      <c r="N9" s="3">
        <f t="shared" si="4"/>
        <v>0.53658536585365857</v>
      </c>
      <c r="O9" s="3">
        <f t="shared" si="5"/>
        <v>0</v>
      </c>
      <c r="P9" s="3">
        <f t="shared" si="6"/>
        <v>0</v>
      </c>
      <c r="Q9" s="3">
        <f t="shared" si="7"/>
        <v>0.53658536585365857</v>
      </c>
      <c r="R9" s="1" t="str">
        <f t="shared" si="8"/>
        <v>Complete analysis</v>
      </c>
    </row>
    <row r="10" spans="1:18" ht="15" customHeight="1">
      <c r="A10" s="1" t="s">
        <v>11911</v>
      </c>
      <c r="B10" s="1" t="s">
        <v>4689</v>
      </c>
      <c r="C10" s="1" t="s">
        <v>4690</v>
      </c>
      <c r="D10" s="1">
        <v>41</v>
      </c>
      <c r="E10" s="1">
        <f>COUNTIFS('S9 reporting scores'!$C$2:$C$370,B10,'S9 reporting scores'!$U$2:$U$370,"Not reported")</f>
        <v>22</v>
      </c>
      <c r="F10" s="1">
        <f>COUNTIFS('S9 reporting scores'!$C$2:$C$370,B10,'S9 reporting scores'!$U$2:$U$370,"Partly reported")</f>
        <v>6</v>
      </c>
      <c r="G10" s="1">
        <f>COUNTIFS('S9 reporting scores'!$C$2:$C$370,B10,'S9 reporting scores'!$U$2:$U$370,"Clearly reported")</f>
        <v>13</v>
      </c>
      <c r="H10" s="1">
        <f>COUNTIFS('S9 reporting scores'!$C$2:$C$370,B10,'S9 reporting scores'!$U$2:$U$370,"Pending")</f>
        <v>0</v>
      </c>
      <c r="I10" s="1">
        <f>COUNTIFS('S9 reporting scores'!$C$2:$C$370,B10,'S9 reporting scores'!$U$2:$U$370,"Not applicable")</f>
        <v>0</v>
      </c>
      <c r="J10" s="1">
        <f t="shared" si="0"/>
        <v>41</v>
      </c>
      <c r="K10" s="1">
        <f t="shared" si="1"/>
        <v>41</v>
      </c>
      <c r="L10" s="3">
        <f t="shared" si="2"/>
        <v>0.53658536585365857</v>
      </c>
      <c r="M10" s="3">
        <f t="shared" si="3"/>
        <v>0.14634146341463414</v>
      </c>
      <c r="N10" s="3">
        <f t="shared" si="4"/>
        <v>0.31707317073170732</v>
      </c>
      <c r="O10" s="3">
        <f t="shared" si="5"/>
        <v>0</v>
      </c>
      <c r="P10" s="3">
        <f t="shared" si="6"/>
        <v>0</v>
      </c>
      <c r="Q10" s="3">
        <f t="shared" si="7"/>
        <v>0.31707317073170732</v>
      </c>
      <c r="R10" s="1" t="str">
        <f t="shared" si="8"/>
        <v>Complete analysis</v>
      </c>
    </row>
    <row r="11" spans="1:18" ht="15" customHeight="1">
      <c r="A11" s="1" t="s">
        <v>11912</v>
      </c>
      <c r="B11" s="1" t="s">
        <v>5475</v>
      </c>
      <c r="C11" s="1" t="s">
        <v>5476</v>
      </c>
      <c r="D11" s="1">
        <v>39</v>
      </c>
      <c r="E11" s="1">
        <f>COUNTIFS('S9 reporting scores'!$C$2:$C$352,B11,'S9 reporting scores'!$S$2:$S$352,"Not reported")</f>
        <v>0</v>
      </c>
      <c r="F11" s="1">
        <f>COUNTIFS('S9 reporting scores'!$C$2:$C$352,B11,'S9 reporting scores'!$S$2:$S$352,"Partly reported")</f>
        <v>0</v>
      </c>
      <c r="G11" s="1">
        <f>COUNTIFS('S9 reporting scores'!$C$2:$C$352,B11,'S9 reporting scores'!$S$2:$S$352,"Clearly reported")</f>
        <v>39</v>
      </c>
      <c r="H11" s="1">
        <f>COUNTIFS('S9 reporting scores'!$C$2:$C$352,B11,'S9 reporting scores'!$S$2:$S$352,"Pending")</f>
        <v>0</v>
      </c>
      <c r="I11" s="1">
        <f>COUNTIFS('S9 reporting scores'!$C$2:$C$352,B11,'S9 reporting scores'!$S$2:$S$352,"Not applicable")</f>
        <v>0</v>
      </c>
      <c r="J11" s="1">
        <f t="shared" si="0"/>
        <v>39</v>
      </c>
      <c r="K11" s="1">
        <f t="shared" si="1"/>
        <v>39</v>
      </c>
      <c r="L11" s="3">
        <f t="shared" si="2"/>
        <v>0</v>
      </c>
      <c r="M11" s="3">
        <f t="shared" si="3"/>
        <v>0</v>
      </c>
      <c r="N11" s="3">
        <f t="shared" si="4"/>
        <v>1</v>
      </c>
      <c r="O11" s="3">
        <f t="shared" si="5"/>
        <v>0</v>
      </c>
      <c r="P11" s="3">
        <f t="shared" si="6"/>
        <v>0</v>
      </c>
      <c r="Q11" s="3">
        <f t="shared" si="7"/>
        <v>1</v>
      </c>
      <c r="R11" s="1" t="s">
        <v>12829</v>
      </c>
    </row>
    <row r="12" spans="1:18" ht="15" customHeight="1">
      <c r="A12" s="1" t="s">
        <v>11912</v>
      </c>
      <c r="B12" s="1" t="s">
        <v>5390</v>
      </c>
      <c r="C12" s="1" t="s">
        <v>5391</v>
      </c>
      <c r="D12" s="1">
        <v>39</v>
      </c>
      <c r="E12" s="1">
        <f>COUNTIFS('S9 reporting scores'!$C$2:$C$352,B12,'S9 reporting scores'!$S$2:$S$352,"Not reported")</f>
        <v>0</v>
      </c>
      <c r="F12" s="1">
        <f>COUNTIFS('S9 reporting scores'!$C$2:$C$352,B12,'S9 reporting scores'!$S$2:$S$352,"Partly reported")</f>
        <v>2</v>
      </c>
      <c r="G12" s="1">
        <f>COUNTIFS('S9 reporting scores'!$C$2:$C$352,B12,'S9 reporting scores'!$S$2:$S$352,"Clearly reported")</f>
        <v>37</v>
      </c>
      <c r="H12" s="1">
        <f>COUNTIFS('S9 reporting scores'!$C$2:$C$352,B12,'S9 reporting scores'!$S$2:$S$352,"Pending")</f>
        <v>0</v>
      </c>
      <c r="I12" s="1">
        <f>COUNTIFS('S9 reporting scores'!$C$2:$C$352,B12,'S9 reporting scores'!$S$2:$S$352,"Not applicable")</f>
        <v>0</v>
      </c>
      <c r="J12" s="1">
        <f t="shared" si="0"/>
        <v>39</v>
      </c>
      <c r="K12" s="1">
        <f t="shared" si="1"/>
        <v>39</v>
      </c>
      <c r="L12" s="3">
        <f t="shared" si="2"/>
        <v>0</v>
      </c>
      <c r="M12" s="3">
        <f t="shared" si="3"/>
        <v>5.128205128205128E-2</v>
      </c>
      <c r="N12" s="3">
        <f t="shared" si="4"/>
        <v>0.94871794871794868</v>
      </c>
      <c r="O12" s="3">
        <f t="shared" si="5"/>
        <v>0</v>
      </c>
      <c r="P12" s="3">
        <f t="shared" si="6"/>
        <v>0</v>
      </c>
      <c r="Q12" s="3">
        <f t="shared" si="7"/>
        <v>0.94871794871794868</v>
      </c>
      <c r="R12" s="1" t="s">
        <v>12829</v>
      </c>
    </row>
    <row r="13" spans="1:18" ht="15" customHeight="1">
      <c r="A13" s="1" t="s">
        <v>11912</v>
      </c>
      <c r="B13" s="1" t="s">
        <v>4734</v>
      </c>
      <c r="C13" s="1" t="s">
        <v>4735</v>
      </c>
      <c r="D13" s="1">
        <v>39</v>
      </c>
      <c r="E13" s="1">
        <f>COUNTIFS('S9 reporting scores'!$C$2:$C$352,B13,'S9 reporting scores'!$S$2:$S$352,"Not reported")</f>
        <v>12</v>
      </c>
      <c r="F13" s="1">
        <f>COUNTIFS('S9 reporting scores'!$C$2:$C$352,B13,'S9 reporting scores'!$S$2:$S$352,"Partly reported")</f>
        <v>2</v>
      </c>
      <c r="G13" s="1">
        <f>COUNTIFS('S9 reporting scores'!$C$2:$C$352,B13,'S9 reporting scores'!$S$2:$S$352,"Clearly reported")</f>
        <v>25</v>
      </c>
      <c r="H13" s="1">
        <f>COUNTIFS('S9 reporting scores'!$C$2:$C$352,B13,'S9 reporting scores'!$S$2:$S$352,"Pending")</f>
        <v>0</v>
      </c>
      <c r="I13" s="1">
        <f>COUNTIFS('S9 reporting scores'!$C$2:$C$352,B13,'S9 reporting scores'!$S$2:$S$352,"Not applicable")</f>
        <v>0</v>
      </c>
      <c r="J13" s="1">
        <f t="shared" si="0"/>
        <v>39</v>
      </c>
      <c r="K13" s="1">
        <f t="shared" si="1"/>
        <v>39</v>
      </c>
      <c r="L13" s="3">
        <f t="shared" si="2"/>
        <v>0.30769230769230771</v>
      </c>
      <c r="M13" s="3">
        <f t="shared" si="3"/>
        <v>5.128205128205128E-2</v>
      </c>
      <c r="N13" s="3">
        <f t="shared" si="4"/>
        <v>0.64102564102564108</v>
      </c>
      <c r="O13" s="3">
        <f t="shared" si="5"/>
        <v>0</v>
      </c>
      <c r="P13" s="3">
        <f t="shared" si="6"/>
        <v>0</v>
      </c>
      <c r="Q13" s="3">
        <f t="shared" si="7"/>
        <v>0.64102564102564108</v>
      </c>
      <c r="R13" s="1" t="s">
        <v>12829</v>
      </c>
    </row>
    <row r="14" spans="1:18" ht="15" customHeight="1">
      <c r="A14" s="1" t="s">
        <v>11912</v>
      </c>
      <c r="B14" s="1" t="s">
        <v>4893</v>
      </c>
      <c r="C14" s="1" t="s">
        <v>4894</v>
      </c>
      <c r="D14" s="1">
        <v>39</v>
      </c>
      <c r="E14" s="1">
        <f>COUNTIFS('S9 reporting scores'!$C$2:$C$352,B14,'S9 reporting scores'!$S$2:$S$352,"Not reported")</f>
        <v>12</v>
      </c>
      <c r="F14" s="1">
        <f>COUNTIFS('S9 reporting scores'!$C$2:$C$352,B14,'S9 reporting scores'!$S$2:$S$352,"Partly reported")</f>
        <v>1</v>
      </c>
      <c r="G14" s="1">
        <f>COUNTIFS('S9 reporting scores'!$C$2:$C$352,B14,'S9 reporting scores'!$S$2:$S$352,"Clearly reported")</f>
        <v>26</v>
      </c>
      <c r="H14" s="1">
        <f>COUNTIFS('S9 reporting scores'!$C$2:$C$352,B14,'S9 reporting scores'!$S$2:$S$352,"Pending")</f>
        <v>0</v>
      </c>
      <c r="I14" s="1">
        <f>COUNTIFS('S9 reporting scores'!$C$2:$C$352,B14,'S9 reporting scores'!$S$2:$S$352,"Not applicable")</f>
        <v>0</v>
      </c>
      <c r="J14" s="1">
        <f t="shared" si="0"/>
        <v>39</v>
      </c>
      <c r="K14" s="1">
        <f t="shared" si="1"/>
        <v>39</v>
      </c>
      <c r="L14" s="3">
        <f t="shared" si="2"/>
        <v>0.30769230769230771</v>
      </c>
      <c r="M14" s="3">
        <f t="shared" si="3"/>
        <v>2.564102564102564E-2</v>
      </c>
      <c r="N14" s="3">
        <f t="shared" si="4"/>
        <v>0.66666666666666663</v>
      </c>
      <c r="O14" s="3">
        <f t="shared" si="5"/>
        <v>0</v>
      </c>
      <c r="P14" s="3">
        <f t="shared" si="6"/>
        <v>0</v>
      </c>
      <c r="Q14" s="3">
        <f t="shared" si="7"/>
        <v>0.66666666666666663</v>
      </c>
      <c r="R14" s="1" t="s">
        <v>12829</v>
      </c>
    </row>
    <row r="15" spans="1:18" ht="15" customHeight="1">
      <c r="A15" s="1" t="s">
        <v>11912</v>
      </c>
      <c r="B15" s="1" t="s">
        <v>4744</v>
      </c>
      <c r="C15" s="1" t="s">
        <v>4745</v>
      </c>
      <c r="D15" s="1">
        <v>39</v>
      </c>
      <c r="E15" s="1">
        <f>COUNTIFS('S9 reporting scores'!$C$2:$C$352,B15,'S9 reporting scores'!$S$2:$S$352,"Not reported")</f>
        <v>2</v>
      </c>
      <c r="F15" s="1">
        <f>COUNTIFS('S9 reporting scores'!$C$2:$C$352,B15,'S9 reporting scores'!$S$2:$S$352,"Partly reported")</f>
        <v>8</v>
      </c>
      <c r="G15" s="1">
        <f>COUNTIFS('S9 reporting scores'!$C$2:$C$352,B15,'S9 reporting scores'!$S$2:$S$352,"Clearly reported")</f>
        <v>29</v>
      </c>
      <c r="H15" s="1">
        <f>COUNTIFS('S9 reporting scores'!$C$2:$C$352,B15,'S9 reporting scores'!$S$2:$S$352,"Pending")</f>
        <v>0</v>
      </c>
      <c r="I15" s="1">
        <f>COUNTIFS('S9 reporting scores'!$C$2:$C$352,B15,'S9 reporting scores'!$S$2:$S$352,"Not applicable")</f>
        <v>0</v>
      </c>
      <c r="J15" s="1">
        <f t="shared" si="0"/>
        <v>39</v>
      </c>
      <c r="K15" s="1">
        <f t="shared" si="1"/>
        <v>39</v>
      </c>
      <c r="L15" s="3">
        <f t="shared" si="2"/>
        <v>5.128205128205128E-2</v>
      </c>
      <c r="M15" s="3">
        <f t="shared" si="3"/>
        <v>0.20512820512820512</v>
      </c>
      <c r="N15" s="3">
        <f t="shared" si="4"/>
        <v>0.74358974358974361</v>
      </c>
      <c r="O15" s="3">
        <f t="shared" si="5"/>
        <v>0</v>
      </c>
      <c r="P15" s="3">
        <f t="shared" si="6"/>
        <v>0</v>
      </c>
      <c r="Q15" s="3">
        <f t="shared" si="7"/>
        <v>0.74358974358974361</v>
      </c>
      <c r="R15" s="1" t="s">
        <v>12829</v>
      </c>
    </row>
    <row r="16" spans="1:18" ht="15" customHeight="1">
      <c r="A16" s="1" t="s">
        <v>11912</v>
      </c>
      <c r="B16" s="1" t="s">
        <v>5117</v>
      </c>
      <c r="C16" s="1" t="s">
        <v>5118</v>
      </c>
      <c r="D16" s="1">
        <v>39</v>
      </c>
      <c r="E16" s="1">
        <f>COUNTIFS('S9 reporting scores'!$C$2:$C$352,B16,'S9 reporting scores'!$S$2:$S$352,"Not reported")</f>
        <v>9</v>
      </c>
      <c r="F16" s="1">
        <f>COUNTIFS('S9 reporting scores'!$C$2:$C$352,B16,'S9 reporting scores'!$S$2:$S$352,"Partly reported")</f>
        <v>1</v>
      </c>
      <c r="G16" s="1">
        <f>COUNTIFS('S9 reporting scores'!$C$2:$C$352,B16,'S9 reporting scores'!$S$2:$S$352,"Clearly reported")</f>
        <v>29</v>
      </c>
      <c r="H16" s="1">
        <f>COUNTIFS('S9 reporting scores'!$C$2:$C$352,B16,'S9 reporting scores'!$S$2:$S$352,"Pending")</f>
        <v>0</v>
      </c>
      <c r="I16" s="1">
        <f>COUNTIFS('S9 reporting scores'!$C$2:$C$352,B16,'S9 reporting scores'!$S$2:$S$352,"Not applicable")</f>
        <v>0</v>
      </c>
      <c r="J16" s="1">
        <f t="shared" si="0"/>
        <v>39</v>
      </c>
      <c r="K16" s="1">
        <f t="shared" si="1"/>
        <v>39</v>
      </c>
      <c r="L16" s="3">
        <f t="shared" si="2"/>
        <v>0.23076923076923078</v>
      </c>
      <c r="M16" s="3">
        <f t="shared" si="3"/>
        <v>2.564102564102564E-2</v>
      </c>
      <c r="N16" s="3">
        <f t="shared" si="4"/>
        <v>0.74358974358974361</v>
      </c>
      <c r="O16" s="3">
        <f t="shared" si="5"/>
        <v>0</v>
      </c>
      <c r="P16" s="3">
        <f t="shared" si="6"/>
        <v>0</v>
      </c>
      <c r="Q16" s="3">
        <f t="shared" si="7"/>
        <v>0.74358974358974361</v>
      </c>
      <c r="R16" s="1" t="s">
        <v>12829</v>
      </c>
    </row>
    <row r="17" spans="1:18" ht="15" customHeight="1">
      <c r="A17" s="1" t="s">
        <v>11912</v>
      </c>
      <c r="B17" s="1" t="s">
        <v>4810</v>
      </c>
      <c r="C17" s="1" t="s">
        <v>4811</v>
      </c>
      <c r="D17" s="1">
        <v>39</v>
      </c>
      <c r="E17" s="1">
        <f>COUNTIFS('S9 reporting scores'!$C$2:$C$352,B17,'S9 reporting scores'!$S$2:$S$352,"Not reported")</f>
        <v>16</v>
      </c>
      <c r="F17" s="1">
        <f>COUNTIFS('S9 reporting scores'!$C$2:$C$352,B17,'S9 reporting scores'!$S$2:$S$352,"Partly reported")</f>
        <v>3</v>
      </c>
      <c r="G17" s="1">
        <f>COUNTIFS('S9 reporting scores'!$C$2:$C$352,B17,'S9 reporting scores'!$S$2:$S$352,"Clearly reported")</f>
        <v>20</v>
      </c>
      <c r="H17" s="1">
        <f>COUNTIFS('S9 reporting scores'!$C$2:$C$352,B17,'S9 reporting scores'!$S$2:$S$352,"Pending")</f>
        <v>0</v>
      </c>
      <c r="I17" s="1">
        <f>COUNTIFS('S9 reporting scores'!$C$2:$C$352,B17,'S9 reporting scores'!$S$2:$S$352,"Not applicable")</f>
        <v>0</v>
      </c>
      <c r="J17" s="1">
        <f t="shared" si="0"/>
        <v>39</v>
      </c>
      <c r="K17" s="1">
        <f t="shared" si="1"/>
        <v>39</v>
      </c>
      <c r="L17" s="3">
        <f t="shared" si="2"/>
        <v>0.41025641025641024</v>
      </c>
      <c r="M17" s="3">
        <f t="shared" si="3"/>
        <v>7.6923076923076927E-2</v>
      </c>
      <c r="N17" s="3">
        <f t="shared" si="4"/>
        <v>0.51282051282051277</v>
      </c>
      <c r="O17" s="3">
        <f t="shared" si="5"/>
        <v>0</v>
      </c>
      <c r="P17" s="3">
        <f t="shared" si="6"/>
        <v>0</v>
      </c>
      <c r="Q17" s="3">
        <f t="shared" si="7"/>
        <v>0.51282051282051277</v>
      </c>
      <c r="R17" s="1" t="s">
        <v>12829</v>
      </c>
    </row>
    <row r="18" spans="1:18" ht="15" customHeight="1">
      <c r="A18" s="1" t="s">
        <v>11912</v>
      </c>
      <c r="B18" s="1" t="s">
        <v>4714</v>
      </c>
      <c r="C18" s="1" t="s">
        <v>4715</v>
      </c>
      <c r="D18" s="1">
        <v>39</v>
      </c>
      <c r="E18" s="1">
        <f>COUNTIFS('S9 reporting scores'!$C$2:$C$352,B18,'S9 reporting scores'!$S$2:$S$352,"Not reported")</f>
        <v>0</v>
      </c>
      <c r="F18" s="1">
        <f>COUNTIFS('S9 reporting scores'!$C$2:$C$352,B18,'S9 reporting scores'!$S$2:$S$352,"Partly reported")</f>
        <v>1</v>
      </c>
      <c r="G18" s="1">
        <f>COUNTIFS('S9 reporting scores'!$C$2:$C$352,B18,'S9 reporting scores'!$S$2:$S$352,"Clearly reported")</f>
        <v>38</v>
      </c>
      <c r="H18" s="1">
        <f>COUNTIFS('S9 reporting scores'!$C$2:$C$352,B18,'S9 reporting scores'!$S$2:$S$352,"Pending")</f>
        <v>0</v>
      </c>
      <c r="I18" s="1">
        <f>COUNTIFS('S9 reporting scores'!$C$2:$C$352,B18,'S9 reporting scores'!$S$2:$S$352,"Not applicable")</f>
        <v>0</v>
      </c>
      <c r="J18" s="1">
        <f t="shared" si="0"/>
        <v>39</v>
      </c>
      <c r="K18" s="1">
        <f t="shared" si="1"/>
        <v>39</v>
      </c>
      <c r="L18" s="3">
        <f t="shared" si="2"/>
        <v>0</v>
      </c>
      <c r="M18" s="3">
        <f t="shared" si="3"/>
        <v>2.564102564102564E-2</v>
      </c>
      <c r="N18" s="3">
        <f t="shared" si="4"/>
        <v>0.97435897435897434</v>
      </c>
      <c r="O18" s="3">
        <f t="shared" si="5"/>
        <v>0</v>
      </c>
      <c r="P18" s="3">
        <f t="shared" si="6"/>
        <v>0</v>
      </c>
      <c r="Q18" s="3">
        <f t="shared" si="7"/>
        <v>0.97435897435897434</v>
      </c>
      <c r="R18" s="1" t="s">
        <v>12829</v>
      </c>
    </row>
    <row r="19" spans="1:18" ht="15" customHeight="1">
      <c r="A19" s="1" t="s">
        <v>11912</v>
      </c>
      <c r="B19" s="1" t="s">
        <v>4689</v>
      </c>
      <c r="C19" s="1" t="s">
        <v>4690</v>
      </c>
      <c r="D19" s="1">
        <v>39</v>
      </c>
      <c r="E19" s="1">
        <f>COUNTIFS('S9 reporting scores'!$C$2:$C$352,B19,'S9 reporting scores'!$S$2:$S$352,"Not reported")</f>
        <v>19</v>
      </c>
      <c r="F19" s="1">
        <f>COUNTIFS('S9 reporting scores'!$C$2:$C$352,B19,'S9 reporting scores'!$S$2:$S$352,"Partly reported")</f>
        <v>6</v>
      </c>
      <c r="G19" s="1">
        <f>COUNTIFS('S9 reporting scores'!$C$2:$C$352,B19,'S9 reporting scores'!$S$2:$S$352,"Clearly reported")</f>
        <v>14</v>
      </c>
      <c r="H19" s="1">
        <f>COUNTIFS('S9 reporting scores'!$C$2:$C$352,B19,'S9 reporting scores'!$S$2:$S$352,"Pending")</f>
        <v>0</v>
      </c>
      <c r="I19" s="1">
        <f>COUNTIFS('S9 reporting scores'!$C$2:$C$352,B19,'S9 reporting scores'!$S$2:$S$352,"Not applicable")</f>
        <v>0</v>
      </c>
      <c r="J19" s="1">
        <f t="shared" si="0"/>
        <v>39</v>
      </c>
      <c r="K19" s="1">
        <f t="shared" si="1"/>
        <v>39</v>
      </c>
      <c r="L19" s="3">
        <f t="shared" si="2"/>
        <v>0.48717948717948717</v>
      </c>
      <c r="M19" s="3">
        <f t="shared" si="3"/>
        <v>0.15384615384615385</v>
      </c>
      <c r="N19" s="3">
        <f t="shared" si="4"/>
        <v>0.35897435897435898</v>
      </c>
      <c r="O19" s="3">
        <f t="shared" si="5"/>
        <v>0</v>
      </c>
      <c r="P19" s="3">
        <f t="shared" si="6"/>
        <v>0</v>
      </c>
      <c r="Q19" s="3">
        <f t="shared" si="7"/>
        <v>0.35897435897435898</v>
      </c>
      <c r="R19" s="1" t="s">
        <v>12829</v>
      </c>
    </row>
    <row r="20" spans="1:18" ht="15" customHeight="1">
      <c r="A20" s="1" t="s">
        <v>11914</v>
      </c>
      <c r="B20" s="1" t="s">
        <v>5475</v>
      </c>
      <c r="C20" s="1" t="s">
        <v>5476</v>
      </c>
      <c r="D20" s="1">
        <v>39</v>
      </c>
      <c r="E20" s="1">
        <f>COUNTIFS('S9 reporting scores'!$C$2:$C$352,B20,'S9 reporting scores'!$T$2:$T$352,"Not reported")</f>
        <v>0</v>
      </c>
      <c r="F20" s="1">
        <f>COUNTIFS('S9 reporting scores'!$C$2:$C$352,B20,'S9 reporting scores'!$T$2:$T$352,"Partly reported")</f>
        <v>0</v>
      </c>
      <c r="G20" s="1">
        <f>COUNTIFS('S9 reporting scores'!$C$2:$C$352,B20,'S9 reporting scores'!$T$2:$T$352,"Clearly reported")</f>
        <v>39</v>
      </c>
      <c r="H20" s="1">
        <f>COUNTIFS('S9 reporting scores'!$C$2:$C$352,B20,'S9 reporting scores'!$T$2:$T$352,"Pending")</f>
        <v>0</v>
      </c>
      <c r="I20" s="1">
        <f>COUNTIFS('S9 reporting scores'!$C$2:$C$352,B20,'S9 reporting scores'!$T$2:$T$352,"Not applicable")</f>
        <v>0</v>
      </c>
      <c r="J20" s="1">
        <f t="shared" si="0"/>
        <v>39</v>
      </c>
      <c r="K20" s="1">
        <f t="shared" si="1"/>
        <v>39</v>
      </c>
      <c r="L20" s="3">
        <f t="shared" si="2"/>
        <v>0</v>
      </c>
      <c r="M20" s="3">
        <f t="shared" si="3"/>
        <v>0</v>
      </c>
      <c r="N20" s="3">
        <f t="shared" si="4"/>
        <v>1</v>
      </c>
      <c r="O20" s="3">
        <f t="shared" si="5"/>
        <v>0</v>
      </c>
      <c r="P20" s="3">
        <f t="shared" si="6"/>
        <v>0</v>
      </c>
      <c r="Q20" s="3">
        <f t="shared" si="7"/>
        <v>1</v>
      </c>
      <c r="R20" s="1" t="s">
        <v>12829</v>
      </c>
    </row>
    <row r="21" spans="1:18" ht="15" customHeight="1">
      <c r="A21" s="1" t="s">
        <v>11914</v>
      </c>
      <c r="B21" s="1" t="s">
        <v>5390</v>
      </c>
      <c r="C21" s="1" t="s">
        <v>5391</v>
      </c>
      <c r="D21" s="1">
        <v>39</v>
      </c>
      <c r="E21" s="1">
        <f>COUNTIFS('S9 reporting scores'!$C$2:$C$352,B21,'S9 reporting scores'!$T$2:$T$352,"Not reported")</f>
        <v>0</v>
      </c>
      <c r="F21" s="1">
        <f>COUNTIFS('S9 reporting scores'!$C$2:$C$352,B21,'S9 reporting scores'!$T$2:$T$352,"Partly reported")</f>
        <v>3</v>
      </c>
      <c r="G21" s="1">
        <f>COUNTIFS('S9 reporting scores'!$C$2:$C$352,B21,'S9 reporting scores'!$T$2:$T$352,"Clearly reported")</f>
        <v>36</v>
      </c>
      <c r="H21" s="1">
        <f>COUNTIFS('S9 reporting scores'!$C$2:$C$352,B21,'S9 reporting scores'!$T$2:$T$352,"Pending")</f>
        <v>0</v>
      </c>
      <c r="I21" s="1">
        <f>COUNTIFS('S9 reporting scores'!$C$2:$C$352,B21,'S9 reporting scores'!$T$2:$T$352,"Not applicable")</f>
        <v>0</v>
      </c>
      <c r="J21" s="1">
        <f t="shared" si="0"/>
        <v>39</v>
      </c>
      <c r="K21" s="1">
        <f t="shared" si="1"/>
        <v>39</v>
      </c>
      <c r="L21" s="3">
        <f t="shared" si="2"/>
        <v>0</v>
      </c>
      <c r="M21" s="3">
        <f t="shared" si="3"/>
        <v>7.6923076923076927E-2</v>
      </c>
      <c r="N21" s="3">
        <f t="shared" si="4"/>
        <v>0.92307692307692313</v>
      </c>
      <c r="O21" s="3">
        <f t="shared" si="5"/>
        <v>0</v>
      </c>
      <c r="P21" s="3">
        <f t="shared" si="6"/>
        <v>0</v>
      </c>
      <c r="Q21" s="3">
        <f t="shared" si="7"/>
        <v>0.92307692307692313</v>
      </c>
      <c r="R21" s="1" t="s">
        <v>12829</v>
      </c>
    </row>
    <row r="22" spans="1:18" ht="15" customHeight="1">
      <c r="A22" s="1" t="s">
        <v>11914</v>
      </c>
      <c r="B22" s="1" t="s">
        <v>4734</v>
      </c>
      <c r="C22" s="1" t="s">
        <v>4735</v>
      </c>
      <c r="D22" s="1">
        <v>39</v>
      </c>
      <c r="E22" s="1">
        <f>COUNTIFS('S9 reporting scores'!$C$2:$C$352,B22,'S9 reporting scores'!$T$2:$T$352,"Not reported")</f>
        <v>6</v>
      </c>
      <c r="F22" s="1">
        <f>COUNTIFS('S9 reporting scores'!$C$2:$C$352,B22,'S9 reporting scores'!$T$2:$T$352,"Partly reported")</f>
        <v>8</v>
      </c>
      <c r="G22" s="1">
        <f>COUNTIFS('S9 reporting scores'!$C$2:$C$352,B22,'S9 reporting scores'!$T$2:$T$352,"Clearly reported")</f>
        <v>25</v>
      </c>
      <c r="H22" s="1">
        <f>COUNTIFS('S9 reporting scores'!$C$2:$C$352,B22,'S9 reporting scores'!$T$2:$T$352,"Pending")</f>
        <v>0</v>
      </c>
      <c r="I22" s="1">
        <f>COUNTIFS('S9 reporting scores'!$C$2:$C$352,B22,'S9 reporting scores'!$T$2:$T$352,"Not applicable")</f>
        <v>0</v>
      </c>
      <c r="J22" s="1">
        <f t="shared" si="0"/>
        <v>39</v>
      </c>
      <c r="K22" s="1">
        <f t="shared" si="1"/>
        <v>39</v>
      </c>
      <c r="L22" s="3">
        <f t="shared" si="2"/>
        <v>0.15384615384615385</v>
      </c>
      <c r="M22" s="3">
        <f t="shared" si="3"/>
        <v>0.20512820512820512</v>
      </c>
      <c r="N22" s="3">
        <f t="shared" si="4"/>
        <v>0.64102564102564108</v>
      </c>
      <c r="O22" s="3">
        <f t="shared" si="5"/>
        <v>0</v>
      </c>
      <c r="P22" s="3">
        <f t="shared" si="6"/>
        <v>0</v>
      </c>
      <c r="Q22" s="3">
        <f t="shared" si="7"/>
        <v>0.64102564102564108</v>
      </c>
      <c r="R22" s="1" t="s">
        <v>12829</v>
      </c>
    </row>
    <row r="23" spans="1:18" ht="15" customHeight="1">
      <c r="A23" s="1" t="s">
        <v>11914</v>
      </c>
      <c r="B23" s="1" t="s">
        <v>4893</v>
      </c>
      <c r="C23" s="1" t="s">
        <v>4894</v>
      </c>
      <c r="D23" s="1">
        <v>39</v>
      </c>
      <c r="E23" s="1">
        <f>COUNTIFS('S9 reporting scores'!$C$2:$C$352,B23,'S9 reporting scores'!$T$2:$T$352,"Not reported")</f>
        <v>11</v>
      </c>
      <c r="F23" s="1">
        <f>COUNTIFS('S9 reporting scores'!$C$2:$C$352,B23,'S9 reporting scores'!$T$2:$T$352,"Partly reported")</f>
        <v>9</v>
      </c>
      <c r="G23" s="1">
        <f>COUNTIFS('S9 reporting scores'!$C$2:$C$352,B23,'S9 reporting scores'!$T$2:$T$352,"Clearly reported")</f>
        <v>19</v>
      </c>
      <c r="H23" s="1">
        <f>COUNTIFS('S9 reporting scores'!$C$2:$C$352,B23,'S9 reporting scores'!$T$2:$T$352,"Pending")</f>
        <v>0</v>
      </c>
      <c r="I23" s="1">
        <f>COUNTIFS('S9 reporting scores'!$C$2:$C$352,B23,'S9 reporting scores'!$T$2:$T$352,"Not applicable")</f>
        <v>0</v>
      </c>
      <c r="J23" s="1">
        <f t="shared" si="0"/>
        <v>39</v>
      </c>
      <c r="K23" s="1">
        <f t="shared" si="1"/>
        <v>39</v>
      </c>
      <c r="L23" s="3">
        <f t="shared" si="2"/>
        <v>0.28205128205128205</v>
      </c>
      <c r="M23" s="3">
        <f t="shared" si="3"/>
        <v>0.23076923076923078</v>
      </c>
      <c r="N23" s="3">
        <f t="shared" si="4"/>
        <v>0.48717948717948717</v>
      </c>
      <c r="O23" s="3">
        <f t="shared" si="5"/>
        <v>0</v>
      </c>
      <c r="P23" s="3">
        <f t="shared" si="6"/>
        <v>0</v>
      </c>
      <c r="Q23" s="3">
        <f t="shared" si="7"/>
        <v>0.48717948717948717</v>
      </c>
      <c r="R23" s="1" t="s">
        <v>12829</v>
      </c>
    </row>
    <row r="24" spans="1:18" ht="15" customHeight="1">
      <c r="A24" s="1" t="s">
        <v>11914</v>
      </c>
      <c r="B24" s="1" t="s">
        <v>4744</v>
      </c>
      <c r="C24" s="1" t="s">
        <v>4745</v>
      </c>
      <c r="D24" s="1">
        <v>39</v>
      </c>
      <c r="E24" s="1">
        <f>COUNTIFS('S9 reporting scores'!$C$2:$C$352,B24,'S9 reporting scores'!$T$2:$T$352,"Not reported")</f>
        <v>9</v>
      </c>
      <c r="F24" s="1">
        <f>COUNTIFS('S9 reporting scores'!$C$2:$C$352,B24,'S9 reporting scores'!$T$2:$T$352,"Partly reported")</f>
        <v>13</v>
      </c>
      <c r="G24" s="1">
        <f>COUNTIFS('S9 reporting scores'!$C$2:$C$352,B24,'S9 reporting scores'!$T$2:$T$352,"Clearly reported")</f>
        <v>17</v>
      </c>
      <c r="H24" s="1">
        <f>COUNTIFS('S9 reporting scores'!$C$2:$C$352,B24,'S9 reporting scores'!$T$2:$T$352,"Pending")</f>
        <v>0</v>
      </c>
      <c r="I24" s="1">
        <f>COUNTIFS('S9 reporting scores'!$C$2:$C$352,B24,'S9 reporting scores'!$T$2:$T$352,"Not applicable")</f>
        <v>0</v>
      </c>
      <c r="J24" s="1">
        <f t="shared" si="0"/>
        <v>39</v>
      </c>
      <c r="K24" s="1">
        <f t="shared" si="1"/>
        <v>39</v>
      </c>
      <c r="L24" s="3">
        <f t="shared" si="2"/>
        <v>0.23076923076923078</v>
      </c>
      <c r="M24" s="3">
        <f t="shared" si="3"/>
        <v>0.33333333333333331</v>
      </c>
      <c r="N24" s="3">
        <f t="shared" si="4"/>
        <v>0.4358974358974359</v>
      </c>
      <c r="O24" s="3">
        <f t="shared" si="5"/>
        <v>0</v>
      </c>
      <c r="P24" s="3">
        <f t="shared" si="6"/>
        <v>0</v>
      </c>
      <c r="Q24" s="3">
        <f t="shared" si="7"/>
        <v>0.4358974358974359</v>
      </c>
      <c r="R24" s="1" t="s">
        <v>12829</v>
      </c>
    </row>
    <row r="25" spans="1:18" ht="15" customHeight="1">
      <c r="A25" s="1" t="s">
        <v>11914</v>
      </c>
      <c r="B25" s="1" t="s">
        <v>5117</v>
      </c>
      <c r="C25" s="1" t="s">
        <v>5118</v>
      </c>
      <c r="D25" s="1">
        <v>39</v>
      </c>
      <c r="E25" s="1">
        <f>COUNTIFS('S9 reporting scores'!$C$2:$C$352,B25,'S9 reporting scores'!$T$2:$T$352,"Not reported")</f>
        <v>10</v>
      </c>
      <c r="F25" s="1">
        <f>COUNTIFS('S9 reporting scores'!$C$2:$C$352,B25,'S9 reporting scores'!$T$2:$T$352,"Partly reported")</f>
        <v>2</v>
      </c>
      <c r="G25" s="1">
        <f>COUNTIFS('S9 reporting scores'!$C$2:$C$352,B25,'S9 reporting scores'!$T$2:$T$352,"Clearly reported")</f>
        <v>27</v>
      </c>
      <c r="H25" s="1">
        <f>COUNTIFS('S9 reporting scores'!$C$2:$C$352,B25,'S9 reporting scores'!$T$2:$T$352,"Pending")</f>
        <v>0</v>
      </c>
      <c r="I25" s="1">
        <f>COUNTIFS('S9 reporting scores'!$C$2:$C$352,B25,'S9 reporting scores'!$T$2:$T$352,"Not applicable")</f>
        <v>0</v>
      </c>
      <c r="J25" s="1">
        <f t="shared" si="0"/>
        <v>39</v>
      </c>
      <c r="K25" s="1">
        <f t="shared" si="1"/>
        <v>39</v>
      </c>
      <c r="L25" s="3">
        <f t="shared" si="2"/>
        <v>0.25641025641025639</v>
      </c>
      <c r="M25" s="3">
        <f t="shared" si="3"/>
        <v>5.128205128205128E-2</v>
      </c>
      <c r="N25" s="3">
        <f t="shared" si="4"/>
        <v>0.69230769230769229</v>
      </c>
      <c r="O25" s="3">
        <f t="shared" si="5"/>
        <v>0</v>
      </c>
      <c r="P25" s="3">
        <f t="shared" si="6"/>
        <v>0</v>
      </c>
      <c r="Q25" s="3">
        <f t="shared" si="7"/>
        <v>0.69230769230769229</v>
      </c>
      <c r="R25" s="1" t="s">
        <v>12829</v>
      </c>
    </row>
    <row r="26" spans="1:18" ht="15" customHeight="1">
      <c r="A26" s="1" t="s">
        <v>11914</v>
      </c>
      <c r="B26" s="1" t="s">
        <v>4810</v>
      </c>
      <c r="C26" s="1" t="s">
        <v>4811</v>
      </c>
      <c r="D26" s="1">
        <v>39</v>
      </c>
      <c r="E26" s="1">
        <f>COUNTIFS('S9 reporting scores'!$C$2:$C$352,B26,'S9 reporting scores'!$T$2:$T$352,"Not reported")</f>
        <v>22</v>
      </c>
      <c r="F26" s="1">
        <f>COUNTIFS('S9 reporting scores'!$C$2:$C$352,B26,'S9 reporting scores'!$T$2:$T$352,"Partly reported")</f>
        <v>4</v>
      </c>
      <c r="G26" s="1">
        <f>COUNTIFS('S9 reporting scores'!$C$2:$C$352,B26,'S9 reporting scores'!$T$2:$T$352,"Clearly reported")</f>
        <v>13</v>
      </c>
      <c r="H26" s="1">
        <f>COUNTIFS('S9 reporting scores'!$C$2:$C$352,B26,'S9 reporting scores'!$T$2:$T$352,"Pending")</f>
        <v>0</v>
      </c>
      <c r="I26" s="1">
        <f>COUNTIFS('S9 reporting scores'!$C$2:$C$352,B26,'S9 reporting scores'!$T$2:$T$352,"Not applicable")</f>
        <v>0</v>
      </c>
      <c r="J26" s="1">
        <f t="shared" si="0"/>
        <v>39</v>
      </c>
      <c r="K26" s="1">
        <f t="shared" si="1"/>
        <v>39</v>
      </c>
      <c r="L26" s="3">
        <f t="shared" si="2"/>
        <v>0.5641025641025641</v>
      </c>
      <c r="M26" s="3">
        <f t="shared" si="3"/>
        <v>0.10256410256410256</v>
      </c>
      <c r="N26" s="3">
        <f t="shared" si="4"/>
        <v>0.33333333333333331</v>
      </c>
      <c r="O26" s="3">
        <f t="shared" si="5"/>
        <v>0</v>
      </c>
      <c r="P26" s="3">
        <f t="shared" si="6"/>
        <v>0</v>
      </c>
      <c r="Q26" s="3">
        <f t="shared" si="7"/>
        <v>0.33333333333333331</v>
      </c>
      <c r="R26" s="1" t="s">
        <v>12829</v>
      </c>
    </row>
    <row r="27" spans="1:18" ht="15" customHeight="1">
      <c r="A27" s="1" t="s">
        <v>11914</v>
      </c>
      <c r="B27" s="1" t="s">
        <v>4714</v>
      </c>
      <c r="C27" s="1" t="s">
        <v>4715</v>
      </c>
      <c r="D27" s="1">
        <v>39</v>
      </c>
      <c r="E27" s="1">
        <f>COUNTIFS('S9 reporting scores'!$C$2:$C$352,B27,'S9 reporting scores'!$T$2:$T$352,"Not reported")</f>
        <v>0</v>
      </c>
      <c r="F27" s="1">
        <f>COUNTIFS('S9 reporting scores'!$C$2:$C$352,B27,'S9 reporting scores'!$T$2:$T$352,"Partly reported")</f>
        <v>20</v>
      </c>
      <c r="G27" s="1">
        <f>COUNTIFS('S9 reporting scores'!$C$2:$C$352,B27,'S9 reporting scores'!$T$2:$T$352,"Clearly reported")</f>
        <v>19</v>
      </c>
      <c r="H27" s="1">
        <f>COUNTIFS('S9 reporting scores'!$C$2:$C$352,B27,'S9 reporting scores'!$T$2:$T$352,"Pending")</f>
        <v>0</v>
      </c>
      <c r="I27" s="1">
        <f>COUNTIFS('S9 reporting scores'!$C$2:$C$352,B27,'S9 reporting scores'!$T$2:$T$352,"Not applicable")</f>
        <v>0</v>
      </c>
      <c r="J27" s="1">
        <f t="shared" si="0"/>
        <v>39</v>
      </c>
      <c r="K27" s="1">
        <f t="shared" si="1"/>
        <v>39</v>
      </c>
      <c r="L27" s="3">
        <f t="shared" si="2"/>
        <v>0</v>
      </c>
      <c r="M27" s="3">
        <f t="shared" si="3"/>
        <v>0.51282051282051277</v>
      </c>
      <c r="N27" s="3">
        <f t="shared" si="4"/>
        <v>0.48717948717948717</v>
      </c>
      <c r="O27" s="3">
        <f t="shared" si="5"/>
        <v>0</v>
      </c>
      <c r="P27" s="3">
        <f t="shared" si="6"/>
        <v>0</v>
      </c>
      <c r="Q27" s="3">
        <f t="shared" si="7"/>
        <v>0.48717948717948717</v>
      </c>
      <c r="R27" s="1" t="s">
        <v>12829</v>
      </c>
    </row>
    <row r="28" spans="1:18" ht="15" customHeight="1">
      <c r="A28" s="1" t="s">
        <v>11914</v>
      </c>
      <c r="B28" s="1" t="s">
        <v>4689</v>
      </c>
      <c r="C28" s="1" t="s">
        <v>4690</v>
      </c>
      <c r="D28" s="1">
        <v>39</v>
      </c>
      <c r="E28" s="1">
        <f>COUNTIFS('S9 reporting scores'!$C$2:$C$352,B28,'S9 reporting scores'!$T$2:$T$352,"Not reported")</f>
        <v>17</v>
      </c>
      <c r="F28" s="1">
        <f>COUNTIFS('S9 reporting scores'!$C$2:$C$352,B28,'S9 reporting scores'!$T$2:$T$352,"Partly reported")</f>
        <v>9</v>
      </c>
      <c r="G28" s="1">
        <f>COUNTIFS('S9 reporting scores'!$C$2:$C$352,B28,'S9 reporting scores'!$T$2:$T$352,"Clearly reported")</f>
        <v>13</v>
      </c>
      <c r="H28" s="1">
        <f>COUNTIFS('S9 reporting scores'!$C$2:$C$352,B28,'S9 reporting scores'!$T$2:$T$352,"Pending")</f>
        <v>0</v>
      </c>
      <c r="I28" s="1">
        <f>COUNTIFS('S9 reporting scores'!$C$2:$C$352,B28,'S9 reporting scores'!$T$2:$T$352,"Not applicable")</f>
        <v>0</v>
      </c>
      <c r="J28" s="1">
        <f t="shared" si="0"/>
        <v>39</v>
      </c>
      <c r="K28" s="1">
        <f t="shared" si="1"/>
        <v>39</v>
      </c>
      <c r="L28" s="3">
        <f t="shared" si="2"/>
        <v>0.4358974358974359</v>
      </c>
      <c r="M28" s="3">
        <f t="shared" si="3"/>
        <v>0.23076923076923078</v>
      </c>
      <c r="N28" s="3">
        <f t="shared" si="4"/>
        <v>0.33333333333333331</v>
      </c>
      <c r="O28" s="3">
        <f t="shared" si="5"/>
        <v>0</v>
      </c>
      <c r="P28" s="3">
        <f t="shared" si="6"/>
        <v>0</v>
      </c>
      <c r="Q28" s="3">
        <f t="shared" si="7"/>
        <v>0.33333333333333331</v>
      </c>
      <c r="R28" s="1" t="s">
        <v>12829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L657"/>
  <sheetViews>
    <sheetView showGridLines="0" tabSelected="1" workbookViewId="0">
      <pane xSplit="1" ySplit="1" topLeftCell="AK655" activePane="bottomRight" state="frozen"/>
      <selection pane="topRight"/>
      <selection pane="bottomLeft"/>
      <selection pane="bottomRight" activeCell="AM1" sqref="AM1:AM1048576"/>
    </sheetView>
  </sheetViews>
  <sheetFormatPr baseColWidth="10" defaultColWidth="8.83203125" defaultRowHeight="15"/>
  <cols>
    <col min="1" max="3" width="34" customWidth="1"/>
    <col min="4" max="4" width="58" customWidth="1"/>
    <col min="5" max="6" width="16" customWidth="1"/>
    <col min="7" max="7" width="34" customWidth="1"/>
    <col min="8" max="9" width="58" customWidth="1"/>
    <col min="10" max="10" width="34" customWidth="1"/>
    <col min="11" max="11" width="58" customWidth="1"/>
    <col min="12" max="14" width="34" customWidth="1"/>
    <col min="15" max="16" width="58" customWidth="1"/>
    <col min="17" max="17" width="16" customWidth="1"/>
    <col min="18" max="19" width="58" customWidth="1"/>
    <col min="20" max="26" width="34" customWidth="1"/>
    <col min="27" max="28" width="16" customWidth="1"/>
    <col min="29" max="30" width="34" customWidth="1"/>
    <col min="31" max="31" width="58" customWidth="1"/>
    <col min="32" max="35" width="34" customWidth="1"/>
    <col min="36" max="37" width="65" customWidth="1"/>
    <col min="38" max="38" width="25" customWidth="1"/>
  </cols>
  <sheetData>
    <row r="1" spans="1:38" ht="38" customHeight="1">
      <c r="A1" s="2" t="s">
        <v>37</v>
      </c>
      <c r="B1" s="2" t="s">
        <v>11589</v>
      </c>
      <c r="C1" s="2" t="s">
        <v>12830</v>
      </c>
      <c r="D1" s="2" t="s">
        <v>12831</v>
      </c>
      <c r="E1" s="2" t="s">
        <v>4674</v>
      </c>
      <c r="F1" s="2" t="s">
        <v>12832</v>
      </c>
      <c r="G1" s="2" t="s">
        <v>4676</v>
      </c>
      <c r="H1" s="2" t="s">
        <v>12833</v>
      </c>
      <c r="I1" s="2" t="s">
        <v>12834</v>
      </c>
      <c r="J1" s="2" t="s">
        <v>12835</v>
      </c>
      <c r="K1" s="2" t="s">
        <v>12836</v>
      </c>
      <c r="L1" s="2" t="s">
        <v>6072</v>
      </c>
      <c r="M1" s="2" t="s">
        <v>4684</v>
      </c>
      <c r="N1" s="2" t="s">
        <v>4685</v>
      </c>
      <c r="O1" s="2" t="s">
        <v>12837</v>
      </c>
      <c r="P1" s="2" t="s">
        <v>12838</v>
      </c>
      <c r="Q1" s="2" t="s">
        <v>12839</v>
      </c>
      <c r="R1" s="2" t="s">
        <v>12840</v>
      </c>
      <c r="S1" s="2" t="s">
        <v>12841</v>
      </c>
      <c r="T1" s="2" t="s">
        <v>6078</v>
      </c>
      <c r="U1" s="2" t="s">
        <v>12842</v>
      </c>
      <c r="V1" s="2" t="s">
        <v>6080</v>
      </c>
      <c r="W1" s="2" t="s">
        <v>12843</v>
      </c>
      <c r="X1" s="2" t="s">
        <v>12844</v>
      </c>
      <c r="Y1" s="2" t="s">
        <v>12845</v>
      </c>
      <c r="Z1" s="2" t="s">
        <v>12846</v>
      </c>
      <c r="AA1" s="2" t="s">
        <v>12847</v>
      </c>
      <c r="AB1" s="2" t="s">
        <v>12848</v>
      </c>
      <c r="AC1" s="2" t="s">
        <v>12849</v>
      </c>
      <c r="AD1" s="2" t="s">
        <v>12850</v>
      </c>
      <c r="AE1" s="2" t="s">
        <v>12851</v>
      </c>
      <c r="AF1" s="2" t="s">
        <v>12852</v>
      </c>
      <c r="AG1" s="2" t="s">
        <v>12853</v>
      </c>
      <c r="AH1" s="2" t="s">
        <v>12854</v>
      </c>
      <c r="AI1" s="2" t="s">
        <v>12855</v>
      </c>
      <c r="AJ1" s="6" t="s">
        <v>12856</v>
      </c>
      <c r="AK1" s="6" t="s">
        <v>12857</v>
      </c>
      <c r="AL1" s="6" t="s">
        <v>12858</v>
      </c>
    </row>
    <row r="2" spans="1:38" ht="36" customHeight="1">
      <c r="A2" s="1" t="s">
        <v>4687</v>
      </c>
      <c r="B2" s="1" t="s">
        <v>5537</v>
      </c>
      <c r="C2" s="1" t="s">
        <v>5538</v>
      </c>
      <c r="D2" s="1" t="s">
        <v>4747</v>
      </c>
      <c r="E2" s="1">
        <v>0</v>
      </c>
      <c r="F2" s="1"/>
      <c r="G2" s="1" t="s">
        <v>12859</v>
      </c>
      <c r="H2" s="1" t="s">
        <v>6088</v>
      </c>
      <c r="I2" s="1" t="s">
        <v>4747</v>
      </c>
      <c r="J2" s="1"/>
      <c r="K2" s="1"/>
      <c r="L2" s="1" t="s">
        <v>12860</v>
      </c>
      <c r="M2" s="1" t="s">
        <v>12861</v>
      </c>
      <c r="N2" s="1" t="s">
        <v>12862</v>
      </c>
      <c r="O2" s="1"/>
      <c r="P2" s="1" t="s">
        <v>12863</v>
      </c>
      <c r="Q2" s="1"/>
      <c r="R2" s="1"/>
      <c r="S2" s="1"/>
      <c r="T2" s="1"/>
      <c r="U2" s="1"/>
      <c r="V2" s="1"/>
      <c r="W2" s="1"/>
      <c r="X2" s="1"/>
      <c r="Y2" s="1"/>
      <c r="Z2" s="1"/>
      <c r="AA2" s="1">
        <f t="shared" ref="AA2:AA65" si="0">IF(OR(ISNUMBER(F2),F2="NA"),F2,IF(AD2="uncertain","",IF(OR(ISNUMBER(AC2),AC2="NA"),AC2,E2)))</f>
        <v>0</v>
      </c>
      <c r="AB2" s="1" t="str">
        <f t="shared" ref="AB2:AB16" si="1">IF(OR(ISNUMBER(F2),F2="NA"),"Reviewer confirmed",IF(AD2="uncertain","Unresolved under clarified rule",IF(AND(OR(ISNUMBER(AC2),AC2="NA"),AC2&lt;&gt;E2),"Analyst scope correction","R2 retained")))</f>
        <v>R2 retained</v>
      </c>
      <c r="AC2" s="1"/>
      <c r="AD2" s="1"/>
      <c r="AE2" s="1"/>
      <c r="AF2" s="1"/>
      <c r="AG2" s="1"/>
      <c r="AH2" s="1"/>
      <c r="AI2" s="1">
        <f t="shared" ref="AI2:AI65" si="2">IF(OR(R2&lt;&gt;"",AD2&lt;&gt;""),1,0)</f>
        <v>0</v>
      </c>
      <c r="AJ2" s="5"/>
      <c r="AK2" s="5"/>
      <c r="AL2" s="5"/>
    </row>
    <row r="3" spans="1:38" ht="36" customHeight="1">
      <c r="A3" s="1" t="s">
        <v>4687</v>
      </c>
      <c r="B3" s="1" t="s">
        <v>5542</v>
      </c>
      <c r="C3" s="1" t="s">
        <v>5543</v>
      </c>
      <c r="D3" s="1" t="s">
        <v>4747</v>
      </c>
      <c r="E3" s="1">
        <v>0</v>
      </c>
      <c r="F3" s="1"/>
      <c r="G3" s="1" t="s">
        <v>12859</v>
      </c>
      <c r="H3" s="1" t="s">
        <v>6088</v>
      </c>
      <c r="I3" s="1" t="s">
        <v>4747</v>
      </c>
      <c r="J3" s="1"/>
      <c r="K3" s="1"/>
      <c r="L3" s="1" t="s">
        <v>12860</v>
      </c>
      <c r="M3" s="1" t="s">
        <v>12864</v>
      </c>
      <c r="N3" s="1" t="s">
        <v>12865</v>
      </c>
      <c r="O3" s="1"/>
      <c r="P3" s="1" t="s">
        <v>12863</v>
      </c>
      <c r="Q3" s="1"/>
      <c r="R3" s="1"/>
      <c r="S3" s="1"/>
      <c r="T3" s="1"/>
      <c r="U3" s="1"/>
      <c r="V3" s="1"/>
      <c r="W3" s="1"/>
      <c r="X3" s="1"/>
      <c r="Y3" s="1"/>
      <c r="Z3" s="1"/>
      <c r="AA3" s="1">
        <f t="shared" si="0"/>
        <v>0</v>
      </c>
      <c r="AB3" s="1" t="str">
        <f t="shared" si="1"/>
        <v>R2 retained</v>
      </c>
      <c r="AC3" s="1"/>
      <c r="AD3" s="1"/>
      <c r="AE3" s="1"/>
      <c r="AF3" s="1"/>
      <c r="AG3" s="1"/>
      <c r="AH3" s="1"/>
      <c r="AI3" s="1">
        <f t="shared" si="2"/>
        <v>0</v>
      </c>
      <c r="AJ3" s="5"/>
      <c r="AK3" s="5"/>
      <c r="AL3" s="7" t="s">
        <v>15077</v>
      </c>
    </row>
    <row r="4" spans="1:38" ht="36" customHeight="1">
      <c r="A4" s="1" t="s">
        <v>4687</v>
      </c>
      <c r="B4" s="1" t="s">
        <v>5547</v>
      </c>
      <c r="C4" s="1" t="s">
        <v>5548</v>
      </c>
      <c r="D4" s="1" t="s">
        <v>4747</v>
      </c>
      <c r="E4" s="1">
        <v>1</v>
      </c>
      <c r="F4" s="1"/>
      <c r="G4" s="1" t="s">
        <v>12859</v>
      </c>
      <c r="H4" s="1" t="s">
        <v>6088</v>
      </c>
      <c r="I4" s="1" t="s">
        <v>4862</v>
      </c>
      <c r="J4" s="1"/>
      <c r="K4" s="1"/>
      <c r="L4" s="1" t="s">
        <v>12860</v>
      </c>
      <c r="M4" s="1" t="s">
        <v>12866</v>
      </c>
      <c r="N4" s="1" t="s">
        <v>12867</v>
      </c>
      <c r="O4" s="1"/>
      <c r="P4" s="1" t="s">
        <v>12868</v>
      </c>
      <c r="Q4" s="1"/>
      <c r="R4" s="1"/>
      <c r="S4" s="1"/>
      <c r="T4" s="1"/>
      <c r="U4" s="1"/>
      <c r="V4" s="1"/>
      <c r="W4" s="1"/>
      <c r="X4" s="1"/>
      <c r="Y4" s="1"/>
      <c r="Z4" s="1"/>
      <c r="AA4" s="1">
        <f t="shared" si="0"/>
        <v>1</v>
      </c>
      <c r="AB4" s="1" t="str">
        <f t="shared" si="1"/>
        <v>R2 retained</v>
      </c>
      <c r="AC4" s="1"/>
      <c r="AD4" s="1"/>
      <c r="AE4" s="1"/>
      <c r="AF4" s="1"/>
      <c r="AG4" s="1"/>
      <c r="AH4" s="1"/>
      <c r="AI4" s="1">
        <f t="shared" si="2"/>
        <v>0</v>
      </c>
      <c r="AJ4" s="5"/>
      <c r="AK4" s="5"/>
      <c r="AL4" s="7" t="s">
        <v>15077</v>
      </c>
    </row>
    <row r="5" spans="1:38" ht="36" customHeight="1">
      <c r="A5" s="1" t="s">
        <v>4687</v>
      </c>
      <c r="B5" s="1" t="s">
        <v>5552</v>
      </c>
      <c r="C5" s="1" t="s">
        <v>5553</v>
      </c>
      <c r="D5" s="1" t="s">
        <v>12869</v>
      </c>
      <c r="E5" s="1">
        <v>1</v>
      </c>
      <c r="F5" s="1"/>
      <c r="G5" s="1" t="s">
        <v>12859</v>
      </c>
      <c r="H5" s="1" t="s">
        <v>6088</v>
      </c>
      <c r="I5" s="1" t="s">
        <v>4764</v>
      </c>
      <c r="J5" s="1"/>
      <c r="K5" s="1"/>
      <c r="L5" s="1" t="s">
        <v>12860</v>
      </c>
      <c r="M5" s="1" t="s">
        <v>12870</v>
      </c>
      <c r="N5" s="1" t="s">
        <v>12871</v>
      </c>
      <c r="O5" s="1"/>
      <c r="P5" s="1" t="s">
        <v>12868</v>
      </c>
      <c r="Q5" s="1"/>
      <c r="R5" s="1"/>
      <c r="S5" s="1"/>
      <c r="T5" s="1"/>
      <c r="U5" s="1"/>
      <c r="V5" s="1"/>
      <c r="W5" s="1"/>
      <c r="X5" s="1"/>
      <c r="Y5" s="1"/>
      <c r="Z5" s="1"/>
      <c r="AA5" s="1">
        <f t="shared" si="0"/>
        <v>1</v>
      </c>
      <c r="AB5" s="1" t="str">
        <f t="shared" si="1"/>
        <v>R2 retained</v>
      </c>
      <c r="AC5" s="1"/>
      <c r="AD5" s="1"/>
      <c r="AE5" s="1"/>
      <c r="AF5" s="1"/>
      <c r="AG5" s="1"/>
      <c r="AH5" s="1"/>
      <c r="AI5" s="1">
        <f t="shared" si="2"/>
        <v>0</v>
      </c>
      <c r="AJ5" s="5"/>
      <c r="AK5" s="5"/>
      <c r="AL5" s="7" t="s">
        <v>15077</v>
      </c>
    </row>
    <row r="6" spans="1:38" ht="36" customHeight="1">
      <c r="A6" s="1" t="s">
        <v>4687</v>
      </c>
      <c r="B6" s="1" t="s">
        <v>5557</v>
      </c>
      <c r="C6" s="1" t="s">
        <v>5558</v>
      </c>
      <c r="D6" s="1" t="s">
        <v>6145</v>
      </c>
      <c r="E6" s="1">
        <v>0</v>
      </c>
      <c r="F6" s="1"/>
      <c r="G6" s="1" t="s">
        <v>12859</v>
      </c>
      <c r="H6" s="1" t="s">
        <v>6088</v>
      </c>
      <c r="I6" s="1" t="s">
        <v>4747</v>
      </c>
      <c r="J6" s="1"/>
      <c r="K6" s="1"/>
      <c r="L6" s="1" t="s">
        <v>12860</v>
      </c>
      <c r="M6" s="1" t="s">
        <v>6147</v>
      </c>
      <c r="N6" s="1" t="s">
        <v>12872</v>
      </c>
      <c r="O6" s="1"/>
      <c r="P6" s="1" t="s">
        <v>12863</v>
      </c>
      <c r="Q6" s="1"/>
      <c r="R6" s="1"/>
      <c r="S6" s="1"/>
      <c r="T6" s="1"/>
      <c r="U6" s="1"/>
      <c r="V6" s="1"/>
      <c r="W6" s="1"/>
      <c r="X6" s="1"/>
      <c r="Y6" s="1"/>
      <c r="Z6" s="1"/>
      <c r="AA6" s="1">
        <f t="shared" si="0"/>
        <v>0</v>
      </c>
      <c r="AB6" s="1" t="str">
        <f t="shared" si="1"/>
        <v>R2 retained</v>
      </c>
      <c r="AC6" s="1"/>
      <c r="AD6" s="1"/>
      <c r="AE6" s="1"/>
      <c r="AF6" s="1"/>
      <c r="AG6" s="1"/>
      <c r="AH6" s="1"/>
      <c r="AI6" s="1">
        <f t="shared" si="2"/>
        <v>0</v>
      </c>
      <c r="AJ6" s="5"/>
      <c r="AK6" s="5"/>
      <c r="AL6" s="7" t="s">
        <v>15077</v>
      </c>
    </row>
    <row r="7" spans="1:38" ht="120" customHeight="1">
      <c r="A7" s="1" t="s">
        <v>4687</v>
      </c>
      <c r="B7" s="1" t="s">
        <v>5562</v>
      </c>
      <c r="C7" s="1" t="s">
        <v>5563</v>
      </c>
      <c r="D7" s="1" t="s">
        <v>6150</v>
      </c>
      <c r="E7" s="1">
        <v>1</v>
      </c>
      <c r="F7" s="1">
        <v>1</v>
      </c>
      <c r="G7" s="1" t="s">
        <v>12873</v>
      </c>
      <c r="H7" s="1" t="s">
        <v>6088</v>
      </c>
      <c r="I7" s="1"/>
      <c r="J7" s="1"/>
      <c r="K7" s="1"/>
      <c r="L7" s="1" t="s">
        <v>12860</v>
      </c>
      <c r="M7" s="1" t="s">
        <v>6152</v>
      </c>
      <c r="N7" s="1" t="s">
        <v>12874</v>
      </c>
      <c r="O7" s="1" t="s">
        <v>12875</v>
      </c>
      <c r="P7" s="1" t="s">
        <v>12876</v>
      </c>
      <c r="Q7" s="1">
        <v>1</v>
      </c>
      <c r="R7" s="1" t="s">
        <v>12877</v>
      </c>
      <c r="S7" s="1" t="s">
        <v>12878</v>
      </c>
      <c r="T7" s="1" t="s">
        <v>12879</v>
      </c>
      <c r="U7" s="1" t="s">
        <v>6095</v>
      </c>
      <c r="V7" s="1" t="s">
        <v>6096</v>
      </c>
      <c r="W7" s="1" t="s">
        <v>12880</v>
      </c>
      <c r="X7" s="1" t="s">
        <v>12881</v>
      </c>
      <c r="Y7" s="1" t="s">
        <v>12882</v>
      </c>
      <c r="Z7" s="1" t="s">
        <v>12883</v>
      </c>
      <c r="AA7" s="1">
        <f t="shared" si="0"/>
        <v>1</v>
      </c>
      <c r="AB7" s="1" t="str">
        <f t="shared" si="1"/>
        <v>Reviewer confirmed</v>
      </c>
      <c r="AC7" s="1">
        <v>1</v>
      </c>
      <c r="AD7" s="1" t="s">
        <v>12884</v>
      </c>
      <c r="AE7" s="1" t="s">
        <v>12885</v>
      </c>
      <c r="AF7" s="1" t="s">
        <v>12886</v>
      </c>
      <c r="AG7" s="1" t="s">
        <v>6095</v>
      </c>
      <c r="AH7" s="1" t="s">
        <v>6096</v>
      </c>
      <c r="AI7" s="1">
        <f t="shared" si="2"/>
        <v>1</v>
      </c>
      <c r="AJ7" s="5"/>
      <c r="AK7" s="5"/>
      <c r="AL7" s="7" t="s">
        <v>15077</v>
      </c>
    </row>
    <row r="8" spans="1:38" ht="36" customHeight="1">
      <c r="A8" s="1" t="s">
        <v>4687</v>
      </c>
      <c r="B8" s="1" t="s">
        <v>5567</v>
      </c>
      <c r="C8" s="1" t="s">
        <v>5568</v>
      </c>
      <c r="D8" s="1" t="s">
        <v>12887</v>
      </c>
      <c r="E8" s="1">
        <v>0</v>
      </c>
      <c r="F8" s="1"/>
      <c r="G8" s="1" t="s">
        <v>12859</v>
      </c>
      <c r="H8" s="1" t="s">
        <v>6088</v>
      </c>
      <c r="I8" s="1" t="s">
        <v>4747</v>
      </c>
      <c r="J8" s="1"/>
      <c r="K8" s="1"/>
      <c r="L8" s="1" t="s">
        <v>12860</v>
      </c>
      <c r="M8" s="1" t="s">
        <v>12888</v>
      </c>
      <c r="N8" s="1" t="s">
        <v>12889</v>
      </c>
      <c r="O8" s="1"/>
      <c r="P8" s="1" t="s">
        <v>12863</v>
      </c>
      <c r="Q8" s="1"/>
      <c r="R8" s="1"/>
      <c r="S8" s="1"/>
      <c r="T8" s="1"/>
      <c r="U8" s="1"/>
      <c r="V8" s="1"/>
      <c r="W8" s="1"/>
      <c r="X8" s="1"/>
      <c r="Y8" s="1"/>
      <c r="Z8" s="1"/>
      <c r="AA8" s="1">
        <f t="shared" si="0"/>
        <v>0</v>
      </c>
      <c r="AB8" s="1" t="str">
        <f t="shared" si="1"/>
        <v>R2 retained</v>
      </c>
      <c r="AC8" s="1"/>
      <c r="AD8" s="1"/>
      <c r="AE8" s="1"/>
      <c r="AF8" s="1"/>
      <c r="AG8" s="1"/>
      <c r="AH8" s="1"/>
      <c r="AI8" s="1">
        <f t="shared" si="2"/>
        <v>0</v>
      </c>
      <c r="AJ8" s="5"/>
      <c r="AK8" s="5"/>
      <c r="AL8" s="7" t="s">
        <v>15077</v>
      </c>
    </row>
    <row r="9" spans="1:38" ht="36" customHeight="1">
      <c r="A9" s="1" t="s">
        <v>4687</v>
      </c>
      <c r="B9" s="1" t="s">
        <v>5572</v>
      </c>
      <c r="C9" s="1" t="s">
        <v>5573</v>
      </c>
      <c r="D9" s="1" t="s">
        <v>12890</v>
      </c>
      <c r="E9" s="1">
        <v>1</v>
      </c>
      <c r="F9" s="1"/>
      <c r="G9" s="1" t="s">
        <v>12859</v>
      </c>
      <c r="H9" s="1" t="s">
        <v>6088</v>
      </c>
      <c r="I9" s="1" t="s">
        <v>4959</v>
      </c>
      <c r="J9" s="1"/>
      <c r="K9" s="1"/>
      <c r="L9" s="1" t="s">
        <v>12860</v>
      </c>
      <c r="M9" s="1" t="s">
        <v>12891</v>
      </c>
      <c r="N9" s="1" t="s">
        <v>12892</v>
      </c>
      <c r="O9" s="1"/>
      <c r="P9" s="1" t="s">
        <v>12868</v>
      </c>
      <c r="Q9" s="1"/>
      <c r="R9" s="1"/>
      <c r="S9" s="1"/>
      <c r="T9" s="1"/>
      <c r="U9" s="1"/>
      <c r="V9" s="1"/>
      <c r="W9" s="1"/>
      <c r="X9" s="1"/>
      <c r="Y9" s="1"/>
      <c r="Z9" s="1"/>
      <c r="AA9" s="1">
        <f t="shared" si="0"/>
        <v>1</v>
      </c>
      <c r="AB9" s="1" t="str">
        <f t="shared" si="1"/>
        <v>R2 retained</v>
      </c>
      <c r="AC9" s="1"/>
      <c r="AD9" s="1"/>
      <c r="AE9" s="1"/>
      <c r="AF9" s="1"/>
      <c r="AG9" s="1"/>
      <c r="AH9" s="1"/>
      <c r="AI9" s="1">
        <f t="shared" si="2"/>
        <v>0</v>
      </c>
      <c r="AJ9" s="5"/>
      <c r="AK9" s="5"/>
      <c r="AL9" s="7" t="s">
        <v>15077</v>
      </c>
    </row>
    <row r="10" spans="1:38" ht="36" customHeight="1">
      <c r="A10" s="1" t="s">
        <v>4687</v>
      </c>
      <c r="B10" s="1" t="s">
        <v>5577</v>
      </c>
      <c r="C10" s="1" t="s">
        <v>5578</v>
      </c>
      <c r="D10" s="1" t="s">
        <v>4747</v>
      </c>
      <c r="E10" s="1">
        <v>2</v>
      </c>
      <c r="F10" s="1"/>
      <c r="G10" s="1" t="s">
        <v>12859</v>
      </c>
      <c r="H10" s="1" t="s">
        <v>6088</v>
      </c>
      <c r="I10" s="1" t="s">
        <v>4896</v>
      </c>
      <c r="J10" s="1"/>
      <c r="K10" s="1"/>
      <c r="L10" s="1" t="s">
        <v>12860</v>
      </c>
      <c r="M10" s="1" t="s">
        <v>12893</v>
      </c>
      <c r="N10" s="1" t="s">
        <v>12894</v>
      </c>
      <c r="O10" s="1"/>
      <c r="P10" s="1" t="s">
        <v>12868</v>
      </c>
      <c r="Q10" s="1"/>
      <c r="R10" s="1"/>
      <c r="S10" s="1"/>
      <c r="T10" s="1"/>
      <c r="U10" s="1"/>
      <c r="V10" s="1"/>
      <c r="W10" s="1"/>
      <c r="X10" s="1"/>
      <c r="Y10" s="1"/>
      <c r="Z10" s="1"/>
      <c r="AA10" s="1">
        <f t="shared" si="0"/>
        <v>2</v>
      </c>
      <c r="AB10" s="1" t="str">
        <f t="shared" si="1"/>
        <v>R2 retained</v>
      </c>
      <c r="AC10" s="1"/>
      <c r="AD10" s="1"/>
      <c r="AE10" s="1"/>
      <c r="AF10" s="1"/>
      <c r="AG10" s="1"/>
      <c r="AH10" s="1"/>
      <c r="AI10" s="1">
        <f t="shared" si="2"/>
        <v>0</v>
      </c>
      <c r="AJ10" s="5"/>
      <c r="AK10" s="5"/>
      <c r="AL10" s="7" t="s">
        <v>15077</v>
      </c>
    </row>
    <row r="11" spans="1:38" ht="36" customHeight="1">
      <c r="A11" s="1" t="s">
        <v>4687</v>
      </c>
      <c r="B11" s="1" t="s">
        <v>5582</v>
      </c>
      <c r="C11" s="1" t="s">
        <v>5583</v>
      </c>
      <c r="D11" s="1" t="s">
        <v>4747</v>
      </c>
      <c r="E11" s="1">
        <v>0</v>
      </c>
      <c r="F11" s="1"/>
      <c r="G11" s="1" t="s">
        <v>12859</v>
      </c>
      <c r="H11" s="1" t="s">
        <v>6088</v>
      </c>
      <c r="I11" s="1" t="s">
        <v>4747</v>
      </c>
      <c r="J11" s="1"/>
      <c r="K11" s="1"/>
      <c r="L11" s="1" t="s">
        <v>12860</v>
      </c>
      <c r="M11" s="1" t="s">
        <v>6207</v>
      </c>
      <c r="N11" s="1" t="s">
        <v>12895</v>
      </c>
      <c r="O11" s="1"/>
      <c r="P11" s="1" t="s">
        <v>12863</v>
      </c>
      <c r="Q11" s="1"/>
      <c r="R11" s="1"/>
      <c r="S11" s="1"/>
      <c r="T11" s="1"/>
      <c r="U11" s="1"/>
      <c r="V11" s="1"/>
      <c r="W11" s="1"/>
      <c r="X11" s="1"/>
      <c r="Y11" s="1"/>
      <c r="Z11" s="1"/>
      <c r="AA11" s="1">
        <f t="shared" si="0"/>
        <v>0</v>
      </c>
      <c r="AB11" s="1" t="str">
        <f t="shared" si="1"/>
        <v>R2 retained</v>
      </c>
      <c r="AC11" s="1">
        <v>0</v>
      </c>
      <c r="AD11" s="1" t="s">
        <v>12884</v>
      </c>
      <c r="AE11" s="1" t="s">
        <v>12896</v>
      </c>
      <c r="AF11" s="1" t="s">
        <v>12897</v>
      </c>
      <c r="AG11" s="1" t="s">
        <v>6095</v>
      </c>
      <c r="AH11" s="1" t="s">
        <v>6096</v>
      </c>
      <c r="AI11" s="1">
        <f t="shared" si="2"/>
        <v>1</v>
      </c>
      <c r="AJ11" s="5" t="s">
        <v>12898</v>
      </c>
      <c r="AK11" s="5" t="s">
        <v>12899</v>
      </c>
      <c r="AL11" s="7" t="s">
        <v>15077</v>
      </c>
    </row>
    <row r="12" spans="1:38" ht="36" customHeight="1">
      <c r="A12" s="1" t="s">
        <v>4687</v>
      </c>
      <c r="B12" s="1" t="s">
        <v>5586</v>
      </c>
      <c r="C12" s="1" t="s">
        <v>5587</v>
      </c>
      <c r="D12" s="1" t="s">
        <v>4747</v>
      </c>
      <c r="E12" s="1">
        <v>0</v>
      </c>
      <c r="F12" s="1"/>
      <c r="G12" s="1" t="s">
        <v>12859</v>
      </c>
      <c r="H12" s="1" t="s">
        <v>6088</v>
      </c>
      <c r="I12" s="1" t="s">
        <v>4747</v>
      </c>
      <c r="J12" s="1"/>
      <c r="K12" s="1"/>
      <c r="L12" s="1" t="s">
        <v>12860</v>
      </c>
      <c r="M12" s="1" t="s">
        <v>12900</v>
      </c>
      <c r="N12" s="1" t="s">
        <v>12901</v>
      </c>
      <c r="O12" s="1"/>
      <c r="P12" s="1" t="s">
        <v>12863</v>
      </c>
      <c r="Q12" s="1"/>
      <c r="R12" s="1"/>
      <c r="S12" s="1"/>
      <c r="T12" s="1"/>
      <c r="U12" s="1"/>
      <c r="V12" s="1"/>
      <c r="W12" s="1"/>
      <c r="X12" s="1"/>
      <c r="Y12" s="1"/>
      <c r="Z12" s="1"/>
      <c r="AA12" s="1">
        <f t="shared" si="0"/>
        <v>0</v>
      </c>
      <c r="AB12" s="1" t="str">
        <f t="shared" si="1"/>
        <v>R2 retained</v>
      </c>
      <c r="AC12" s="1"/>
      <c r="AD12" s="1"/>
      <c r="AE12" s="1"/>
      <c r="AF12" s="1"/>
      <c r="AG12" s="1"/>
      <c r="AH12" s="1"/>
      <c r="AI12" s="1">
        <f t="shared" si="2"/>
        <v>0</v>
      </c>
      <c r="AJ12" s="5"/>
      <c r="AK12" s="5"/>
      <c r="AL12" s="7" t="s">
        <v>15077</v>
      </c>
    </row>
    <row r="13" spans="1:38" ht="72" customHeight="1">
      <c r="A13" s="1" t="s">
        <v>4687</v>
      </c>
      <c r="B13" s="1" t="s">
        <v>5591</v>
      </c>
      <c r="C13" s="1" t="s">
        <v>5592</v>
      </c>
      <c r="D13" s="1" t="s">
        <v>4747</v>
      </c>
      <c r="E13" s="1">
        <v>0</v>
      </c>
      <c r="F13" s="1"/>
      <c r="G13" s="1" t="s">
        <v>12859</v>
      </c>
      <c r="H13" s="1" t="s">
        <v>6088</v>
      </c>
      <c r="I13" s="1" t="s">
        <v>4747</v>
      </c>
      <c r="J13" s="1"/>
      <c r="K13" s="1"/>
      <c r="L13" s="1" t="s">
        <v>12860</v>
      </c>
      <c r="M13" s="1" t="s">
        <v>12902</v>
      </c>
      <c r="N13" s="1" t="s">
        <v>12903</v>
      </c>
      <c r="O13" s="1"/>
      <c r="P13" s="1" t="s">
        <v>12863</v>
      </c>
      <c r="Q13" s="1">
        <v>0</v>
      </c>
      <c r="R13" s="1" t="s">
        <v>12904</v>
      </c>
      <c r="S13" s="1" t="s">
        <v>12905</v>
      </c>
      <c r="T13" s="1" t="s">
        <v>12906</v>
      </c>
      <c r="U13" s="1" t="s">
        <v>6095</v>
      </c>
      <c r="V13" s="1" t="s">
        <v>6096</v>
      </c>
      <c r="W13" s="1" t="s">
        <v>12907</v>
      </c>
      <c r="X13" s="1"/>
      <c r="Y13" s="1"/>
      <c r="Z13" s="1" t="s">
        <v>12908</v>
      </c>
      <c r="AA13" s="1">
        <f t="shared" si="0"/>
        <v>0</v>
      </c>
      <c r="AB13" s="1" t="str">
        <f t="shared" si="1"/>
        <v>R2 retained</v>
      </c>
      <c r="AC13" s="1">
        <v>0</v>
      </c>
      <c r="AD13" s="1" t="s">
        <v>12884</v>
      </c>
      <c r="AE13" s="1" t="s">
        <v>12905</v>
      </c>
      <c r="AF13" s="1" t="s">
        <v>12906</v>
      </c>
      <c r="AG13" s="1" t="s">
        <v>6095</v>
      </c>
      <c r="AH13" s="1" t="s">
        <v>6096</v>
      </c>
      <c r="AI13" s="1">
        <f t="shared" si="2"/>
        <v>1</v>
      </c>
      <c r="AJ13" s="5" t="s">
        <v>12898</v>
      </c>
      <c r="AK13" s="5" t="s">
        <v>12899</v>
      </c>
      <c r="AL13" s="7" t="s">
        <v>15077</v>
      </c>
    </row>
    <row r="14" spans="1:38" ht="36" customHeight="1">
      <c r="A14" s="1" t="s">
        <v>4687</v>
      </c>
      <c r="B14" s="1" t="s">
        <v>5596</v>
      </c>
      <c r="C14" s="1" t="s">
        <v>5597</v>
      </c>
      <c r="D14" s="1" t="s">
        <v>12909</v>
      </c>
      <c r="E14" s="1">
        <v>1</v>
      </c>
      <c r="F14" s="1"/>
      <c r="G14" s="1" t="s">
        <v>12859</v>
      </c>
      <c r="H14" s="1" t="s">
        <v>6088</v>
      </c>
      <c r="I14" s="1" t="s">
        <v>4845</v>
      </c>
      <c r="J14" s="1"/>
      <c r="K14" s="1"/>
      <c r="L14" s="1" t="s">
        <v>12860</v>
      </c>
      <c r="M14" s="1" t="s">
        <v>12910</v>
      </c>
      <c r="N14" s="1" t="s">
        <v>12911</v>
      </c>
      <c r="O14" s="1"/>
      <c r="P14" s="1" t="s">
        <v>12868</v>
      </c>
      <c r="Q14" s="1"/>
      <c r="R14" s="1"/>
      <c r="S14" s="1"/>
      <c r="T14" s="1"/>
      <c r="U14" s="1"/>
      <c r="V14" s="1"/>
      <c r="W14" s="1"/>
      <c r="X14" s="1"/>
      <c r="Y14" s="1"/>
      <c r="Z14" s="1"/>
      <c r="AA14" s="1">
        <f t="shared" si="0"/>
        <v>1</v>
      </c>
      <c r="AB14" s="1" t="str">
        <f t="shared" si="1"/>
        <v>R2 retained</v>
      </c>
      <c r="AC14" s="1"/>
      <c r="AD14" s="1"/>
      <c r="AE14" s="1"/>
      <c r="AF14" s="1"/>
      <c r="AG14" s="1"/>
      <c r="AH14" s="1"/>
      <c r="AI14" s="1">
        <f t="shared" si="2"/>
        <v>0</v>
      </c>
      <c r="AJ14" s="5"/>
      <c r="AK14" s="5"/>
      <c r="AL14" s="7" t="s">
        <v>15077</v>
      </c>
    </row>
    <row r="15" spans="1:38" ht="36" customHeight="1">
      <c r="A15" s="1" t="s">
        <v>4687</v>
      </c>
      <c r="B15" s="1" t="s">
        <v>5601</v>
      </c>
      <c r="C15" s="1" t="s">
        <v>5602</v>
      </c>
      <c r="D15" s="1" t="s">
        <v>6223</v>
      </c>
      <c r="E15" s="1">
        <v>1</v>
      </c>
      <c r="F15" s="1"/>
      <c r="G15" s="1" t="s">
        <v>12859</v>
      </c>
      <c r="H15" s="1" t="s">
        <v>6088</v>
      </c>
      <c r="I15" s="1" t="s">
        <v>12912</v>
      </c>
      <c r="J15" s="1"/>
      <c r="K15" s="1"/>
      <c r="L15" s="1" t="s">
        <v>12860</v>
      </c>
      <c r="M15" s="1" t="s">
        <v>6225</v>
      </c>
      <c r="N15" s="1" t="s">
        <v>12913</v>
      </c>
      <c r="O15" s="1"/>
      <c r="P15" s="1" t="s">
        <v>12868</v>
      </c>
      <c r="Q15" s="1"/>
      <c r="R15" s="1"/>
      <c r="S15" s="1"/>
      <c r="T15" s="1"/>
      <c r="U15" s="1"/>
      <c r="V15" s="1"/>
      <c r="W15" s="1"/>
      <c r="X15" s="1"/>
      <c r="Y15" s="1"/>
      <c r="Z15" s="1"/>
      <c r="AA15" s="1">
        <f t="shared" si="0"/>
        <v>1</v>
      </c>
      <c r="AB15" s="1" t="str">
        <f t="shared" si="1"/>
        <v>R2 retained</v>
      </c>
      <c r="AC15" s="1"/>
      <c r="AD15" s="1"/>
      <c r="AE15" s="1"/>
      <c r="AF15" s="1"/>
      <c r="AG15" s="1"/>
      <c r="AH15" s="1"/>
      <c r="AI15" s="1">
        <f t="shared" si="2"/>
        <v>0</v>
      </c>
      <c r="AJ15" s="5"/>
      <c r="AK15" s="5"/>
      <c r="AL15" s="7" t="s">
        <v>15077</v>
      </c>
    </row>
    <row r="16" spans="1:38" ht="36" customHeight="1">
      <c r="A16" s="1" t="s">
        <v>4687</v>
      </c>
      <c r="B16" s="1" t="s">
        <v>5606</v>
      </c>
      <c r="C16" s="1" t="s">
        <v>5607</v>
      </c>
      <c r="D16" s="1" t="s">
        <v>6228</v>
      </c>
      <c r="E16" s="1">
        <v>2</v>
      </c>
      <c r="F16" s="1"/>
      <c r="G16" s="1" t="s">
        <v>12859</v>
      </c>
      <c r="H16" s="1" t="s">
        <v>6088</v>
      </c>
      <c r="I16" s="1" t="s">
        <v>4959</v>
      </c>
      <c r="J16" s="1"/>
      <c r="K16" s="1"/>
      <c r="L16" s="1" t="s">
        <v>12860</v>
      </c>
      <c r="M16" s="1" t="s">
        <v>6230</v>
      </c>
      <c r="N16" s="1" t="s">
        <v>12914</v>
      </c>
      <c r="O16" s="1"/>
      <c r="P16" s="1" t="s">
        <v>12868</v>
      </c>
      <c r="Q16" s="1"/>
      <c r="R16" s="1"/>
      <c r="S16" s="1"/>
      <c r="T16" s="1"/>
      <c r="U16" s="1"/>
      <c r="V16" s="1"/>
      <c r="W16" s="1"/>
      <c r="X16" s="1"/>
      <c r="Y16" s="1"/>
      <c r="Z16" s="1"/>
      <c r="AA16" s="1">
        <f t="shared" si="0"/>
        <v>2</v>
      </c>
      <c r="AB16" s="1" t="str">
        <f t="shared" si="1"/>
        <v>R2 retained</v>
      </c>
      <c r="AC16" s="1"/>
      <c r="AD16" s="1"/>
      <c r="AE16" s="1"/>
      <c r="AF16" s="1"/>
      <c r="AG16" s="1"/>
      <c r="AH16" s="1"/>
      <c r="AI16" s="1">
        <f t="shared" si="2"/>
        <v>0</v>
      </c>
      <c r="AJ16" s="5"/>
      <c r="AK16" s="5"/>
      <c r="AL16" s="7" t="s">
        <v>15077</v>
      </c>
    </row>
    <row r="17" spans="1:38" ht="84" customHeight="1">
      <c r="A17" s="1" t="s">
        <v>4687</v>
      </c>
      <c r="B17" s="1" t="s">
        <v>5454</v>
      </c>
      <c r="C17" s="1" t="s">
        <v>5455</v>
      </c>
      <c r="D17" s="1" t="s">
        <v>4747</v>
      </c>
      <c r="E17" s="1">
        <v>1</v>
      </c>
      <c r="F17" s="1">
        <v>0</v>
      </c>
      <c r="G17" s="1" t="s">
        <v>4691</v>
      </c>
      <c r="H17" s="1" t="s">
        <v>6088</v>
      </c>
      <c r="I17" s="1" t="s">
        <v>5178</v>
      </c>
      <c r="J17" s="1"/>
      <c r="K17" s="1"/>
      <c r="L17" s="1" t="s">
        <v>12860</v>
      </c>
      <c r="M17" s="1" t="s">
        <v>6234</v>
      </c>
      <c r="N17" s="1" t="s">
        <v>12915</v>
      </c>
      <c r="O17" s="1" t="s">
        <v>12916</v>
      </c>
      <c r="P17" s="1" t="s">
        <v>12917</v>
      </c>
      <c r="Q17" s="1"/>
      <c r="R17" s="1"/>
      <c r="S17" s="1"/>
      <c r="T17" s="1"/>
      <c r="U17" s="1"/>
      <c r="V17" s="1"/>
      <c r="W17" s="1"/>
      <c r="X17" s="1"/>
      <c r="Y17" s="1" t="s">
        <v>5666</v>
      </c>
      <c r="Z17" s="1" t="s">
        <v>12918</v>
      </c>
      <c r="AA17" s="1">
        <f t="shared" si="0"/>
        <v>0</v>
      </c>
      <c r="AB17" s="1" t="str">
        <f>IF(OR(ISNUMBER(F17),F17="NA"),"Reviewer confirmed","Analyst proposed resolution")</f>
        <v>Reviewer confirmed</v>
      </c>
      <c r="AC17" s="1">
        <v>0</v>
      </c>
      <c r="AD17" s="1" t="s">
        <v>12919</v>
      </c>
      <c r="AE17" s="1" t="s">
        <v>5666</v>
      </c>
      <c r="AF17" s="1" t="s">
        <v>5665</v>
      </c>
      <c r="AG17" s="1" t="s">
        <v>5667</v>
      </c>
      <c r="AH17" s="1" t="s">
        <v>5461</v>
      </c>
      <c r="AI17" s="1">
        <f t="shared" si="2"/>
        <v>1</v>
      </c>
      <c r="AJ17" s="5" t="s">
        <v>12898</v>
      </c>
      <c r="AK17" s="5" t="s">
        <v>12899</v>
      </c>
      <c r="AL17" s="7" t="s">
        <v>15077</v>
      </c>
    </row>
    <row r="18" spans="1:38" ht="84" customHeight="1">
      <c r="A18" s="1" t="s">
        <v>4701</v>
      </c>
      <c r="B18" s="1" t="s">
        <v>5537</v>
      </c>
      <c r="C18" s="1" t="s">
        <v>5538</v>
      </c>
      <c r="D18" s="1" t="s">
        <v>4747</v>
      </c>
      <c r="E18" s="1">
        <v>0</v>
      </c>
      <c r="F18" s="1">
        <v>2</v>
      </c>
      <c r="G18" s="1" t="s">
        <v>12873</v>
      </c>
      <c r="H18" s="1" t="s">
        <v>6253</v>
      </c>
      <c r="I18" s="1" t="s">
        <v>4747</v>
      </c>
      <c r="J18" s="1"/>
      <c r="K18" s="1"/>
      <c r="L18" s="1" t="s">
        <v>12860</v>
      </c>
      <c r="M18" s="1" t="s">
        <v>12920</v>
      </c>
      <c r="N18" s="1" t="s">
        <v>12921</v>
      </c>
      <c r="O18" s="1" t="s">
        <v>12922</v>
      </c>
      <c r="P18" s="1" t="s">
        <v>12863</v>
      </c>
      <c r="Q18" s="1">
        <v>2</v>
      </c>
      <c r="R18" s="1" t="s">
        <v>12877</v>
      </c>
      <c r="S18" s="1" t="s">
        <v>12923</v>
      </c>
      <c r="T18" s="1" t="s">
        <v>6367</v>
      </c>
      <c r="U18" s="1" t="s">
        <v>6258</v>
      </c>
      <c r="V18" s="1" t="s">
        <v>6096</v>
      </c>
      <c r="W18" s="1"/>
      <c r="X18" s="1"/>
      <c r="Y18" s="1" t="s">
        <v>12924</v>
      </c>
      <c r="Z18" s="1" t="s">
        <v>12883</v>
      </c>
      <c r="AA18" s="1">
        <f t="shared" si="0"/>
        <v>2</v>
      </c>
      <c r="AB18" s="1" t="str">
        <f t="shared" ref="AB18:AB49" si="3">IF(OR(ISNUMBER(F18),F18="NA"),"Reviewer confirmed",IF(AD18="uncertain","Unresolved under clarified rule",IF(AND(OR(ISNUMBER(AC18),AC18="NA"),AC18&lt;&gt;E18),"Analyst scope correction","R2 retained")))</f>
        <v>Reviewer confirmed</v>
      </c>
      <c r="AC18" s="1"/>
      <c r="AD18" s="1"/>
      <c r="AE18" s="1"/>
      <c r="AF18" s="1"/>
      <c r="AG18" s="1"/>
      <c r="AH18" s="1"/>
      <c r="AI18" s="1">
        <f t="shared" si="2"/>
        <v>1</v>
      </c>
      <c r="AJ18" s="5"/>
      <c r="AK18" s="5"/>
      <c r="AL18" s="7" t="s">
        <v>15077</v>
      </c>
    </row>
    <row r="19" spans="1:38" ht="36" customHeight="1">
      <c r="A19" s="1" t="s">
        <v>4701</v>
      </c>
      <c r="B19" s="1" t="s">
        <v>5542</v>
      </c>
      <c r="C19" s="1" t="s">
        <v>5543</v>
      </c>
      <c r="D19" s="1" t="s">
        <v>4747</v>
      </c>
      <c r="E19" s="1">
        <v>0</v>
      </c>
      <c r="F19" s="1"/>
      <c r="G19" s="1" t="s">
        <v>12859</v>
      </c>
      <c r="H19" s="1" t="s">
        <v>6253</v>
      </c>
      <c r="I19" s="1" t="s">
        <v>4747</v>
      </c>
      <c r="J19" s="1"/>
      <c r="K19" s="1"/>
      <c r="L19" s="1" t="s">
        <v>12860</v>
      </c>
      <c r="M19" s="1" t="s">
        <v>12925</v>
      </c>
      <c r="N19" s="1" t="s">
        <v>12926</v>
      </c>
      <c r="O19" s="1"/>
      <c r="P19" s="1" t="s">
        <v>12863</v>
      </c>
      <c r="Q19" s="1"/>
      <c r="R19" s="1"/>
      <c r="S19" s="1"/>
      <c r="T19" s="1"/>
      <c r="U19" s="1"/>
      <c r="V19" s="1"/>
      <c r="W19" s="1"/>
      <c r="X19" s="1"/>
      <c r="Y19" s="1"/>
      <c r="Z19" s="1"/>
      <c r="AA19" s="1">
        <f t="shared" si="0"/>
        <v>0</v>
      </c>
      <c r="AB19" s="1" t="str">
        <f t="shared" si="3"/>
        <v>R2 retained</v>
      </c>
      <c r="AC19" s="1"/>
      <c r="AD19" s="1"/>
      <c r="AE19" s="1"/>
      <c r="AF19" s="1"/>
      <c r="AG19" s="1"/>
      <c r="AH19" s="1"/>
      <c r="AI19" s="1">
        <f t="shared" si="2"/>
        <v>0</v>
      </c>
      <c r="AJ19" s="5"/>
      <c r="AK19" s="5"/>
      <c r="AL19" s="7" t="s">
        <v>15077</v>
      </c>
    </row>
    <row r="20" spans="1:38" ht="36" customHeight="1">
      <c r="A20" s="1" t="s">
        <v>4701</v>
      </c>
      <c r="B20" s="1" t="s">
        <v>5547</v>
      </c>
      <c r="C20" s="1" t="s">
        <v>5548</v>
      </c>
      <c r="D20" s="1" t="s">
        <v>4747</v>
      </c>
      <c r="E20" s="1">
        <v>1</v>
      </c>
      <c r="F20" s="1"/>
      <c r="G20" s="1" t="s">
        <v>12859</v>
      </c>
      <c r="H20" s="1" t="s">
        <v>6253</v>
      </c>
      <c r="I20" s="1" t="s">
        <v>4737</v>
      </c>
      <c r="J20" s="1"/>
      <c r="K20" s="1"/>
      <c r="L20" s="1" t="s">
        <v>12860</v>
      </c>
      <c r="M20" s="1" t="s">
        <v>12927</v>
      </c>
      <c r="N20" s="1" t="s">
        <v>12928</v>
      </c>
      <c r="O20" s="1"/>
      <c r="P20" s="1" t="s">
        <v>12868</v>
      </c>
      <c r="Q20" s="1"/>
      <c r="R20" s="1"/>
      <c r="S20" s="1"/>
      <c r="T20" s="1"/>
      <c r="U20" s="1"/>
      <c r="V20" s="1"/>
      <c r="W20" s="1"/>
      <c r="X20" s="1"/>
      <c r="Y20" s="1"/>
      <c r="Z20" s="1"/>
      <c r="AA20" s="1">
        <f t="shared" si="0"/>
        <v>1</v>
      </c>
      <c r="AB20" s="1" t="str">
        <f t="shared" si="3"/>
        <v>R2 retained</v>
      </c>
      <c r="AC20" s="1"/>
      <c r="AD20" s="1"/>
      <c r="AE20" s="1"/>
      <c r="AF20" s="1"/>
      <c r="AG20" s="1"/>
      <c r="AH20" s="1"/>
      <c r="AI20" s="1">
        <f t="shared" si="2"/>
        <v>0</v>
      </c>
      <c r="AJ20" s="5"/>
      <c r="AK20" s="5"/>
      <c r="AL20" s="7" t="s">
        <v>15077</v>
      </c>
    </row>
    <row r="21" spans="1:38" ht="36" customHeight="1">
      <c r="A21" s="1" t="s">
        <v>4701</v>
      </c>
      <c r="B21" s="1" t="s">
        <v>5552</v>
      </c>
      <c r="C21" s="1" t="s">
        <v>5553</v>
      </c>
      <c r="D21" s="1" t="s">
        <v>12929</v>
      </c>
      <c r="E21" s="1">
        <v>0</v>
      </c>
      <c r="F21" s="1"/>
      <c r="G21" s="1" t="s">
        <v>12859</v>
      </c>
      <c r="H21" s="1" t="s">
        <v>6253</v>
      </c>
      <c r="I21" s="1" t="s">
        <v>4747</v>
      </c>
      <c r="J21" s="1"/>
      <c r="K21" s="1" t="s">
        <v>4719</v>
      </c>
      <c r="L21" s="1" t="s">
        <v>12930</v>
      </c>
      <c r="M21" s="1" t="s">
        <v>12931</v>
      </c>
      <c r="N21" s="1" t="s">
        <v>12932</v>
      </c>
      <c r="O21" s="1" t="s">
        <v>6292</v>
      </c>
      <c r="P21" s="1" t="s">
        <v>12863</v>
      </c>
      <c r="Q21" s="1"/>
      <c r="R21" s="1"/>
      <c r="S21" s="1"/>
      <c r="T21" s="1"/>
      <c r="U21" s="1"/>
      <c r="V21" s="1"/>
      <c r="W21" s="1"/>
      <c r="X21" s="1"/>
      <c r="Y21" s="1"/>
      <c r="Z21" s="1"/>
      <c r="AA21" s="1">
        <f t="shared" si="0"/>
        <v>0</v>
      </c>
      <c r="AB21" s="1" t="str">
        <f t="shared" si="3"/>
        <v>R2 retained</v>
      </c>
      <c r="AC21" s="1"/>
      <c r="AD21" s="1"/>
      <c r="AE21" s="1"/>
      <c r="AF21" s="1"/>
      <c r="AG21" s="1"/>
      <c r="AH21" s="1"/>
      <c r="AI21" s="1">
        <f t="shared" si="2"/>
        <v>0</v>
      </c>
      <c r="AJ21" s="5"/>
      <c r="AK21" s="5"/>
      <c r="AL21" s="7" t="s">
        <v>15077</v>
      </c>
    </row>
    <row r="22" spans="1:38" ht="36" customHeight="1">
      <c r="A22" s="1" t="s">
        <v>4701</v>
      </c>
      <c r="B22" s="1" t="s">
        <v>5557</v>
      </c>
      <c r="C22" s="1" t="s">
        <v>5558</v>
      </c>
      <c r="D22" s="1" t="s">
        <v>6296</v>
      </c>
      <c r="E22" s="1">
        <v>0</v>
      </c>
      <c r="F22" s="1"/>
      <c r="G22" s="1" t="s">
        <v>12859</v>
      </c>
      <c r="H22" s="1" t="s">
        <v>6253</v>
      </c>
      <c r="I22" s="1" t="s">
        <v>4747</v>
      </c>
      <c r="J22" s="1"/>
      <c r="K22" s="1"/>
      <c r="L22" s="1" t="s">
        <v>12860</v>
      </c>
      <c r="M22" s="1" t="s">
        <v>6298</v>
      </c>
      <c r="N22" s="1" t="s">
        <v>12933</v>
      </c>
      <c r="O22" s="1"/>
      <c r="P22" s="1" t="s">
        <v>12863</v>
      </c>
      <c r="Q22" s="1"/>
      <c r="R22" s="1"/>
      <c r="S22" s="1"/>
      <c r="T22" s="1"/>
      <c r="U22" s="1"/>
      <c r="V22" s="1"/>
      <c r="W22" s="1"/>
      <c r="X22" s="1"/>
      <c r="Y22" s="1"/>
      <c r="Z22" s="1"/>
      <c r="AA22" s="1">
        <f t="shared" si="0"/>
        <v>0</v>
      </c>
      <c r="AB22" s="1" t="str">
        <f t="shared" si="3"/>
        <v>R2 retained</v>
      </c>
      <c r="AC22" s="1"/>
      <c r="AD22" s="1"/>
      <c r="AE22" s="1"/>
      <c r="AF22" s="1"/>
      <c r="AG22" s="1"/>
      <c r="AH22" s="1"/>
      <c r="AI22" s="1">
        <f t="shared" si="2"/>
        <v>0</v>
      </c>
      <c r="AJ22" s="5"/>
      <c r="AK22" s="5"/>
      <c r="AL22" s="7" t="s">
        <v>15077</v>
      </c>
    </row>
    <row r="23" spans="1:38" ht="60" customHeight="1">
      <c r="A23" s="1" t="s">
        <v>4701</v>
      </c>
      <c r="B23" s="1" t="s">
        <v>5562</v>
      </c>
      <c r="C23" s="1" t="s">
        <v>5563</v>
      </c>
      <c r="D23" s="1" t="s">
        <v>5677</v>
      </c>
      <c r="E23" s="1">
        <v>0</v>
      </c>
      <c r="F23" s="1">
        <v>1</v>
      </c>
      <c r="G23" s="1" t="s">
        <v>4691</v>
      </c>
      <c r="H23" s="1" t="s">
        <v>6253</v>
      </c>
      <c r="I23" s="1" t="s">
        <v>4747</v>
      </c>
      <c r="J23" s="1"/>
      <c r="K23" s="1"/>
      <c r="L23" s="1" t="s">
        <v>12860</v>
      </c>
      <c r="M23" s="1" t="s">
        <v>6303</v>
      </c>
      <c r="N23" s="1" t="s">
        <v>12934</v>
      </c>
      <c r="O23" s="1" t="s">
        <v>12935</v>
      </c>
      <c r="P23" s="1" t="s">
        <v>12917</v>
      </c>
      <c r="Q23" s="1"/>
      <c r="R23" s="1"/>
      <c r="S23" s="1"/>
      <c r="T23" s="1"/>
      <c r="U23" s="1"/>
      <c r="V23" s="1"/>
      <c r="W23" s="1"/>
      <c r="X23" s="1"/>
      <c r="Y23" s="1" t="s">
        <v>5679</v>
      </c>
      <c r="Z23" s="1" t="s">
        <v>12918</v>
      </c>
      <c r="AA23" s="1">
        <f t="shared" si="0"/>
        <v>1</v>
      </c>
      <c r="AB23" s="1" t="str">
        <f t="shared" si="3"/>
        <v>Reviewer confirmed</v>
      </c>
      <c r="AC23" s="1">
        <v>1</v>
      </c>
      <c r="AD23" s="1" t="s">
        <v>12936</v>
      </c>
      <c r="AE23" s="1" t="s">
        <v>5679</v>
      </c>
      <c r="AF23" s="1" t="s">
        <v>5678</v>
      </c>
      <c r="AG23" s="1" t="s">
        <v>5680</v>
      </c>
      <c r="AH23" s="1" t="s">
        <v>5461</v>
      </c>
      <c r="AI23" s="1">
        <f t="shared" si="2"/>
        <v>1</v>
      </c>
      <c r="AJ23" s="5"/>
      <c r="AK23" s="5"/>
      <c r="AL23" s="7" t="s">
        <v>15077</v>
      </c>
    </row>
    <row r="24" spans="1:38" ht="36" customHeight="1">
      <c r="A24" s="1" t="s">
        <v>4701</v>
      </c>
      <c r="B24" s="1" t="s">
        <v>5567</v>
      </c>
      <c r="C24" s="1" t="s">
        <v>5568</v>
      </c>
      <c r="D24" s="1" t="s">
        <v>6307</v>
      </c>
      <c r="E24" s="1">
        <v>0</v>
      </c>
      <c r="F24" s="1"/>
      <c r="G24" s="1" t="s">
        <v>12859</v>
      </c>
      <c r="H24" s="1" t="s">
        <v>6253</v>
      </c>
      <c r="I24" s="1" t="s">
        <v>4747</v>
      </c>
      <c r="J24" s="1"/>
      <c r="K24" s="1"/>
      <c r="L24" s="1" t="s">
        <v>12860</v>
      </c>
      <c r="M24" s="1" t="s">
        <v>12937</v>
      </c>
      <c r="N24" s="1" t="s">
        <v>12938</v>
      </c>
      <c r="O24" s="1"/>
      <c r="P24" s="1" t="s">
        <v>12863</v>
      </c>
      <c r="Q24" s="1"/>
      <c r="R24" s="1"/>
      <c r="S24" s="1"/>
      <c r="T24" s="1"/>
      <c r="U24" s="1"/>
      <c r="V24" s="1"/>
      <c r="W24" s="1"/>
      <c r="X24" s="1"/>
      <c r="Y24" s="1"/>
      <c r="Z24" s="1"/>
      <c r="AA24" s="1">
        <f t="shared" si="0"/>
        <v>0</v>
      </c>
      <c r="AB24" s="1" t="str">
        <f t="shared" si="3"/>
        <v>R2 retained</v>
      </c>
      <c r="AC24" s="1"/>
      <c r="AD24" s="1"/>
      <c r="AE24" s="1"/>
      <c r="AF24" s="1"/>
      <c r="AG24" s="1"/>
      <c r="AH24" s="1"/>
      <c r="AI24" s="1">
        <f t="shared" si="2"/>
        <v>0</v>
      </c>
      <c r="AJ24" s="5"/>
      <c r="AK24" s="5"/>
      <c r="AL24" s="7" t="s">
        <v>15077</v>
      </c>
    </row>
    <row r="25" spans="1:38" ht="84" customHeight="1">
      <c r="A25" s="1" t="s">
        <v>4701</v>
      </c>
      <c r="B25" s="1" t="s">
        <v>5572</v>
      </c>
      <c r="C25" s="1" t="s">
        <v>5573</v>
      </c>
      <c r="D25" s="1" t="s">
        <v>12939</v>
      </c>
      <c r="E25" s="1">
        <v>0</v>
      </c>
      <c r="F25" s="1">
        <v>1</v>
      </c>
      <c r="G25" s="1" t="s">
        <v>12873</v>
      </c>
      <c r="H25" s="1" t="s">
        <v>6253</v>
      </c>
      <c r="I25" s="1" t="s">
        <v>4747</v>
      </c>
      <c r="J25" s="1"/>
      <c r="K25" s="1"/>
      <c r="L25" s="1" t="s">
        <v>12860</v>
      </c>
      <c r="M25" s="1" t="s">
        <v>12940</v>
      </c>
      <c r="N25" s="1" t="s">
        <v>12941</v>
      </c>
      <c r="O25" s="1" t="s">
        <v>12942</v>
      </c>
      <c r="P25" s="1" t="s">
        <v>12863</v>
      </c>
      <c r="Q25" s="1">
        <v>1</v>
      </c>
      <c r="R25" s="1" t="s">
        <v>12877</v>
      </c>
      <c r="S25" s="1" t="s">
        <v>12943</v>
      </c>
      <c r="T25" s="1" t="s">
        <v>6367</v>
      </c>
      <c r="U25" s="1" t="s">
        <v>6258</v>
      </c>
      <c r="V25" s="1" t="s">
        <v>6096</v>
      </c>
      <c r="W25" s="1"/>
      <c r="X25" s="1"/>
      <c r="Y25" s="1" t="s">
        <v>12944</v>
      </c>
      <c r="Z25" s="1" t="s">
        <v>12883</v>
      </c>
      <c r="AA25" s="1">
        <f t="shared" si="0"/>
        <v>1</v>
      </c>
      <c r="AB25" s="1" t="str">
        <f t="shared" si="3"/>
        <v>Reviewer confirmed</v>
      </c>
      <c r="AC25" s="1"/>
      <c r="AD25" s="1"/>
      <c r="AE25" s="1"/>
      <c r="AF25" s="1"/>
      <c r="AG25" s="1"/>
      <c r="AH25" s="1"/>
      <c r="AI25" s="1">
        <f t="shared" si="2"/>
        <v>1</v>
      </c>
      <c r="AJ25" s="5"/>
      <c r="AK25" s="5"/>
      <c r="AL25" s="7" t="s">
        <v>15077</v>
      </c>
    </row>
    <row r="26" spans="1:38" ht="36" customHeight="1">
      <c r="A26" s="1" t="s">
        <v>4701</v>
      </c>
      <c r="B26" s="1" t="s">
        <v>5577</v>
      </c>
      <c r="C26" s="1" t="s">
        <v>5578</v>
      </c>
      <c r="D26" s="1" t="s">
        <v>12945</v>
      </c>
      <c r="E26" s="1">
        <v>2</v>
      </c>
      <c r="F26" s="1"/>
      <c r="G26" s="1" t="s">
        <v>12859</v>
      </c>
      <c r="H26" s="1" t="s">
        <v>6253</v>
      </c>
      <c r="I26" s="1" t="s">
        <v>4862</v>
      </c>
      <c r="J26" s="1"/>
      <c r="K26" s="1"/>
      <c r="L26" s="1" t="s">
        <v>12860</v>
      </c>
      <c r="M26" s="1" t="s">
        <v>12946</v>
      </c>
      <c r="N26" s="1" t="s">
        <v>12947</v>
      </c>
      <c r="O26" s="1"/>
      <c r="P26" s="1" t="s">
        <v>12868</v>
      </c>
      <c r="Q26" s="1"/>
      <c r="R26" s="1"/>
      <c r="S26" s="1"/>
      <c r="T26" s="1"/>
      <c r="U26" s="1"/>
      <c r="V26" s="1"/>
      <c r="W26" s="1"/>
      <c r="X26" s="1"/>
      <c r="Y26" s="1"/>
      <c r="Z26" s="1"/>
      <c r="AA26" s="1">
        <f t="shared" si="0"/>
        <v>2</v>
      </c>
      <c r="AB26" s="1" t="str">
        <f t="shared" si="3"/>
        <v>R2 retained</v>
      </c>
      <c r="AC26" s="1"/>
      <c r="AD26" s="1"/>
      <c r="AE26" s="1"/>
      <c r="AF26" s="1"/>
      <c r="AG26" s="1"/>
      <c r="AH26" s="1"/>
      <c r="AI26" s="1">
        <f t="shared" si="2"/>
        <v>0</v>
      </c>
      <c r="AJ26" s="5"/>
      <c r="AK26" s="5"/>
      <c r="AL26" s="7" t="s">
        <v>15077</v>
      </c>
    </row>
    <row r="27" spans="1:38" ht="96" customHeight="1">
      <c r="A27" s="1" t="s">
        <v>4701</v>
      </c>
      <c r="B27" s="1" t="s">
        <v>5582</v>
      </c>
      <c r="C27" s="1" t="s">
        <v>5583</v>
      </c>
      <c r="D27" s="1" t="s">
        <v>4747</v>
      </c>
      <c r="E27" s="1">
        <v>0</v>
      </c>
      <c r="F27" s="1">
        <v>2</v>
      </c>
      <c r="G27" s="1" t="s">
        <v>12873</v>
      </c>
      <c r="H27" s="1" t="s">
        <v>6253</v>
      </c>
      <c r="I27" s="1" t="s">
        <v>4747</v>
      </c>
      <c r="J27" s="1"/>
      <c r="K27" s="1"/>
      <c r="L27" s="1" t="s">
        <v>12860</v>
      </c>
      <c r="M27" s="1" t="s">
        <v>6364</v>
      </c>
      <c r="N27" s="1" t="s">
        <v>12948</v>
      </c>
      <c r="O27" s="1" t="s">
        <v>12949</v>
      </c>
      <c r="P27" s="1" t="s">
        <v>12863</v>
      </c>
      <c r="Q27" s="1">
        <v>2</v>
      </c>
      <c r="R27" s="1" t="s">
        <v>12877</v>
      </c>
      <c r="S27" s="1" t="s">
        <v>12950</v>
      </c>
      <c r="T27" s="1" t="s">
        <v>6367</v>
      </c>
      <c r="U27" s="1" t="s">
        <v>6258</v>
      </c>
      <c r="V27" s="1" t="s">
        <v>6096</v>
      </c>
      <c r="W27" s="1"/>
      <c r="X27" s="1"/>
      <c r="Y27" s="1" t="s">
        <v>12951</v>
      </c>
      <c r="Z27" s="1" t="s">
        <v>12883</v>
      </c>
      <c r="AA27" s="1">
        <f t="shared" si="0"/>
        <v>2</v>
      </c>
      <c r="AB27" s="1" t="str">
        <f t="shared" si="3"/>
        <v>Reviewer confirmed</v>
      </c>
      <c r="AC27" s="1">
        <v>2</v>
      </c>
      <c r="AD27" s="1" t="s">
        <v>12936</v>
      </c>
      <c r="AE27" s="1" t="s">
        <v>12952</v>
      </c>
      <c r="AF27" s="1" t="s">
        <v>12953</v>
      </c>
      <c r="AG27" s="1" t="s">
        <v>6258</v>
      </c>
      <c r="AH27" s="1" t="s">
        <v>6096</v>
      </c>
      <c r="AI27" s="1">
        <f t="shared" si="2"/>
        <v>1</v>
      </c>
      <c r="AJ27" s="5" t="s">
        <v>12898</v>
      </c>
      <c r="AK27" s="5" t="s">
        <v>12899</v>
      </c>
      <c r="AL27" s="7" t="s">
        <v>15077</v>
      </c>
    </row>
    <row r="28" spans="1:38" ht="36" customHeight="1">
      <c r="A28" s="1" t="s">
        <v>4701</v>
      </c>
      <c r="B28" s="1" t="s">
        <v>5586</v>
      </c>
      <c r="C28" s="1" t="s">
        <v>5587</v>
      </c>
      <c r="D28" s="1" t="s">
        <v>4747</v>
      </c>
      <c r="E28" s="1">
        <v>0</v>
      </c>
      <c r="F28" s="1"/>
      <c r="G28" s="1" t="s">
        <v>12859</v>
      </c>
      <c r="H28" s="1" t="s">
        <v>6253</v>
      </c>
      <c r="I28" s="1" t="s">
        <v>4747</v>
      </c>
      <c r="J28" s="1"/>
      <c r="K28" s="1"/>
      <c r="L28" s="1" t="s">
        <v>12860</v>
      </c>
      <c r="M28" s="1" t="s">
        <v>12954</v>
      </c>
      <c r="N28" s="1" t="s">
        <v>12955</v>
      </c>
      <c r="O28" s="1"/>
      <c r="P28" s="1" t="s">
        <v>12863</v>
      </c>
      <c r="Q28" s="1"/>
      <c r="R28" s="1"/>
      <c r="S28" s="1"/>
      <c r="T28" s="1"/>
      <c r="U28" s="1"/>
      <c r="V28" s="1"/>
      <c r="W28" s="1"/>
      <c r="X28" s="1"/>
      <c r="Y28" s="1"/>
      <c r="Z28" s="1"/>
      <c r="AA28" s="1">
        <f t="shared" si="0"/>
        <v>0</v>
      </c>
      <c r="AB28" s="1" t="str">
        <f t="shared" si="3"/>
        <v>R2 retained</v>
      </c>
      <c r="AC28" s="1"/>
      <c r="AD28" s="1"/>
      <c r="AE28" s="1"/>
      <c r="AF28" s="1"/>
      <c r="AG28" s="1"/>
      <c r="AH28" s="1"/>
      <c r="AI28" s="1">
        <f t="shared" si="2"/>
        <v>0</v>
      </c>
      <c r="AJ28" s="5"/>
      <c r="AK28" s="5"/>
      <c r="AL28" s="7" t="s">
        <v>15077</v>
      </c>
    </row>
    <row r="29" spans="1:38" ht="96" customHeight="1">
      <c r="A29" s="1" t="s">
        <v>4701</v>
      </c>
      <c r="B29" s="1" t="s">
        <v>5591</v>
      </c>
      <c r="C29" s="1" t="s">
        <v>5592</v>
      </c>
      <c r="D29" s="1" t="s">
        <v>12956</v>
      </c>
      <c r="E29" s="1">
        <v>1</v>
      </c>
      <c r="F29" s="1">
        <v>0</v>
      </c>
      <c r="G29" s="1" t="s">
        <v>12873</v>
      </c>
      <c r="H29" s="1" t="s">
        <v>6253</v>
      </c>
      <c r="I29" s="1"/>
      <c r="J29" s="1"/>
      <c r="K29" s="1"/>
      <c r="L29" s="1" t="s">
        <v>12860</v>
      </c>
      <c r="M29" s="1" t="s">
        <v>12957</v>
      </c>
      <c r="N29" s="1" t="s">
        <v>12958</v>
      </c>
      <c r="O29" s="1" t="s">
        <v>12959</v>
      </c>
      <c r="P29" s="1" t="s">
        <v>12876</v>
      </c>
      <c r="Q29" s="1">
        <v>0</v>
      </c>
      <c r="R29" s="1" t="s">
        <v>12877</v>
      </c>
      <c r="S29" s="1" t="s">
        <v>12960</v>
      </c>
      <c r="T29" s="1" t="s">
        <v>12961</v>
      </c>
      <c r="U29" s="1" t="s">
        <v>6258</v>
      </c>
      <c r="V29" s="1" t="s">
        <v>6096</v>
      </c>
      <c r="W29" s="1" t="s">
        <v>12880</v>
      </c>
      <c r="X29" s="1"/>
      <c r="Y29" s="1" t="s">
        <v>12962</v>
      </c>
      <c r="Z29" s="1" t="s">
        <v>12883</v>
      </c>
      <c r="AA29" s="1">
        <f t="shared" si="0"/>
        <v>0</v>
      </c>
      <c r="AB29" s="1" t="str">
        <f t="shared" si="3"/>
        <v>Reviewer confirmed</v>
      </c>
      <c r="AC29" s="1">
        <v>0</v>
      </c>
      <c r="AD29" s="1" t="s">
        <v>12936</v>
      </c>
      <c r="AE29" s="1" t="s">
        <v>12963</v>
      </c>
      <c r="AF29" s="1" t="s">
        <v>12961</v>
      </c>
      <c r="AG29" s="1" t="s">
        <v>6258</v>
      </c>
      <c r="AH29" s="1" t="s">
        <v>6096</v>
      </c>
      <c r="AI29" s="1">
        <f t="shared" si="2"/>
        <v>1</v>
      </c>
      <c r="AJ29" s="5" t="s">
        <v>12898</v>
      </c>
      <c r="AK29" s="5" t="s">
        <v>12899</v>
      </c>
      <c r="AL29" s="7" t="s">
        <v>15077</v>
      </c>
    </row>
    <row r="30" spans="1:38" ht="36" customHeight="1">
      <c r="A30" s="1" t="s">
        <v>4701</v>
      </c>
      <c r="B30" s="1" t="s">
        <v>5596</v>
      </c>
      <c r="C30" s="1" t="s">
        <v>5597</v>
      </c>
      <c r="D30" s="1" t="s">
        <v>4747</v>
      </c>
      <c r="E30" s="1">
        <v>0</v>
      </c>
      <c r="F30" s="1"/>
      <c r="G30" s="1" t="s">
        <v>12859</v>
      </c>
      <c r="H30" s="1" t="s">
        <v>6253</v>
      </c>
      <c r="I30" s="1" t="s">
        <v>4747</v>
      </c>
      <c r="J30" s="1"/>
      <c r="K30" s="1"/>
      <c r="L30" s="1" t="s">
        <v>12860</v>
      </c>
      <c r="M30" s="1" t="s">
        <v>12964</v>
      </c>
      <c r="N30" s="1" t="s">
        <v>12965</v>
      </c>
      <c r="O30" s="1"/>
      <c r="P30" s="1" t="s">
        <v>12863</v>
      </c>
      <c r="Q30" s="1"/>
      <c r="R30" s="1"/>
      <c r="S30" s="1"/>
      <c r="T30" s="1"/>
      <c r="U30" s="1"/>
      <c r="V30" s="1"/>
      <c r="W30" s="1"/>
      <c r="X30" s="1"/>
      <c r="Y30" s="1"/>
      <c r="Z30" s="1"/>
      <c r="AA30" s="1">
        <f t="shared" si="0"/>
        <v>0</v>
      </c>
      <c r="AB30" s="1" t="str">
        <f t="shared" si="3"/>
        <v>R2 retained</v>
      </c>
      <c r="AC30" s="1"/>
      <c r="AD30" s="1"/>
      <c r="AE30" s="1"/>
      <c r="AF30" s="1"/>
      <c r="AG30" s="1"/>
      <c r="AH30" s="1"/>
      <c r="AI30" s="1">
        <f t="shared" si="2"/>
        <v>0</v>
      </c>
      <c r="AJ30" s="5"/>
      <c r="AK30" s="5"/>
      <c r="AL30" s="7" t="s">
        <v>15077</v>
      </c>
    </row>
    <row r="31" spans="1:38" ht="36" customHeight="1">
      <c r="A31" s="1" t="s">
        <v>4701</v>
      </c>
      <c r="B31" s="1" t="s">
        <v>5601</v>
      </c>
      <c r="C31" s="1" t="s">
        <v>5602</v>
      </c>
      <c r="D31" s="1" t="s">
        <v>4747</v>
      </c>
      <c r="E31" s="1">
        <v>1</v>
      </c>
      <c r="F31" s="1"/>
      <c r="G31" s="1" t="s">
        <v>12859</v>
      </c>
      <c r="H31" s="1" t="s">
        <v>6253</v>
      </c>
      <c r="I31" s="1" t="s">
        <v>4862</v>
      </c>
      <c r="J31" s="1"/>
      <c r="K31" s="1"/>
      <c r="L31" s="1" t="s">
        <v>12860</v>
      </c>
      <c r="M31" s="1" t="s">
        <v>6382</v>
      </c>
      <c r="N31" s="1" t="s">
        <v>12966</v>
      </c>
      <c r="O31" s="1"/>
      <c r="P31" s="1" t="s">
        <v>12868</v>
      </c>
      <c r="Q31" s="1"/>
      <c r="R31" s="1"/>
      <c r="S31" s="1"/>
      <c r="T31" s="1"/>
      <c r="U31" s="1"/>
      <c r="V31" s="1"/>
      <c r="W31" s="1"/>
      <c r="X31" s="1"/>
      <c r="Y31" s="1"/>
      <c r="Z31" s="1"/>
      <c r="AA31" s="1">
        <f t="shared" si="0"/>
        <v>1</v>
      </c>
      <c r="AB31" s="1" t="str">
        <f t="shared" si="3"/>
        <v>R2 retained</v>
      </c>
      <c r="AC31" s="1"/>
      <c r="AD31" s="1"/>
      <c r="AE31" s="1"/>
      <c r="AF31" s="1"/>
      <c r="AG31" s="1"/>
      <c r="AH31" s="1"/>
      <c r="AI31" s="1">
        <f t="shared" si="2"/>
        <v>0</v>
      </c>
      <c r="AJ31" s="5"/>
      <c r="AK31" s="5"/>
      <c r="AL31" s="7" t="s">
        <v>15077</v>
      </c>
    </row>
    <row r="32" spans="1:38" ht="36" customHeight="1">
      <c r="A32" s="1" t="s">
        <v>4701</v>
      </c>
      <c r="B32" s="1" t="s">
        <v>5606</v>
      </c>
      <c r="C32" s="1" t="s">
        <v>5607</v>
      </c>
      <c r="D32" s="1" t="s">
        <v>4747</v>
      </c>
      <c r="E32" s="1">
        <v>0</v>
      </c>
      <c r="F32" s="1"/>
      <c r="G32" s="1" t="s">
        <v>12859</v>
      </c>
      <c r="H32" s="1" t="s">
        <v>6253</v>
      </c>
      <c r="I32" s="1" t="s">
        <v>4747</v>
      </c>
      <c r="J32" s="1"/>
      <c r="K32" s="1"/>
      <c r="L32" s="1" t="s">
        <v>12860</v>
      </c>
      <c r="M32" s="1" t="s">
        <v>6384</v>
      </c>
      <c r="N32" s="1" t="s">
        <v>12967</v>
      </c>
      <c r="O32" s="1"/>
      <c r="P32" s="1" t="s">
        <v>12863</v>
      </c>
      <c r="Q32" s="1"/>
      <c r="R32" s="1"/>
      <c r="S32" s="1"/>
      <c r="T32" s="1"/>
      <c r="U32" s="1"/>
      <c r="V32" s="1"/>
      <c r="W32" s="1"/>
      <c r="X32" s="1"/>
      <c r="Y32" s="1"/>
      <c r="Z32" s="1"/>
      <c r="AA32" s="1">
        <f t="shared" si="0"/>
        <v>0</v>
      </c>
      <c r="AB32" s="1" t="str">
        <f t="shared" si="3"/>
        <v>R2 retained</v>
      </c>
      <c r="AC32" s="1"/>
      <c r="AD32" s="1"/>
      <c r="AE32" s="1"/>
      <c r="AF32" s="1"/>
      <c r="AG32" s="1"/>
      <c r="AH32" s="1"/>
      <c r="AI32" s="1">
        <f t="shared" si="2"/>
        <v>0</v>
      </c>
      <c r="AJ32" s="5"/>
      <c r="AK32" s="5"/>
      <c r="AL32" s="7" t="s">
        <v>15077</v>
      </c>
    </row>
    <row r="33" spans="1:38" ht="120" customHeight="1">
      <c r="A33" s="1" t="s">
        <v>4701</v>
      </c>
      <c r="B33" s="1" t="s">
        <v>5454</v>
      </c>
      <c r="C33" s="1" t="s">
        <v>5455</v>
      </c>
      <c r="D33" s="1" t="s">
        <v>4747</v>
      </c>
      <c r="E33" s="1">
        <v>1</v>
      </c>
      <c r="F33" s="1">
        <v>0</v>
      </c>
      <c r="G33" s="1" t="s">
        <v>12873</v>
      </c>
      <c r="H33" s="1" t="s">
        <v>6253</v>
      </c>
      <c r="I33" s="1"/>
      <c r="J33" s="1"/>
      <c r="K33" s="1"/>
      <c r="L33" s="1" t="s">
        <v>12860</v>
      </c>
      <c r="M33" s="1" t="s">
        <v>6386</v>
      </c>
      <c r="N33" s="1" t="s">
        <v>12968</v>
      </c>
      <c r="O33" s="1" t="s">
        <v>12969</v>
      </c>
      <c r="P33" s="1" t="s">
        <v>12876</v>
      </c>
      <c r="Q33" s="1">
        <v>0</v>
      </c>
      <c r="R33" s="1" t="s">
        <v>12877</v>
      </c>
      <c r="S33" s="1" t="s">
        <v>12970</v>
      </c>
      <c r="T33" s="1" t="s">
        <v>12971</v>
      </c>
      <c r="U33" s="1" t="s">
        <v>6258</v>
      </c>
      <c r="V33" s="1" t="s">
        <v>6096</v>
      </c>
      <c r="W33" s="1" t="s">
        <v>12880</v>
      </c>
      <c r="X33" s="1" t="s">
        <v>12881</v>
      </c>
      <c r="Y33" s="1" t="s">
        <v>12972</v>
      </c>
      <c r="Z33" s="1" t="s">
        <v>12883</v>
      </c>
      <c r="AA33" s="1">
        <f t="shared" si="0"/>
        <v>0</v>
      </c>
      <c r="AB33" s="1" t="str">
        <f t="shared" si="3"/>
        <v>Reviewer confirmed</v>
      </c>
      <c r="AC33" s="1">
        <v>0</v>
      </c>
      <c r="AD33" s="1" t="s">
        <v>12936</v>
      </c>
      <c r="AE33" s="1" t="s">
        <v>12973</v>
      </c>
      <c r="AF33" s="1" t="s">
        <v>12974</v>
      </c>
      <c r="AG33" s="1" t="s">
        <v>6258</v>
      </c>
      <c r="AH33" s="1" t="s">
        <v>6096</v>
      </c>
      <c r="AI33" s="1">
        <f t="shared" si="2"/>
        <v>1</v>
      </c>
      <c r="AJ33" s="5" t="s">
        <v>12898</v>
      </c>
      <c r="AK33" s="5" t="s">
        <v>12899</v>
      </c>
      <c r="AL33" s="7" t="s">
        <v>15077</v>
      </c>
    </row>
    <row r="34" spans="1:38" ht="36" customHeight="1">
      <c r="A34" s="1" t="s">
        <v>4725</v>
      </c>
      <c r="B34" s="1" t="s">
        <v>5537</v>
      </c>
      <c r="C34" s="1" t="s">
        <v>5538</v>
      </c>
      <c r="D34" s="1" t="s">
        <v>4747</v>
      </c>
      <c r="E34" s="1">
        <v>0</v>
      </c>
      <c r="F34" s="1"/>
      <c r="G34" s="1" t="s">
        <v>12859</v>
      </c>
      <c r="H34" s="1" t="s">
        <v>422</v>
      </c>
      <c r="I34" s="1" t="s">
        <v>4747</v>
      </c>
      <c r="J34" s="1"/>
      <c r="K34" s="1"/>
      <c r="L34" s="1" t="s">
        <v>12860</v>
      </c>
      <c r="M34" s="1" t="s">
        <v>12975</v>
      </c>
      <c r="N34" s="1" t="s">
        <v>12976</v>
      </c>
      <c r="O34" s="1"/>
      <c r="P34" s="1" t="s">
        <v>12863</v>
      </c>
      <c r="Q34" s="1"/>
      <c r="R34" s="1"/>
      <c r="S34" s="1"/>
      <c r="T34" s="1"/>
      <c r="U34" s="1"/>
      <c r="V34" s="1"/>
      <c r="W34" s="1"/>
      <c r="X34" s="1"/>
      <c r="Y34" s="1"/>
      <c r="Z34" s="1"/>
      <c r="AA34" s="1">
        <f t="shared" si="0"/>
        <v>0</v>
      </c>
      <c r="AB34" s="1" t="str">
        <f t="shared" si="3"/>
        <v>R2 retained</v>
      </c>
      <c r="AC34" s="1"/>
      <c r="AD34" s="1"/>
      <c r="AE34" s="1"/>
      <c r="AF34" s="1"/>
      <c r="AG34" s="1"/>
      <c r="AH34" s="1"/>
      <c r="AI34" s="1">
        <f t="shared" si="2"/>
        <v>0</v>
      </c>
      <c r="AJ34" s="5"/>
      <c r="AK34" s="5"/>
      <c r="AL34" s="7" t="s">
        <v>15077</v>
      </c>
    </row>
    <row r="35" spans="1:38" ht="36" customHeight="1">
      <c r="A35" s="1" t="s">
        <v>4725</v>
      </c>
      <c r="B35" s="1" t="s">
        <v>5542</v>
      </c>
      <c r="C35" s="1" t="s">
        <v>5543</v>
      </c>
      <c r="D35" s="1" t="s">
        <v>4747</v>
      </c>
      <c r="E35" s="1">
        <v>0</v>
      </c>
      <c r="F35" s="1"/>
      <c r="G35" s="1" t="s">
        <v>12859</v>
      </c>
      <c r="H35" s="1" t="s">
        <v>422</v>
      </c>
      <c r="I35" s="1" t="s">
        <v>4747</v>
      </c>
      <c r="J35" s="1"/>
      <c r="K35" s="1"/>
      <c r="L35" s="1" t="s">
        <v>12860</v>
      </c>
      <c r="M35" s="1" t="s">
        <v>12977</v>
      </c>
      <c r="N35" s="1" t="s">
        <v>12978</v>
      </c>
      <c r="O35" s="1"/>
      <c r="P35" s="1" t="s">
        <v>12863</v>
      </c>
      <c r="Q35" s="1"/>
      <c r="R35" s="1"/>
      <c r="S35" s="1"/>
      <c r="T35" s="1"/>
      <c r="U35" s="1"/>
      <c r="V35" s="1"/>
      <c r="W35" s="1"/>
      <c r="X35" s="1"/>
      <c r="Y35" s="1"/>
      <c r="Z35" s="1"/>
      <c r="AA35" s="1">
        <f t="shared" si="0"/>
        <v>0</v>
      </c>
      <c r="AB35" s="1" t="str">
        <f t="shared" si="3"/>
        <v>R2 retained</v>
      </c>
      <c r="AC35" s="1"/>
      <c r="AD35" s="1"/>
      <c r="AE35" s="1"/>
      <c r="AF35" s="1"/>
      <c r="AG35" s="1"/>
      <c r="AH35" s="1"/>
      <c r="AI35" s="1">
        <f t="shared" si="2"/>
        <v>0</v>
      </c>
      <c r="AJ35" s="5"/>
      <c r="AK35" s="5"/>
      <c r="AL35" s="7" t="s">
        <v>15077</v>
      </c>
    </row>
    <row r="36" spans="1:38" ht="48" customHeight="1">
      <c r="A36" s="1" t="s">
        <v>4725</v>
      </c>
      <c r="B36" s="1" t="s">
        <v>5547</v>
      </c>
      <c r="C36" s="1" t="s">
        <v>5548</v>
      </c>
      <c r="D36" s="1" t="s">
        <v>4747</v>
      </c>
      <c r="E36" s="1">
        <v>1</v>
      </c>
      <c r="F36" s="1"/>
      <c r="G36" s="1" t="s">
        <v>12859</v>
      </c>
      <c r="H36" s="1" t="s">
        <v>422</v>
      </c>
      <c r="I36" s="1"/>
      <c r="J36" s="1"/>
      <c r="K36" s="1"/>
      <c r="L36" s="1" t="s">
        <v>12860</v>
      </c>
      <c r="M36" s="1" t="s">
        <v>12979</v>
      </c>
      <c r="N36" s="1" t="s">
        <v>12980</v>
      </c>
      <c r="O36" s="1"/>
      <c r="P36" s="1" t="s">
        <v>12876</v>
      </c>
      <c r="Q36" s="1">
        <v>1</v>
      </c>
      <c r="R36" s="1" t="s">
        <v>12981</v>
      </c>
      <c r="S36" s="1" t="s">
        <v>12982</v>
      </c>
      <c r="T36" s="1" t="s">
        <v>12983</v>
      </c>
      <c r="U36" s="1" t="s">
        <v>6407</v>
      </c>
      <c r="V36" s="1" t="s">
        <v>6096</v>
      </c>
      <c r="W36" s="1"/>
      <c r="X36" s="1"/>
      <c r="Y36" s="1"/>
      <c r="Z36" s="1" t="s">
        <v>12908</v>
      </c>
      <c r="AA36" s="1">
        <f t="shared" si="0"/>
        <v>1</v>
      </c>
      <c r="AB36" s="1" t="str">
        <f t="shared" si="3"/>
        <v>R2 retained</v>
      </c>
      <c r="AC36" s="1"/>
      <c r="AD36" s="1"/>
      <c r="AE36" s="1"/>
      <c r="AF36" s="1"/>
      <c r="AG36" s="1"/>
      <c r="AH36" s="1"/>
      <c r="AI36" s="1">
        <f t="shared" si="2"/>
        <v>1</v>
      </c>
      <c r="AJ36" s="5"/>
      <c r="AK36" s="5"/>
      <c r="AL36" s="7" t="s">
        <v>15077</v>
      </c>
    </row>
    <row r="37" spans="1:38" ht="84" customHeight="1">
      <c r="A37" s="1" t="s">
        <v>4725</v>
      </c>
      <c r="B37" s="1" t="s">
        <v>5552</v>
      </c>
      <c r="C37" s="1" t="s">
        <v>5553</v>
      </c>
      <c r="D37" s="1" t="s">
        <v>12929</v>
      </c>
      <c r="E37" s="1">
        <v>0</v>
      </c>
      <c r="F37" s="1">
        <v>1</v>
      </c>
      <c r="G37" s="1" t="s">
        <v>12873</v>
      </c>
      <c r="H37" s="1" t="s">
        <v>422</v>
      </c>
      <c r="I37" s="1" t="s">
        <v>4747</v>
      </c>
      <c r="J37" s="1"/>
      <c r="K37" s="1" t="s">
        <v>4757</v>
      </c>
      <c r="L37" s="1" t="s">
        <v>12930</v>
      </c>
      <c r="M37" s="1" t="s">
        <v>12984</v>
      </c>
      <c r="N37" s="1" t="s">
        <v>12985</v>
      </c>
      <c r="O37" s="1" t="s">
        <v>12986</v>
      </c>
      <c r="P37" s="1" t="s">
        <v>12863</v>
      </c>
      <c r="Q37" s="1">
        <v>1</v>
      </c>
      <c r="R37" s="1" t="s">
        <v>12877</v>
      </c>
      <c r="S37" s="1" t="s">
        <v>12987</v>
      </c>
      <c r="T37" s="1" t="s">
        <v>12988</v>
      </c>
      <c r="U37" s="1" t="s">
        <v>6407</v>
      </c>
      <c r="V37" s="1" t="s">
        <v>6096</v>
      </c>
      <c r="W37" s="1"/>
      <c r="X37" s="1"/>
      <c r="Y37" s="1" t="s">
        <v>12989</v>
      </c>
      <c r="Z37" s="1" t="s">
        <v>12883</v>
      </c>
      <c r="AA37" s="1">
        <f t="shared" si="0"/>
        <v>1</v>
      </c>
      <c r="AB37" s="1" t="str">
        <f t="shared" si="3"/>
        <v>Reviewer confirmed</v>
      </c>
      <c r="AC37" s="1"/>
      <c r="AD37" s="1"/>
      <c r="AE37" s="1"/>
      <c r="AF37" s="1"/>
      <c r="AG37" s="1"/>
      <c r="AH37" s="1"/>
      <c r="AI37" s="1">
        <f t="shared" si="2"/>
        <v>1</v>
      </c>
      <c r="AJ37" s="5"/>
      <c r="AK37" s="5"/>
      <c r="AL37" s="7" t="s">
        <v>15077</v>
      </c>
    </row>
    <row r="38" spans="1:38" ht="36" customHeight="1">
      <c r="A38" s="1" t="s">
        <v>4725</v>
      </c>
      <c r="B38" s="1" t="s">
        <v>5557</v>
      </c>
      <c r="C38" s="1" t="s">
        <v>5558</v>
      </c>
      <c r="D38" s="1" t="s">
        <v>4747</v>
      </c>
      <c r="E38" s="1">
        <v>0</v>
      </c>
      <c r="F38" s="1"/>
      <c r="G38" s="1" t="s">
        <v>12859</v>
      </c>
      <c r="H38" s="1" t="s">
        <v>422</v>
      </c>
      <c r="I38" s="1" t="s">
        <v>4747</v>
      </c>
      <c r="J38" s="1"/>
      <c r="K38" s="1"/>
      <c r="L38" s="1" t="s">
        <v>12860</v>
      </c>
      <c r="M38" s="1" t="s">
        <v>6444</v>
      </c>
      <c r="N38" s="1" t="s">
        <v>12990</v>
      </c>
      <c r="O38" s="1"/>
      <c r="P38" s="1" t="s">
        <v>12863</v>
      </c>
      <c r="Q38" s="1"/>
      <c r="R38" s="1"/>
      <c r="S38" s="1"/>
      <c r="T38" s="1"/>
      <c r="U38" s="1"/>
      <c r="V38" s="1"/>
      <c r="W38" s="1"/>
      <c r="X38" s="1"/>
      <c r="Y38" s="1"/>
      <c r="Z38" s="1"/>
      <c r="AA38" s="1">
        <f t="shared" si="0"/>
        <v>0</v>
      </c>
      <c r="AB38" s="1" t="str">
        <f t="shared" si="3"/>
        <v>R2 retained</v>
      </c>
      <c r="AC38" s="1"/>
      <c r="AD38" s="1"/>
      <c r="AE38" s="1"/>
      <c r="AF38" s="1"/>
      <c r="AG38" s="1"/>
      <c r="AH38" s="1"/>
      <c r="AI38" s="1">
        <f t="shared" si="2"/>
        <v>0</v>
      </c>
      <c r="AJ38" s="5"/>
      <c r="AK38" s="5"/>
      <c r="AL38" s="7" t="s">
        <v>15077</v>
      </c>
    </row>
    <row r="39" spans="1:38" ht="60" customHeight="1">
      <c r="A39" s="1" t="s">
        <v>4725</v>
      </c>
      <c r="B39" s="1" t="s">
        <v>5562</v>
      </c>
      <c r="C39" s="1" t="s">
        <v>5563</v>
      </c>
      <c r="D39" s="1" t="s">
        <v>4747</v>
      </c>
      <c r="E39" s="1">
        <v>0</v>
      </c>
      <c r="F39" s="1">
        <v>1</v>
      </c>
      <c r="G39" s="1" t="s">
        <v>4691</v>
      </c>
      <c r="H39" s="1" t="s">
        <v>422</v>
      </c>
      <c r="I39" s="1" t="s">
        <v>4747</v>
      </c>
      <c r="J39" s="1"/>
      <c r="K39" s="1"/>
      <c r="L39" s="1" t="s">
        <v>12860</v>
      </c>
      <c r="M39" s="1" t="s">
        <v>6448</v>
      </c>
      <c r="N39" s="1" t="s">
        <v>12991</v>
      </c>
      <c r="O39" s="1" t="s">
        <v>12992</v>
      </c>
      <c r="P39" s="1" t="s">
        <v>12917</v>
      </c>
      <c r="Q39" s="1"/>
      <c r="R39" s="1"/>
      <c r="S39" s="1"/>
      <c r="T39" s="1"/>
      <c r="U39" s="1"/>
      <c r="V39" s="1"/>
      <c r="W39" s="1"/>
      <c r="X39" s="1"/>
      <c r="Y39" s="1" t="s">
        <v>5682</v>
      </c>
      <c r="Z39" s="1" t="s">
        <v>12918</v>
      </c>
      <c r="AA39" s="1">
        <f t="shared" si="0"/>
        <v>1</v>
      </c>
      <c r="AB39" s="1" t="str">
        <f t="shared" si="3"/>
        <v>Reviewer confirmed</v>
      </c>
      <c r="AC39" s="1">
        <v>1</v>
      </c>
      <c r="AD39" s="1" t="s">
        <v>12936</v>
      </c>
      <c r="AE39" s="1" t="s">
        <v>5682</v>
      </c>
      <c r="AF39" s="1" t="s">
        <v>5681</v>
      </c>
      <c r="AG39" s="1" t="s">
        <v>5683</v>
      </c>
      <c r="AH39" s="1" t="s">
        <v>5461</v>
      </c>
      <c r="AI39" s="1">
        <f t="shared" si="2"/>
        <v>1</v>
      </c>
      <c r="AJ39" s="5"/>
      <c r="AK39" s="5"/>
      <c r="AL39" s="7" t="s">
        <v>15077</v>
      </c>
    </row>
    <row r="40" spans="1:38" ht="36" customHeight="1">
      <c r="A40" s="1" t="s">
        <v>4725</v>
      </c>
      <c r="B40" s="1" t="s">
        <v>5567</v>
      </c>
      <c r="C40" s="1" t="s">
        <v>5568</v>
      </c>
      <c r="D40" s="1" t="s">
        <v>6452</v>
      </c>
      <c r="E40" s="1">
        <v>0</v>
      </c>
      <c r="F40" s="1"/>
      <c r="G40" s="1" t="s">
        <v>12859</v>
      </c>
      <c r="H40" s="1" t="s">
        <v>422</v>
      </c>
      <c r="I40" s="1" t="s">
        <v>4747</v>
      </c>
      <c r="J40" s="1"/>
      <c r="K40" s="1"/>
      <c r="L40" s="1" t="s">
        <v>12860</v>
      </c>
      <c r="M40" s="1" t="s">
        <v>12993</v>
      </c>
      <c r="N40" s="1" t="s">
        <v>12994</v>
      </c>
      <c r="O40" s="1"/>
      <c r="P40" s="1" t="s">
        <v>12863</v>
      </c>
      <c r="Q40" s="1"/>
      <c r="R40" s="1"/>
      <c r="S40" s="1"/>
      <c r="T40" s="1"/>
      <c r="U40" s="1"/>
      <c r="V40" s="1"/>
      <c r="W40" s="1"/>
      <c r="X40" s="1"/>
      <c r="Y40" s="1"/>
      <c r="Z40" s="1"/>
      <c r="AA40" s="1">
        <f t="shared" si="0"/>
        <v>0</v>
      </c>
      <c r="AB40" s="1" t="str">
        <f t="shared" si="3"/>
        <v>R2 retained</v>
      </c>
      <c r="AC40" s="1"/>
      <c r="AD40" s="1"/>
      <c r="AE40" s="1"/>
      <c r="AF40" s="1"/>
      <c r="AG40" s="1"/>
      <c r="AH40" s="1"/>
      <c r="AI40" s="1">
        <f t="shared" si="2"/>
        <v>0</v>
      </c>
      <c r="AJ40" s="5"/>
      <c r="AK40" s="5"/>
      <c r="AL40" s="7" t="s">
        <v>15077</v>
      </c>
    </row>
    <row r="41" spans="1:38" ht="36" customHeight="1">
      <c r="A41" s="1" t="s">
        <v>4725</v>
      </c>
      <c r="B41" s="1" t="s">
        <v>5572</v>
      </c>
      <c r="C41" s="1" t="s">
        <v>5573</v>
      </c>
      <c r="D41" s="1" t="s">
        <v>4747</v>
      </c>
      <c r="E41" s="1">
        <v>0</v>
      </c>
      <c r="F41" s="1"/>
      <c r="G41" s="1" t="s">
        <v>12859</v>
      </c>
      <c r="H41" s="1" t="s">
        <v>422</v>
      </c>
      <c r="I41" s="1" t="s">
        <v>4747</v>
      </c>
      <c r="J41" s="1"/>
      <c r="K41" s="1"/>
      <c r="L41" s="1" t="s">
        <v>12860</v>
      </c>
      <c r="M41" s="1" t="s">
        <v>12995</v>
      </c>
      <c r="N41" s="1" t="s">
        <v>12996</v>
      </c>
      <c r="O41" s="1"/>
      <c r="P41" s="1" t="s">
        <v>12863</v>
      </c>
      <c r="Q41" s="1"/>
      <c r="R41" s="1"/>
      <c r="S41" s="1"/>
      <c r="T41" s="1"/>
      <c r="U41" s="1"/>
      <c r="V41" s="1"/>
      <c r="W41" s="1"/>
      <c r="X41" s="1"/>
      <c r="Y41" s="1"/>
      <c r="Z41" s="1"/>
      <c r="AA41" s="1">
        <f t="shared" si="0"/>
        <v>0</v>
      </c>
      <c r="AB41" s="1" t="str">
        <f t="shared" si="3"/>
        <v>R2 retained</v>
      </c>
      <c r="AC41" s="1"/>
      <c r="AD41" s="1"/>
      <c r="AE41" s="1"/>
      <c r="AF41" s="1"/>
      <c r="AG41" s="1"/>
      <c r="AH41" s="1"/>
      <c r="AI41" s="1">
        <f t="shared" si="2"/>
        <v>0</v>
      </c>
      <c r="AJ41" s="5"/>
      <c r="AK41" s="5"/>
      <c r="AL41" s="7" t="s">
        <v>15077</v>
      </c>
    </row>
    <row r="42" spans="1:38" ht="36" customHeight="1">
      <c r="A42" s="1" t="s">
        <v>4725</v>
      </c>
      <c r="B42" s="1" t="s">
        <v>5577</v>
      </c>
      <c r="C42" s="1" t="s">
        <v>5578</v>
      </c>
      <c r="D42" s="1" t="s">
        <v>4747</v>
      </c>
      <c r="E42" s="1">
        <v>2</v>
      </c>
      <c r="F42" s="1"/>
      <c r="G42" s="1" t="s">
        <v>12859</v>
      </c>
      <c r="H42" s="1" t="s">
        <v>422</v>
      </c>
      <c r="I42" s="1" t="s">
        <v>4737</v>
      </c>
      <c r="J42" s="1"/>
      <c r="K42" s="1"/>
      <c r="L42" s="1" t="s">
        <v>12860</v>
      </c>
      <c r="M42" s="1" t="s">
        <v>12997</v>
      </c>
      <c r="N42" s="1" t="s">
        <v>12998</v>
      </c>
      <c r="O42" s="1"/>
      <c r="P42" s="1" t="s">
        <v>12868</v>
      </c>
      <c r="Q42" s="1"/>
      <c r="R42" s="1"/>
      <c r="S42" s="1"/>
      <c r="T42" s="1"/>
      <c r="U42" s="1"/>
      <c r="V42" s="1"/>
      <c r="W42" s="1"/>
      <c r="X42" s="1"/>
      <c r="Y42" s="1"/>
      <c r="Z42" s="1"/>
      <c r="AA42" s="1">
        <f t="shared" si="0"/>
        <v>2</v>
      </c>
      <c r="AB42" s="1" t="str">
        <f t="shared" si="3"/>
        <v>R2 retained</v>
      </c>
      <c r="AC42" s="1"/>
      <c r="AD42" s="1"/>
      <c r="AE42" s="1"/>
      <c r="AF42" s="1"/>
      <c r="AG42" s="1"/>
      <c r="AH42" s="1"/>
      <c r="AI42" s="1">
        <f t="shared" si="2"/>
        <v>0</v>
      </c>
      <c r="AJ42" s="5"/>
      <c r="AK42" s="5"/>
      <c r="AL42" s="7" t="s">
        <v>15077</v>
      </c>
    </row>
    <row r="43" spans="1:38" ht="36" customHeight="1">
      <c r="A43" s="1" t="s">
        <v>4725</v>
      </c>
      <c r="B43" s="1" t="s">
        <v>5582</v>
      </c>
      <c r="C43" s="1" t="s">
        <v>5583</v>
      </c>
      <c r="D43" s="1" t="s">
        <v>5788</v>
      </c>
      <c r="E43" s="1">
        <v>0</v>
      </c>
      <c r="F43" s="1"/>
      <c r="G43" s="1" t="s">
        <v>12859</v>
      </c>
      <c r="H43" s="1" t="s">
        <v>422</v>
      </c>
      <c r="I43" s="1" t="s">
        <v>4747</v>
      </c>
      <c r="J43" s="1"/>
      <c r="K43" s="1"/>
      <c r="L43" s="1" t="s">
        <v>12860</v>
      </c>
      <c r="M43" s="1" t="s">
        <v>6504</v>
      </c>
      <c r="N43" s="1" t="s">
        <v>12999</v>
      </c>
      <c r="O43" s="1"/>
      <c r="P43" s="1" t="s">
        <v>12863</v>
      </c>
      <c r="Q43" s="1"/>
      <c r="R43" s="1"/>
      <c r="S43" s="1"/>
      <c r="T43" s="1"/>
      <c r="U43" s="1"/>
      <c r="V43" s="1"/>
      <c r="W43" s="1"/>
      <c r="X43" s="1"/>
      <c r="Y43" s="1"/>
      <c r="Z43" s="1"/>
      <c r="AA43" s="1">
        <f t="shared" si="0"/>
        <v>0</v>
      </c>
      <c r="AB43" s="1" t="str">
        <f t="shared" si="3"/>
        <v>R2 retained</v>
      </c>
      <c r="AC43" s="1">
        <v>0</v>
      </c>
      <c r="AD43" s="1" t="s">
        <v>12884</v>
      </c>
      <c r="AE43" s="1" t="s">
        <v>13000</v>
      </c>
      <c r="AF43" s="1" t="s">
        <v>13001</v>
      </c>
      <c r="AG43" s="1" t="s">
        <v>6407</v>
      </c>
      <c r="AH43" s="1" t="s">
        <v>6096</v>
      </c>
      <c r="AI43" s="1">
        <f t="shared" si="2"/>
        <v>1</v>
      </c>
      <c r="AJ43" s="5" t="s">
        <v>12898</v>
      </c>
      <c r="AK43" s="5" t="s">
        <v>12899</v>
      </c>
      <c r="AL43" s="7" t="s">
        <v>15077</v>
      </c>
    </row>
    <row r="44" spans="1:38" ht="36" customHeight="1">
      <c r="A44" s="1" t="s">
        <v>4725</v>
      </c>
      <c r="B44" s="1" t="s">
        <v>5586</v>
      </c>
      <c r="C44" s="1" t="s">
        <v>5587</v>
      </c>
      <c r="D44" s="1" t="s">
        <v>4747</v>
      </c>
      <c r="E44" s="1">
        <v>0</v>
      </c>
      <c r="F44" s="1"/>
      <c r="G44" s="1" t="s">
        <v>12859</v>
      </c>
      <c r="H44" s="1" t="s">
        <v>422</v>
      </c>
      <c r="I44" s="1" t="s">
        <v>4747</v>
      </c>
      <c r="J44" s="1"/>
      <c r="K44" s="1"/>
      <c r="L44" s="1" t="s">
        <v>12860</v>
      </c>
      <c r="M44" s="1" t="s">
        <v>13002</v>
      </c>
      <c r="N44" s="1" t="s">
        <v>13003</v>
      </c>
      <c r="O44" s="1"/>
      <c r="P44" s="1" t="s">
        <v>12863</v>
      </c>
      <c r="Q44" s="1"/>
      <c r="R44" s="1"/>
      <c r="S44" s="1"/>
      <c r="T44" s="1"/>
      <c r="U44" s="1"/>
      <c r="V44" s="1"/>
      <c r="W44" s="1"/>
      <c r="X44" s="1"/>
      <c r="Y44" s="1"/>
      <c r="Z44" s="1"/>
      <c r="AA44" s="1">
        <f t="shared" si="0"/>
        <v>0</v>
      </c>
      <c r="AB44" s="1" t="str">
        <f t="shared" si="3"/>
        <v>R2 retained</v>
      </c>
      <c r="AC44" s="1"/>
      <c r="AD44" s="1"/>
      <c r="AE44" s="1"/>
      <c r="AF44" s="1"/>
      <c r="AG44" s="1"/>
      <c r="AH44" s="1"/>
      <c r="AI44" s="1">
        <f t="shared" si="2"/>
        <v>0</v>
      </c>
      <c r="AJ44" s="5"/>
      <c r="AK44" s="5"/>
      <c r="AL44" s="7" t="s">
        <v>15077</v>
      </c>
    </row>
    <row r="45" spans="1:38" ht="96" customHeight="1">
      <c r="A45" s="1" t="s">
        <v>4725</v>
      </c>
      <c r="B45" s="1" t="s">
        <v>5591</v>
      </c>
      <c r="C45" s="1" t="s">
        <v>5592</v>
      </c>
      <c r="D45" s="1" t="s">
        <v>4747</v>
      </c>
      <c r="E45" s="1">
        <v>1</v>
      </c>
      <c r="F45" s="1">
        <v>0</v>
      </c>
      <c r="G45" s="1" t="s">
        <v>12873</v>
      </c>
      <c r="H45" s="1" t="s">
        <v>422</v>
      </c>
      <c r="I45" s="1"/>
      <c r="J45" s="1"/>
      <c r="K45" s="1"/>
      <c r="L45" s="1" t="s">
        <v>12860</v>
      </c>
      <c r="M45" s="1" t="s">
        <v>13004</v>
      </c>
      <c r="N45" s="1" t="s">
        <v>13005</v>
      </c>
      <c r="O45" s="1" t="s">
        <v>13006</v>
      </c>
      <c r="P45" s="1" t="s">
        <v>12876</v>
      </c>
      <c r="Q45" s="1">
        <v>0</v>
      </c>
      <c r="R45" s="1" t="s">
        <v>12877</v>
      </c>
      <c r="S45" s="1" t="s">
        <v>13007</v>
      </c>
      <c r="T45" s="1" t="s">
        <v>13008</v>
      </c>
      <c r="U45" s="1" t="s">
        <v>6407</v>
      </c>
      <c r="V45" s="1" t="s">
        <v>6096</v>
      </c>
      <c r="W45" s="1" t="s">
        <v>12880</v>
      </c>
      <c r="X45" s="1"/>
      <c r="Y45" s="1" t="s">
        <v>13009</v>
      </c>
      <c r="Z45" s="1" t="s">
        <v>12883</v>
      </c>
      <c r="AA45" s="1">
        <f t="shared" si="0"/>
        <v>0</v>
      </c>
      <c r="AB45" s="1" t="str">
        <f t="shared" si="3"/>
        <v>Reviewer confirmed</v>
      </c>
      <c r="AC45" s="1">
        <v>0</v>
      </c>
      <c r="AD45" s="1" t="s">
        <v>12936</v>
      </c>
      <c r="AE45" s="1" t="s">
        <v>13010</v>
      </c>
      <c r="AF45" s="1" t="s">
        <v>13008</v>
      </c>
      <c r="AG45" s="1" t="s">
        <v>6407</v>
      </c>
      <c r="AH45" s="1" t="s">
        <v>6096</v>
      </c>
      <c r="AI45" s="1">
        <f t="shared" si="2"/>
        <v>1</v>
      </c>
      <c r="AJ45" s="5" t="s">
        <v>12898</v>
      </c>
      <c r="AK45" s="5" t="s">
        <v>12899</v>
      </c>
      <c r="AL45" s="7" t="s">
        <v>15077</v>
      </c>
    </row>
    <row r="46" spans="1:38" ht="36" customHeight="1">
      <c r="A46" s="1" t="s">
        <v>4725</v>
      </c>
      <c r="B46" s="1" t="s">
        <v>5596</v>
      </c>
      <c r="C46" s="1" t="s">
        <v>5597</v>
      </c>
      <c r="D46" s="1" t="s">
        <v>4747</v>
      </c>
      <c r="E46" s="1">
        <v>0</v>
      </c>
      <c r="F46" s="1"/>
      <c r="G46" s="1" t="s">
        <v>12859</v>
      </c>
      <c r="H46" s="1" t="s">
        <v>422</v>
      </c>
      <c r="I46" s="1" t="s">
        <v>4747</v>
      </c>
      <c r="J46" s="1"/>
      <c r="K46" s="1"/>
      <c r="L46" s="1" t="s">
        <v>12860</v>
      </c>
      <c r="M46" s="1" t="s">
        <v>13011</v>
      </c>
      <c r="N46" s="1" t="s">
        <v>13012</v>
      </c>
      <c r="O46" s="1"/>
      <c r="P46" s="1" t="s">
        <v>12863</v>
      </c>
      <c r="Q46" s="1"/>
      <c r="R46" s="1"/>
      <c r="S46" s="1"/>
      <c r="T46" s="1"/>
      <c r="U46" s="1"/>
      <c r="V46" s="1"/>
      <c r="W46" s="1"/>
      <c r="X46" s="1"/>
      <c r="Y46" s="1"/>
      <c r="Z46" s="1"/>
      <c r="AA46" s="1">
        <f t="shared" si="0"/>
        <v>0</v>
      </c>
      <c r="AB46" s="1" t="str">
        <f t="shared" si="3"/>
        <v>R2 retained</v>
      </c>
      <c r="AC46" s="1"/>
      <c r="AD46" s="1"/>
      <c r="AE46" s="1"/>
      <c r="AF46" s="1"/>
      <c r="AG46" s="1"/>
      <c r="AH46" s="1"/>
      <c r="AI46" s="1">
        <f t="shared" si="2"/>
        <v>0</v>
      </c>
      <c r="AJ46" s="5"/>
      <c r="AK46" s="5"/>
      <c r="AL46" s="7" t="s">
        <v>15077</v>
      </c>
    </row>
    <row r="47" spans="1:38" ht="36" customHeight="1">
      <c r="A47" s="1" t="s">
        <v>4725</v>
      </c>
      <c r="B47" s="1" t="s">
        <v>5601</v>
      </c>
      <c r="C47" s="1" t="s">
        <v>5602</v>
      </c>
      <c r="D47" s="1" t="s">
        <v>4747</v>
      </c>
      <c r="E47" s="1">
        <v>1</v>
      </c>
      <c r="F47" s="1"/>
      <c r="G47" s="1" t="s">
        <v>12859</v>
      </c>
      <c r="H47" s="1" t="s">
        <v>422</v>
      </c>
      <c r="I47" s="1"/>
      <c r="J47" s="1"/>
      <c r="K47" s="1"/>
      <c r="L47" s="1" t="s">
        <v>12860</v>
      </c>
      <c r="M47" s="1" t="s">
        <v>6520</v>
      </c>
      <c r="N47" s="1" t="s">
        <v>13013</v>
      </c>
      <c r="O47" s="1"/>
      <c r="P47" s="1" t="s">
        <v>12876</v>
      </c>
      <c r="Q47" s="1">
        <v>1</v>
      </c>
      <c r="R47" s="1" t="s">
        <v>12981</v>
      </c>
      <c r="S47" s="1" t="s">
        <v>13014</v>
      </c>
      <c r="T47" s="1" t="s">
        <v>13015</v>
      </c>
      <c r="U47" s="1" t="s">
        <v>6407</v>
      </c>
      <c r="V47" s="1" t="s">
        <v>6096</v>
      </c>
      <c r="W47" s="1"/>
      <c r="X47" s="1"/>
      <c r="Y47" s="1"/>
      <c r="Z47" s="1" t="s">
        <v>12908</v>
      </c>
      <c r="AA47" s="1">
        <f t="shared" si="0"/>
        <v>1</v>
      </c>
      <c r="AB47" s="1" t="str">
        <f t="shared" si="3"/>
        <v>R2 retained</v>
      </c>
      <c r="AC47" s="1"/>
      <c r="AD47" s="1"/>
      <c r="AE47" s="1"/>
      <c r="AF47" s="1"/>
      <c r="AG47" s="1"/>
      <c r="AH47" s="1"/>
      <c r="AI47" s="1">
        <f t="shared" si="2"/>
        <v>1</v>
      </c>
      <c r="AJ47" s="5"/>
      <c r="AK47" s="5"/>
      <c r="AL47" s="7" t="s">
        <v>15077</v>
      </c>
    </row>
    <row r="48" spans="1:38" ht="36" customHeight="1">
      <c r="A48" s="1" t="s">
        <v>4725</v>
      </c>
      <c r="B48" s="1" t="s">
        <v>5606</v>
      </c>
      <c r="C48" s="1" t="s">
        <v>5607</v>
      </c>
      <c r="D48" s="1" t="s">
        <v>6522</v>
      </c>
      <c r="E48" s="1">
        <v>0</v>
      </c>
      <c r="F48" s="1"/>
      <c r="G48" s="1" t="s">
        <v>12859</v>
      </c>
      <c r="H48" s="1" t="s">
        <v>422</v>
      </c>
      <c r="I48" s="1" t="s">
        <v>4747</v>
      </c>
      <c r="J48" s="1"/>
      <c r="K48" s="1"/>
      <c r="L48" s="1" t="s">
        <v>12860</v>
      </c>
      <c r="M48" s="1" t="s">
        <v>6524</v>
      </c>
      <c r="N48" s="1" t="s">
        <v>13016</v>
      </c>
      <c r="O48" s="1"/>
      <c r="P48" s="1" t="s">
        <v>12863</v>
      </c>
      <c r="Q48" s="1"/>
      <c r="R48" s="1"/>
      <c r="S48" s="1"/>
      <c r="T48" s="1"/>
      <c r="U48" s="1"/>
      <c r="V48" s="1"/>
      <c r="W48" s="1"/>
      <c r="X48" s="1"/>
      <c r="Y48" s="1"/>
      <c r="Z48" s="1"/>
      <c r="AA48" s="1">
        <f t="shared" si="0"/>
        <v>0</v>
      </c>
      <c r="AB48" s="1" t="str">
        <f t="shared" si="3"/>
        <v>R2 retained</v>
      </c>
      <c r="AC48" s="1"/>
      <c r="AD48" s="1"/>
      <c r="AE48" s="1"/>
      <c r="AF48" s="1"/>
      <c r="AG48" s="1"/>
      <c r="AH48" s="1"/>
      <c r="AI48" s="1">
        <f t="shared" si="2"/>
        <v>0</v>
      </c>
      <c r="AJ48" s="5"/>
      <c r="AK48" s="5"/>
      <c r="AL48" s="7" t="s">
        <v>15077</v>
      </c>
    </row>
    <row r="49" spans="1:38" ht="36" customHeight="1">
      <c r="A49" s="1" t="s">
        <v>4725</v>
      </c>
      <c r="B49" s="1" t="s">
        <v>5454</v>
      </c>
      <c r="C49" s="1" t="s">
        <v>5455</v>
      </c>
      <c r="D49" s="1" t="s">
        <v>4747</v>
      </c>
      <c r="E49" s="1">
        <v>0</v>
      </c>
      <c r="F49" s="1"/>
      <c r="G49" s="1" t="s">
        <v>12859</v>
      </c>
      <c r="H49" s="1" t="s">
        <v>422</v>
      </c>
      <c r="I49" s="1" t="s">
        <v>4747</v>
      </c>
      <c r="J49" s="1"/>
      <c r="K49" s="1"/>
      <c r="L49" s="1" t="s">
        <v>12860</v>
      </c>
      <c r="M49" s="1" t="s">
        <v>6526</v>
      </c>
      <c r="N49" s="1" t="s">
        <v>13017</v>
      </c>
      <c r="O49" s="1"/>
      <c r="P49" s="1" t="s">
        <v>12863</v>
      </c>
      <c r="Q49" s="1"/>
      <c r="R49" s="1"/>
      <c r="S49" s="1"/>
      <c r="T49" s="1"/>
      <c r="U49" s="1"/>
      <c r="V49" s="1"/>
      <c r="W49" s="1"/>
      <c r="X49" s="1"/>
      <c r="Y49" s="1"/>
      <c r="Z49" s="1"/>
      <c r="AA49" s="1">
        <f t="shared" si="0"/>
        <v>0</v>
      </c>
      <c r="AB49" s="1" t="str">
        <f t="shared" si="3"/>
        <v>R2 retained</v>
      </c>
      <c r="AC49" s="1">
        <v>0</v>
      </c>
      <c r="AD49" s="1" t="s">
        <v>12884</v>
      </c>
      <c r="AE49" s="1" t="s">
        <v>13018</v>
      </c>
      <c r="AF49" s="1" t="s">
        <v>13019</v>
      </c>
      <c r="AG49" s="1" t="s">
        <v>6407</v>
      </c>
      <c r="AH49" s="1" t="s">
        <v>6096</v>
      </c>
      <c r="AI49" s="1">
        <f t="shared" si="2"/>
        <v>1</v>
      </c>
      <c r="AJ49" s="5" t="s">
        <v>12898</v>
      </c>
      <c r="AK49" s="5" t="s">
        <v>12899</v>
      </c>
      <c r="AL49" s="7" t="s">
        <v>15077</v>
      </c>
    </row>
    <row r="50" spans="1:38" ht="36" customHeight="1">
      <c r="A50" s="1" t="s">
        <v>4762</v>
      </c>
      <c r="B50" s="1" t="s">
        <v>5537</v>
      </c>
      <c r="C50" s="1" t="s">
        <v>5538</v>
      </c>
      <c r="D50" s="1" t="s">
        <v>4747</v>
      </c>
      <c r="E50" s="1">
        <v>0</v>
      </c>
      <c r="F50" s="1"/>
      <c r="G50" s="1" t="s">
        <v>12859</v>
      </c>
      <c r="H50" s="1" t="s">
        <v>6541</v>
      </c>
      <c r="I50" s="1" t="s">
        <v>4747</v>
      </c>
      <c r="J50" s="1"/>
      <c r="K50" s="1"/>
      <c r="L50" s="1" t="s">
        <v>12860</v>
      </c>
      <c r="M50" s="1" t="s">
        <v>13020</v>
      </c>
      <c r="N50" s="1" t="s">
        <v>13021</v>
      </c>
      <c r="O50" s="1"/>
      <c r="P50" s="1" t="s">
        <v>12863</v>
      </c>
      <c r="Q50" s="1"/>
      <c r="R50" s="1"/>
      <c r="S50" s="1"/>
      <c r="T50" s="1"/>
      <c r="U50" s="1"/>
      <c r="V50" s="1"/>
      <c r="W50" s="1"/>
      <c r="X50" s="1"/>
      <c r="Y50" s="1"/>
      <c r="Z50" s="1"/>
      <c r="AA50" s="1">
        <f t="shared" si="0"/>
        <v>0</v>
      </c>
      <c r="AB50" s="1" t="str">
        <f t="shared" ref="AB50:AB81" si="4">IF(OR(ISNUMBER(F50),F50="NA"),"Reviewer confirmed",IF(AD50="uncertain","Unresolved under clarified rule",IF(AND(OR(ISNUMBER(AC50),AC50="NA"),AC50&lt;&gt;E50),"Analyst scope correction","R2 retained")))</f>
        <v>R2 retained</v>
      </c>
      <c r="AC50" s="1"/>
      <c r="AD50" s="1"/>
      <c r="AE50" s="1"/>
      <c r="AF50" s="1"/>
      <c r="AG50" s="1"/>
      <c r="AH50" s="1"/>
      <c r="AI50" s="1">
        <f t="shared" si="2"/>
        <v>0</v>
      </c>
      <c r="AJ50" s="5"/>
      <c r="AK50" s="5"/>
      <c r="AL50" s="7" t="s">
        <v>15077</v>
      </c>
    </row>
    <row r="51" spans="1:38" ht="36" customHeight="1">
      <c r="A51" s="1" t="s">
        <v>4762</v>
      </c>
      <c r="B51" s="1" t="s">
        <v>5542</v>
      </c>
      <c r="C51" s="1" t="s">
        <v>5543</v>
      </c>
      <c r="D51" s="1" t="s">
        <v>4747</v>
      </c>
      <c r="E51" s="1">
        <v>0</v>
      </c>
      <c r="F51" s="1"/>
      <c r="G51" s="1" t="s">
        <v>12859</v>
      </c>
      <c r="H51" s="1" t="s">
        <v>6541</v>
      </c>
      <c r="I51" s="1" t="s">
        <v>4747</v>
      </c>
      <c r="J51" s="1"/>
      <c r="K51" s="1"/>
      <c r="L51" s="1" t="s">
        <v>12860</v>
      </c>
      <c r="M51" s="1" t="s">
        <v>13022</v>
      </c>
      <c r="N51" s="1" t="s">
        <v>13023</v>
      </c>
      <c r="O51" s="1"/>
      <c r="P51" s="1" t="s">
        <v>12863</v>
      </c>
      <c r="Q51" s="1"/>
      <c r="R51" s="1"/>
      <c r="S51" s="1"/>
      <c r="T51" s="1"/>
      <c r="U51" s="1"/>
      <c r="V51" s="1"/>
      <c r="W51" s="1"/>
      <c r="X51" s="1"/>
      <c r="Y51" s="1"/>
      <c r="Z51" s="1"/>
      <c r="AA51" s="1">
        <f t="shared" si="0"/>
        <v>0</v>
      </c>
      <c r="AB51" s="1" t="str">
        <f t="shared" si="4"/>
        <v>R2 retained</v>
      </c>
      <c r="AC51" s="1"/>
      <c r="AD51" s="1"/>
      <c r="AE51" s="1"/>
      <c r="AF51" s="1"/>
      <c r="AG51" s="1"/>
      <c r="AH51" s="1"/>
      <c r="AI51" s="1">
        <f t="shared" si="2"/>
        <v>0</v>
      </c>
      <c r="AJ51" s="5"/>
      <c r="AK51" s="5"/>
      <c r="AL51" s="7" t="s">
        <v>15077</v>
      </c>
    </row>
    <row r="52" spans="1:38" ht="36" customHeight="1">
      <c r="A52" s="1" t="s">
        <v>4762</v>
      </c>
      <c r="B52" s="1" t="s">
        <v>5547</v>
      </c>
      <c r="C52" s="1" t="s">
        <v>5548</v>
      </c>
      <c r="D52" s="1" t="s">
        <v>4747</v>
      </c>
      <c r="E52" s="1">
        <v>1</v>
      </c>
      <c r="F52" s="1"/>
      <c r="G52" s="1" t="s">
        <v>12859</v>
      </c>
      <c r="H52" s="1" t="s">
        <v>6541</v>
      </c>
      <c r="I52" s="1"/>
      <c r="J52" s="1"/>
      <c r="K52" s="1"/>
      <c r="L52" s="1" t="s">
        <v>12860</v>
      </c>
      <c r="M52" s="1" t="s">
        <v>13024</v>
      </c>
      <c r="N52" s="1" t="s">
        <v>13025</v>
      </c>
      <c r="O52" s="1"/>
      <c r="P52" s="1" t="s">
        <v>12876</v>
      </c>
      <c r="Q52" s="1">
        <v>1</v>
      </c>
      <c r="R52" s="1" t="s">
        <v>12981</v>
      </c>
      <c r="S52" s="1" t="s">
        <v>13026</v>
      </c>
      <c r="T52" s="1" t="s">
        <v>13027</v>
      </c>
      <c r="U52" s="1" t="s">
        <v>6547</v>
      </c>
      <c r="V52" s="1" t="s">
        <v>6096</v>
      </c>
      <c r="W52" s="1"/>
      <c r="X52" s="1"/>
      <c r="Y52" s="1"/>
      <c r="Z52" s="1" t="s">
        <v>12908</v>
      </c>
      <c r="AA52" s="1">
        <f t="shared" si="0"/>
        <v>1</v>
      </c>
      <c r="AB52" s="1" t="str">
        <f t="shared" si="4"/>
        <v>R2 retained</v>
      </c>
      <c r="AC52" s="1"/>
      <c r="AD52" s="1"/>
      <c r="AE52" s="1"/>
      <c r="AF52" s="1"/>
      <c r="AG52" s="1"/>
      <c r="AH52" s="1"/>
      <c r="AI52" s="1">
        <f t="shared" si="2"/>
        <v>1</v>
      </c>
      <c r="AJ52" s="5"/>
      <c r="AK52" s="5"/>
      <c r="AL52" s="7" t="s">
        <v>15077</v>
      </c>
    </row>
    <row r="53" spans="1:38" ht="36" customHeight="1">
      <c r="A53" s="1" t="s">
        <v>4762</v>
      </c>
      <c r="B53" s="1" t="s">
        <v>5552</v>
      </c>
      <c r="C53" s="1" t="s">
        <v>5553</v>
      </c>
      <c r="D53" s="1" t="s">
        <v>13028</v>
      </c>
      <c r="E53" s="1">
        <v>1</v>
      </c>
      <c r="F53" s="1"/>
      <c r="G53" s="1" t="s">
        <v>12859</v>
      </c>
      <c r="H53" s="1" t="s">
        <v>6541</v>
      </c>
      <c r="I53" s="1"/>
      <c r="J53" s="1"/>
      <c r="K53" s="1"/>
      <c r="L53" s="1" t="s">
        <v>12860</v>
      </c>
      <c r="M53" s="1" t="s">
        <v>13029</v>
      </c>
      <c r="N53" s="1" t="s">
        <v>13030</v>
      </c>
      <c r="O53" s="1"/>
      <c r="P53" s="1" t="s">
        <v>12876</v>
      </c>
      <c r="Q53" s="1">
        <v>1</v>
      </c>
      <c r="R53" s="1" t="s">
        <v>12981</v>
      </c>
      <c r="S53" s="1" t="s">
        <v>13031</v>
      </c>
      <c r="T53" s="1" t="s">
        <v>13032</v>
      </c>
      <c r="U53" s="1" t="s">
        <v>6547</v>
      </c>
      <c r="V53" s="1" t="s">
        <v>6096</v>
      </c>
      <c r="W53" s="1"/>
      <c r="X53" s="1"/>
      <c r="Y53" s="1"/>
      <c r="Z53" s="1" t="s">
        <v>12908</v>
      </c>
      <c r="AA53" s="1">
        <f t="shared" si="0"/>
        <v>1</v>
      </c>
      <c r="AB53" s="1" t="str">
        <f t="shared" si="4"/>
        <v>R2 retained</v>
      </c>
      <c r="AC53" s="1"/>
      <c r="AD53" s="1"/>
      <c r="AE53" s="1"/>
      <c r="AF53" s="1"/>
      <c r="AG53" s="1"/>
      <c r="AH53" s="1"/>
      <c r="AI53" s="1">
        <f t="shared" si="2"/>
        <v>1</v>
      </c>
      <c r="AJ53" s="5"/>
      <c r="AK53" s="5"/>
      <c r="AL53" s="7" t="s">
        <v>15077</v>
      </c>
    </row>
    <row r="54" spans="1:38" ht="36" customHeight="1">
      <c r="A54" s="1" t="s">
        <v>4762</v>
      </c>
      <c r="B54" s="1" t="s">
        <v>5557</v>
      </c>
      <c r="C54" s="1" t="s">
        <v>5558</v>
      </c>
      <c r="D54" s="1" t="s">
        <v>6583</v>
      </c>
      <c r="E54" s="1">
        <v>0</v>
      </c>
      <c r="F54" s="1"/>
      <c r="G54" s="1" t="s">
        <v>12859</v>
      </c>
      <c r="H54" s="1" t="s">
        <v>6541</v>
      </c>
      <c r="I54" s="1" t="s">
        <v>4747</v>
      </c>
      <c r="J54" s="1"/>
      <c r="K54" s="1"/>
      <c r="L54" s="1" t="s">
        <v>12860</v>
      </c>
      <c r="M54" s="1" t="s">
        <v>6585</v>
      </c>
      <c r="N54" s="1" t="s">
        <v>13033</v>
      </c>
      <c r="O54" s="1"/>
      <c r="P54" s="1" t="s">
        <v>12863</v>
      </c>
      <c r="Q54" s="1"/>
      <c r="R54" s="1"/>
      <c r="S54" s="1"/>
      <c r="T54" s="1"/>
      <c r="U54" s="1"/>
      <c r="V54" s="1"/>
      <c r="W54" s="1"/>
      <c r="X54" s="1"/>
      <c r="Y54" s="1"/>
      <c r="Z54" s="1"/>
      <c r="AA54" s="1">
        <f t="shared" si="0"/>
        <v>0</v>
      </c>
      <c r="AB54" s="1" t="str">
        <f t="shared" si="4"/>
        <v>R2 retained</v>
      </c>
      <c r="AC54" s="1"/>
      <c r="AD54" s="1"/>
      <c r="AE54" s="1"/>
      <c r="AF54" s="1"/>
      <c r="AG54" s="1"/>
      <c r="AH54" s="1"/>
      <c r="AI54" s="1">
        <f t="shared" si="2"/>
        <v>0</v>
      </c>
      <c r="AJ54" s="5"/>
      <c r="AK54" s="5"/>
      <c r="AL54" s="7" t="s">
        <v>15077</v>
      </c>
    </row>
    <row r="55" spans="1:38" ht="36" customHeight="1">
      <c r="A55" s="1" t="s">
        <v>4762</v>
      </c>
      <c r="B55" s="1" t="s">
        <v>5562</v>
      </c>
      <c r="C55" s="1" t="s">
        <v>5563</v>
      </c>
      <c r="D55" s="1" t="s">
        <v>6587</v>
      </c>
      <c r="E55" s="1">
        <v>2</v>
      </c>
      <c r="F55" s="1"/>
      <c r="G55" s="1" t="s">
        <v>12859</v>
      </c>
      <c r="H55" s="1" t="s">
        <v>6541</v>
      </c>
      <c r="I55" s="1" t="s">
        <v>5253</v>
      </c>
      <c r="J55" s="1"/>
      <c r="K55" s="1"/>
      <c r="L55" s="1" t="s">
        <v>12860</v>
      </c>
      <c r="M55" s="1" t="s">
        <v>6590</v>
      </c>
      <c r="N55" s="1" t="s">
        <v>13034</v>
      </c>
      <c r="O55" s="1"/>
      <c r="P55" s="1" t="s">
        <v>12868</v>
      </c>
      <c r="Q55" s="1"/>
      <c r="R55" s="1"/>
      <c r="S55" s="1"/>
      <c r="T55" s="1"/>
      <c r="U55" s="1"/>
      <c r="V55" s="1"/>
      <c r="W55" s="1"/>
      <c r="X55" s="1"/>
      <c r="Y55" s="1"/>
      <c r="Z55" s="1"/>
      <c r="AA55" s="1">
        <f t="shared" si="0"/>
        <v>2</v>
      </c>
      <c r="AB55" s="1" t="str">
        <f t="shared" si="4"/>
        <v>R2 retained</v>
      </c>
      <c r="AC55" s="1">
        <v>2</v>
      </c>
      <c r="AD55" s="1" t="s">
        <v>12884</v>
      </c>
      <c r="AE55" s="1" t="s">
        <v>13035</v>
      </c>
      <c r="AF55" s="1" t="s">
        <v>13036</v>
      </c>
      <c r="AG55" s="1" t="s">
        <v>6547</v>
      </c>
      <c r="AH55" s="1" t="s">
        <v>6096</v>
      </c>
      <c r="AI55" s="1">
        <f t="shared" si="2"/>
        <v>1</v>
      </c>
      <c r="AJ55" s="5"/>
      <c r="AK55" s="5"/>
      <c r="AL55" s="7" t="s">
        <v>15077</v>
      </c>
    </row>
    <row r="56" spans="1:38" ht="36" customHeight="1">
      <c r="A56" s="1" t="s">
        <v>4762</v>
      </c>
      <c r="B56" s="1" t="s">
        <v>5567</v>
      </c>
      <c r="C56" s="1" t="s">
        <v>5568</v>
      </c>
      <c r="D56" s="1" t="s">
        <v>6592</v>
      </c>
      <c r="E56" s="1">
        <v>2</v>
      </c>
      <c r="F56" s="1"/>
      <c r="G56" s="1" t="s">
        <v>12859</v>
      </c>
      <c r="H56" s="1" t="s">
        <v>6541</v>
      </c>
      <c r="I56" s="1" t="s">
        <v>4764</v>
      </c>
      <c r="J56" s="1"/>
      <c r="K56" s="1"/>
      <c r="L56" s="1" t="s">
        <v>12860</v>
      </c>
      <c r="M56" s="1" t="s">
        <v>13037</v>
      </c>
      <c r="N56" s="1" t="s">
        <v>13038</v>
      </c>
      <c r="O56" s="1"/>
      <c r="P56" s="1" t="s">
        <v>12868</v>
      </c>
      <c r="Q56" s="1"/>
      <c r="R56" s="1"/>
      <c r="S56" s="1"/>
      <c r="T56" s="1"/>
      <c r="U56" s="1"/>
      <c r="V56" s="1"/>
      <c r="W56" s="1"/>
      <c r="X56" s="1"/>
      <c r="Y56" s="1"/>
      <c r="Z56" s="1"/>
      <c r="AA56" s="1">
        <f t="shared" si="0"/>
        <v>2</v>
      </c>
      <c r="AB56" s="1" t="str">
        <f t="shared" si="4"/>
        <v>R2 retained</v>
      </c>
      <c r="AC56" s="1"/>
      <c r="AD56" s="1"/>
      <c r="AE56" s="1"/>
      <c r="AF56" s="1"/>
      <c r="AG56" s="1"/>
      <c r="AH56" s="1"/>
      <c r="AI56" s="1">
        <f t="shared" si="2"/>
        <v>0</v>
      </c>
      <c r="AJ56" s="5"/>
      <c r="AK56" s="5"/>
      <c r="AL56" s="7" t="s">
        <v>15077</v>
      </c>
    </row>
    <row r="57" spans="1:38" ht="36" customHeight="1">
      <c r="A57" s="1" t="s">
        <v>4762</v>
      </c>
      <c r="B57" s="1" t="s">
        <v>5572</v>
      </c>
      <c r="C57" s="1" t="s">
        <v>5573</v>
      </c>
      <c r="D57" s="1" t="s">
        <v>13039</v>
      </c>
      <c r="E57" s="1">
        <v>1</v>
      </c>
      <c r="F57" s="1"/>
      <c r="G57" s="1" t="s">
        <v>12859</v>
      </c>
      <c r="H57" s="1" t="s">
        <v>6541</v>
      </c>
      <c r="I57" s="1" t="s">
        <v>13040</v>
      </c>
      <c r="J57" s="1"/>
      <c r="K57" s="1"/>
      <c r="L57" s="1" t="s">
        <v>12860</v>
      </c>
      <c r="M57" s="1" t="s">
        <v>13041</v>
      </c>
      <c r="N57" s="1" t="s">
        <v>13042</v>
      </c>
      <c r="O57" s="1"/>
      <c r="P57" s="1" t="s">
        <v>12868</v>
      </c>
      <c r="Q57" s="1"/>
      <c r="R57" s="1"/>
      <c r="S57" s="1"/>
      <c r="T57" s="1"/>
      <c r="U57" s="1"/>
      <c r="V57" s="1"/>
      <c r="W57" s="1"/>
      <c r="X57" s="1"/>
      <c r="Y57" s="1"/>
      <c r="Z57" s="1"/>
      <c r="AA57" s="1">
        <f t="shared" si="0"/>
        <v>1</v>
      </c>
      <c r="AB57" s="1" t="str">
        <f t="shared" si="4"/>
        <v>R2 retained</v>
      </c>
      <c r="AC57" s="1"/>
      <c r="AD57" s="1"/>
      <c r="AE57" s="1"/>
      <c r="AF57" s="1"/>
      <c r="AG57" s="1"/>
      <c r="AH57" s="1"/>
      <c r="AI57" s="1">
        <f t="shared" si="2"/>
        <v>0</v>
      </c>
      <c r="AJ57" s="5"/>
      <c r="AK57" s="5"/>
      <c r="AL57" s="7" t="s">
        <v>15077</v>
      </c>
    </row>
    <row r="58" spans="1:38" ht="48" customHeight="1">
      <c r="A58" s="1" t="s">
        <v>4762</v>
      </c>
      <c r="B58" s="1" t="s">
        <v>5577</v>
      </c>
      <c r="C58" s="1" t="s">
        <v>5578</v>
      </c>
      <c r="D58" s="1" t="s">
        <v>13043</v>
      </c>
      <c r="E58" s="1">
        <v>1</v>
      </c>
      <c r="F58" s="1"/>
      <c r="G58" s="1" t="s">
        <v>12859</v>
      </c>
      <c r="H58" s="1" t="s">
        <v>6541</v>
      </c>
      <c r="I58" s="1"/>
      <c r="J58" s="1"/>
      <c r="K58" s="1"/>
      <c r="L58" s="1" t="s">
        <v>12860</v>
      </c>
      <c r="M58" s="1" t="s">
        <v>13044</v>
      </c>
      <c r="N58" s="1" t="s">
        <v>13045</v>
      </c>
      <c r="O58" s="1"/>
      <c r="P58" s="1" t="s">
        <v>12876</v>
      </c>
      <c r="Q58" s="1">
        <v>1</v>
      </c>
      <c r="R58" s="1" t="s">
        <v>12981</v>
      </c>
      <c r="S58" s="1" t="s">
        <v>13046</v>
      </c>
      <c r="T58" s="1" t="s">
        <v>13047</v>
      </c>
      <c r="U58" s="1" t="s">
        <v>6547</v>
      </c>
      <c r="V58" s="1" t="s">
        <v>6096</v>
      </c>
      <c r="W58" s="1"/>
      <c r="X58" s="1"/>
      <c r="Y58" s="1"/>
      <c r="Z58" s="1" t="s">
        <v>12908</v>
      </c>
      <c r="AA58" s="1">
        <f t="shared" si="0"/>
        <v>1</v>
      </c>
      <c r="AB58" s="1" t="str">
        <f t="shared" si="4"/>
        <v>R2 retained</v>
      </c>
      <c r="AC58" s="1"/>
      <c r="AD58" s="1"/>
      <c r="AE58" s="1"/>
      <c r="AF58" s="1"/>
      <c r="AG58" s="1"/>
      <c r="AH58" s="1"/>
      <c r="AI58" s="1">
        <f t="shared" si="2"/>
        <v>1</v>
      </c>
      <c r="AJ58" s="5"/>
      <c r="AK58" s="5"/>
      <c r="AL58" s="7" t="s">
        <v>15077</v>
      </c>
    </row>
    <row r="59" spans="1:38" ht="36" customHeight="1">
      <c r="A59" s="1" t="s">
        <v>4762</v>
      </c>
      <c r="B59" s="1" t="s">
        <v>5582</v>
      </c>
      <c r="C59" s="1" t="s">
        <v>5583</v>
      </c>
      <c r="D59" s="1" t="s">
        <v>4747</v>
      </c>
      <c r="E59" s="1">
        <v>0</v>
      </c>
      <c r="F59" s="1"/>
      <c r="G59" s="1" t="s">
        <v>12859</v>
      </c>
      <c r="H59" s="1" t="s">
        <v>6541</v>
      </c>
      <c r="I59" s="1" t="s">
        <v>4747</v>
      </c>
      <c r="J59" s="1"/>
      <c r="K59" s="1"/>
      <c r="L59" s="1" t="s">
        <v>12860</v>
      </c>
      <c r="M59" s="1" t="s">
        <v>6611</v>
      </c>
      <c r="N59" s="1" t="s">
        <v>13048</v>
      </c>
      <c r="O59" s="1"/>
      <c r="P59" s="1" t="s">
        <v>12863</v>
      </c>
      <c r="Q59" s="1"/>
      <c r="R59" s="1"/>
      <c r="S59" s="1"/>
      <c r="T59" s="1"/>
      <c r="U59" s="1"/>
      <c r="V59" s="1"/>
      <c r="W59" s="1"/>
      <c r="X59" s="1"/>
      <c r="Y59" s="1"/>
      <c r="Z59" s="1"/>
      <c r="AA59" s="1">
        <f t="shared" si="0"/>
        <v>0</v>
      </c>
      <c r="AB59" s="1" t="str">
        <f t="shared" si="4"/>
        <v>R2 retained</v>
      </c>
      <c r="AC59" s="1">
        <v>0</v>
      </c>
      <c r="AD59" s="1" t="s">
        <v>12884</v>
      </c>
      <c r="AE59" s="1" t="s">
        <v>13049</v>
      </c>
      <c r="AF59" s="1" t="s">
        <v>6541</v>
      </c>
      <c r="AG59" s="1" t="s">
        <v>6547</v>
      </c>
      <c r="AH59" s="1" t="s">
        <v>6096</v>
      </c>
      <c r="AI59" s="1">
        <f t="shared" si="2"/>
        <v>1</v>
      </c>
      <c r="AJ59" s="5" t="s">
        <v>12898</v>
      </c>
      <c r="AK59" s="5" t="s">
        <v>12899</v>
      </c>
      <c r="AL59" s="7" t="s">
        <v>15077</v>
      </c>
    </row>
    <row r="60" spans="1:38" ht="36" customHeight="1">
      <c r="A60" s="1" t="s">
        <v>4762</v>
      </c>
      <c r="B60" s="1" t="s">
        <v>5586</v>
      </c>
      <c r="C60" s="1" t="s">
        <v>5587</v>
      </c>
      <c r="D60" s="1" t="s">
        <v>4747</v>
      </c>
      <c r="E60" s="1">
        <v>0</v>
      </c>
      <c r="F60" s="1"/>
      <c r="G60" s="1" t="s">
        <v>12859</v>
      </c>
      <c r="H60" s="1" t="s">
        <v>6541</v>
      </c>
      <c r="I60" s="1" t="s">
        <v>4747</v>
      </c>
      <c r="J60" s="1"/>
      <c r="K60" s="1"/>
      <c r="L60" s="1" t="s">
        <v>12860</v>
      </c>
      <c r="M60" s="1" t="s">
        <v>13050</v>
      </c>
      <c r="N60" s="1" t="s">
        <v>13051</v>
      </c>
      <c r="O60" s="1"/>
      <c r="P60" s="1" t="s">
        <v>12863</v>
      </c>
      <c r="Q60" s="1"/>
      <c r="R60" s="1"/>
      <c r="S60" s="1"/>
      <c r="T60" s="1"/>
      <c r="U60" s="1"/>
      <c r="V60" s="1"/>
      <c r="W60" s="1"/>
      <c r="X60" s="1"/>
      <c r="Y60" s="1"/>
      <c r="Z60" s="1"/>
      <c r="AA60" s="1">
        <f t="shared" si="0"/>
        <v>0</v>
      </c>
      <c r="AB60" s="1" t="str">
        <f t="shared" si="4"/>
        <v>R2 retained</v>
      </c>
      <c r="AC60" s="1"/>
      <c r="AD60" s="1"/>
      <c r="AE60" s="1"/>
      <c r="AF60" s="1"/>
      <c r="AG60" s="1"/>
      <c r="AH60" s="1"/>
      <c r="AI60" s="1">
        <f t="shared" si="2"/>
        <v>0</v>
      </c>
      <c r="AJ60" s="5"/>
      <c r="AK60" s="5"/>
      <c r="AL60" s="7" t="s">
        <v>15077</v>
      </c>
    </row>
    <row r="61" spans="1:38" ht="96" customHeight="1">
      <c r="A61" s="1" t="s">
        <v>4762</v>
      </c>
      <c r="B61" s="1" t="s">
        <v>5591</v>
      </c>
      <c r="C61" s="1" t="s">
        <v>5592</v>
      </c>
      <c r="D61" s="1" t="s">
        <v>4747</v>
      </c>
      <c r="E61" s="1">
        <v>1</v>
      </c>
      <c r="F61" s="1">
        <v>0</v>
      </c>
      <c r="G61" s="1" t="s">
        <v>12873</v>
      </c>
      <c r="H61" s="1" t="s">
        <v>6541</v>
      </c>
      <c r="I61" s="1" t="s">
        <v>5253</v>
      </c>
      <c r="J61" s="1"/>
      <c r="K61" s="1"/>
      <c r="L61" s="1" t="s">
        <v>12860</v>
      </c>
      <c r="M61" s="1" t="s">
        <v>13052</v>
      </c>
      <c r="N61" s="1" t="s">
        <v>13053</v>
      </c>
      <c r="O61" s="1" t="s">
        <v>13054</v>
      </c>
      <c r="P61" s="1" t="s">
        <v>12868</v>
      </c>
      <c r="Q61" s="1">
        <v>0</v>
      </c>
      <c r="R61" s="1" t="s">
        <v>12877</v>
      </c>
      <c r="S61" s="1" t="s">
        <v>13055</v>
      </c>
      <c r="T61" s="1" t="s">
        <v>13056</v>
      </c>
      <c r="U61" s="1" t="s">
        <v>6547</v>
      </c>
      <c r="V61" s="1" t="s">
        <v>6096</v>
      </c>
      <c r="W61" s="1" t="s">
        <v>12880</v>
      </c>
      <c r="X61" s="1"/>
      <c r="Y61" s="1" t="s">
        <v>13057</v>
      </c>
      <c r="Z61" s="1" t="s">
        <v>12883</v>
      </c>
      <c r="AA61" s="1">
        <f t="shared" si="0"/>
        <v>0</v>
      </c>
      <c r="AB61" s="1" t="str">
        <f t="shared" si="4"/>
        <v>Reviewer confirmed</v>
      </c>
      <c r="AC61" s="1">
        <v>0</v>
      </c>
      <c r="AD61" s="1" t="s">
        <v>12936</v>
      </c>
      <c r="AE61" s="1" t="s">
        <v>13058</v>
      </c>
      <c r="AF61" s="1" t="s">
        <v>13056</v>
      </c>
      <c r="AG61" s="1" t="s">
        <v>6547</v>
      </c>
      <c r="AH61" s="1" t="s">
        <v>6096</v>
      </c>
      <c r="AI61" s="1">
        <f t="shared" si="2"/>
        <v>1</v>
      </c>
      <c r="AJ61" s="5" t="s">
        <v>12898</v>
      </c>
      <c r="AK61" s="5" t="s">
        <v>12899</v>
      </c>
      <c r="AL61" s="7" t="s">
        <v>15077</v>
      </c>
    </row>
    <row r="62" spans="1:38" ht="36" customHeight="1">
      <c r="A62" s="1" t="s">
        <v>4762</v>
      </c>
      <c r="B62" s="1" t="s">
        <v>5596</v>
      </c>
      <c r="C62" s="1" t="s">
        <v>5597</v>
      </c>
      <c r="D62" s="1" t="s">
        <v>13059</v>
      </c>
      <c r="E62" s="1">
        <v>0</v>
      </c>
      <c r="F62" s="1"/>
      <c r="G62" s="1" t="s">
        <v>12859</v>
      </c>
      <c r="H62" s="1" t="s">
        <v>6541</v>
      </c>
      <c r="I62" s="1" t="s">
        <v>4747</v>
      </c>
      <c r="J62" s="1"/>
      <c r="K62" s="1"/>
      <c r="L62" s="1" t="s">
        <v>12860</v>
      </c>
      <c r="M62" s="1" t="s">
        <v>13060</v>
      </c>
      <c r="N62" s="1" t="s">
        <v>13061</v>
      </c>
      <c r="O62" s="1"/>
      <c r="P62" s="1" t="s">
        <v>12863</v>
      </c>
      <c r="Q62" s="1"/>
      <c r="R62" s="1"/>
      <c r="S62" s="1"/>
      <c r="T62" s="1"/>
      <c r="U62" s="1"/>
      <c r="V62" s="1"/>
      <c r="W62" s="1"/>
      <c r="X62" s="1"/>
      <c r="Y62" s="1"/>
      <c r="Z62" s="1"/>
      <c r="AA62" s="1">
        <f t="shared" si="0"/>
        <v>0</v>
      </c>
      <c r="AB62" s="1" t="str">
        <f t="shared" si="4"/>
        <v>R2 retained</v>
      </c>
      <c r="AC62" s="1"/>
      <c r="AD62" s="1"/>
      <c r="AE62" s="1"/>
      <c r="AF62" s="1"/>
      <c r="AG62" s="1"/>
      <c r="AH62" s="1"/>
      <c r="AI62" s="1">
        <f t="shared" si="2"/>
        <v>0</v>
      </c>
      <c r="AJ62" s="5"/>
      <c r="AK62" s="5"/>
      <c r="AL62" s="7" t="s">
        <v>15077</v>
      </c>
    </row>
    <row r="63" spans="1:38" ht="36" customHeight="1">
      <c r="A63" s="1" t="s">
        <v>4762</v>
      </c>
      <c r="B63" s="1" t="s">
        <v>5601</v>
      </c>
      <c r="C63" s="1" t="s">
        <v>5602</v>
      </c>
      <c r="D63" s="1" t="s">
        <v>6620</v>
      </c>
      <c r="E63" s="1">
        <v>1</v>
      </c>
      <c r="F63" s="1"/>
      <c r="G63" s="1" t="s">
        <v>12859</v>
      </c>
      <c r="H63" s="1" t="s">
        <v>6541</v>
      </c>
      <c r="I63" s="1" t="s">
        <v>4862</v>
      </c>
      <c r="J63" s="1"/>
      <c r="K63" s="1"/>
      <c r="L63" s="1" t="s">
        <v>12860</v>
      </c>
      <c r="M63" s="1" t="s">
        <v>6622</v>
      </c>
      <c r="N63" s="1" t="s">
        <v>13062</v>
      </c>
      <c r="O63" s="1"/>
      <c r="P63" s="1" t="s">
        <v>12868</v>
      </c>
      <c r="Q63" s="1"/>
      <c r="R63" s="1"/>
      <c r="S63" s="1"/>
      <c r="T63" s="1"/>
      <c r="U63" s="1"/>
      <c r="V63" s="1"/>
      <c r="W63" s="1"/>
      <c r="X63" s="1"/>
      <c r="Y63" s="1"/>
      <c r="Z63" s="1"/>
      <c r="AA63" s="1">
        <f t="shared" si="0"/>
        <v>1</v>
      </c>
      <c r="AB63" s="1" t="str">
        <f t="shared" si="4"/>
        <v>R2 retained</v>
      </c>
      <c r="AC63" s="1"/>
      <c r="AD63" s="1"/>
      <c r="AE63" s="1"/>
      <c r="AF63" s="1"/>
      <c r="AG63" s="1"/>
      <c r="AH63" s="1"/>
      <c r="AI63" s="1">
        <f t="shared" si="2"/>
        <v>0</v>
      </c>
      <c r="AJ63" s="5"/>
      <c r="AK63" s="5"/>
      <c r="AL63" s="7" t="s">
        <v>15077</v>
      </c>
    </row>
    <row r="64" spans="1:38" ht="36" customHeight="1">
      <c r="A64" s="1" t="s">
        <v>4762</v>
      </c>
      <c r="B64" s="1" t="s">
        <v>5606</v>
      </c>
      <c r="C64" s="1" t="s">
        <v>5607</v>
      </c>
      <c r="D64" s="1" t="s">
        <v>6624</v>
      </c>
      <c r="E64" s="1">
        <v>2</v>
      </c>
      <c r="F64" s="1"/>
      <c r="G64" s="1" t="s">
        <v>12859</v>
      </c>
      <c r="H64" s="1" t="s">
        <v>6541</v>
      </c>
      <c r="I64" s="1" t="s">
        <v>4862</v>
      </c>
      <c r="J64" s="1"/>
      <c r="K64" s="1"/>
      <c r="L64" s="1" t="s">
        <v>12860</v>
      </c>
      <c r="M64" s="1" t="s">
        <v>6625</v>
      </c>
      <c r="N64" s="1" t="s">
        <v>13063</v>
      </c>
      <c r="O64" s="1"/>
      <c r="P64" s="1" t="s">
        <v>12868</v>
      </c>
      <c r="Q64" s="1"/>
      <c r="R64" s="1"/>
      <c r="S64" s="1"/>
      <c r="T64" s="1"/>
      <c r="U64" s="1"/>
      <c r="V64" s="1"/>
      <c r="W64" s="1"/>
      <c r="X64" s="1"/>
      <c r="Y64" s="1"/>
      <c r="Z64" s="1"/>
      <c r="AA64" s="1">
        <f t="shared" si="0"/>
        <v>2</v>
      </c>
      <c r="AB64" s="1" t="str">
        <f t="shared" si="4"/>
        <v>R2 retained</v>
      </c>
      <c r="AC64" s="1"/>
      <c r="AD64" s="1"/>
      <c r="AE64" s="1"/>
      <c r="AF64" s="1"/>
      <c r="AG64" s="1"/>
      <c r="AH64" s="1"/>
      <c r="AI64" s="1">
        <f t="shared" si="2"/>
        <v>0</v>
      </c>
      <c r="AJ64" s="5"/>
      <c r="AK64" s="5"/>
      <c r="AL64" s="7" t="s">
        <v>15077</v>
      </c>
    </row>
    <row r="65" spans="1:38" ht="36" customHeight="1">
      <c r="A65" s="1" t="s">
        <v>4762</v>
      </c>
      <c r="B65" s="1" t="s">
        <v>5454</v>
      </c>
      <c r="C65" s="1" t="s">
        <v>5455</v>
      </c>
      <c r="D65" s="1" t="s">
        <v>4747</v>
      </c>
      <c r="E65" s="1">
        <v>0</v>
      </c>
      <c r="F65" s="1"/>
      <c r="G65" s="1" t="s">
        <v>12859</v>
      </c>
      <c r="H65" s="1" t="s">
        <v>6541</v>
      </c>
      <c r="I65" s="1" t="s">
        <v>4747</v>
      </c>
      <c r="J65" s="1"/>
      <c r="K65" s="1"/>
      <c r="L65" s="1" t="s">
        <v>12860</v>
      </c>
      <c r="M65" s="1" t="s">
        <v>6628</v>
      </c>
      <c r="N65" s="1" t="s">
        <v>13064</v>
      </c>
      <c r="O65" s="1"/>
      <c r="P65" s="1" t="s">
        <v>12863</v>
      </c>
      <c r="Q65" s="1"/>
      <c r="R65" s="1"/>
      <c r="S65" s="1"/>
      <c r="T65" s="1"/>
      <c r="U65" s="1"/>
      <c r="V65" s="1"/>
      <c r="W65" s="1"/>
      <c r="X65" s="1"/>
      <c r="Y65" s="1"/>
      <c r="Z65" s="1"/>
      <c r="AA65" s="1">
        <f t="shared" si="0"/>
        <v>0</v>
      </c>
      <c r="AB65" s="1" t="str">
        <f t="shared" si="4"/>
        <v>R2 retained</v>
      </c>
      <c r="AC65" s="1">
        <v>0</v>
      </c>
      <c r="AD65" s="1" t="s">
        <v>12884</v>
      </c>
      <c r="AE65" s="1" t="s">
        <v>13065</v>
      </c>
      <c r="AF65" s="1" t="s">
        <v>13066</v>
      </c>
      <c r="AG65" s="1" t="s">
        <v>6547</v>
      </c>
      <c r="AH65" s="1" t="s">
        <v>6096</v>
      </c>
      <c r="AI65" s="1">
        <f t="shared" si="2"/>
        <v>1</v>
      </c>
      <c r="AJ65" s="5" t="s">
        <v>12898</v>
      </c>
      <c r="AK65" s="5" t="s">
        <v>12899</v>
      </c>
      <c r="AL65" s="7" t="s">
        <v>15077</v>
      </c>
    </row>
    <row r="66" spans="1:38" ht="36" customHeight="1">
      <c r="A66" s="1" t="s">
        <v>5845</v>
      </c>
      <c r="B66" s="1" t="s">
        <v>5537</v>
      </c>
      <c r="C66" s="1" t="s">
        <v>5538</v>
      </c>
      <c r="D66" s="1" t="s">
        <v>13067</v>
      </c>
      <c r="E66" s="1">
        <v>0</v>
      </c>
      <c r="F66" s="1"/>
      <c r="G66" s="1" t="s">
        <v>12859</v>
      </c>
      <c r="H66" s="1" t="s">
        <v>6644</v>
      </c>
      <c r="I66" s="1" t="s">
        <v>4747</v>
      </c>
      <c r="J66" s="1"/>
      <c r="K66" s="1"/>
      <c r="L66" s="1" t="s">
        <v>12860</v>
      </c>
      <c r="M66" s="1" t="s">
        <v>13068</v>
      </c>
      <c r="N66" s="1" t="s">
        <v>13069</v>
      </c>
      <c r="O66" s="1"/>
      <c r="P66" s="1" t="s">
        <v>12863</v>
      </c>
      <c r="Q66" s="1"/>
      <c r="R66" s="1"/>
      <c r="S66" s="1"/>
      <c r="T66" s="1"/>
      <c r="U66" s="1"/>
      <c r="V66" s="1"/>
      <c r="W66" s="1"/>
      <c r="X66" s="1"/>
      <c r="Y66" s="1"/>
      <c r="Z66" s="1"/>
      <c r="AA66" s="1">
        <f t="shared" ref="AA66:AA129" si="5">IF(OR(ISNUMBER(F66),F66="NA"),F66,IF(AD66="uncertain","",IF(OR(ISNUMBER(AC66),AC66="NA"),AC66,E66)))</f>
        <v>0</v>
      </c>
      <c r="AB66" s="1" t="str">
        <f t="shared" si="4"/>
        <v>R2 retained</v>
      </c>
      <c r="AC66" s="1"/>
      <c r="AD66" s="1"/>
      <c r="AE66" s="1"/>
      <c r="AF66" s="1"/>
      <c r="AG66" s="1"/>
      <c r="AH66" s="1"/>
      <c r="AI66" s="1">
        <f t="shared" ref="AI66:AI129" si="6">IF(OR(R66&lt;&gt;"",AD66&lt;&gt;""),1,0)</f>
        <v>0</v>
      </c>
      <c r="AJ66" s="5"/>
      <c r="AK66" s="5"/>
      <c r="AL66" s="7" t="s">
        <v>15077</v>
      </c>
    </row>
    <row r="67" spans="1:38" ht="36" customHeight="1">
      <c r="A67" s="1" t="s">
        <v>5845</v>
      </c>
      <c r="B67" s="1" t="s">
        <v>5542</v>
      </c>
      <c r="C67" s="1" t="s">
        <v>5543</v>
      </c>
      <c r="D67" s="1" t="s">
        <v>4747</v>
      </c>
      <c r="E67" s="1">
        <v>0</v>
      </c>
      <c r="F67" s="1"/>
      <c r="G67" s="1" t="s">
        <v>12859</v>
      </c>
      <c r="H67" s="1" t="s">
        <v>6644</v>
      </c>
      <c r="I67" s="1" t="s">
        <v>4747</v>
      </c>
      <c r="J67" s="1"/>
      <c r="K67" s="1"/>
      <c r="L67" s="1" t="s">
        <v>12860</v>
      </c>
      <c r="M67" s="1" t="s">
        <v>13070</v>
      </c>
      <c r="N67" s="1" t="s">
        <v>13071</v>
      </c>
      <c r="O67" s="1"/>
      <c r="P67" s="1" t="s">
        <v>12863</v>
      </c>
      <c r="Q67" s="1"/>
      <c r="R67" s="1"/>
      <c r="S67" s="1"/>
      <c r="T67" s="1"/>
      <c r="U67" s="1"/>
      <c r="V67" s="1"/>
      <c r="W67" s="1"/>
      <c r="X67" s="1"/>
      <c r="Y67" s="1"/>
      <c r="Z67" s="1"/>
      <c r="AA67" s="1">
        <f t="shared" si="5"/>
        <v>0</v>
      </c>
      <c r="AB67" s="1" t="str">
        <f t="shared" si="4"/>
        <v>R2 retained</v>
      </c>
      <c r="AC67" s="1"/>
      <c r="AD67" s="1"/>
      <c r="AE67" s="1"/>
      <c r="AF67" s="1"/>
      <c r="AG67" s="1"/>
      <c r="AH67" s="1"/>
      <c r="AI67" s="1">
        <f t="shared" si="6"/>
        <v>0</v>
      </c>
      <c r="AJ67" s="5"/>
      <c r="AK67" s="5"/>
      <c r="AL67" s="7" t="s">
        <v>15077</v>
      </c>
    </row>
    <row r="68" spans="1:38" ht="36" customHeight="1">
      <c r="A68" s="1" t="s">
        <v>5845</v>
      </c>
      <c r="B68" s="1" t="s">
        <v>5547</v>
      </c>
      <c r="C68" s="1" t="s">
        <v>5548</v>
      </c>
      <c r="D68" s="1" t="s">
        <v>4747</v>
      </c>
      <c r="E68" s="1">
        <v>1</v>
      </c>
      <c r="F68" s="1"/>
      <c r="G68" s="1" t="s">
        <v>12859</v>
      </c>
      <c r="H68" s="1" t="s">
        <v>6644</v>
      </c>
      <c r="I68" s="1" t="s">
        <v>4737</v>
      </c>
      <c r="J68" s="1"/>
      <c r="K68" s="1"/>
      <c r="L68" s="1" t="s">
        <v>12860</v>
      </c>
      <c r="M68" s="1" t="s">
        <v>13072</v>
      </c>
      <c r="N68" s="1" t="s">
        <v>13073</v>
      </c>
      <c r="O68" s="1"/>
      <c r="P68" s="1" t="s">
        <v>12868</v>
      </c>
      <c r="Q68" s="1"/>
      <c r="R68" s="1"/>
      <c r="S68" s="1"/>
      <c r="T68" s="1"/>
      <c r="U68" s="1"/>
      <c r="V68" s="1"/>
      <c r="W68" s="1"/>
      <c r="X68" s="1"/>
      <c r="Y68" s="1"/>
      <c r="Z68" s="1"/>
      <c r="AA68" s="1">
        <f t="shared" si="5"/>
        <v>1</v>
      </c>
      <c r="AB68" s="1" t="str">
        <f t="shared" si="4"/>
        <v>R2 retained</v>
      </c>
      <c r="AC68" s="1"/>
      <c r="AD68" s="1"/>
      <c r="AE68" s="1"/>
      <c r="AF68" s="1"/>
      <c r="AG68" s="1"/>
      <c r="AH68" s="1"/>
      <c r="AI68" s="1">
        <f t="shared" si="6"/>
        <v>0</v>
      </c>
      <c r="AJ68" s="5"/>
      <c r="AK68" s="5"/>
      <c r="AL68" s="7" t="s">
        <v>15077</v>
      </c>
    </row>
    <row r="69" spans="1:38" ht="48" customHeight="1">
      <c r="A69" s="1" t="s">
        <v>5845</v>
      </c>
      <c r="B69" s="1" t="s">
        <v>5552</v>
      </c>
      <c r="C69" s="1" t="s">
        <v>5553</v>
      </c>
      <c r="D69" s="1" t="s">
        <v>13074</v>
      </c>
      <c r="E69" s="1">
        <v>2</v>
      </c>
      <c r="F69" s="1"/>
      <c r="G69" s="1" t="s">
        <v>12859</v>
      </c>
      <c r="H69" s="1" t="s">
        <v>6644</v>
      </c>
      <c r="I69" s="1"/>
      <c r="J69" s="1"/>
      <c r="K69" s="1"/>
      <c r="L69" s="1" t="s">
        <v>12860</v>
      </c>
      <c r="M69" s="1" t="s">
        <v>13075</v>
      </c>
      <c r="N69" s="1" t="s">
        <v>13076</v>
      </c>
      <c r="O69" s="1"/>
      <c r="P69" s="1" t="s">
        <v>12876</v>
      </c>
      <c r="Q69" s="1">
        <v>2</v>
      </c>
      <c r="R69" s="1" t="s">
        <v>12981</v>
      </c>
      <c r="S69" s="1" t="s">
        <v>13077</v>
      </c>
      <c r="T69" s="1" t="s">
        <v>13078</v>
      </c>
      <c r="U69" s="1" t="s">
        <v>6649</v>
      </c>
      <c r="V69" s="1" t="s">
        <v>6096</v>
      </c>
      <c r="W69" s="1"/>
      <c r="X69" s="1"/>
      <c r="Y69" s="1"/>
      <c r="Z69" s="1" t="s">
        <v>12908</v>
      </c>
      <c r="AA69" s="1">
        <f t="shared" si="5"/>
        <v>2</v>
      </c>
      <c r="AB69" s="1" t="str">
        <f t="shared" si="4"/>
        <v>R2 retained</v>
      </c>
      <c r="AC69" s="1"/>
      <c r="AD69" s="1"/>
      <c r="AE69" s="1"/>
      <c r="AF69" s="1"/>
      <c r="AG69" s="1"/>
      <c r="AH69" s="1"/>
      <c r="AI69" s="1">
        <f t="shared" si="6"/>
        <v>1</v>
      </c>
      <c r="AJ69" s="5"/>
      <c r="AK69" s="5"/>
      <c r="AL69" s="7" t="s">
        <v>15077</v>
      </c>
    </row>
    <row r="70" spans="1:38" ht="36" customHeight="1">
      <c r="A70" s="1" t="s">
        <v>5845</v>
      </c>
      <c r="B70" s="1" t="s">
        <v>5557</v>
      </c>
      <c r="C70" s="1" t="s">
        <v>5558</v>
      </c>
      <c r="D70" s="1" t="s">
        <v>6685</v>
      </c>
      <c r="E70" s="1">
        <v>0</v>
      </c>
      <c r="F70" s="1"/>
      <c r="G70" s="1" t="s">
        <v>12859</v>
      </c>
      <c r="H70" s="1" t="s">
        <v>6644</v>
      </c>
      <c r="I70" s="1" t="s">
        <v>4747</v>
      </c>
      <c r="J70" s="1"/>
      <c r="K70" s="1"/>
      <c r="L70" s="1" t="s">
        <v>12860</v>
      </c>
      <c r="M70" s="1" t="s">
        <v>6687</v>
      </c>
      <c r="N70" s="1" t="s">
        <v>13079</v>
      </c>
      <c r="O70" s="1"/>
      <c r="P70" s="1" t="s">
        <v>12863</v>
      </c>
      <c r="Q70" s="1"/>
      <c r="R70" s="1"/>
      <c r="S70" s="1"/>
      <c r="T70" s="1"/>
      <c r="U70" s="1"/>
      <c r="V70" s="1"/>
      <c r="W70" s="1"/>
      <c r="X70" s="1"/>
      <c r="Y70" s="1"/>
      <c r="Z70" s="1"/>
      <c r="AA70" s="1">
        <f t="shared" si="5"/>
        <v>0</v>
      </c>
      <c r="AB70" s="1" t="str">
        <f t="shared" si="4"/>
        <v>R2 retained</v>
      </c>
      <c r="AC70" s="1"/>
      <c r="AD70" s="1"/>
      <c r="AE70" s="1"/>
      <c r="AF70" s="1"/>
      <c r="AG70" s="1"/>
      <c r="AH70" s="1"/>
      <c r="AI70" s="1">
        <f t="shared" si="6"/>
        <v>0</v>
      </c>
      <c r="AJ70" s="5"/>
      <c r="AK70" s="5"/>
      <c r="AL70" s="7" t="s">
        <v>15077</v>
      </c>
    </row>
    <row r="71" spans="1:38" ht="36" customHeight="1">
      <c r="A71" s="1" t="s">
        <v>5845</v>
      </c>
      <c r="B71" s="1" t="s">
        <v>5562</v>
      </c>
      <c r="C71" s="1" t="s">
        <v>5563</v>
      </c>
      <c r="D71" s="1" t="s">
        <v>6689</v>
      </c>
      <c r="E71" s="1">
        <v>1</v>
      </c>
      <c r="F71" s="1"/>
      <c r="G71" s="1" t="s">
        <v>12859</v>
      </c>
      <c r="H71" s="1" t="s">
        <v>6644</v>
      </c>
      <c r="I71" s="1" t="s">
        <v>11803</v>
      </c>
      <c r="J71" s="1"/>
      <c r="K71" s="1"/>
      <c r="L71" s="1" t="s">
        <v>12860</v>
      </c>
      <c r="M71" s="1" t="s">
        <v>6692</v>
      </c>
      <c r="N71" s="1" t="s">
        <v>13080</v>
      </c>
      <c r="O71" s="1"/>
      <c r="P71" s="1" t="s">
        <v>12868</v>
      </c>
      <c r="Q71" s="1"/>
      <c r="R71" s="1"/>
      <c r="S71" s="1"/>
      <c r="T71" s="1"/>
      <c r="U71" s="1"/>
      <c r="V71" s="1"/>
      <c r="W71" s="1"/>
      <c r="X71" s="1"/>
      <c r="Y71" s="1"/>
      <c r="Z71" s="1"/>
      <c r="AA71" s="1">
        <f t="shared" si="5"/>
        <v>1</v>
      </c>
      <c r="AB71" s="1" t="str">
        <f t="shared" si="4"/>
        <v>R2 retained</v>
      </c>
      <c r="AC71" s="1">
        <v>1</v>
      </c>
      <c r="AD71" s="1" t="s">
        <v>12884</v>
      </c>
      <c r="AE71" s="1" t="s">
        <v>13081</v>
      </c>
      <c r="AF71" s="1" t="s">
        <v>13082</v>
      </c>
      <c r="AG71" s="1" t="s">
        <v>6649</v>
      </c>
      <c r="AH71" s="1" t="s">
        <v>6096</v>
      </c>
      <c r="AI71" s="1">
        <f t="shared" si="6"/>
        <v>1</v>
      </c>
      <c r="AJ71" s="5"/>
      <c r="AK71" s="5"/>
      <c r="AL71" s="7" t="s">
        <v>15077</v>
      </c>
    </row>
    <row r="72" spans="1:38" ht="36" customHeight="1">
      <c r="A72" s="1" t="s">
        <v>5845</v>
      </c>
      <c r="B72" s="1" t="s">
        <v>5567</v>
      </c>
      <c r="C72" s="1" t="s">
        <v>5568</v>
      </c>
      <c r="D72" s="1" t="s">
        <v>13083</v>
      </c>
      <c r="E72" s="1">
        <v>1</v>
      </c>
      <c r="F72" s="1"/>
      <c r="G72" s="1" t="s">
        <v>12859</v>
      </c>
      <c r="H72" s="1" t="s">
        <v>6644</v>
      </c>
      <c r="I72" s="1" t="s">
        <v>11803</v>
      </c>
      <c r="J72" s="1"/>
      <c r="K72" s="1"/>
      <c r="L72" s="1" t="s">
        <v>12860</v>
      </c>
      <c r="M72" s="1" t="s">
        <v>13084</v>
      </c>
      <c r="N72" s="1" t="s">
        <v>13085</v>
      </c>
      <c r="O72" s="1"/>
      <c r="P72" s="1" t="s">
        <v>12868</v>
      </c>
      <c r="Q72" s="1"/>
      <c r="R72" s="1"/>
      <c r="S72" s="1"/>
      <c r="T72" s="1"/>
      <c r="U72" s="1"/>
      <c r="V72" s="1"/>
      <c r="W72" s="1"/>
      <c r="X72" s="1"/>
      <c r="Y72" s="1"/>
      <c r="Z72" s="1"/>
      <c r="AA72" s="1">
        <f t="shared" si="5"/>
        <v>1</v>
      </c>
      <c r="AB72" s="1" t="str">
        <f t="shared" si="4"/>
        <v>R2 retained</v>
      </c>
      <c r="AC72" s="1"/>
      <c r="AD72" s="1"/>
      <c r="AE72" s="1"/>
      <c r="AF72" s="1"/>
      <c r="AG72" s="1"/>
      <c r="AH72" s="1"/>
      <c r="AI72" s="1">
        <f t="shared" si="6"/>
        <v>0</v>
      </c>
      <c r="AJ72" s="5"/>
      <c r="AK72" s="5"/>
      <c r="AL72" s="7" t="s">
        <v>15077</v>
      </c>
    </row>
    <row r="73" spans="1:38" ht="36" customHeight="1">
      <c r="A73" s="1" t="s">
        <v>5845</v>
      </c>
      <c r="B73" s="1" t="s">
        <v>5572</v>
      </c>
      <c r="C73" s="1" t="s">
        <v>5573</v>
      </c>
      <c r="D73" s="1" t="s">
        <v>13086</v>
      </c>
      <c r="E73" s="1">
        <v>2</v>
      </c>
      <c r="F73" s="1"/>
      <c r="G73" s="1" t="s">
        <v>12859</v>
      </c>
      <c r="H73" s="1" t="s">
        <v>6644</v>
      </c>
      <c r="I73" s="1" t="s">
        <v>4862</v>
      </c>
      <c r="J73" s="1"/>
      <c r="K73" s="1"/>
      <c r="L73" s="1" t="s">
        <v>12860</v>
      </c>
      <c r="M73" s="1" t="s">
        <v>13087</v>
      </c>
      <c r="N73" s="1" t="s">
        <v>13088</v>
      </c>
      <c r="O73" s="1"/>
      <c r="P73" s="1" t="s">
        <v>12868</v>
      </c>
      <c r="Q73" s="1"/>
      <c r="R73" s="1"/>
      <c r="S73" s="1"/>
      <c r="T73" s="1"/>
      <c r="U73" s="1"/>
      <c r="V73" s="1"/>
      <c r="W73" s="1"/>
      <c r="X73" s="1"/>
      <c r="Y73" s="1"/>
      <c r="Z73" s="1"/>
      <c r="AA73" s="1">
        <f t="shared" si="5"/>
        <v>2</v>
      </c>
      <c r="AB73" s="1" t="str">
        <f t="shared" si="4"/>
        <v>R2 retained</v>
      </c>
      <c r="AC73" s="1"/>
      <c r="AD73" s="1"/>
      <c r="AE73" s="1"/>
      <c r="AF73" s="1"/>
      <c r="AG73" s="1"/>
      <c r="AH73" s="1"/>
      <c r="AI73" s="1">
        <f t="shared" si="6"/>
        <v>0</v>
      </c>
      <c r="AJ73" s="5"/>
      <c r="AK73" s="5"/>
      <c r="AL73" s="7" t="s">
        <v>15077</v>
      </c>
    </row>
    <row r="74" spans="1:38" ht="36" customHeight="1">
      <c r="A74" s="1" t="s">
        <v>5845</v>
      </c>
      <c r="B74" s="1" t="s">
        <v>5577</v>
      </c>
      <c r="C74" s="1" t="s">
        <v>5578</v>
      </c>
      <c r="D74" s="1" t="s">
        <v>13089</v>
      </c>
      <c r="E74" s="1">
        <v>2</v>
      </c>
      <c r="F74" s="1"/>
      <c r="G74" s="1" t="s">
        <v>12859</v>
      </c>
      <c r="H74" s="1" t="s">
        <v>6644</v>
      </c>
      <c r="I74" s="1" t="s">
        <v>4959</v>
      </c>
      <c r="J74" s="1"/>
      <c r="K74" s="1"/>
      <c r="L74" s="1" t="s">
        <v>12860</v>
      </c>
      <c r="M74" s="1" t="s">
        <v>13090</v>
      </c>
      <c r="N74" s="1" t="s">
        <v>13091</v>
      </c>
      <c r="O74" s="1"/>
      <c r="P74" s="1" t="s">
        <v>12868</v>
      </c>
      <c r="Q74" s="1"/>
      <c r="R74" s="1"/>
      <c r="S74" s="1"/>
      <c r="T74" s="1"/>
      <c r="U74" s="1"/>
      <c r="V74" s="1"/>
      <c r="W74" s="1"/>
      <c r="X74" s="1"/>
      <c r="Y74" s="1"/>
      <c r="Z74" s="1"/>
      <c r="AA74" s="1">
        <f t="shared" si="5"/>
        <v>2</v>
      </c>
      <c r="AB74" s="1" t="str">
        <f t="shared" si="4"/>
        <v>R2 retained</v>
      </c>
      <c r="AC74" s="1"/>
      <c r="AD74" s="1"/>
      <c r="AE74" s="1"/>
      <c r="AF74" s="1"/>
      <c r="AG74" s="1"/>
      <c r="AH74" s="1"/>
      <c r="AI74" s="1">
        <f t="shared" si="6"/>
        <v>0</v>
      </c>
      <c r="AJ74" s="5"/>
      <c r="AK74" s="5"/>
      <c r="AL74" s="7" t="s">
        <v>15077</v>
      </c>
    </row>
    <row r="75" spans="1:38" ht="36" customHeight="1">
      <c r="A75" s="1" t="s">
        <v>5845</v>
      </c>
      <c r="B75" s="1" t="s">
        <v>5582</v>
      </c>
      <c r="C75" s="1" t="s">
        <v>5583</v>
      </c>
      <c r="D75" s="1" t="s">
        <v>6725</v>
      </c>
      <c r="E75" s="1">
        <v>0</v>
      </c>
      <c r="F75" s="1"/>
      <c r="G75" s="1" t="s">
        <v>12859</v>
      </c>
      <c r="H75" s="1" t="s">
        <v>6644</v>
      </c>
      <c r="I75" s="1" t="s">
        <v>4747</v>
      </c>
      <c r="J75" s="1"/>
      <c r="K75" s="1"/>
      <c r="L75" s="1" t="s">
        <v>12860</v>
      </c>
      <c r="M75" s="1" t="s">
        <v>6727</v>
      </c>
      <c r="N75" s="1" t="s">
        <v>13092</v>
      </c>
      <c r="O75" s="1"/>
      <c r="P75" s="1" t="s">
        <v>12863</v>
      </c>
      <c r="Q75" s="1"/>
      <c r="R75" s="1"/>
      <c r="S75" s="1"/>
      <c r="T75" s="1"/>
      <c r="U75" s="1"/>
      <c r="V75" s="1"/>
      <c r="W75" s="1"/>
      <c r="X75" s="1"/>
      <c r="Y75" s="1"/>
      <c r="Z75" s="1"/>
      <c r="AA75" s="1">
        <f t="shared" si="5"/>
        <v>0</v>
      </c>
      <c r="AB75" s="1" t="str">
        <f t="shared" si="4"/>
        <v>R2 retained</v>
      </c>
      <c r="AC75" s="1">
        <v>0</v>
      </c>
      <c r="AD75" s="1" t="s">
        <v>12884</v>
      </c>
      <c r="AE75" s="1" t="s">
        <v>13093</v>
      </c>
      <c r="AF75" s="1" t="s">
        <v>13094</v>
      </c>
      <c r="AG75" s="1" t="s">
        <v>6649</v>
      </c>
      <c r="AH75" s="1" t="s">
        <v>6096</v>
      </c>
      <c r="AI75" s="1">
        <f t="shared" si="6"/>
        <v>1</v>
      </c>
      <c r="AJ75" s="5" t="s">
        <v>12898</v>
      </c>
      <c r="AK75" s="5" t="s">
        <v>12899</v>
      </c>
      <c r="AL75" s="7" t="s">
        <v>15077</v>
      </c>
    </row>
    <row r="76" spans="1:38" ht="36" customHeight="1">
      <c r="A76" s="1" t="s">
        <v>5845</v>
      </c>
      <c r="B76" s="1" t="s">
        <v>5586</v>
      </c>
      <c r="C76" s="1" t="s">
        <v>5587</v>
      </c>
      <c r="D76" s="1" t="s">
        <v>13095</v>
      </c>
      <c r="E76" s="1">
        <v>2</v>
      </c>
      <c r="F76" s="1"/>
      <c r="G76" s="1" t="s">
        <v>12859</v>
      </c>
      <c r="H76" s="1" t="s">
        <v>6644</v>
      </c>
      <c r="I76" s="1" t="s">
        <v>4737</v>
      </c>
      <c r="J76" s="1"/>
      <c r="K76" s="1"/>
      <c r="L76" s="1" t="s">
        <v>12860</v>
      </c>
      <c r="M76" s="1" t="s">
        <v>13096</v>
      </c>
      <c r="N76" s="1" t="s">
        <v>13097</v>
      </c>
      <c r="O76" s="1"/>
      <c r="P76" s="1" t="s">
        <v>12868</v>
      </c>
      <c r="Q76" s="1"/>
      <c r="R76" s="1"/>
      <c r="S76" s="1"/>
      <c r="T76" s="1"/>
      <c r="U76" s="1"/>
      <c r="V76" s="1"/>
      <c r="W76" s="1"/>
      <c r="X76" s="1"/>
      <c r="Y76" s="1"/>
      <c r="Z76" s="1"/>
      <c r="AA76" s="1">
        <f t="shared" si="5"/>
        <v>2</v>
      </c>
      <c r="AB76" s="1" t="str">
        <f t="shared" si="4"/>
        <v>R2 retained</v>
      </c>
      <c r="AC76" s="1"/>
      <c r="AD76" s="1"/>
      <c r="AE76" s="1"/>
      <c r="AF76" s="1"/>
      <c r="AG76" s="1"/>
      <c r="AH76" s="1"/>
      <c r="AI76" s="1">
        <f t="shared" si="6"/>
        <v>0</v>
      </c>
      <c r="AJ76" s="5"/>
      <c r="AK76" s="5"/>
      <c r="AL76" s="7" t="s">
        <v>15077</v>
      </c>
    </row>
    <row r="77" spans="1:38" ht="108" customHeight="1">
      <c r="A77" s="1" t="s">
        <v>5845</v>
      </c>
      <c r="B77" s="1" t="s">
        <v>5591</v>
      </c>
      <c r="C77" s="1" t="s">
        <v>5592</v>
      </c>
      <c r="D77" s="1" t="s">
        <v>13098</v>
      </c>
      <c r="E77" s="1">
        <v>2</v>
      </c>
      <c r="F77" s="1">
        <v>2</v>
      </c>
      <c r="G77" s="1" t="s">
        <v>12873</v>
      </c>
      <c r="H77" s="1" t="s">
        <v>6644</v>
      </c>
      <c r="I77" s="1" t="s">
        <v>4737</v>
      </c>
      <c r="J77" s="1"/>
      <c r="K77" s="1"/>
      <c r="L77" s="1" t="s">
        <v>12860</v>
      </c>
      <c r="M77" s="1" t="s">
        <v>13099</v>
      </c>
      <c r="N77" s="1" t="s">
        <v>13100</v>
      </c>
      <c r="O77" s="1" t="s">
        <v>13101</v>
      </c>
      <c r="P77" s="1" t="s">
        <v>12868</v>
      </c>
      <c r="Q77" s="1">
        <v>2</v>
      </c>
      <c r="R77" s="1" t="s">
        <v>12877</v>
      </c>
      <c r="S77" s="1" t="s">
        <v>13102</v>
      </c>
      <c r="T77" s="1" t="s">
        <v>13103</v>
      </c>
      <c r="U77" s="1" t="s">
        <v>6649</v>
      </c>
      <c r="V77" s="1" t="s">
        <v>6096</v>
      </c>
      <c r="W77" s="1" t="s">
        <v>12880</v>
      </c>
      <c r="X77" s="1"/>
      <c r="Y77" s="1" t="s">
        <v>13104</v>
      </c>
      <c r="Z77" s="1" t="s">
        <v>12883</v>
      </c>
      <c r="AA77" s="1">
        <f t="shared" si="5"/>
        <v>2</v>
      </c>
      <c r="AB77" s="1" t="str">
        <f t="shared" si="4"/>
        <v>Reviewer confirmed</v>
      </c>
      <c r="AC77" s="1">
        <v>2</v>
      </c>
      <c r="AD77" s="1" t="s">
        <v>12884</v>
      </c>
      <c r="AE77" s="1" t="s">
        <v>13105</v>
      </c>
      <c r="AF77" s="1" t="s">
        <v>13103</v>
      </c>
      <c r="AG77" s="1" t="s">
        <v>6649</v>
      </c>
      <c r="AH77" s="1" t="s">
        <v>6096</v>
      </c>
      <c r="AI77" s="1">
        <f t="shared" si="6"/>
        <v>1</v>
      </c>
      <c r="AJ77" s="5" t="s">
        <v>12898</v>
      </c>
      <c r="AK77" s="5" t="s">
        <v>12899</v>
      </c>
      <c r="AL77" s="7" t="s">
        <v>15077</v>
      </c>
    </row>
    <row r="78" spans="1:38" ht="36" customHeight="1">
      <c r="A78" s="1" t="s">
        <v>5845</v>
      </c>
      <c r="B78" s="1" t="s">
        <v>5596</v>
      </c>
      <c r="C78" s="1" t="s">
        <v>5597</v>
      </c>
      <c r="D78" s="1" t="s">
        <v>13106</v>
      </c>
      <c r="E78" s="1">
        <v>0</v>
      </c>
      <c r="F78" s="1"/>
      <c r="G78" s="1" t="s">
        <v>12859</v>
      </c>
      <c r="H78" s="1" t="s">
        <v>6644</v>
      </c>
      <c r="I78" s="1" t="s">
        <v>4747</v>
      </c>
      <c r="J78" s="1"/>
      <c r="K78" s="1"/>
      <c r="L78" s="1" t="s">
        <v>12860</v>
      </c>
      <c r="M78" s="1" t="s">
        <v>13107</v>
      </c>
      <c r="N78" s="1" t="s">
        <v>13108</v>
      </c>
      <c r="O78" s="1"/>
      <c r="P78" s="1" t="s">
        <v>12863</v>
      </c>
      <c r="Q78" s="1"/>
      <c r="R78" s="1"/>
      <c r="S78" s="1"/>
      <c r="T78" s="1"/>
      <c r="U78" s="1"/>
      <c r="V78" s="1"/>
      <c r="W78" s="1"/>
      <c r="X78" s="1"/>
      <c r="Y78" s="1"/>
      <c r="Z78" s="1"/>
      <c r="AA78" s="1">
        <f t="shared" si="5"/>
        <v>0</v>
      </c>
      <c r="AB78" s="1" t="str">
        <f t="shared" si="4"/>
        <v>R2 retained</v>
      </c>
      <c r="AC78" s="1"/>
      <c r="AD78" s="1"/>
      <c r="AE78" s="1"/>
      <c r="AF78" s="1"/>
      <c r="AG78" s="1"/>
      <c r="AH78" s="1"/>
      <c r="AI78" s="1">
        <f t="shared" si="6"/>
        <v>0</v>
      </c>
      <c r="AJ78" s="5"/>
      <c r="AK78" s="5"/>
      <c r="AL78" s="7" t="s">
        <v>15077</v>
      </c>
    </row>
    <row r="79" spans="1:38" ht="36" customHeight="1">
      <c r="A79" s="1" t="s">
        <v>5845</v>
      </c>
      <c r="B79" s="1" t="s">
        <v>5601</v>
      </c>
      <c r="C79" s="1" t="s">
        <v>5602</v>
      </c>
      <c r="D79" s="1" t="s">
        <v>6747</v>
      </c>
      <c r="E79" s="1">
        <v>1</v>
      </c>
      <c r="F79" s="1"/>
      <c r="G79" s="1" t="s">
        <v>12859</v>
      </c>
      <c r="H79" s="1" t="s">
        <v>6644</v>
      </c>
      <c r="I79" s="1" t="s">
        <v>4845</v>
      </c>
      <c r="J79" s="1"/>
      <c r="K79" s="1"/>
      <c r="L79" s="1" t="s">
        <v>12860</v>
      </c>
      <c r="M79" s="1" t="s">
        <v>6749</v>
      </c>
      <c r="N79" s="1" t="s">
        <v>13109</v>
      </c>
      <c r="O79" s="1"/>
      <c r="P79" s="1" t="s">
        <v>12868</v>
      </c>
      <c r="Q79" s="1"/>
      <c r="R79" s="1"/>
      <c r="S79" s="1"/>
      <c r="T79" s="1"/>
      <c r="U79" s="1"/>
      <c r="V79" s="1"/>
      <c r="W79" s="1"/>
      <c r="X79" s="1"/>
      <c r="Y79" s="1"/>
      <c r="Z79" s="1"/>
      <c r="AA79" s="1">
        <f t="shared" si="5"/>
        <v>1</v>
      </c>
      <c r="AB79" s="1" t="str">
        <f t="shared" si="4"/>
        <v>R2 retained</v>
      </c>
      <c r="AC79" s="1"/>
      <c r="AD79" s="1"/>
      <c r="AE79" s="1"/>
      <c r="AF79" s="1"/>
      <c r="AG79" s="1"/>
      <c r="AH79" s="1"/>
      <c r="AI79" s="1">
        <f t="shared" si="6"/>
        <v>0</v>
      </c>
      <c r="AJ79" s="5"/>
      <c r="AK79" s="5"/>
      <c r="AL79" s="7" t="s">
        <v>15077</v>
      </c>
    </row>
    <row r="80" spans="1:38" ht="36" customHeight="1">
      <c r="A80" s="1" t="s">
        <v>5845</v>
      </c>
      <c r="B80" s="1" t="s">
        <v>5606</v>
      </c>
      <c r="C80" s="1" t="s">
        <v>5607</v>
      </c>
      <c r="D80" s="1" t="s">
        <v>6751</v>
      </c>
      <c r="E80" s="1">
        <v>2</v>
      </c>
      <c r="F80" s="1"/>
      <c r="G80" s="1" t="s">
        <v>12859</v>
      </c>
      <c r="H80" s="1" t="s">
        <v>6644</v>
      </c>
      <c r="I80" s="1" t="s">
        <v>4959</v>
      </c>
      <c r="J80" s="1"/>
      <c r="K80" s="1"/>
      <c r="L80" s="1" t="s">
        <v>12860</v>
      </c>
      <c r="M80" s="1" t="s">
        <v>6753</v>
      </c>
      <c r="N80" s="1" t="s">
        <v>13110</v>
      </c>
      <c r="O80" s="1"/>
      <c r="P80" s="1" t="s">
        <v>12868</v>
      </c>
      <c r="Q80" s="1"/>
      <c r="R80" s="1"/>
      <c r="S80" s="1"/>
      <c r="T80" s="1"/>
      <c r="U80" s="1"/>
      <c r="V80" s="1"/>
      <c r="W80" s="1"/>
      <c r="X80" s="1"/>
      <c r="Y80" s="1"/>
      <c r="Z80" s="1"/>
      <c r="AA80" s="1">
        <f t="shared" si="5"/>
        <v>2</v>
      </c>
      <c r="AB80" s="1" t="str">
        <f t="shared" si="4"/>
        <v>R2 retained</v>
      </c>
      <c r="AC80" s="1"/>
      <c r="AD80" s="1"/>
      <c r="AE80" s="1"/>
      <c r="AF80" s="1"/>
      <c r="AG80" s="1"/>
      <c r="AH80" s="1"/>
      <c r="AI80" s="1">
        <f t="shared" si="6"/>
        <v>0</v>
      </c>
      <c r="AJ80" s="5"/>
      <c r="AK80" s="5"/>
      <c r="AL80" s="7" t="s">
        <v>15077</v>
      </c>
    </row>
    <row r="81" spans="1:38" ht="36" customHeight="1">
      <c r="A81" s="1" t="s">
        <v>5845</v>
      </c>
      <c r="B81" s="1" t="s">
        <v>5454</v>
      </c>
      <c r="C81" s="1" t="s">
        <v>5455</v>
      </c>
      <c r="D81" s="1" t="s">
        <v>4747</v>
      </c>
      <c r="E81" s="1">
        <v>1</v>
      </c>
      <c r="F81" s="1"/>
      <c r="G81" s="1" t="s">
        <v>12859</v>
      </c>
      <c r="H81" s="1" t="s">
        <v>6644</v>
      </c>
      <c r="I81" s="1" t="s">
        <v>5316</v>
      </c>
      <c r="J81" s="1"/>
      <c r="K81" s="1"/>
      <c r="L81" s="1" t="s">
        <v>12860</v>
      </c>
      <c r="M81" s="1" t="s">
        <v>6756</v>
      </c>
      <c r="N81" s="1" t="s">
        <v>13111</v>
      </c>
      <c r="O81" s="1"/>
      <c r="P81" s="1" t="s">
        <v>12868</v>
      </c>
      <c r="Q81" s="1"/>
      <c r="R81" s="1"/>
      <c r="S81" s="1"/>
      <c r="T81" s="1"/>
      <c r="U81" s="1"/>
      <c r="V81" s="1"/>
      <c r="W81" s="1"/>
      <c r="X81" s="1"/>
      <c r="Y81" s="1"/>
      <c r="Z81" s="1"/>
      <c r="AA81" s="1">
        <f t="shared" si="5"/>
        <v>1</v>
      </c>
      <c r="AB81" s="1" t="str">
        <f t="shared" si="4"/>
        <v>R2 retained</v>
      </c>
      <c r="AC81" s="1">
        <v>1</v>
      </c>
      <c r="AD81" s="1" t="s">
        <v>12884</v>
      </c>
      <c r="AE81" s="1" t="s">
        <v>13112</v>
      </c>
      <c r="AF81" s="1" t="s">
        <v>13113</v>
      </c>
      <c r="AG81" s="1" t="s">
        <v>6649</v>
      </c>
      <c r="AH81" s="1" t="s">
        <v>6096</v>
      </c>
      <c r="AI81" s="1">
        <f t="shared" si="6"/>
        <v>1</v>
      </c>
      <c r="AJ81" s="5" t="s">
        <v>12898</v>
      </c>
      <c r="AK81" s="5" t="s">
        <v>12899</v>
      </c>
      <c r="AL81" s="7" t="s">
        <v>15077</v>
      </c>
    </row>
    <row r="82" spans="1:38" ht="36" customHeight="1">
      <c r="A82" s="1" t="s">
        <v>4771</v>
      </c>
      <c r="B82" s="1" t="s">
        <v>5537</v>
      </c>
      <c r="C82" s="1" t="s">
        <v>5538</v>
      </c>
      <c r="D82" s="1" t="s">
        <v>4747</v>
      </c>
      <c r="E82" s="1">
        <v>0</v>
      </c>
      <c r="F82" s="1"/>
      <c r="G82" s="1" t="s">
        <v>12859</v>
      </c>
      <c r="H82" s="1" t="s">
        <v>422</v>
      </c>
      <c r="I82" s="1" t="s">
        <v>4747</v>
      </c>
      <c r="J82" s="1"/>
      <c r="K82" s="1"/>
      <c r="L82" s="1" t="s">
        <v>12860</v>
      </c>
      <c r="M82" s="1" t="s">
        <v>13114</v>
      </c>
      <c r="N82" s="1" t="s">
        <v>13115</v>
      </c>
      <c r="O82" s="1"/>
      <c r="P82" s="1" t="s">
        <v>12863</v>
      </c>
      <c r="Q82" s="1"/>
      <c r="R82" s="1"/>
      <c r="S82" s="1"/>
      <c r="T82" s="1"/>
      <c r="U82" s="1"/>
      <c r="V82" s="1"/>
      <c r="W82" s="1"/>
      <c r="X82" s="1"/>
      <c r="Y82" s="1"/>
      <c r="Z82" s="1"/>
      <c r="AA82" s="1">
        <f t="shared" si="5"/>
        <v>0</v>
      </c>
      <c r="AB82" s="1" t="str">
        <f t="shared" ref="AB82:AB113" si="7">IF(OR(ISNUMBER(F82),F82="NA"),"Reviewer confirmed",IF(AD82="uncertain","Unresolved under clarified rule",IF(AND(OR(ISNUMBER(AC82),AC82="NA"),AC82&lt;&gt;E82),"Analyst scope correction","R2 retained")))</f>
        <v>R2 retained</v>
      </c>
      <c r="AC82" s="1"/>
      <c r="AD82" s="1"/>
      <c r="AE82" s="1"/>
      <c r="AF82" s="1"/>
      <c r="AG82" s="1"/>
      <c r="AH82" s="1"/>
      <c r="AI82" s="1">
        <f t="shared" si="6"/>
        <v>0</v>
      </c>
      <c r="AJ82" s="5"/>
      <c r="AK82" s="5"/>
      <c r="AL82" s="7" t="s">
        <v>15077</v>
      </c>
    </row>
    <row r="83" spans="1:38" ht="36" customHeight="1">
      <c r="A83" s="1" t="s">
        <v>4771</v>
      </c>
      <c r="B83" s="1" t="s">
        <v>5542</v>
      </c>
      <c r="C83" s="1" t="s">
        <v>5543</v>
      </c>
      <c r="D83" s="1" t="s">
        <v>4747</v>
      </c>
      <c r="E83" s="1">
        <v>0</v>
      </c>
      <c r="F83" s="1"/>
      <c r="G83" s="1" t="s">
        <v>12859</v>
      </c>
      <c r="H83" s="1" t="s">
        <v>422</v>
      </c>
      <c r="I83" s="1" t="s">
        <v>4747</v>
      </c>
      <c r="J83" s="1"/>
      <c r="K83" s="1"/>
      <c r="L83" s="1" t="s">
        <v>12860</v>
      </c>
      <c r="M83" s="1" t="s">
        <v>13116</v>
      </c>
      <c r="N83" s="1" t="s">
        <v>13117</v>
      </c>
      <c r="O83" s="1"/>
      <c r="P83" s="1" t="s">
        <v>12863</v>
      </c>
      <c r="Q83" s="1"/>
      <c r="R83" s="1"/>
      <c r="S83" s="1"/>
      <c r="T83" s="1"/>
      <c r="U83" s="1"/>
      <c r="V83" s="1"/>
      <c r="W83" s="1"/>
      <c r="X83" s="1"/>
      <c r="Y83" s="1"/>
      <c r="Z83" s="1"/>
      <c r="AA83" s="1">
        <f t="shared" si="5"/>
        <v>0</v>
      </c>
      <c r="AB83" s="1" t="str">
        <f t="shared" si="7"/>
        <v>R2 retained</v>
      </c>
      <c r="AC83" s="1"/>
      <c r="AD83" s="1"/>
      <c r="AE83" s="1"/>
      <c r="AF83" s="1"/>
      <c r="AG83" s="1"/>
      <c r="AH83" s="1"/>
      <c r="AI83" s="1">
        <f t="shared" si="6"/>
        <v>0</v>
      </c>
      <c r="AJ83" s="5"/>
      <c r="AK83" s="5"/>
      <c r="AL83" s="7" t="s">
        <v>15077</v>
      </c>
    </row>
    <row r="84" spans="1:38" ht="36" customHeight="1">
      <c r="A84" s="1" t="s">
        <v>4771</v>
      </c>
      <c r="B84" s="1" t="s">
        <v>5547</v>
      </c>
      <c r="C84" s="1" t="s">
        <v>5548</v>
      </c>
      <c r="D84" s="1" t="s">
        <v>4747</v>
      </c>
      <c r="E84" s="1">
        <v>1</v>
      </c>
      <c r="F84" s="1"/>
      <c r="G84" s="1" t="s">
        <v>12859</v>
      </c>
      <c r="H84" s="1" t="s">
        <v>422</v>
      </c>
      <c r="I84" s="1" t="s">
        <v>5178</v>
      </c>
      <c r="J84" s="1"/>
      <c r="K84" s="1"/>
      <c r="L84" s="1" t="s">
        <v>12860</v>
      </c>
      <c r="M84" s="1" t="s">
        <v>13118</v>
      </c>
      <c r="N84" s="1" t="s">
        <v>13119</v>
      </c>
      <c r="O84" s="1"/>
      <c r="P84" s="1" t="s">
        <v>12868</v>
      </c>
      <c r="Q84" s="1"/>
      <c r="R84" s="1"/>
      <c r="S84" s="1"/>
      <c r="T84" s="1"/>
      <c r="U84" s="1"/>
      <c r="V84" s="1"/>
      <c r="W84" s="1"/>
      <c r="X84" s="1"/>
      <c r="Y84" s="1"/>
      <c r="Z84" s="1"/>
      <c r="AA84" s="1">
        <f t="shared" si="5"/>
        <v>1</v>
      </c>
      <c r="AB84" s="1" t="str">
        <f t="shared" si="7"/>
        <v>R2 retained</v>
      </c>
      <c r="AC84" s="1"/>
      <c r="AD84" s="1"/>
      <c r="AE84" s="1"/>
      <c r="AF84" s="1"/>
      <c r="AG84" s="1"/>
      <c r="AH84" s="1"/>
      <c r="AI84" s="1">
        <f t="shared" si="6"/>
        <v>0</v>
      </c>
      <c r="AJ84" s="5"/>
      <c r="AK84" s="5"/>
      <c r="AL84" s="7" t="s">
        <v>15077</v>
      </c>
    </row>
    <row r="85" spans="1:38" ht="36" customHeight="1">
      <c r="A85" s="1" t="s">
        <v>4771</v>
      </c>
      <c r="B85" s="1" t="s">
        <v>5552</v>
      </c>
      <c r="C85" s="1" t="s">
        <v>5553</v>
      </c>
      <c r="D85" s="1" t="s">
        <v>12929</v>
      </c>
      <c r="E85" s="1">
        <v>0</v>
      </c>
      <c r="F85" s="1"/>
      <c r="G85" s="1" t="s">
        <v>12859</v>
      </c>
      <c r="H85" s="1" t="s">
        <v>422</v>
      </c>
      <c r="I85" s="1" t="s">
        <v>4747</v>
      </c>
      <c r="J85" s="1"/>
      <c r="K85" s="1" t="s">
        <v>4782</v>
      </c>
      <c r="L85" s="1" t="s">
        <v>12930</v>
      </c>
      <c r="M85" s="1" t="s">
        <v>13120</v>
      </c>
      <c r="N85" s="1" t="s">
        <v>13121</v>
      </c>
      <c r="O85" s="1" t="s">
        <v>6810</v>
      </c>
      <c r="P85" s="1" t="s">
        <v>12863</v>
      </c>
      <c r="Q85" s="1"/>
      <c r="R85" s="1"/>
      <c r="S85" s="1"/>
      <c r="T85" s="1"/>
      <c r="U85" s="1"/>
      <c r="V85" s="1"/>
      <c r="W85" s="1"/>
      <c r="X85" s="1"/>
      <c r="Y85" s="1"/>
      <c r="Z85" s="1"/>
      <c r="AA85" s="1">
        <f t="shared" si="5"/>
        <v>0</v>
      </c>
      <c r="AB85" s="1" t="str">
        <f t="shared" si="7"/>
        <v>R2 retained</v>
      </c>
      <c r="AC85" s="1"/>
      <c r="AD85" s="1"/>
      <c r="AE85" s="1"/>
      <c r="AF85" s="1"/>
      <c r="AG85" s="1"/>
      <c r="AH85" s="1"/>
      <c r="AI85" s="1">
        <f t="shared" si="6"/>
        <v>0</v>
      </c>
      <c r="AJ85" s="5"/>
      <c r="AK85" s="5"/>
      <c r="AL85" s="7" t="s">
        <v>15077</v>
      </c>
    </row>
    <row r="86" spans="1:38" ht="36" customHeight="1">
      <c r="A86" s="1" t="s">
        <v>4771</v>
      </c>
      <c r="B86" s="1" t="s">
        <v>5557</v>
      </c>
      <c r="C86" s="1" t="s">
        <v>5558</v>
      </c>
      <c r="D86" s="1" t="s">
        <v>6813</v>
      </c>
      <c r="E86" s="1">
        <v>0</v>
      </c>
      <c r="F86" s="1"/>
      <c r="G86" s="1" t="s">
        <v>12859</v>
      </c>
      <c r="H86" s="1" t="s">
        <v>422</v>
      </c>
      <c r="I86" s="1" t="s">
        <v>4747</v>
      </c>
      <c r="J86" s="1"/>
      <c r="K86" s="1"/>
      <c r="L86" s="1" t="s">
        <v>12860</v>
      </c>
      <c r="M86" s="1" t="s">
        <v>6815</v>
      </c>
      <c r="N86" s="1" t="s">
        <v>13122</v>
      </c>
      <c r="O86" s="1"/>
      <c r="P86" s="1" t="s">
        <v>12863</v>
      </c>
      <c r="Q86" s="1"/>
      <c r="R86" s="1"/>
      <c r="S86" s="1"/>
      <c r="T86" s="1"/>
      <c r="U86" s="1"/>
      <c r="V86" s="1"/>
      <c r="W86" s="1"/>
      <c r="X86" s="1"/>
      <c r="Y86" s="1"/>
      <c r="Z86" s="1"/>
      <c r="AA86" s="1">
        <f t="shared" si="5"/>
        <v>0</v>
      </c>
      <c r="AB86" s="1" t="str">
        <f t="shared" si="7"/>
        <v>R2 retained</v>
      </c>
      <c r="AC86" s="1"/>
      <c r="AD86" s="1"/>
      <c r="AE86" s="1"/>
      <c r="AF86" s="1"/>
      <c r="AG86" s="1"/>
      <c r="AH86" s="1"/>
      <c r="AI86" s="1">
        <f t="shared" si="6"/>
        <v>0</v>
      </c>
      <c r="AJ86" s="5"/>
      <c r="AK86" s="5"/>
      <c r="AL86" s="7" t="s">
        <v>15077</v>
      </c>
    </row>
    <row r="87" spans="1:38" ht="72" customHeight="1">
      <c r="A87" s="1" t="s">
        <v>4771</v>
      </c>
      <c r="B87" s="1" t="s">
        <v>5562</v>
      </c>
      <c r="C87" s="1" t="s">
        <v>5563</v>
      </c>
      <c r="D87" s="1" t="s">
        <v>5684</v>
      </c>
      <c r="E87" s="1">
        <v>0</v>
      </c>
      <c r="F87" s="1">
        <v>1</v>
      </c>
      <c r="G87" s="1" t="s">
        <v>4691</v>
      </c>
      <c r="H87" s="1" t="s">
        <v>422</v>
      </c>
      <c r="I87" s="1" t="s">
        <v>4747</v>
      </c>
      <c r="J87" s="1"/>
      <c r="K87" s="1"/>
      <c r="L87" s="1" t="s">
        <v>12860</v>
      </c>
      <c r="M87" s="1" t="s">
        <v>6820</v>
      </c>
      <c r="N87" s="1" t="s">
        <v>13123</v>
      </c>
      <c r="O87" s="1" t="s">
        <v>13124</v>
      </c>
      <c r="P87" s="1" t="s">
        <v>12917</v>
      </c>
      <c r="Q87" s="1"/>
      <c r="R87" s="1"/>
      <c r="S87" s="1"/>
      <c r="T87" s="1"/>
      <c r="U87" s="1"/>
      <c r="V87" s="1"/>
      <c r="W87" s="1"/>
      <c r="X87" s="1"/>
      <c r="Y87" s="1" t="s">
        <v>5686</v>
      </c>
      <c r="Z87" s="1" t="s">
        <v>12918</v>
      </c>
      <c r="AA87" s="1">
        <f t="shared" si="5"/>
        <v>1</v>
      </c>
      <c r="AB87" s="1" t="str">
        <f t="shared" si="7"/>
        <v>Reviewer confirmed</v>
      </c>
      <c r="AC87" s="1">
        <v>1</v>
      </c>
      <c r="AD87" s="1" t="s">
        <v>12936</v>
      </c>
      <c r="AE87" s="1" t="s">
        <v>5686</v>
      </c>
      <c r="AF87" s="1" t="s">
        <v>5685</v>
      </c>
      <c r="AG87" s="1" t="s">
        <v>5687</v>
      </c>
      <c r="AH87" s="1" t="s">
        <v>5461</v>
      </c>
      <c r="AI87" s="1">
        <f t="shared" si="6"/>
        <v>1</v>
      </c>
      <c r="AJ87" s="5"/>
      <c r="AK87" s="5"/>
      <c r="AL87" s="7" t="s">
        <v>15077</v>
      </c>
    </row>
    <row r="88" spans="1:38" ht="36" customHeight="1">
      <c r="A88" s="1" t="s">
        <v>4771</v>
      </c>
      <c r="B88" s="1" t="s">
        <v>5567</v>
      </c>
      <c r="C88" s="1" t="s">
        <v>5568</v>
      </c>
      <c r="D88" s="1" t="s">
        <v>6307</v>
      </c>
      <c r="E88" s="1">
        <v>0</v>
      </c>
      <c r="F88" s="1"/>
      <c r="G88" s="1" t="s">
        <v>12859</v>
      </c>
      <c r="H88" s="1" t="s">
        <v>422</v>
      </c>
      <c r="I88" s="1" t="s">
        <v>4747</v>
      </c>
      <c r="J88" s="1"/>
      <c r="K88" s="1"/>
      <c r="L88" s="1" t="s">
        <v>12860</v>
      </c>
      <c r="M88" s="1" t="s">
        <v>13125</v>
      </c>
      <c r="N88" s="1" t="s">
        <v>13126</v>
      </c>
      <c r="O88" s="1"/>
      <c r="P88" s="1" t="s">
        <v>12863</v>
      </c>
      <c r="Q88" s="1"/>
      <c r="R88" s="1"/>
      <c r="S88" s="1"/>
      <c r="T88" s="1"/>
      <c r="U88" s="1"/>
      <c r="V88" s="1"/>
      <c r="W88" s="1"/>
      <c r="X88" s="1"/>
      <c r="Y88" s="1"/>
      <c r="Z88" s="1"/>
      <c r="AA88" s="1">
        <f t="shared" si="5"/>
        <v>0</v>
      </c>
      <c r="AB88" s="1" t="str">
        <f t="shared" si="7"/>
        <v>R2 retained</v>
      </c>
      <c r="AC88" s="1"/>
      <c r="AD88" s="1"/>
      <c r="AE88" s="1"/>
      <c r="AF88" s="1"/>
      <c r="AG88" s="1"/>
      <c r="AH88" s="1"/>
      <c r="AI88" s="1">
        <f t="shared" si="6"/>
        <v>0</v>
      </c>
      <c r="AJ88" s="5"/>
      <c r="AK88" s="5"/>
      <c r="AL88" s="7" t="s">
        <v>15077</v>
      </c>
    </row>
    <row r="89" spans="1:38" ht="36" customHeight="1">
      <c r="A89" s="1" t="s">
        <v>4771</v>
      </c>
      <c r="B89" s="1" t="s">
        <v>5572</v>
      </c>
      <c r="C89" s="1" t="s">
        <v>5573</v>
      </c>
      <c r="D89" s="1" t="s">
        <v>13127</v>
      </c>
      <c r="E89" s="1">
        <v>0</v>
      </c>
      <c r="F89" s="1"/>
      <c r="G89" s="1" t="s">
        <v>12859</v>
      </c>
      <c r="H89" s="1" t="s">
        <v>422</v>
      </c>
      <c r="I89" s="1" t="s">
        <v>4747</v>
      </c>
      <c r="J89" s="1"/>
      <c r="K89" s="1"/>
      <c r="L89" s="1" t="s">
        <v>12860</v>
      </c>
      <c r="M89" s="1" t="s">
        <v>13128</v>
      </c>
      <c r="N89" s="1" t="s">
        <v>13129</v>
      </c>
      <c r="O89" s="1"/>
      <c r="P89" s="1" t="s">
        <v>12863</v>
      </c>
      <c r="Q89" s="1"/>
      <c r="R89" s="1"/>
      <c r="S89" s="1"/>
      <c r="T89" s="1"/>
      <c r="U89" s="1"/>
      <c r="V89" s="1"/>
      <c r="W89" s="1"/>
      <c r="X89" s="1"/>
      <c r="Y89" s="1"/>
      <c r="Z89" s="1"/>
      <c r="AA89" s="1">
        <f t="shared" si="5"/>
        <v>0</v>
      </c>
      <c r="AB89" s="1" t="str">
        <f t="shared" si="7"/>
        <v>R2 retained</v>
      </c>
      <c r="AC89" s="1"/>
      <c r="AD89" s="1"/>
      <c r="AE89" s="1"/>
      <c r="AF89" s="1"/>
      <c r="AG89" s="1"/>
      <c r="AH89" s="1"/>
      <c r="AI89" s="1">
        <f t="shared" si="6"/>
        <v>0</v>
      </c>
      <c r="AJ89" s="5"/>
      <c r="AK89" s="5"/>
      <c r="AL89" s="7" t="s">
        <v>15077</v>
      </c>
    </row>
    <row r="90" spans="1:38" ht="36" customHeight="1">
      <c r="A90" s="1" t="s">
        <v>4771</v>
      </c>
      <c r="B90" s="1" t="s">
        <v>5577</v>
      </c>
      <c r="C90" s="1" t="s">
        <v>5578</v>
      </c>
      <c r="D90" s="1" t="s">
        <v>13130</v>
      </c>
      <c r="E90" s="1">
        <v>2</v>
      </c>
      <c r="F90" s="1"/>
      <c r="G90" s="1" t="s">
        <v>12859</v>
      </c>
      <c r="H90" s="1" t="s">
        <v>422</v>
      </c>
      <c r="I90" s="1" t="s">
        <v>4959</v>
      </c>
      <c r="J90" s="1"/>
      <c r="K90" s="1"/>
      <c r="L90" s="1" t="s">
        <v>12860</v>
      </c>
      <c r="M90" s="1" t="s">
        <v>13131</v>
      </c>
      <c r="N90" s="1" t="s">
        <v>13132</v>
      </c>
      <c r="O90" s="1"/>
      <c r="P90" s="1" t="s">
        <v>12868</v>
      </c>
      <c r="Q90" s="1"/>
      <c r="R90" s="1"/>
      <c r="S90" s="1"/>
      <c r="T90" s="1"/>
      <c r="U90" s="1"/>
      <c r="V90" s="1"/>
      <c r="W90" s="1"/>
      <c r="X90" s="1"/>
      <c r="Y90" s="1"/>
      <c r="Z90" s="1"/>
      <c r="AA90" s="1">
        <f t="shared" si="5"/>
        <v>2</v>
      </c>
      <c r="AB90" s="1" t="str">
        <f t="shared" si="7"/>
        <v>R2 retained</v>
      </c>
      <c r="AC90" s="1"/>
      <c r="AD90" s="1"/>
      <c r="AE90" s="1"/>
      <c r="AF90" s="1"/>
      <c r="AG90" s="1"/>
      <c r="AH90" s="1"/>
      <c r="AI90" s="1">
        <f t="shared" si="6"/>
        <v>0</v>
      </c>
      <c r="AJ90" s="5"/>
      <c r="AK90" s="5"/>
      <c r="AL90" s="7" t="s">
        <v>15077</v>
      </c>
    </row>
    <row r="91" spans="1:38" ht="36" customHeight="1">
      <c r="A91" s="1" t="s">
        <v>4771</v>
      </c>
      <c r="B91" s="1" t="s">
        <v>5582</v>
      </c>
      <c r="C91" s="1" t="s">
        <v>5583</v>
      </c>
      <c r="D91" s="1" t="s">
        <v>6864</v>
      </c>
      <c r="E91" s="1">
        <v>0</v>
      </c>
      <c r="F91" s="1"/>
      <c r="G91" s="1" t="s">
        <v>12859</v>
      </c>
      <c r="H91" s="1" t="s">
        <v>422</v>
      </c>
      <c r="I91" s="1" t="s">
        <v>4747</v>
      </c>
      <c r="J91" s="1"/>
      <c r="K91" s="1"/>
      <c r="L91" s="1" t="s">
        <v>12860</v>
      </c>
      <c r="M91" s="1" t="s">
        <v>6866</v>
      </c>
      <c r="N91" s="1" t="s">
        <v>13133</v>
      </c>
      <c r="O91" s="1"/>
      <c r="P91" s="1" t="s">
        <v>12863</v>
      </c>
      <c r="Q91" s="1"/>
      <c r="R91" s="1"/>
      <c r="S91" s="1"/>
      <c r="T91" s="1"/>
      <c r="U91" s="1"/>
      <c r="V91" s="1"/>
      <c r="W91" s="1"/>
      <c r="X91" s="1"/>
      <c r="Y91" s="1"/>
      <c r="Z91" s="1"/>
      <c r="AA91" s="1">
        <f t="shared" si="5"/>
        <v>0</v>
      </c>
      <c r="AB91" s="1" t="str">
        <f t="shared" si="7"/>
        <v>R2 retained</v>
      </c>
      <c r="AC91" s="1">
        <v>0</v>
      </c>
      <c r="AD91" s="1" t="s">
        <v>12884</v>
      </c>
      <c r="AE91" s="1" t="s">
        <v>13049</v>
      </c>
      <c r="AF91" s="1" t="s">
        <v>422</v>
      </c>
      <c r="AG91" s="1" t="s">
        <v>6779</v>
      </c>
      <c r="AH91" s="1" t="s">
        <v>6096</v>
      </c>
      <c r="AI91" s="1">
        <f t="shared" si="6"/>
        <v>1</v>
      </c>
      <c r="AJ91" s="5" t="s">
        <v>12898</v>
      </c>
      <c r="AK91" s="5" t="s">
        <v>12899</v>
      </c>
      <c r="AL91" s="7" t="s">
        <v>15077</v>
      </c>
    </row>
    <row r="92" spans="1:38" ht="36" customHeight="1">
      <c r="A92" s="1" t="s">
        <v>4771</v>
      </c>
      <c r="B92" s="1" t="s">
        <v>5586</v>
      </c>
      <c r="C92" s="1" t="s">
        <v>5587</v>
      </c>
      <c r="D92" s="1" t="s">
        <v>13134</v>
      </c>
      <c r="E92" s="1">
        <v>2</v>
      </c>
      <c r="F92" s="1"/>
      <c r="G92" s="1" t="s">
        <v>12859</v>
      </c>
      <c r="H92" s="1" t="s">
        <v>422</v>
      </c>
      <c r="I92" s="1" t="s">
        <v>4862</v>
      </c>
      <c r="J92" s="1"/>
      <c r="K92" s="1"/>
      <c r="L92" s="1" t="s">
        <v>12860</v>
      </c>
      <c r="M92" s="1" t="s">
        <v>13135</v>
      </c>
      <c r="N92" s="1" t="s">
        <v>13136</v>
      </c>
      <c r="O92" s="1"/>
      <c r="P92" s="1" t="s">
        <v>12868</v>
      </c>
      <c r="Q92" s="1"/>
      <c r="R92" s="1"/>
      <c r="S92" s="1"/>
      <c r="T92" s="1"/>
      <c r="U92" s="1"/>
      <c r="V92" s="1"/>
      <c r="W92" s="1"/>
      <c r="X92" s="1"/>
      <c r="Y92" s="1"/>
      <c r="Z92" s="1"/>
      <c r="AA92" s="1">
        <f t="shared" si="5"/>
        <v>2</v>
      </c>
      <c r="AB92" s="1" t="str">
        <f t="shared" si="7"/>
        <v>R2 retained</v>
      </c>
      <c r="AC92" s="1"/>
      <c r="AD92" s="1"/>
      <c r="AE92" s="1"/>
      <c r="AF92" s="1"/>
      <c r="AG92" s="1"/>
      <c r="AH92" s="1"/>
      <c r="AI92" s="1">
        <f t="shared" si="6"/>
        <v>0</v>
      </c>
      <c r="AJ92" s="5"/>
      <c r="AK92" s="5"/>
      <c r="AL92" s="7" t="s">
        <v>15077</v>
      </c>
    </row>
    <row r="93" spans="1:38" ht="96" customHeight="1">
      <c r="A93" s="1" t="s">
        <v>4771</v>
      </c>
      <c r="B93" s="1" t="s">
        <v>5591</v>
      </c>
      <c r="C93" s="1" t="s">
        <v>5592</v>
      </c>
      <c r="D93" s="1" t="s">
        <v>13137</v>
      </c>
      <c r="E93" s="1">
        <v>1</v>
      </c>
      <c r="F93" s="1">
        <v>0</v>
      </c>
      <c r="G93" s="1" t="s">
        <v>12873</v>
      </c>
      <c r="H93" s="1" t="s">
        <v>422</v>
      </c>
      <c r="I93" s="1"/>
      <c r="J93" s="1"/>
      <c r="K93" s="1"/>
      <c r="L93" s="1" t="s">
        <v>12860</v>
      </c>
      <c r="M93" s="1" t="s">
        <v>13138</v>
      </c>
      <c r="N93" s="1" t="s">
        <v>13139</v>
      </c>
      <c r="O93" s="1" t="s">
        <v>13140</v>
      </c>
      <c r="P93" s="1" t="s">
        <v>12876</v>
      </c>
      <c r="Q93" s="1">
        <v>0</v>
      </c>
      <c r="R93" s="1" t="s">
        <v>12877</v>
      </c>
      <c r="S93" s="1" t="s">
        <v>13141</v>
      </c>
      <c r="T93" s="1" t="s">
        <v>13142</v>
      </c>
      <c r="U93" s="1" t="s">
        <v>6779</v>
      </c>
      <c r="V93" s="1" t="s">
        <v>6096</v>
      </c>
      <c r="W93" s="1" t="s">
        <v>12880</v>
      </c>
      <c r="X93" s="1"/>
      <c r="Y93" s="1" t="s">
        <v>13143</v>
      </c>
      <c r="Z93" s="1" t="s">
        <v>12883</v>
      </c>
      <c r="AA93" s="1">
        <f t="shared" si="5"/>
        <v>0</v>
      </c>
      <c r="AB93" s="1" t="str">
        <f t="shared" si="7"/>
        <v>Reviewer confirmed</v>
      </c>
      <c r="AC93" s="1">
        <v>0</v>
      </c>
      <c r="AD93" s="1" t="s">
        <v>12936</v>
      </c>
      <c r="AE93" s="1" t="s">
        <v>13144</v>
      </c>
      <c r="AF93" s="1" t="s">
        <v>13142</v>
      </c>
      <c r="AG93" s="1" t="s">
        <v>6779</v>
      </c>
      <c r="AH93" s="1" t="s">
        <v>6096</v>
      </c>
      <c r="AI93" s="1">
        <f t="shared" si="6"/>
        <v>1</v>
      </c>
      <c r="AJ93" s="5" t="s">
        <v>12898</v>
      </c>
      <c r="AK93" s="5" t="s">
        <v>12899</v>
      </c>
      <c r="AL93" s="7" t="s">
        <v>15077</v>
      </c>
    </row>
    <row r="94" spans="1:38" ht="36" customHeight="1">
      <c r="A94" s="1" t="s">
        <v>4771</v>
      </c>
      <c r="B94" s="1" t="s">
        <v>5596</v>
      </c>
      <c r="C94" s="1" t="s">
        <v>5597</v>
      </c>
      <c r="D94" s="1" t="s">
        <v>4747</v>
      </c>
      <c r="E94" s="1">
        <v>0</v>
      </c>
      <c r="F94" s="1"/>
      <c r="G94" s="1" t="s">
        <v>12859</v>
      </c>
      <c r="H94" s="1" t="s">
        <v>422</v>
      </c>
      <c r="I94" s="1" t="s">
        <v>4747</v>
      </c>
      <c r="J94" s="1"/>
      <c r="K94" s="1"/>
      <c r="L94" s="1" t="s">
        <v>12860</v>
      </c>
      <c r="M94" s="1" t="s">
        <v>13145</v>
      </c>
      <c r="N94" s="1" t="s">
        <v>13146</v>
      </c>
      <c r="O94" s="1"/>
      <c r="P94" s="1" t="s">
        <v>12863</v>
      </c>
      <c r="Q94" s="1"/>
      <c r="R94" s="1"/>
      <c r="S94" s="1"/>
      <c r="T94" s="1"/>
      <c r="U94" s="1"/>
      <c r="V94" s="1"/>
      <c r="W94" s="1"/>
      <c r="X94" s="1"/>
      <c r="Y94" s="1"/>
      <c r="Z94" s="1"/>
      <c r="AA94" s="1">
        <f t="shared" si="5"/>
        <v>0</v>
      </c>
      <c r="AB94" s="1" t="str">
        <f t="shared" si="7"/>
        <v>R2 retained</v>
      </c>
      <c r="AC94" s="1"/>
      <c r="AD94" s="1"/>
      <c r="AE94" s="1"/>
      <c r="AF94" s="1"/>
      <c r="AG94" s="1"/>
      <c r="AH94" s="1"/>
      <c r="AI94" s="1">
        <f t="shared" si="6"/>
        <v>0</v>
      </c>
      <c r="AJ94" s="5"/>
      <c r="AK94" s="5"/>
      <c r="AL94" s="7" t="s">
        <v>15077</v>
      </c>
    </row>
    <row r="95" spans="1:38" ht="36" customHeight="1">
      <c r="A95" s="1" t="s">
        <v>4771</v>
      </c>
      <c r="B95" s="1" t="s">
        <v>5601</v>
      </c>
      <c r="C95" s="1" t="s">
        <v>5602</v>
      </c>
      <c r="D95" s="1" t="s">
        <v>4747</v>
      </c>
      <c r="E95" s="1">
        <v>1</v>
      </c>
      <c r="F95" s="1"/>
      <c r="G95" s="1" t="s">
        <v>12859</v>
      </c>
      <c r="H95" s="1" t="s">
        <v>422</v>
      </c>
      <c r="I95" s="1"/>
      <c r="J95" s="1"/>
      <c r="K95" s="1"/>
      <c r="L95" s="1" t="s">
        <v>12860</v>
      </c>
      <c r="M95" s="1" t="s">
        <v>6888</v>
      </c>
      <c r="N95" s="1" t="s">
        <v>13147</v>
      </c>
      <c r="O95" s="1"/>
      <c r="P95" s="1" t="s">
        <v>12876</v>
      </c>
      <c r="Q95" s="1">
        <v>1</v>
      </c>
      <c r="R95" s="1" t="s">
        <v>12981</v>
      </c>
      <c r="S95" s="1" t="s">
        <v>13148</v>
      </c>
      <c r="T95" s="1" t="s">
        <v>13149</v>
      </c>
      <c r="U95" s="1" t="s">
        <v>6779</v>
      </c>
      <c r="V95" s="1" t="s">
        <v>6096</v>
      </c>
      <c r="W95" s="1"/>
      <c r="X95" s="1"/>
      <c r="Y95" s="1"/>
      <c r="Z95" s="1" t="s">
        <v>12908</v>
      </c>
      <c r="AA95" s="1">
        <f t="shared" si="5"/>
        <v>1</v>
      </c>
      <c r="AB95" s="1" t="str">
        <f t="shared" si="7"/>
        <v>R2 retained</v>
      </c>
      <c r="AC95" s="1"/>
      <c r="AD95" s="1"/>
      <c r="AE95" s="1"/>
      <c r="AF95" s="1"/>
      <c r="AG95" s="1"/>
      <c r="AH95" s="1"/>
      <c r="AI95" s="1">
        <f t="shared" si="6"/>
        <v>1</v>
      </c>
      <c r="AJ95" s="5"/>
      <c r="AK95" s="5"/>
      <c r="AL95" s="7" t="s">
        <v>15077</v>
      </c>
    </row>
    <row r="96" spans="1:38" ht="36" customHeight="1">
      <c r="A96" s="1" t="s">
        <v>4771</v>
      </c>
      <c r="B96" s="1" t="s">
        <v>5606</v>
      </c>
      <c r="C96" s="1" t="s">
        <v>5607</v>
      </c>
      <c r="D96" s="1" t="s">
        <v>6890</v>
      </c>
      <c r="E96" s="1">
        <v>1</v>
      </c>
      <c r="F96" s="1"/>
      <c r="G96" s="1" t="s">
        <v>12859</v>
      </c>
      <c r="H96" s="1" t="s">
        <v>422</v>
      </c>
      <c r="I96" s="1" t="s">
        <v>5362</v>
      </c>
      <c r="J96" s="1"/>
      <c r="K96" s="1"/>
      <c r="L96" s="1" t="s">
        <v>12860</v>
      </c>
      <c r="M96" s="1" t="s">
        <v>6892</v>
      </c>
      <c r="N96" s="1" t="s">
        <v>13150</v>
      </c>
      <c r="O96" s="1"/>
      <c r="P96" s="1" t="s">
        <v>12868</v>
      </c>
      <c r="Q96" s="1"/>
      <c r="R96" s="1"/>
      <c r="S96" s="1"/>
      <c r="T96" s="1"/>
      <c r="U96" s="1"/>
      <c r="V96" s="1"/>
      <c r="W96" s="1"/>
      <c r="X96" s="1"/>
      <c r="Y96" s="1"/>
      <c r="Z96" s="1"/>
      <c r="AA96" s="1">
        <f t="shared" si="5"/>
        <v>1</v>
      </c>
      <c r="AB96" s="1" t="str">
        <f t="shared" si="7"/>
        <v>R2 retained</v>
      </c>
      <c r="AC96" s="1"/>
      <c r="AD96" s="1"/>
      <c r="AE96" s="1"/>
      <c r="AF96" s="1"/>
      <c r="AG96" s="1"/>
      <c r="AH96" s="1"/>
      <c r="AI96" s="1">
        <f t="shared" si="6"/>
        <v>0</v>
      </c>
      <c r="AJ96" s="5"/>
      <c r="AK96" s="5"/>
      <c r="AL96" s="7" t="s">
        <v>15077</v>
      </c>
    </row>
    <row r="97" spans="1:38" ht="72" customHeight="1">
      <c r="A97" s="1" t="s">
        <v>4771</v>
      </c>
      <c r="B97" s="1" t="s">
        <v>5454</v>
      </c>
      <c r="C97" s="1" t="s">
        <v>5455</v>
      </c>
      <c r="D97" s="1" t="s">
        <v>4747</v>
      </c>
      <c r="E97" s="1">
        <v>2</v>
      </c>
      <c r="F97" s="1">
        <v>1</v>
      </c>
      <c r="G97" s="1" t="s">
        <v>4691</v>
      </c>
      <c r="H97" s="1" t="s">
        <v>422</v>
      </c>
      <c r="I97" s="1" t="s">
        <v>5178</v>
      </c>
      <c r="J97" s="1"/>
      <c r="K97" s="1"/>
      <c r="L97" s="1" t="s">
        <v>12860</v>
      </c>
      <c r="M97" s="1" t="s">
        <v>6895</v>
      </c>
      <c r="N97" s="1" t="s">
        <v>13151</v>
      </c>
      <c r="O97" s="1" t="s">
        <v>13152</v>
      </c>
      <c r="P97" s="1" t="s">
        <v>12917</v>
      </c>
      <c r="Q97" s="1"/>
      <c r="R97" s="1"/>
      <c r="S97" s="1"/>
      <c r="T97" s="1"/>
      <c r="U97" s="1"/>
      <c r="V97" s="1"/>
      <c r="W97" s="1"/>
      <c r="X97" s="1"/>
      <c r="Y97" s="1" t="s">
        <v>5669</v>
      </c>
      <c r="Z97" s="1" t="s">
        <v>12918</v>
      </c>
      <c r="AA97" s="1">
        <f t="shared" si="5"/>
        <v>1</v>
      </c>
      <c r="AB97" s="1" t="str">
        <f>IF(OR(ISNUMBER(F97),F97="NA"),"Reviewer confirmed","Analyst proposed resolution")</f>
        <v>Reviewer confirmed</v>
      </c>
      <c r="AC97" s="1">
        <v>1</v>
      </c>
      <c r="AD97" s="1" t="s">
        <v>12919</v>
      </c>
      <c r="AE97" s="1" t="s">
        <v>5669</v>
      </c>
      <c r="AF97" s="1" t="s">
        <v>5668</v>
      </c>
      <c r="AG97" s="1" t="s">
        <v>5670</v>
      </c>
      <c r="AH97" s="1" t="s">
        <v>5461</v>
      </c>
      <c r="AI97" s="1">
        <f t="shared" si="6"/>
        <v>1</v>
      </c>
      <c r="AJ97" s="5" t="s">
        <v>12898</v>
      </c>
      <c r="AK97" s="5" t="s">
        <v>12899</v>
      </c>
      <c r="AL97" s="7" t="s">
        <v>15077</v>
      </c>
    </row>
    <row r="98" spans="1:38" ht="36" customHeight="1">
      <c r="A98" s="1" t="s">
        <v>4786</v>
      </c>
      <c r="B98" s="1" t="s">
        <v>5537</v>
      </c>
      <c r="C98" s="1" t="s">
        <v>5538</v>
      </c>
      <c r="D98" s="1" t="s">
        <v>4747</v>
      </c>
      <c r="E98" s="1">
        <v>0</v>
      </c>
      <c r="F98" s="1"/>
      <c r="G98" s="1" t="s">
        <v>12859</v>
      </c>
      <c r="H98" s="1" t="s">
        <v>6912</v>
      </c>
      <c r="I98" s="1" t="s">
        <v>4747</v>
      </c>
      <c r="J98" s="1"/>
      <c r="K98" s="1"/>
      <c r="L98" s="1" t="s">
        <v>12860</v>
      </c>
      <c r="M98" s="1" t="s">
        <v>13153</v>
      </c>
      <c r="N98" s="1" t="s">
        <v>13154</v>
      </c>
      <c r="O98" s="1"/>
      <c r="P98" s="1" t="s">
        <v>12863</v>
      </c>
      <c r="Q98" s="1"/>
      <c r="R98" s="1"/>
      <c r="S98" s="1"/>
      <c r="T98" s="1"/>
      <c r="U98" s="1"/>
      <c r="V98" s="1"/>
      <c r="W98" s="1"/>
      <c r="X98" s="1"/>
      <c r="Y98" s="1"/>
      <c r="Z98" s="1"/>
      <c r="AA98" s="1">
        <f t="shared" si="5"/>
        <v>0</v>
      </c>
      <c r="AB98" s="1" t="str">
        <f t="shared" ref="AB98:AB138" si="8">IF(OR(ISNUMBER(F98),F98="NA"),"Reviewer confirmed",IF(AD98="uncertain","Unresolved under clarified rule",IF(AND(OR(ISNUMBER(AC98),AC98="NA"),AC98&lt;&gt;E98),"Analyst scope correction","R2 retained")))</f>
        <v>R2 retained</v>
      </c>
      <c r="AC98" s="1"/>
      <c r="AD98" s="1"/>
      <c r="AE98" s="1"/>
      <c r="AF98" s="1"/>
      <c r="AG98" s="1"/>
      <c r="AH98" s="1"/>
      <c r="AI98" s="1">
        <f t="shared" si="6"/>
        <v>0</v>
      </c>
      <c r="AJ98" s="5"/>
      <c r="AK98" s="5"/>
      <c r="AL98" s="7" t="s">
        <v>15077</v>
      </c>
    </row>
    <row r="99" spans="1:38" ht="36" customHeight="1">
      <c r="A99" s="1" t="s">
        <v>4786</v>
      </c>
      <c r="B99" s="1" t="s">
        <v>5542</v>
      </c>
      <c r="C99" s="1" t="s">
        <v>5543</v>
      </c>
      <c r="D99" s="1" t="s">
        <v>4747</v>
      </c>
      <c r="E99" s="1">
        <v>0</v>
      </c>
      <c r="F99" s="1"/>
      <c r="G99" s="1" t="s">
        <v>12859</v>
      </c>
      <c r="H99" s="1" t="s">
        <v>6912</v>
      </c>
      <c r="I99" s="1" t="s">
        <v>4747</v>
      </c>
      <c r="J99" s="1"/>
      <c r="K99" s="1"/>
      <c r="L99" s="1" t="s">
        <v>12860</v>
      </c>
      <c r="M99" s="1" t="s">
        <v>13155</v>
      </c>
      <c r="N99" s="1" t="s">
        <v>13156</v>
      </c>
      <c r="O99" s="1"/>
      <c r="P99" s="1" t="s">
        <v>12863</v>
      </c>
      <c r="Q99" s="1"/>
      <c r="R99" s="1"/>
      <c r="S99" s="1"/>
      <c r="T99" s="1"/>
      <c r="U99" s="1"/>
      <c r="V99" s="1"/>
      <c r="W99" s="1"/>
      <c r="X99" s="1"/>
      <c r="Y99" s="1"/>
      <c r="Z99" s="1"/>
      <c r="AA99" s="1">
        <f t="shared" si="5"/>
        <v>0</v>
      </c>
      <c r="AB99" s="1" t="str">
        <f t="shared" si="8"/>
        <v>R2 retained</v>
      </c>
      <c r="AC99" s="1"/>
      <c r="AD99" s="1"/>
      <c r="AE99" s="1"/>
      <c r="AF99" s="1"/>
      <c r="AG99" s="1"/>
      <c r="AH99" s="1"/>
      <c r="AI99" s="1">
        <f t="shared" si="6"/>
        <v>0</v>
      </c>
      <c r="AJ99" s="5"/>
      <c r="AK99" s="5"/>
      <c r="AL99" s="7" t="s">
        <v>15077</v>
      </c>
    </row>
    <row r="100" spans="1:38" ht="36" customHeight="1">
      <c r="A100" s="1" t="s">
        <v>4786</v>
      </c>
      <c r="B100" s="1" t="s">
        <v>5547</v>
      </c>
      <c r="C100" s="1" t="s">
        <v>5548</v>
      </c>
      <c r="D100" s="1" t="s">
        <v>4747</v>
      </c>
      <c r="E100" s="1">
        <v>1</v>
      </c>
      <c r="F100" s="1"/>
      <c r="G100" s="1" t="s">
        <v>12859</v>
      </c>
      <c r="H100" s="1" t="s">
        <v>6912</v>
      </c>
      <c r="I100" s="1" t="s">
        <v>4862</v>
      </c>
      <c r="J100" s="1"/>
      <c r="K100" s="1"/>
      <c r="L100" s="1" t="s">
        <v>12860</v>
      </c>
      <c r="M100" s="1" t="s">
        <v>13157</v>
      </c>
      <c r="N100" s="1" t="s">
        <v>13158</v>
      </c>
      <c r="O100" s="1"/>
      <c r="P100" s="1" t="s">
        <v>12868</v>
      </c>
      <c r="Q100" s="1"/>
      <c r="R100" s="1"/>
      <c r="S100" s="1"/>
      <c r="T100" s="1"/>
      <c r="U100" s="1"/>
      <c r="V100" s="1"/>
      <c r="W100" s="1"/>
      <c r="X100" s="1"/>
      <c r="Y100" s="1"/>
      <c r="Z100" s="1"/>
      <c r="AA100" s="1">
        <f t="shared" si="5"/>
        <v>1</v>
      </c>
      <c r="AB100" s="1" t="str">
        <f t="shared" si="8"/>
        <v>R2 retained</v>
      </c>
      <c r="AC100" s="1"/>
      <c r="AD100" s="1"/>
      <c r="AE100" s="1"/>
      <c r="AF100" s="1"/>
      <c r="AG100" s="1"/>
      <c r="AH100" s="1"/>
      <c r="AI100" s="1">
        <f t="shared" si="6"/>
        <v>0</v>
      </c>
      <c r="AJ100" s="5"/>
      <c r="AK100" s="5"/>
      <c r="AL100" s="7" t="s">
        <v>15077</v>
      </c>
    </row>
    <row r="101" spans="1:38" ht="84" customHeight="1">
      <c r="A101" s="1" t="s">
        <v>4786</v>
      </c>
      <c r="B101" s="1" t="s">
        <v>5552</v>
      </c>
      <c r="C101" s="1" t="s">
        <v>5553</v>
      </c>
      <c r="D101" s="1" t="s">
        <v>12929</v>
      </c>
      <c r="E101" s="1">
        <v>0</v>
      </c>
      <c r="F101" s="1">
        <v>1</v>
      </c>
      <c r="G101" s="1" t="s">
        <v>12873</v>
      </c>
      <c r="H101" s="1" t="s">
        <v>6912</v>
      </c>
      <c r="I101" s="1" t="s">
        <v>4747</v>
      </c>
      <c r="J101" s="1"/>
      <c r="K101" s="1" t="s">
        <v>4821</v>
      </c>
      <c r="L101" s="1" t="s">
        <v>12930</v>
      </c>
      <c r="M101" s="1" t="s">
        <v>13159</v>
      </c>
      <c r="N101" s="1" t="s">
        <v>13160</v>
      </c>
      <c r="O101" s="1" t="s">
        <v>13161</v>
      </c>
      <c r="P101" s="1" t="s">
        <v>12863</v>
      </c>
      <c r="Q101" s="1">
        <v>1</v>
      </c>
      <c r="R101" s="1" t="s">
        <v>12877</v>
      </c>
      <c r="S101" s="1" t="s">
        <v>13162</v>
      </c>
      <c r="T101" s="1" t="s">
        <v>13163</v>
      </c>
      <c r="U101" s="1" t="s">
        <v>6917</v>
      </c>
      <c r="V101" s="1" t="s">
        <v>6096</v>
      </c>
      <c r="W101" s="1"/>
      <c r="X101" s="1"/>
      <c r="Y101" s="1" t="s">
        <v>13164</v>
      </c>
      <c r="Z101" s="1" t="s">
        <v>12883</v>
      </c>
      <c r="AA101" s="1">
        <f t="shared" si="5"/>
        <v>1</v>
      </c>
      <c r="AB101" s="1" t="str">
        <f t="shared" si="8"/>
        <v>Reviewer confirmed</v>
      </c>
      <c r="AC101" s="1"/>
      <c r="AD101" s="1"/>
      <c r="AE101" s="1"/>
      <c r="AF101" s="1"/>
      <c r="AG101" s="1"/>
      <c r="AH101" s="1"/>
      <c r="AI101" s="1">
        <f t="shared" si="6"/>
        <v>1</v>
      </c>
      <c r="AJ101" s="5"/>
      <c r="AK101" s="5"/>
      <c r="AL101" s="7" t="s">
        <v>15077</v>
      </c>
    </row>
    <row r="102" spans="1:38" ht="36" customHeight="1">
      <c r="A102" s="1" t="s">
        <v>4786</v>
      </c>
      <c r="B102" s="1" t="s">
        <v>5557</v>
      </c>
      <c r="C102" s="1" t="s">
        <v>5558</v>
      </c>
      <c r="D102" s="1" t="s">
        <v>6950</v>
      </c>
      <c r="E102" s="1">
        <v>0</v>
      </c>
      <c r="F102" s="1"/>
      <c r="G102" s="1" t="s">
        <v>12859</v>
      </c>
      <c r="H102" s="1" t="s">
        <v>6912</v>
      </c>
      <c r="I102" s="1" t="s">
        <v>4747</v>
      </c>
      <c r="J102" s="1"/>
      <c r="K102" s="1"/>
      <c r="L102" s="1" t="s">
        <v>12860</v>
      </c>
      <c r="M102" s="1" t="s">
        <v>6952</v>
      </c>
      <c r="N102" s="1" t="s">
        <v>13165</v>
      </c>
      <c r="O102" s="1"/>
      <c r="P102" s="1" t="s">
        <v>12863</v>
      </c>
      <c r="Q102" s="1"/>
      <c r="R102" s="1"/>
      <c r="S102" s="1"/>
      <c r="T102" s="1"/>
      <c r="U102" s="1"/>
      <c r="V102" s="1"/>
      <c r="W102" s="1"/>
      <c r="X102" s="1"/>
      <c r="Y102" s="1"/>
      <c r="Z102" s="1"/>
      <c r="AA102" s="1">
        <f t="shared" si="5"/>
        <v>0</v>
      </c>
      <c r="AB102" s="1" t="str">
        <f t="shared" si="8"/>
        <v>R2 retained</v>
      </c>
      <c r="AC102" s="1"/>
      <c r="AD102" s="1"/>
      <c r="AE102" s="1"/>
      <c r="AF102" s="1"/>
      <c r="AG102" s="1"/>
      <c r="AH102" s="1"/>
      <c r="AI102" s="1">
        <f t="shared" si="6"/>
        <v>0</v>
      </c>
      <c r="AJ102" s="5"/>
      <c r="AK102" s="5"/>
      <c r="AL102" s="7" t="s">
        <v>15077</v>
      </c>
    </row>
    <row r="103" spans="1:38" ht="60" customHeight="1">
      <c r="A103" s="1" t="s">
        <v>4786</v>
      </c>
      <c r="B103" s="1" t="s">
        <v>5562</v>
      </c>
      <c r="C103" s="1" t="s">
        <v>5563</v>
      </c>
      <c r="D103" s="1" t="s">
        <v>5688</v>
      </c>
      <c r="E103" s="1">
        <v>0</v>
      </c>
      <c r="F103" s="1">
        <v>1</v>
      </c>
      <c r="G103" s="1" t="s">
        <v>4691</v>
      </c>
      <c r="H103" s="1" t="s">
        <v>6912</v>
      </c>
      <c r="I103" s="1" t="s">
        <v>4747</v>
      </c>
      <c r="J103" s="1"/>
      <c r="K103" s="1"/>
      <c r="L103" s="1" t="s">
        <v>12860</v>
      </c>
      <c r="M103" s="1" t="s">
        <v>6957</v>
      </c>
      <c r="N103" s="1" t="s">
        <v>13166</v>
      </c>
      <c r="O103" s="1" t="s">
        <v>13167</v>
      </c>
      <c r="P103" s="1" t="s">
        <v>12917</v>
      </c>
      <c r="Q103" s="1"/>
      <c r="R103" s="1"/>
      <c r="S103" s="1"/>
      <c r="T103" s="1"/>
      <c r="U103" s="1"/>
      <c r="V103" s="1"/>
      <c r="W103" s="1"/>
      <c r="X103" s="1"/>
      <c r="Y103" s="1" t="s">
        <v>5690</v>
      </c>
      <c r="Z103" s="1" t="s">
        <v>12918</v>
      </c>
      <c r="AA103" s="1">
        <f t="shared" si="5"/>
        <v>1</v>
      </c>
      <c r="AB103" s="1" t="str">
        <f t="shared" si="8"/>
        <v>Reviewer confirmed</v>
      </c>
      <c r="AC103" s="1">
        <v>1</v>
      </c>
      <c r="AD103" s="1" t="s">
        <v>12936</v>
      </c>
      <c r="AE103" s="1" t="s">
        <v>5690</v>
      </c>
      <c r="AF103" s="1" t="s">
        <v>5689</v>
      </c>
      <c r="AG103" s="1" t="s">
        <v>5691</v>
      </c>
      <c r="AH103" s="1" t="s">
        <v>5461</v>
      </c>
      <c r="AI103" s="1">
        <f t="shared" si="6"/>
        <v>1</v>
      </c>
      <c r="AJ103" s="5"/>
      <c r="AK103" s="5"/>
      <c r="AL103" s="7" t="s">
        <v>15077</v>
      </c>
    </row>
    <row r="104" spans="1:38" ht="36" customHeight="1">
      <c r="A104" s="1" t="s">
        <v>4786</v>
      </c>
      <c r="B104" s="1" t="s">
        <v>5567</v>
      </c>
      <c r="C104" s="1" t="s">
        <v>5568</v>
      </c>
      <c r="D104" s="1" t="s">
        <v>6307</v>
      </c>
      <c r="E104" s="1">
        <v>0</v>
      </c>
      <c r="F104" s="1"/>
      <c r="G104" s="1" t="s">
        <v>12859</v>
      </c>
      <c r="H104" s="1" t="s">
        <v>6912</v>
      </c>
      <c r="I104" s="1" t="s">
        <v>4747</v>
      </c>
      <c r="J104" s="1"/>
      <c r="K104" s="1"/>
      <c r="L104" s="1" t="s">
        <v>12860</v>
      </c>
      <c r="M104" s="1" t="s">
        <v>13168</v>
      </c>
      <c r="N104" s="1" t="s">
        <v>13169</v>
      </c>
      <c r="O104" s="1"/>
      <c r="P104" s="1" t="s">
        <v>12863</v>
      </c>
      <c r="Q104" s="1"/>
      <c r="R104" s="1"/>
      <c r="S104" s="1"/>
      <c r="T104" s="1"/>
      <c r="U104" s="1"/>
      <c r="V104" s="1"/>
      <c r="W104" s="1"/>
      <c r="X104" s="1"/>
      <c r="Y104" s="1"/>
      <c r="Z104" s="1"/>
      <c r="AA104" s="1">
        <f t="shared" si="5"/>
        <v>0</v>
      </c>
      <c r="AB104" s="1" t="str">
        <f t="shared" si="8"/>
        <v>R2 retained</v>
      </c>
      <c r="AC104" s="1"/>
      <c r="AD104" s="1"/>
      <c r="AE104" s="1"/>
      <c r="AF104" s="1"/>
      <c r="AG104" s="1"/>
      <c r="AH104" s="1"/>
      <c r="AI104" s="1">
        <f t="shared" si="6"/>
        <v>0</v>
      </c>
      <c r="AJ104" s="5"/>
      <c r="AK104" s="5"/>
      <c r="AL104" s="7" t="s">
        <v>15077</v>
      </c>
    </row>
    <row r="105" spans="1:38" ht="36" customHeight="1">
      <c r="A105" s="1" t="s">
        <v>4786</v>
      </c>
      <c r="B105" s="1" t="s">
        <v>5572</v>
      </c>
      <c r="C105" s="1" t="s">
        <v>5573</v>
      </c>
      <c r="D105" s="1" t="s">
        <v>4747</v>
      </c>
      <c r="E105" s="1">
        <v>0</v>
      </c>
      <c r="F105" s="1"/>
      <c r="G105" s="1" t="s">
        <v>12859</v>
      </c>
      <c r="H105" s="1" t="s">
        <v>6912</v>
      </c>
      <c r="I105" s="1" t="s">
        <v>4747</v>
      </c>
      <c r="J105" s="1"/>
      <c r="K105" s="1"/>
      <c r="L105" s="1" t="s">
        <v>12860</v>
      </c>
      <c r="M105" s="1" t="s">
        <v>13170</v>
      </c>
      <c r="N105" s="1" t="s">
        <v>13171</v>
      </c>
      <c r="O105" s="1"/>
      <c r="P105" s="1" t="s">
        <v>12863</v>
      </c>
      <c r="Q105" s="1"/>
      <c r="R105" s="1"/>
      <c r="S105" s="1"/>
      <c r="T105" s="1"/>
      <c r="U105" s="1"/>
      <c r="V105" s="1"/>
      <c r="W105" s="1"/>
      <c r="X105" s="1"/>
      <c r="Y105" s="1"/>
      <c r="Z105" s="1"/>
      <c r="AA105" s="1">
        <f t="shared" si="5"/>
        <v>0</v>
      </c>
      <c r="AB105" s="1" t="str">
        <f t="shared" si="8"/>
        <v>R2 retained</v>
      </c>
      <c r="AC105" s="1"/>
      <c r="AD105" s="1"/>
      <c r="AE105" s="1"/>
      <c r="AF105" s="1"/>
      <c r="AG105" s="1"/>
      <c r="AH105" s="1"/>
      <c r="AI105" s="1">
        <f t="shared" si="6"/>
        <v>0</v>
      </c>
      <c r="AJ105" s="5"/>
      <c r="AK105" s="5"/>
      <c r="AL105" s="7" t="s">
        <v>15077</v>
      </c>
    </row>
    <row r="106" spans="1:38" ht="60" customHeight="1">
      <c r="A106" s="1" t="s">
        <v>4786</v>
      </c>
      <c r="B106" s="1" t="s">
        <v>5577</v>
      </c>
      <c r="C106" s="1" t="s">
        <v>5578</v>
      </c>
      <c r="D106" s="1" t="s">
        <v>13172</v>
      </c>
      <c r="E106" s="1">
        <v>1</v>
      </c>
      <c r="F106" s="1"/>
      <c r="G106" s="1" t="s">
        <v>12859</v>
      </c>
      <c r="H106" s="1" t="s">
        <v>6912</v>
      </c>
      <c r="I106" s="1"/>
      <c r="J106" s="1"/>
      <c r="K106" s="1"/>
      <c r="L106" s="1" t="s">
        <v>12860</v>
      </c>
      <c r="M106" s="1" t="s">
        <v>13173</v>
      </c>
      <c r="N106" s="1" t="s">
        <v>13174</v>
      </c>
      <c r="O106" s="1"/>
      <c r="P106" s="1" t="s">
        <v>12876</v>
      </c>
      <c r="Q106" s="1">
        <v>1</v>
      </c>
      <c r="R106" s="1" t="s">
        <v>12981</v>
      </c>
      <c r="S106" s="1" t="s">
        <v>13175</v>
      </c>
      <c r="T106" s="1" t="s">
        <v>13176</v>
      </c>
      <c r="U106" s="1" t="s">
        <v>6917</v>
      </c>
      <c r="V106" s="1" t="s">
        <v>6096</v>
      </c>
      <c r="W106" s="1"/>
      <c r="X106" s="1"/>
      <c r="Y106" s="1"/>
      <c r="Z106" s="1" t="s">
        <v>12908</v>
      </c>
      <c r="AA106" s="1">
        <f t="shared" si="5"/>
        <v>1</v>
      </c>
      <c r="AB106" s="1" t="str">
        <f t="shared" si="8"/>
        <v>R2 retained</v>
      </c>
      <c r="AC106" s="1"/>
      <c r="AD106" s="1"/>
      <c r="AE106" s="1"/>
      <c r="AF106" s="1"/>
      <c r="AG106" s="1"/>
      <c r="AH106" s="1"/>
      <c r="AI106" s="1">
        <f t="shared" si="6"/>
        <v>1</v>
      </c>
      <c r="AJ106" s="5"/>
      <c r="AK106" s="5"/>
      <c r="AL106" s="7" t="s">
        <v>15077</v>
      </c>
    </row>
    <row r="107" spans="1:38" ht="36" customHeight="1">
      <c r="A107" s="1" t="s">
        <v>4786</v>
      </c>
      <c r="B107" s="1" t="s">
        <v>5582</v>
      </c>
      <c r="C107" s="1" t="s">
        <v>5583</v>
      </c>
      <c r="D107" s="1" t="s">
        <v>4747</v>
      </c>
      <c r="E107" s="1">
        <v>0</v>
      </c>
      <c r="F107" s="1"/>
      <c r="G107" s="1" t="s">
        <v>12859</v>
      </c>
      <c r="H107" s="1" t="s">
        <v>6912</v>
      </c>
      <c r="I107" s="1" t="s">
        <v>4747</v>
      </c>
      <c r="J107" s="1"/>
      <c r="K107" s="1"/>
      <c r="L107" s="1" t="s">
        <v>12860</v>
      </c>
      <c r="M107" s="1" t="s">
        <v>7008</v>
      </c>
      <c r="N107" s="1" t="s">
        <v>13177</v>
      </c>
      <c r="O107" s="1"/>
      <c r="P107" s="1" t="s">
        <v>12863</v>
      </c>
      <c r="Q107" s="1"/>
      <c r="R107" s="1"/>
      <c r="S107" s="1"/>
      <c r="T107" s="1"/>
      <c r="U107" s="1"/>
      <c r="V107" s="1"/>
      <c r="W107" s="1"/>
      <c r="X107" s="1"/>
      <c r="Y107" s="1"/>
      <c r="Z107" s="1"/>
      <c r="AA107" s="1">
        <f t="shared" si="5"/>
        <v>0</v>
      </c>
      <c r="AB107" s="1" t="str">
        <f t="shared" si="8"/>
        <v>R2 retained</v>
      </c>
      <c r="AC107" s="1">
        <v>0</v>
      </c>
      <c r="AD107" s="1" t="s">
        <v>12884</v>
      </c>
      <c r="AE107" s="1" t="s">
        <v>13049</v>
      </c>
      <c r="AF107" s="1" t="s">
        <v>6912</v>
      </c>
      <c r="AG107" s="1" t="s">
        <v>6917</v>
      </c>
      <c r="AH107" s="1" t="s">
        <v>6096</v>
      </c>
      <c r="AI107" s="1">
        <f t="shared" si="6"/>
        <v>1</v>
      </c>
      <c r="AJ107" s="5" t="s">
        <v>12898</v>
      </c>
      <c r="AK107" s="5" t="s">
        <v>12899</v>
      </c>
      <c r="AL107" s="7" t="s">
        <v>15077</v>
      </c>
    </row>
    <row r="108" spans="1:38" ht="36" customHeight="1">
      <c r="A108" s="1" t="s">
        <v>4786</v>
      </c>
      <c r="B108" s="1" t="s">
        <v>5586</v>
      </c>
      <c r="C108" s="1" t="s">
        <v>5587</v>
      </c>
      <c r="D108" s="1" t="s">
        <v>13178</v>
      </c>
      <c r="E108" s="1">
        <v>0</v>
      </c>
      <c r="F108" s="1"/>
      <c r="G108" s="1" t="s">
        <v>12859</v>
      </c>
      <c r="H108" s="1" t="s">
        <v>6912</v>
      </c>
      <c r="I108" s="1" t="s">
        <v>4747</v>
      </c>
      <c r="J108" s="1"/>
      <c r="K108" s="1"/>
      <c r="L108" s="1" t="s">
        <v>12860</v>
      </c>
      <c r="M108" s="1" t="s">
        <v>13179</v>
      </c>
      <c r="N108" s="1" t="s">
        <v>13180</v>
      </c>
      <c r="O108" s="1"/>
      <c r="P108" s="1" t="s">
        <v>12863</v>
      </c>
      <c r="Q108" s="1"/>
      <c r="R108" s="1"/>
      <c r="S108" s="1"/>
      <c r="T108" s="1"/>
      <c r="U108" s="1"/>
      <c r="V108" s="1"/>
      <c r="W108" s="1"/>
      <c r="X108" s="1"/>
      <c r="Y108" s="1"/>
      <c r="Z108" s="1"/>
      <c r="AA108" s="1">
        <f t="shared" si="5"/>
        <v>0</v>
      </c>
      <c r="AB108" s="1" t="str">
        <f t="shared" si="8"/>
        <v>R2 retained</v>
      </c>
      <c r="AC108" s="1"/>
      <c r="AD108" s="1"/>
      <c r="AE108" s="1"/>
      <c r="AF108" s="1"/>
      <c r="AG108" s="1"/>
      <c r="AH108" s="1"/>
      <c r="AI108" s="1">
        <f t="shared" si="6"/>
        <v>0</v>
      </c>
      <c r="AJ108" s="5"/>
      <c r="AK108" s="5"/>
      <c r="AL108" s="7" t="s">
        <v>15077</v>
      </c>
    </row>
    <row r="109" spans="1:38" ht="96" customHeight="1">
      <c r="A109" s="1" t="s">
        <v>4786</v>
      </c>
      <c r="B109" s="1" t="s">
        <v>5591</v>
      </c>
      <c r="C109" s="1" t="s">
        <v>5592</v>
      </c>
      <c r="D109" s="1" t="s">
        <v>13181</v>
      </c>
      <c r="E109" s="1">
        <v>1</v>
      </c>
      <c r="F109" s="1">
        <v>0</v>
      </c>
      <c r="G109" s="1" t="s">
        <v>12873</v>
      </c>
      <c r="H109" s="1" t="s">
        <v>6912</v>
      </c>
      <c r="I109" s="1"/>
      <c r="J109" s="1"/>
      <c r="K109" s="1"/>
      <c r="L109" s="1" t="s">
        <v>12860</v>
      </c>
      <c r="M109" s="1" t="s">
        <v>13182</v>
      </c>
      <c r="N109" s="1" t="s">
        <v>13183</v>
      </c>
      <c r="O109" s="1" t="s">
        <v>13184</v>
      </c>
      <c r="P109" s="1" t="s">
        <v>12876</v>
      </c>
      <c r="Q109" s="1">
        <v>0</v>
      </c>
      <c r="R109" s="1" t="s">
        <v>12877</v>
      </c>
      <c r="S109" s="1" t="s">
        <v>13185</v>
      </c>
      <c r="T109" s="1" t="s">
        <v>13186</v>
      </c>
      <c r="U109" s="1" t="s">
        <v>6917</v>
      </c>
      <c r="V109" s="1" t="s">
        <v>6096</v>
      </c>
      <c r="W109" s="1" t="s">
        <v>12880</v>
      </c>
      <c r="X109" s="1"/>
      <c r="Y109" s="1" t="s">
        <v>13187</v>
      </c>
      <c r="Z109" s="1" t="s">
        <v>12883</v>
      </c>
      <c r="AA109" s="1">
        <f t="shared" si="5"/>
        <v>0</v>
      </c>
      <c r="AB109" s="1" t="str">
        <f t="shared" si="8"/>
        <v>Reviewer confirmed</v>
      </c>
      <c r="AC109" s="1">
        <v>0</v>
      </c>
      <c r="AD109" s="1" t="s">
        <v>12936</v>
      </c>
      <c r="AE109" s="1" t="s">
        <v>13188</v>
      </c>
      <c r="AF109" s="1" t="s">
        <v>13186</v>
      </c>
      <c r="AG109" s="1" t="s">
        <v>6917</v>
      </c>
      <c r="AH109" s="1" t="s">
        <v>6096</v>
      </c>
      <c r="AI109" s="1">
        <f t="shared" si="6"/>
        <v>1</v>
      </c>
      <c r="AJ109" s="5" t="s">
        <v>12898</v>
      </c>
      <c r="AK109" s="5" t="s">
        <v>12899</v>
      </c>
      <c r="AL109" s="7" t="s">
        <v>15077</v>
      </c>
    </row>
    <row r="110" spans="1:38" ht="36" customHeight="1">
      <c r="A110" s="1" t="s">
        <v>4786</v>
      </c>
      <c r="B110" s="1" t="s">
        <v>5596</v>
      </c>
      <c r="C110" s="1" t="s">
        <v>5597</v>
      </c>
      <c r="D110" s="1" t="s">
        <v>4747</v>
      </c>
      <c r="E110" s="1">
        <v>0</v>
      </c>
      <c r="F110" s="1"/>
      <c r="G110" s="1" t="s">
        <v>12859</v>
      </c>
      <c r="H110" s="1" t="s">
        <v>6912</v>
      </c>
      <c r="I110" s="1" t="s">
        <v>4747</v>
      </c>
      <c r="J110" s="1"/>
      <c r="K110" s="1"/>
      <c r="L110" s="1" t="s">
        <v>12860</v>
      </c>
      <c r="M110" s="1" t="s">
        <v>13189</v>
      </c>
      <c r="N110" s="1" t="s">
        <v>13190</v>
      </c>
      <c r="O110" s="1"/>
      <c r="P110" s="1" t="s">
        <v>12863</v>
      </c>
      <c r="Q110" s="1"/>
      <c r="R110" s="1"/>
      <c r="S110" s="1"/>
      <c r="T110" s="1"/>
      <c r="U110" s="1"/>
      <c r="V110" s="1"/>
      <c r="W110" s="1"/>
      <c r="X110" s="1"/>
      <c r="Y110" s="1"/>
      <c r="Z110" s="1"/>
      <c r="AA110" s="1">
        <f t="shared" si="5"/>
        <v>0</v>
      </c>
      <c r="AB110" s="1" t="str">
        <f t="shared" si="8"/>
        <v>R2 retained</v>
      </c>
      <c r="AC110" s="1"/>
      <c r="AD110" s="1"/>
      <c r="AE110" s="1"/>
      <c r="AF110" s="1"/>
      <c r="AG110" s="1"/>
      <c r="AH110" s="1"/>
      <c r="AI110" s="1">
        <f t="shared" si="6"/>
        <v>0</v>
      </c>
      <c r="AJ110" s="5"/>
      <c r="AK110" s="5"/>
      <c r="AL110" s="7" t="s">
        <v>15077</v>
      </c>
    </row>
    <row r="111" spans="1:38" ht="48" customHeight="1">
      <c r="A111" s="1" t="s">
        <v>4786</v>
      </c>
      <c r="B111" s="1" t="s">
        <v>5601</v>
      </c>
      <c r="C111" s="1" t="s">
        <v>5602</v>
      </c>
      <c r="D111" s="1" t="s">
        <v>4747</v>
      </c>
      <c r="E111" s="1">
        <v>1</v>
      </c>
      <c r="F111" s="1"/>
      <c r="G111" s="1" t="s">
        <v>12859</v>
      </c>
      <c r="H111" s="1" t="s">
        <v>6912</v>
      </c>
      <c r="I111" s="1"/>
      <c r="J111" s="1"/>
      <c r="K111" s="1"/>
      <c r="L111" s="1" t="s">
        <v>12860</v>
      </c>
      <c r="M111" s="1" t="s">
        <v>7029</v>
      </c>
      <c r="N111" s="1" t="s">
        <v>13191</v>
      </c>
      <c r="O111" s="1"/>
      <c r="P111" s="1" t="s">
        <v>12876</v>
      </c>
      <c r="Q111" s="1">
        <v>1</v>
      </c>
      <c r="R111" s="1" t="s">
        <v>12981</v>
      </c>
      <c r="S111" s="1" t="s">
        <v>13192</v>
      </c>
      <c r="T111" s="1" t="s">
        <v>13193</v>
      </c>
      <c r="U111" s="1" t="s">
        <v>6917</v>
      </c>
      <c r="V111" s="1" t="s">
        <v>6096</v>
      </c>
      <c r="W111" s="1"/>
      <c r="X111" s="1"/>
      <c r="Y111" s="1"/>
      <c r="Z111" s="1" t="s">
        <v>12908</v>
      </c>
      <c r="AA111" s="1">
        <f t="shared" si="5"/>
        <v>1</v>
      </c>
      <c r="AB111" s="1" t="str">
        <f t="shared" si="8"/>
        <v>R2 retained</v>
      </c>
      <c r="AC111" s="1"/>
      <c r="AD111" s="1"/>
      <c r="AE111" s="1"/>
      <c r="AF111" s="1"/>
      <c r="AG111" s="1"/>
      <c r="AH111" s="1"/>
      <c r="AI111" s="1">
        <f t="shared" si="6"/>
        <v>1</v>
      </c>
      <c r="AJ111" s="5"/>
      <c r="AK111" s="5"/>
      <c r="AL111" s="7" t="s">
        <v>15077</v>
      </c>
    </row>
    <row r="112" spans="1:38" ht="36" customHeight="1">
      <c r="A112" s="1" t="s">
        <v>4786</v>
      </c>
      <c r="B112" s="1" t="s">
        <v>5606</v>
      </c>
      <c r="C112" s="1" t="s">
        <v>5607</v>
      </c>
      <c r="D112" s="1" t="s">
        <v>7031</v>
      </c>
      <c r="E112" s="1">
        <v>2</v>
      </c>
      <c r="F112" s="1"/>
      <c r="G112" s="1" t="s">
        <v>12859</v>
      </c>
      <c r="H112" s="1" t="s">
        <v>6912</v>
      </c>
      <c r="I112" s="1" t="s">
        <v>5215</v>
      </c>
      <c r="J112" s="1"/>
      <c r="K112" s="1"/>
      <c r="L112" s="1" t="s">
        <v>12860</v>
      </c>
      <c r="M112" s="1" t="s">
        <v>7033</v>
      </c>
      <c r="N112" s="1" t="s">
        <v>13194</v>
      </c>
      <c r="O112" s="1"/>
      <c r="P112" s="1" t="s">
        <v>12868</v>
      </c>
      <c r="Q112" s="1"/>
      <c r="R112" s="1"/>
      <c r="S112" s="1"/>
      <c r="T112" s="1"/>
      <c r="U112" s="1"/>
      <c r="V112" s="1"/>
      <c r="W112" s="1"/>
      <c r="X112" s="1"/>
      <c r="Y112" s="1"/>
      <c r="Z112" s="1"/>
      <c r="AA112" s="1">
        <f t="shared" si="5"/>
        <v>2</v>
      </c>
      <c r="AB112" s="1" t="str">
        <f t="shared" si="8"/>
        <v>R2 retained</v>
      </c>
      <c r="AC112" s="1"/>
      <c r="AD112" s="1"/>
      <c r="AE112" s="1"/>
      <c r="AF112" s="1"/>
      <c r="AG112" s="1"/>
      <c r="AH112" s="1"/>
      <c r="AI112" s="1">
        <f t="shared" si="6"/>
        <v>0</v>
      </c>
      <c r="AJ112" s="5"/>
      <c r="AK112" s="5"/>
      <c r="AL112" s="7" t="s">
        <v>15077</v>
      </c>
    </row>
    <row r="113" spans="1:38" ht="84" customHeight="1">
      <c r="A113" s="1" t="s">
        <v>4786</v>
      </c>
      <c r="B113" s="1" t="s">
        <v>5454</v>
      </c>
      <c r="C113" s="1" t="s">
        <v>5455</v>
      </c>
      <c r="D113" s="1" t="s">
        <v>4747</v>
      </c>
      <c r="E113" s="1">
        <v>1</v>
      </c>
      <c r="F113" s="1">
        <v>0</v>
      </c>
      <c r="G113" s="1" t="s">
        <v>4691</v>
      </c>
      <c r="H113" s="1" t="s">
        <v>6912</v>
      </c>
      <c r="I113" s="1" t="s">
        <v>4886</v>
      </c>
      <c r="J113" s="1"/>
      <c r="K113" s="1"/>
      <c r="L113" s="1" t="s">
        <v>12860</v>
      </c>
      <c r="M113" s="1" t="s">
        <v>7036</v>
      </c>
      <c r="N113" s="1" t="s">
        <v>13195</v>
      </c>
      <c r="O113" s="1" t="s">
        <v>13196</v>
      </c>
      <c r="P113" s="1" t="s">
        <v>12917</v>
      </c>
      <c r="Q113" s="1"/>
      <c r="R113" s="1"/>
      <c r="S113" s="1"/>
      <c r="T113" s="1"/>
      <c r="U113" s="1"/>
      <c r="V113" s="1"/>
      <c r="W113" s="1"/>
      <c r="X113" s="1"/>
      <c r="Y113" s="1" t="s">
        <v>5693</v>
      </c>
      <c r="Z113" s="1" t="s">
        <v>12918</v>
      </c>
      <c r="AA113" s="1">
        <f t="shared" si="5"/>
        <v>0</v>
      </c>
      <c r="AB113" s="1" t="str">
        <f t="shared" si="8"/>
        <v>Reviewer confirmed</v>
      </c>
      <c r="AC113" s="1">
        <v>0</v>
      </c>
      <c r="AD113" s="1" t="s">
        <v>12936</v>
      </c>
      <c r="AE113" s="1" t="s">
        <v>5693</v>
      </c>
      <c r="AF113" s="1" t="s">
        <v>5692</v>
      </c>
      <c r="AG113" s="1" t="s">
        <v>5694</v>
      </c>
      <c r="AH113" s="1" t="s">
        <v>5461</v>
      </c>
      <c r="AI113" s="1">
        <f t="shared" si="6"/>
        <v>1</v>
      </c>
      <c r="AJ113" s="5" t="s">
        <v>12898</v>
      </c>
      <c r="AK113" s="5" t="s">
        <v>12899</v>
      </c>
      <c r="AL113" s="7" t="s">
        <v>15077</v>
      </c>
    </row>
    <row r="114" spans="1:38" ht="36" customHeight="1">
      <c r="A114" s="1" t="s">
        <v>4825</v>
      </c>
      <c r="B114" s="1" t="s">
        <v>5537</v>
      </c>
      <c r="C114" s="1" t="s">
        <v>5538</v>
      </c>
      <c r="D114" s="1" t="s">
        <v>4747</v>
      </c>
      <c r="E114" s="1">
        <v>0</v>
      </c>
      <c r="F114" s="1"/>
      <c r="G114" s="1" t="s">
        <v>12859</v>
      </c>
      <c r="H114" s="1" t="s">
        <v>7051</v>
      </c>
      <c r="I114" s="1" t="s">
        <v>4747</v>
      </c>
      <c r="J114" s="1"/>
      <c r="K114" s="1"/>
      <c r="L114" s="1" t="s">
        <v>12860</v>
      </c>
      <c r="M114" s="1" t="s">
        <v>13197</v>
      </c>
      <c r="N114" s="1" t="s">
        <v>13198</v>
      </c>
      <c r="O114" s="1"/>
      <c r="P114" s="1" t="s">
        <v>12863</v>
      </c>
      <c r="Q114" s="1"/>
      <c r="R114" s="1"/>
      <c r="S114" s="1"/>
      <c r="T114" s="1"/>
      <c r="U114" s="1"/>
      <c r="V114" s="1"/>
      <c r="W114" s="1"/>
      <c r="X114" s="1"/>
      <c r="Y114" s="1"/>
      <c r="Z114" s="1"/>
      <c r="AA114" s="1">
        <f t="shared" si="5"/>
        <v>0</v>
      </c>
      <c r="AB114" s="1" t="str">
        <f t="shared" si="8"/>
        <v>R2 retained</v>
      </c>
      <c r="AC114" s="1"/>
      <c r="AD114" s="1"/>
      <c r="AE114" s="1"/>
      <c r="AF114" s="1"/>
      <c r="AG114" s="1"/>
      <c r="AH114" s="1"/>
      <c r="AI114" s="1">
        <f t="shared" si="6"/>
        <v>0</v>
      </c>
      <c r="AJ114" s="5"/>
      <c r="AK114" s="5"/>
      <c r="AL114" s="7" t="s">
        <v>15077</v>
      </c>
    </row>
    <row r="115" spans="1:38" ht="36" customHeight="1">
      <c r="A115" s="1" t="s">
        <v>4825</v>
      </c>
      <c r="B115" s="1" t="s">
        <v>5542</v>
      </c>
      <c r="C115" s="1" t="s">
        <v>5543</v>
      </c>
      <c r="D115" s="1" t="s">
        <v>4747</v>
      </c>
      <c r="E115" s="1">
        <v>0</v>
      </c>
      <c r="F115" s="1"/>
      <c r="G115" s="1" t="s">
        <v>12859</v>
      </c>
      <c r="H115" s="1" t="s">
        <v>7051</v>
      </c>
      <c r="I115" s="1" t="s">
        <v>4747</v>
      </c>
      <c r="J115" s="1"/>
      <c r="K115" s="1"/>
      <c r="L115" s="1" t="s">
        <v>12860</v>
      </c>
      <c r="M115" s="1" t="s">
        <v>13199</v>
      </c>
      <c r="N115" s="1" t="s">
        <v>13200</v>
      </c>
      <c r="O115" s="1"/>
      <c r="P115" s="1" t="s">
        <v>12863</v>
      </c>
      <c r="Q115" s="1"/>
      <c r="R115" s="1"/>
      <c r="S115" s="1"/>
      <c r="T115" s="1"/>
      <c r="U115" s="1"/>
      <c r="V115" s="1"/>
      <c r="W115" s="1"/>
      <c r="X115" s="1"/>
      <c r="Y115" s="1"/>
      <c r="Z115" s="1"/>
      <c r="AA115" s="1">
        <f t="shared" si="5"/>
        <v>0</v>
      </c>
      <c r="AB115" s="1" t="str">
        <f t="shared" si="8"/>
        <v>R2 retained</v>
      </c>
      <c r="AC115" s="1"/>
      <c r="AD115" s="1"/>
      <c r="AE115" s="1"/>
      <c r="AF115" s="1"/>
      <c r="AG115" s="1"/>
      <c r="AH115" s="1"/>
      <c r="AI115" s="1">
        <f t="shared" si="6"/>
        <v>0</v>
      </c>
      <c r="AJ115" s="5"/>
      <c r="AK115" s="5"/>
      <c r="AL115" s="7" t="s">
        <v>15077</v>
      </c>
    </row>
    <row r="116" spans="1:38" ht="36" customHeight="1">
      <c r="A116" s="1" t="s">
        <v>4825</v>
      </c>
      <c r="B116" s="1" t="s">
        <v>5547</v>
      </c>
      <c r="C116" s="1" t="s">
        <v>5548</v>
      </c>
      <c r="D116" s="1" t="s">
        <v>4747</v>
      </c>
      <c r="E116" s="1">
        <v>1</v>
      </c>
      <c r="F116" s="1"/>
      <c r="G116" s="1" t="s">
        <v>12859</v>
      </c>
      <c r="H116" s="1" t="s">
        <v>7051</v>
      </c>
      <c r="I116" s="1" t="s">
        <v>4764</v>
      </c>
      <c r="J116" s="1"/>
      <c r="K116" s="1"/>
      <c r="L116" s="1" t="s">
        <v>12860</v>
      </c>
      <c r="M116" s="1" t="s">
        <v>13201</v>
      </c>
      <c r="N116" s="1" t="s">
        <v>13202</v>
      </c>
      <c r="O116" s="1"/>
      <c r="P116" s="1" t="s">
        <v>12868</v>
      </c>
      <c r="Q116" s="1"/>
      <c r="R116" s="1"/>
      <c r="S116" s="1"/>
      <c r="T116" s="1"/>
      <c r="U116" s="1"/>
      <c r="V116" s="1"/>
      <c r="W116" s="1"/>
      <c r="X116" s="1"/>
      <c r="Y116" s="1"/>
      <c r="Z116" s="1"/>
      <c r="AA116" s="1">
        <f t="shared" si="5"/>
        <v>1</v>
      </c>
      <c r="AB116" s="1" t="str">
        <f t="shared" si="8"/>
        <v>R2 retained</v>
      </c>
      <c r="AC116" s="1"/>
      <c r="AD116" s="1"/>
      <c r="AE116" s="1"/>
      <c r="AF116" s="1"/>
      <c r="AG116" s="1"/>
      <c r="AH116" s="1"/>
      <c r="AI116" s="1">
        <f t="shared" si="6"/>
        <v>0</v>
      </c>
      <c r="AJ116" s="5"/>
      <c r="AK116" s="5"/>
      <c r="AL116" s="7" t="s">
        <v>15077</v>
      </c>
    </row>
    <row r="117" spans="1:38" ht="36" customHeight="1">
      <c r="A117" s="1" t="s">
        <v>4825</v>
      </c>
      <c r="B117" s="1" t="s">
        <v>5552</v>
      </c>
      <c r="C117" s="1" t="s">
        <v>5553</v>
      </c>
      <c r="D117" s="1" t="s">
        <v>12929</v>
      </c>
      <c r="E117" s="1">
        <v>0</v>
      </c>
      <c r="F117" s="1"/>
      <c r="G117" s="1" t="s">
        <v>12859</v>
      </c>
      <c r="H117" s="1" t="s">
        <v>7051</v>
      </c>
      <c r="I117" s="1" t="s">
        <v>4747</v>
      </c>
      <c r="J117" s="1"/>
      <c r="K117" s="1" t="s">
        <v>4829</v>
      </c>
      <c r="L117" s="1" t="s">
        <v>12930</v>
      </c>
      <c r="M117" s="1" t="s">
        <v>13203</v>
      </c>
      <c r="N117" s="1" t="s">
        <v>13204</v>
      </c>
      <c r="O117" s="1" t="s">
        <v>7089</v>
      </c>
      <c r="P117" s="1" t="s">
        <v>12863</v>
      </c>
      <c r="Q117" s="1"/>
      <c r="R117" s="1"/>
      <c r="S117" s="1"/>
      <c r="T117" s="1"/>
      <c r="U117" s="1"/>
      <c r="V117" s="1"/>
      <c r="W117" s="1"/>
      <c r="X117" s="1"/>
      <c r="Y117" s="1"/>
      <c r="Z117" s="1"/>
      <c r="AA117" s="1">
        <f t="shared" si="5"/>
        <v>0</v>
      </c>
      <c r="AB117" s="1" t="str">
        <f t="shared" si="8"/>
        <v>R2 retained</v>
      </c>
      <c r="AC117" s="1"/>
      <c r="AD117" s="1"/>
      <c r="AE117" s="1"/>
      <c r="AF117" s="1"/>
      <c r="AG117" s="1"/>
      <c r="AH117" s="1"/>
      <c r="AI117" s="1">
        <f t="shared" si="6"/>
        <v>0</v>
      </c>
      <c r="AJ117" s="5"/>
      <c r="AK117" s="5"/>
      <c r="AL117" s="7" t="s">
        <v>15077</v>
      </c>
    </row>
    <row r="118" spans="1:38" ht="36" customHeight="1">
      <c r="A118" s="1" t="s">
        <v>4825</v>
      </c>
      <c r="B118" s="1" t="s">
        <v>5557</v>
      </c>
      <c r="C118" s="1" t="s">
        <v>5558</v>
      </c>
      <c r="D118" s="1" t="s">
        <v>7092</v>
      </c>
      <c r="E118" s="1">
        <v>0</v>
      </c>
      <c r="F118" s="1"/>
      <c r="G118" s="1" t="s">
        <v>12859</v>
      </c>
      <c r="H118" s="1" t="s">
        <v>7051</v>
      </c>
      <c r="I118" s="1" t="s">
        <v>4747</v>
      </c>
      <c r="J118" s="1"/>
      <c r="K118" s="1"/>
      <c r="L118" s="1" t="s">
        <v>12860</v>
      </c>
      <c r="M118" s="1" t="s">
        <v>7094</v>
      </c>
      <c r="N118" s="1" t="s">
        <v>13205</v>
      </c>
      <c r="O118" s="1"/>
      <c r="P118" s="1" t="s">
        <v>12863</v>
      </c>
      <c r="Q118" s="1"/>
      <c r="R118" s="1"/>
      <c r="S118" s="1"/>
      <c r="T118" s="1"/>
      <c r="U118" s="1"/>
      <c r="V118" s="1"/>
      <c r="W118" s="1"/>
      <c r="X118" s="1"/>
      <c r="Y118" s="1"/>
      <c r="Z118" s="1"/>
      <c r="AA118" s="1">
        <f t="shared" si="5"/>
        <v>0</v>
      </c>
      <c r="AB118" s="1" t="str">
        <f t="shared" si="8"/>
        <v>R2 retained</v>
      </c>
      <c r="AC118" s="1"/>
      <c r="AD118" s="1"/>
      <c r="AE118" s="1"/>
      <c r="AF118" s="1"/>
      <c r="AG118" s="1"/>
      <c r="AH118" s="1"/>
      <c r="AI118" s="1">
        <f t="shared" si="6"/>
        <v>0</v>
      </c>
      <c r="AJ118" s="5"/>
      <c r="AK118" s="5"/>
      <c r="AL118" s="7" t="s">
        <v>15077</v>
      </c>
    </row>
    <row r="119" spans="1:38" ht="60" customHeight="1">
      <c r="A119" s="1" t="s">
        <v>4825</v>
      </c>
      <c r="B119" s="1" t="s">
        <v>5562</v>
      </c>
      <c r="C119" s="1" t="s">
        <v>5563</v>
      </c>
      <c r="D119" s="1" t="s">
        <v>5695</v>
      </c>
      <c r="E119" s="1">
        <v>0</v>
      </c>
      <c r="F119" s="1">
        <v>1</v>
      </c>
      <c r="G119" s="1" t="s">
        <v>4691</v>
      </c>
      <c r="H119" s="1" t="s">
        <v>7051</v>
      </c>
      <c r="I119" s="1" t="s">
        <v>4747</v>
      </c>
      <c r="J119" s="1"/>
      <c r="K119" s="1"/>
      <c r="L119" s="1" t="s">
        <v>12860</v>
      </c>
      <c r="M119" s="1" t="s">
        <v>7099</v>
      </c>
      <c r="N119" s="1" t="s">
        <v>13206</v>
      </c>
      <c r="O119" s="1" t="s">
        <v>13207</v>
      </c>
      <c r="P119" s="1" t="s">
        <v>12917</v>
      </c>
      <c r="Q119" s="1"/>
      <c r="R119" s="1"/>
      <c r="S119" s="1"/>
      <c r="T119" s="1"/>
      <c r="U119" s="1"/>
      <c r="V119" s="1"/>
      <c r="W119" s="1"/>
      <c r="X119" s="1"/>
      <c r="Y119" s="1" t="s">
        <v>5697</v>
      </c>
      <c r="Z119" s="1" t="s">
        <v>12918</v>
      </c>
      <c r="AA119" s="1">
        <f t="shared" si="5"/>
        <v>1</v>
      </c>
      <c r="AB119" s="1" t="str">
        <f t="shared" si="8"/>
        <v>Reviewer confirmed</v>
      </c>
      <c r="AC119" s="1">
        <v>1</v>
      </c>
      <c r="AD119" s="1" t="s">
        <v>12936</v>
      </c>
      <c r="AE119" s="1" t="s">
        <v>5697</v>
      </c>
      <c r="AF119" s="1" t="s">
        <v>5696</v>
      </c>
      <c r="AG119" s="1" t="s">
        <v>5698</v>
      </c>
      <c r="AH119" s="1" t="s">
        <v>5461</v>
      </c>
      <c r="AI119" s="1">
        <f t="shared" si="6"/>
        <v>1</v>
      </c>
      <c r="AJ119" s="5"/>
      <c r="AK119" s="5"/>
      <c r="AL119" s="7" t="s">
        <v>15077</v>
      </c>
    </row>
    <row r="120" spans="1:38" ht="36" customHeight="1">
      <c r="A120" s="1" t="s">
        <v>4825</v>
      </c>
      <c r="B120" s="1" t="s">
        <v>5567</v>
      </c>
      <c r="C120" s="1" t="s">
        <v>5568</v>
      </c>
      <c r="D120" s="1" t="s">
        <v>6307</v>
      </c>
      <c r="E120" s="1">
        <v>0</v>
      </c>
      <c r="F120" s="1"/>
      <c r="G120" s="1" t="s">
        <v>12859</v>
      </c>
      <c r="H120" s="1" t="s">
        <v>7051</v>
      </c>
      <c r="I120" s="1" t="s">
        <v>4747</v>
      </c>
      <c r="J120" s="1"/>
      <c r="K120" s="1"/>
      <c r="L120" s="1" t="s">
        <v>12860</v>
      </c>
      <c r="M120" s="1" t="s">
        <v>13208</v>
      </c>
      <c r="N120" s="1" t="s">
        <v>13209</v>
      </c>
      <c r="O120" s="1"/>
      <c r="P120" s="1" t="s">
        <v>12863</v>
      </c>
      <c r="Q120" s="1"/>
      <c r="R120" s="1"/>
      <c r="S120" s="1"/>
      <c r="T120" s="1"/>
      <c r="U120" s="1"/>
      <c r="V120" s="1"/>
      <c r="W120" s="1"/>
      <c r="X120" s="1"/>
      <c r="Y120" s="1"/>
      <c r="Z120" s="1"/>
      <c r="AA120" s="1">
        <f t="shared" si="5"/>
        <v>0</v>
      </c>
      <c r="AB120" s="1" t="str">
        <f t="shared" si="8"/>
        <v>R2 retained</v>
      </c>
      <c r="AC120" s="1"/>
      <c r="AD120" s="1"/>
      <c r="AE120" s="1"/>
      <c r="AF120" s="1"/>
      <c r="AG120" s="1"/>
      <c r="AH120" s="1"/>
      <c r="AI120" s="1">
        <f t="shared" si="6"/>
        <v>0</v>
      </c>
      <c r="AJ120" s="5"/>
      <c r="AK120" s="5"/>
      <c r="AL120" s="7" t="s">
        <v>15077</v>
      </c>
    </row>
    <row r="121" spans="1:38" ht="36" customHeight="1">
      <c r="A121" s="1" t="s">
        <v>4825</v>
      </c>
      <c r="B121" s="1" t="s">
        <v>5572</v>
      </c>
      <c r="C121" s="1" t="s">
        <v>5573</v>
      </c>
      <c r="D121" s="1" t="s">
        <v>4747</v>
      </c>
      <c r="E121" s="1">
        <v>0</v>
      </c>
      <c r="F121" s="1"/>
      <c r="G121" s="1" t="s">
        <v>12859</v>
      </c>
      <c r="H121" s="1" t="s">
        <v>7051</v>
      </c>
      <c r="I121" s="1" t="s">
        <v>4747</v>
      </c>
      <c r="J121" s="1"/>
      <c r="K121" s="1"/>
      <c r="L121" s="1" t="s">
        <v>12860</v>
      </c>
      <c r="M121" s="1" t="s">
        <v>13210</v>
      </c>
      <c r="N121" s="1" t="s">
        <v>13211</v>
      </c>
      <c r="O121" s="1"/>
      <c r="P121" s="1" t="s">
        <v>12863</v>
      </c>
      <c r="Q121" s="1"/>
      <c r="R121" s="1"/>
      <c r="S121" s="1"/>
      <c r="T121" s="1"/>
      <c r="U121" s="1"/>
      <c r="V121" s="1"/>
      <c r="W121" s="1"/>
      <c r="X121" s="1"/>
      <c r="Y121" s="1"/>
      <c r="Z121" s="1"/>
      <c r="AA121" s="1">
        <f t="shared" si="5"/>
        <v>0</v>
      </c>
      <c r="AB121" s="1" t="str">
        <f t="shared" si="8"/>
        <v>R2 retained</v>
      </c>
      <c r="AC121" s="1"/>
      <c r="AD121" s="1"/>
      <c r="AE121" s="1"/>
      <c r="AF121" s="1"/>
      <c r="AG121" s="1"/>
      <c r="AH121" s="1"/>
      <c r="AI121" s="1">
        <f t="shared" si="6"/>
        <v>0</v>
      </c>
      <c r="AJ121" s="5"/>
      <c r="AK121" s="5"/>
      <c r="AL121" s="7" t="s">
        <v>15077</v>
      </c>
    </row>
    <row r="122" spans="1:38" ht="36" customHeight="1">
      <c r="A122" s="1" t="s">
        <v>4825</v>
      </c>
      <c r="B122" s="1" t="s">
        <v>5577</v>
      </c>
      <c r="C122" s="1" t="s">
        <v>5578</v>
      </c>
      <c r="D122" s="1" t="s">
        <v>13212</v>
      </c>
      <c r="E122" s="1">
        <v>2</v>
      </c>
      <c r="F122" s="1"/>
      <c r="G122" s="1" t="s">
        <v>12859</v>
      </c>
      <c r="H122" s="1" t="s">
        <v>7051</v>
      </c>
      <c r="I122" s="1" t="s">
        <v>12196</v>
      </c>
      <c r="J122" s="1"/>
      <c r="K122" s="1"/>
      <c r="L122" s="1" t="s">
        <v>12860</v>
      </c>
      <c r="M122" s="1" t="s">
        <v>13213</v>
      </c>
      <c r="N122" s="1" t="s">
        <v>13214</v>
      </c>
      <c r="O122" s="1"/>
      <c r="P122" s="1" t="s">
        <v>12868</v>
      </c>
      <c r="Q122" s="1"/>
      <c r="R122" s="1"/>
      <c r="S122" s="1"/>
      <c r="T122" s="1"/>
      <c r="U122" s="1"/>
      <c r="V122" s="1"/>
      <c r="W122" s="1"/>
      <c r="X122" s="1"/>
      <c r="Y122" s="1"/>
      <c r="Z122" s="1"/>
      <c r="AA122" s="1">
        <f t="shared" si="5"/>
        <v>2</v>
      </c>
      <c r="AB122" s="1" t="str">
        <f t="shared" si="8"/>
        <v>R2 retained</v>
      </c>
      <c r="AC122" s="1"/>
      <c r="AD122" s="1"/>
      <c r="AE122" s="1"/>
      <c r="AF122" s="1"/>
      <c r="AG122" s="1"/>
      <c r="AH122" s="1"/>
      <c r="AI122" s="1">
        <f t="shared" si="6"/>
        <v>0</v>
      </c>
      <c r="AJ122" s="5"/>
      <c r="AK122" s="5"/>
      <c r="AL122" s="7" t="s">
        <v>15077</v>
      </c>
    </row>
    <row r="123" spans="1:38" ht="36" customHeight="1">
      <c r="A123" s="1" t="s">
        <v>4825</v>
      </c>
      <c r="B123" s="1" t="s">
        <v>5582</v>
      </c>
      <c r="C123" s="1" t="s">
        <v>5583</v>
      </c>
      <c r="D123" s="1" t="s">
        <v>7143</v>
      </c>
      <c r="E123" s="1">
        <v>0</v>
      </c>
      <c r="F123" s="1"/>
      <c r="G123" s="1" t="s">
        <v>12859</v>
      </c>
      <c r="H123" s="1" t="s">
        <v>7051</v>
      </c>
      <c r="I123" s="1" t="s">
        <v>4747</v>
      </c>
      <c r="J123" s="1"/>
      <c r="K123" s="1"/>
      <c r="L123" s="1" t="s">
        <v>12860</v>
      </c>
      <c r="M123" s="1" t="s">
        <v>7145</v>
      </c>
      <c r="N123" s="1" t="s">
        <v>13215</v>
      </c>
      <c r="O123" s="1"/>
      <c r="P123" s="1" t="s">
        <v>12863</v>
      </c>
      <c r="Q123" s="1"/>
      <c r="R123" s="1"/>
      <c r="S123" s="1"/>
      <c r="T123" s="1"/>
      <c r="U123" s="1"/>
      <c r="V123" s="1"/>
      <c r="W123" s="1"/>
      <c r="X123" s="1"/>
      <c r="Y123" s="1"/>
      <c r="Z123" s="1"/>
      <c r="AA123" s="1">
        <f t="shared" si="5"/>
        <v>0</v>
      </c>
      <c r="AB123" s="1" t="str">
        <f t="shared" si="8"/>
        <v>R2 retained</v>
      </c>
      <c r="AC123" s="1">
        <v>0</v>
      </c>
      <c r="AD123" s="1" t="s">
        <v>12884</v>
      </c>
      <c r="AE123" s="1" t="s">
        <v>13216</v>
      </c>
      <c r="AF123" s="1" t="s">
        <v>13217</v>
      </c>
      <c r="AG123" s="1" t="s">
        <v>7056</v>
      </c>
      <c r="AH123" s="1" t="s">
        <v>6096</v>
      </c>
      <c r="AI123" s="1">
        <f t="shared" si="6"/>
        <v>1</v>
      </c>
      <c r="AJ123" s="5" t="s">
        <v>12898</v>
      </c>
      <c r="AK123" s="5" t="s">
        <v>12899</v>
      </c>
      <c r="AL123" s="7" t="s">
        <v>15077</v>
      </c>
    </row>
    <row r="124" spans="1:38" ht="36" customHeight="1">
      <c r="A124" s="1" t="s">
        <v>4825</v>
      </c>
      <c r="B124" s="1" t="s">
        <v>5586</v>
      </c>
      <c r="C124" s="1" t="s">
        <v>5587</v>
      </c>
      <c r="D124" s="1" t="s">
        <v>13218</v>
      </c>
      <c r="E124" s="1">
        <v>2</v>
      </c>
      <c r="F124" s="1"/>
      <c r="G124" s="1" t="s">
        <v>12859</v>
      </c>
      <c r="H124" s="1" t="s">
        <v>7051</v>
      </c>
      <c r="I124" s="1" t="s">
        <v>12676</v>
      </c>
      <c r="J124" s="1"/>
      <c r="K124" s="1"/>
      <c r="L124" s="1" t="s">
        <v>12860</v>
      </c>
      <c r="M124" s="1" t="s">
        <v>13219</v>
      </c>
      <c r="N124" s="1" t="s">
        <v>13220</v>
      </c>
      <c r="O124" s="1"/>
      <c r="P124" s="1" t="s">
        <v>12868</v>
      </c>
      <c r="Q124" s="1"/>
      <c r="R124" s="1"/>
      <c r="S124" s="1"/>
      <c r="T124" s="1"/>
      <c r="U124" s="1"/>
      <c r="V124" s="1"/>
      <c r="W124" s="1"/>
      <c r="X124" s="1"/>
      <c r="Y124" s="1"/>
      <c r="Z124" s="1"/>
      <c r="AA124" s="1">
        <f t="shared" si="5"/>
        <v>2</v>
      </c>
      <c r="AB124" s="1" t="str">
        <f t="shared" si="8"/>
        <v>R2 retained</v>
      </c>
      <c r="AC124" s="1"/>
      <c r="AD124" s="1"/>
      <c r="AE124" s="1"/>
      <c r="AF124" s="1"/>
      <c r="AG124" s="1"/>
      <c r="AH124" s="1"/>
      <c r="AI124" s="1">
        <f t="shared" si="6"/>
        <v>0</v>
      </c>
      <c r="AJ124" s="5"/>
      <c r="AK124" s="5"/>
      <c r="AL124" s="7" t="s">
        <v>15077</v>
      </c>
    </row>
    <row r="125" spans="1:38" ht="108" customHeight="1">
      <c r="A125" s="1" t="s">
        <v>4825</v>
      </c>
      <c r="B125" s="1" t="s">
        <v>5591</v>
      </c>
      <c r="C125" s="1" t="s">
        <v>5592</v>
      </c>
      <c r="D125" s="1" t="s">
        <v>13221</v>
      </c>
      <c r="E125" s="1">
        <v>1</v>
      </c>
      <c r="F125" s="1">
        <v>0</v>
      </c>
      <c r="G125" s="1" t="s">
        <v>12873</v>
      </c>
      <c r="H125" s="1" t="s">
        <v>7051</v>
      </c>
      <c r="I125" s="1"/>
      <c r="J125" s="1"/>
      <c r="K125" s="1"/>
      <c r="L125" s="1" t="s">
        <v>12860</v>
      </c>
      <c r="M125" s="1" t="s">
        <v>13222</v>
      </c>
      <c r="N125" s="1" t="s">
        <v>13223</v>
      </c>
      <c r="O125" s="1" t="s">
        <v>13224</v>
      </c>
      <c r="P125" s="1" t="s">
        <v>12876</v>
      </c>
      <c r="Q125" s="1">
        <v>0</v>
      </c>
      <c r="R125" s="1" t="s">
        <v>12877</v>
      </c>
      <c r="S125" s="1" t="s">
        <v>13225</v>
      </c>
      <c r="T125" s="1" t="s">
        <v>13226</v>
      </c>
      <c r="U125" s="1" t="s">
        <v>7056</v>
      </c>
      <c r="V125" s="1" t="s">
        <v>6096</v>
      </c>
      <c r="W125" s="1" t="s">
        <v>12880</v>
      </c>
      <c r="X125" s="1"/>
      <c r="Y125" s="1" t="s">
        <v>13227</v>
      </c>
      <c r="Z125" s="1" t="s">
        <v>12883</v>
      </c>
      <c r="AA125" s="1">
        <f t="shared" si="5"/>
        <v>0</v>
      </c>
      <c r="AB125" s="1" t="str">
        <f t="shared" si="8"/>
        <v>Reviewer confirmed</v>
      </c>
      <c r="AC125" s="1">
        <v>0</v>
      </c>
      <c r="AD125" s="1" t="s">
        <v>12936</v>
      </c>
      <c r="AE125" s="1" t="s">
        <v>13228</v>
      </c>
      <c r="AF125" s="1" t="s">
        <v>13226</v>
      </c>
      <c r="AG125" s="1" t="s">
        <v>7056</v>
      </c>
      <c r="AH125" s="1" t="s">
        <v>6096</v>
      </c>
      <c r="AI125" s="1">
        <f t="shared" si="6"/>
        <v>1</v>
      </c>
      <c r="AJ125" s="5" t="s">
        <v>12898</v>
      </c>
      <c r="AK125" s="5" t="s">
        <v>12899</v>
      </c>
      <c r="AL125" s="7" t="s">
        <v>15077</v>
      </c>
    </row>
    <row r="126" spans="1:38" ht="36" customHeight="1">
      <c r="A126" s="1" t="s">
        <v>4825</v>
      </c>
      <c r="B126" s="1" t="s">
        <v>5596</v>
      </c>
      <c r="C126" s="1" t="s">
        <v>5597</v>
      </c>
      <c r="D126" s="1" t="s">
        <v>4747</v>
      </c>
      <c r="E126" s="1">
        <v>0</v>
      </c>
      <c r="F126" s="1"/>
      <c r="G126" s="1" t="s">
        <v>12859</v>
      </c>
      <c r="H126" s="1" t="s">
        <v>7051</v>
      </c>
      <c r="I126" s="1" t="s">
        <v>4747</v>
      </c>
      <c r="J126" s="1"/>
      <c r="K126" s="1"/>
      <c r="L126" s="1" t="s">
        <v>12860</v>
      </c>
      <c r="M126" s="1" t="s">
        <v>13229</v>
      </c>
      <c r="N126" s="1" t="s">
        <v>13230</v>
      </c>
      <c r="O126" s="1"/>
      <c r="P126" s="1" t="s">
        <v>12863</v>
      </c>
      <c r="Q126" s="1"/>
      <c r="R126" s="1"/>
      <c r="S126" s="1"/>
      <c r="T126" s="1"/>
      <c r="U126" s="1"/>
      <c r="V126" s="1"/>
      <c r="W126" s="1"/>
      <c r="X126" s="1"/>
      <c r="Y126" s="1"/>
      <c r="Z126" s="1"/>
      <c r="AA126" s="1">
        <f t="shared" si="5"/>
        <v>0</v>
      </c>
      <c r="AB126" s="1" t="str">
        <f t="shared" si="8"/>
        <v>R2 retained</v>
      </c>
      <c r="AC126" s="1"/>
      <c r="AD126" s="1"/>
      <c r="AE126" s="1"/>
      <c r="AF126" s="1"/>
      <c r="AG126" s="1"/>
      <c r="AH126" s="1"/>
      <c r="AI126" s="1">
        <f t="shared" si="6"/>
        <v>0</v>
      </c>
      <c r="AJ126" s="5"/>
      <c r="AK126" s="5"/>
      <c r="AL126" s="7" t="s">
        <v>15077</v>
      </c>
    </row>
    <row r="127" spans="1:38" ht="36" customHeight="1">
      <c r="A127" s="1" t="s">
        <v>4825</v>
      </c>
      <c r="B127" s="1" t="s">
        <v>5601</v>
      </c>
      <c r="C127" s="1" t="s">
        <v>5602</v>
      </c>
      <c r="D127" s="1" t="s">
        <v>4747</v>
      </c>
      <c r="E127" s="1">
        <v>1</v>
      </c>
      <c r="F127" s="1"/>
      <c r="G127" s="1" t="s">
        <v>12859</v>
      </c>
      <c r="H127" s="1" t="s">
        <v>7051</v>
      </c>
      <c r="I127" s="1"/>
      <c r="J127" s="1"/>
      <c r="K127" s="1"/>
      <c r="L127" s="1" t="s">
        <v>12860</v>
      </c>
      <c r="M127" s="1" t="s">
        <v>7166</v>
      </c>
      <c r="N127" s="1" t="s">
        <v>13231</v>
      </c>
      <c r="O127" s="1"/>
      <c r="P127" s="1" t="s">
        <v>12876</v>
      </c>
      <c r="Q127" s="1">
        <v>1</v>
      </c>
      <c r="R127" s="1" t="s">
        <v>12981</v>
      </c>
      <c r="S127" s="1" t="s">
        <v>13232</v>
      </c>
      <c r="T127" s="1" t="s">
        <v>13233</v>
      </c>
      <c r="U127" s="1" t="s">
        <v>7056</v>
      </c>
      <c r="V127" s="1" t="s">
        <v>6096</v>
      </c>
      <c r="W127" s="1"/>
      <c r="X127" s="1"/>
      <c r="Y127" s="1"/>
      <c r="Z127" s="1" t="s">
        <v>12908</v>
      </c>
      <c r="AA127" s="1">
        <f t="shared" si="5"/>
        <v>1</v>
      </c>
      <c r="AB127" s="1" t="str">
        <f t="shared" si="8"/>
        <v>R2 retained</v>
      </c>
      <c r="AC127" s="1"/>
      <c r="AD127" s="1"/>
      <c r="AE127" s="1"/>
      <c r="AF127" s="1"/>
      <c r="AG127" s="1"/>
      <c r="AH127" s="1"/>
      <c r="AI127" s="1">
        <f t="shared" si="6"/>
        <v>1</v>
      </c>
      <c r="AJ127" s="5"/>
      <c r="AK127" s="5"/>
      <c r="AL127" s="7" t="s">
        <v>15077</v>
      </c>
    </row>
    <row r="128" spans="1:38" ht="36" customHeight="1">
      <c r="A128" s="1" t="s">
        <v>4825</v>
      </c>
      <c r="B128" s="1" t="s">
        <v>5606</v>
      </c>
      <c r="C128" s="1" t="s">
        <v>5607</v>
      </c>
      <c r="D128" s="1" t="s">
        <v>4747</v>
      </c>
      <c r="E128" s="1">
        <v>1</v>
      </c>
      <c r="F128" s="1"/>
      <c r="G128" s="1" t="s">
        <v>12859</v>
      </c>
      <c r="H128" s="1" t="s">
        <v>7051</v>
      </c>
      <c r="I128" s="1" t="s">
        <v>4935</v>
      </c>
      <c r="J128" s="1"/>
      <c r="K128" s="1"/>
      <c r="L128" s="1" t="s">
        <v>12860</v>
      </c>
      <c r="M128" s="1" t="s">
        <v>7168</v>
      </c>
      <c r="N128" s="1" t="s">
        <v>13234</v>
      </c>
      <c r="O128" s="1"/>
      <c r="P128" s="1" t="s">
        <v>12868</v>
      </c>
      <c r="Q128" s="1"/>
      <c r="R128" s="1"/>
      <c r="S128" s="1"/>
      <c r="T128" s="1"/>
      <c r="U128" s="1"/>
      <c r="V128" s="1"/>
      <c r="W128" s="1"/>
      <c r="X128" s="1"/>
      <c r="Y128" s="1"/>
      <c r="Z128" s="1"/>
      <c r="AA128" s="1">
        <f t="shared" si="5"/>
        <v>1</v>
      </c>
      <c r="AB128" s="1" t="str">
        <f t="shared" si="8"/>
        <v>R2 retained</v>
      </c>
      <c r="AC128" s="1"/>
      <c r="AD128" s="1"/>
      <c r="AE128" s="1"/>
      <c r="AF128" s="1"/>
      <c r="AG128" s="1"/>
      <c r="AH128" s="1"/>
      <c r="AI128" s="1">
        <f t="shared" si="6"/>
        <v>0</v>
      </c>
      <c r="AJ128" s="5"/>
      <c r="AK128" s="5"/>
      <c r="AL128" s="7" t="s">
        <v>15077</v>
      </c>
    </row>
    <row r="129" spans="1:38" ht="36" customHeight="1">
      <c r="A129" s="1" t="s">
        <v>4825</v>
      </c>
      <c r="B129" s="1" t="s">
        <v>5454</v>
      </c>
      <c r="C129" s="1" t="s">
        <v>5455</v>
      </c>
      <c r="D129" s="1" t="s">
        <v>4747</v>
      </c>
      <c r="E129" s="1">
        <v>1</v>
      </c>
      <c r="F129" s="1"/>
      <c r="G129" s="1" t="s">
        <v>12859</v>
      </c>
      <c r="H129" s="1" t="s">
        <v>7051</v>
      </c>
      <c r="I129" s="1" t="s">
        <v>4959</v>
      </c>
      <c r="J129" s="1"/>
      <c r="K129" s="1"/>
      <c r="L129" s="1" t="s">
        <v>12860</v>
      </c>
      <c r="M129" s="1" t="s">
        <v>7171</v>
      </c>
      <c r="N129" s="1" t="s">
        <v>13235</v>
      </c>
      <c r="O129" s="1"/>
      <c r="P129" s="1" t="s">
        <v>12868</v>
      </c>
      <c r="Q129" s="1"/>
      <c r="R129" s="1"/>
      <c r="S129" s="1"/>
      <c r="T129" s="1"/>
      <c r="U129" s="1"/>
      <c r="V129" s="1"/>
      <c r="W129" s="1"/>
      <c r="X129" s="1"/>
      <c r="Y129" s="1"/>
      <c r="Z129" s="1"/>
      <c r="AA129" s="1">
        <f t="shared" si="5"/>
        <v>1</v>
      </c>
      <c r="AB129" s="1" t="str">
        <f t="shared" si="8"/>
        <v>R2 retained</v>
      </c>
      <c r="AC129" s="1">
        <v>1</v>
      </c>
      <c r="AD129" s="1" t="s">
        <v>12884</v>
      </c>
      <c r="AE129" s="1" t="s">
        <v>13236</v>
      </c>
      <c r="AF129" s="1" t="s">
        <v>13237</v>
      </c>
      <c r="AG129" s="1" t="s">
        <v>7056</v>
      </c>
      <c r="AH129" s="1" t="s">
        <v>6096</v>
      </c>
      <c r="AI129" s="1">
        <f t="shared" si="6"/>
        <v>1</v>
      </c>
      <c r="AJ129" s="5" t="s">
        <v>12898</v>
      </c>
      <c r="AK129" s="5" t="s">
        <v>12899</v>
      </c>
      <c r="AL129" s="7" t="s">
        <v>15077</v>
      </c>
    </row>
    <row r="130" spans="1:38" ht="36" customHeight="1">
      <c r="A130" s="1" t="s">
        <v>4833</v>
      </c>
      <c r="B130" s="1" t="s">
        <v>5537</v>
      </c>
      <c r="C130" s="1" t="s">
        <v>5538</v>
      </c>
      <c r="D130" s="1" t="s">
        <v>4747</v>
      </c>
      <c r="E130" s="1">
        <v>0</v>
      </c>
      <c r="F130" s="1"/>
      <c r="G130" s="1" t="s">
        <v>12859</v>
      </c>
      <c r="H130" s="1" t="s">
        <v>7187</v>
      </c>
      <c r="I130" s="1" t="s">
        <v>4747</v>
      </c>
      <c r="J130" s="1"/>
      <c r="K130" s="1"/>
      <c r="L130" s="1" t="s">
        <v>12860</v>
      </c>
      <c r="M130" s="1" t="s">
        <v>13238</v>
      </c>
      <c r="N130" s="1" t="s">
        <v>13239</v>
      </c>
      <c r="O130" s="1"/>
      <c r="P130" s="1" t="s">
        <v>12863</v>
      </c>
      <c r="Q130" s="1"/>
      <c r="R130" s="1"/>
      <c r="S130" s="1"/>
      <c r="T130" s="1"/>
      <c r="U130" s="1"/>
      <c r="V130" s="1"/>
      <c r="W130" s="1"/>
      <c r="X130" s="1"/>
      <c r="Y130" s="1"/>
      <c r="Z130" s="1"/>
      <c r="AA130" s="1">
        <f t="shared" ref="AA130:AA193" si="9">IF(OR(ISNUMBER(F130),F130="NA"),F130,IF(AD130="uncertain","",IF(OR(ISNUMBER(AC130),AC130="NA"),AC130,E130)))</f>
        <v>0</v>
      </c>
      <c r="AB130" s="1" t="str">
        <f t="shared" si="8"/>
        <v>R2 retained</v>
      </c>
      <c r="AC130" s="1"/>
      <c r="AD130" s="1"/>
      <c r="AE130" s="1"/>
      <c r="AF130" s="1"/>
      <c r="AG130" s="1"/>
      <c r="AH130" s="1"/>
      <c r="AI130" s="1">
        <f t="shared" ref="AI130:AI193" si="10">IF(OR(R130&lt;&gt;"",AD130&lt;&gt;""),1,0)</f>
        <v>0</v>
      </c>
      <c r="AJ130" s="5"/>
      <c r="AK130" s="5"/>
      <c r="AL130" s="7" t="s">
        <v>15077</v>
      </c>
    </row>
    <row r="131" spans="1:38" ht="36" customHeight="1">
      <c r="A131" s="1" t="s">
        <v>4833</v>
      </c>
      <c r="B131" s="1" t="s">
        <v>5542</v>
      </c>
      <c r="C131" s="1" t="s">
        <v>5543</v>
      </c>
      <c r="D131" s="1" t="s">
        <v>4747</v>
      </c>
      <c r="E131" s="1">
        <v>0</v>
      </c>
      <c r="F131" s="1"/>
      <c r="G131" s="1" t="s">
        <v>12859</v>
      </c>
      <c r="H131" s="1" t="s">
        <v>7187</v>
      </c>
      <c r="I131" s="1" t="s">
        <v>4747</v>
      </c>
      <c r="J131" s="1"/>
      <c r="K131" s="1"/>
      <c r="L131" s="1" t="s">
        <v>12860</v>
      </c>
      <c r="M131" s="1" t="s">
        <v>13240</v>
      </c>
      <c r="N131" s="1" t="s">
        <v>13241</v>
      </c>
      <c r="O131" s="1"/>
      <c r="P131" s="1" t="s">
        <v>12863</v>
      </c>
      <c r="Q131" s="1"/>
      <c r="R131" s="1"/>
      <c r="S131" s="1"/>
      <c r="T131" s="1"/>
      <c r="U131" s="1"/>
      <c r="V131" s="1"/>
      <c r="W131" s="1"/>
      <c r="X131" s="1"/>
      <c r="Y131" s="1"/>
      <c r="Z131" s="1"/>
      <c r="AA131" s="1">
        <f t="shared" si="9"/>
        <v>0</v>
      </c>
      <c r="AB131" s="1" t="str">
        <f t="shared" si="8"/>
        <v>R2 retained</v>
      </c>
      <c r="AC131" s="1"/>
      <c r="AD131" s="1"/>
      <c r="AE131" s="1"/>
      <c r="AF131" s="1"/>
      <c r="AG131" s="1"/>
      <c r="AH131" s="1"/>
      <c r="AI131" s="1">
        <f t="shared" si="10"/>
        <v>0</v>
      </c>
      <c r="AJ131" s="5"/>
      <c r="AK131" s="5"/>
      <c r="AL131" s="7" t="s">
        <v>15077</v>
      </c>
    </row>
    <row r="132" spans="1:38" ht="36" customHeight="1">
      <c r="A132" s="1" t="s">
        <v>4833</v>
      </c>
      <c r="B132" s="1" t="s">
        <v>5547</v>
      </c>
      <c r="C132" s="1" t="s">
        <v>5548</v>
      </c>
      <c r="D132" s="1" t="s">
        <v>4747</v>
      </c>
      <c r="E132" s="1">
        <v>1</v>
      </c>
      <c r="F132" s="1"/>
      <c r="G132" s="1" t="s">
        <v>12859</v>
      </c>
      <c r="H132" s="1" t="s">
        <v>7187</v>
      </c>
      <c r="I132" s="1" t="s">
        <v>4845</v>
      </c>
      <c r="J132" s="1"/>
      <c r="K132" s="1"/>
      <c r="L132" s="1" t="s">
        <v>12860</v>
      </c>
      <c r="M132" s="1" t="s">
        <v>13242</v>
      </c>
      <c r="N132" s="1" t="s">
        <v>13243</v>
      </c>
      <c r="O132" s="1"/>
      <c r="P132" s="1" t="s">
        <v>12868</v>
      </c>
      <c r="Q132" s="1"/>
      <c r="R132" s="1"/>
      <c r="S132" s="1"/>
      <c r="T132" s="1"/>
      <c r="U132" s="1"/>
      <c r="V132" s="1"/>
      <c r="W132" s="1"/>
      <c r="X132" s="1"/>
      <c r="Y132" s="1"/>
      <c r="Z132" s="1"/>
      <c r="AA132" s="1">
        <f t="shared" si="9"/>
        <v>1</v>
      </c>
      <c r="AB132" s="1" t="str">
        <f t="shared" si="8"/>
        <v>R2 retained</v>
      </c>
      <c r="AC132" s="1"/>
      <c r="AD132" s="1"/>
      <c r="AE132" s="1"/>
      <c r="AF132" s="1"/>
      <c r="AG132" s="1"/>
      <c r="AH132" s="1"/>
      <c r="AI132" s="1">
        <f t="shared" si="10"/>
        <v>0</v>
      </c>
      <c r="AJ132" s="5"/>
      <c r="AK132" s="5"/>
      <c r="AL132" s="7" t="s">
        <v>15077</v>
      </c>
    </row>
    <row r="133" spans="1:38" ht="48" customHeight="1">
      <c r="A133" s="1" t="s">
        <v>4833</v>
      </c>
      <c r="B133" s="1" t="s">
        <v>5552</v>
      </c>
      <c r="C133" s="1" t="s">
        <v>5553</v>
      </c>
      <c r="D133" s="1" t="s">
        <v>12929</v>
      </c>
      <c r="E133" s="1">
        <v>0</v>
      </c>
      <c r="F133" s="1"/>
      <c r="G133" s="1" t="s">
        <v>12859</v>
      </c>
      <c r="H133" s="1" t="s">
        <v>7187</v>
      </c>
      <c r="I133" s="1" t="s">
        <v>4747</v>
      </c>
      <c r="J133" s="1"/>
      <c r="K133" s="1" t="s">
        <v>4864</v>
      </c>
      <c r="L133" s="1" t="s">
        <v>12930</v>
      </c>
      <c r="M133" s="1" t="s">
        <v>13244</v>
      </c>
      <c r="N133" s="1" t="s">
        <v>13245</v>
      </c>
      <c r="O133" s="1" t="s">
        <v>7226</v>
      </c>
      <c r="P133" s="1" t="s">
        <v>12863</v>
      </c>
      <c r="Q133" s="1"/>
      <c r="R133" s="1"/>
      <c r="S133" s="1"/>
      <c r="T133" s="1"/>
      <c r="U133" s="1"/>
      <c r="V133" s="1"/>
      <c r="W133" s="1"/>
      <c r="X133" s="1"/>
      <c r="Y133" s="1"/>
      <c r="Z133" s="1"/>
      <c r="AA133" s="1">
        <f t="shared" si="9"/>
        <v>0</v>
      </c>
      <c r="AB133" s="1" t="str">
        <f t="shared" si="8"/>
        <v>R2 retained</v>
      </c>
      <c r="AC133" s="1"/>
      <c r="AD133" s="1"/>
      <c r="AE133" s="1"/>
      <c r="AF133" s="1"/>
      <c r="AG133" s="1"/>
      <c r="AH133" s="1"/>
      <c r="AI133" s="1">
        <f t="shared" si="10"/>
        <v>0</v>
      </c>
      <c r="AJ133" s="5"/>
      <c r="AK133" s="5"/>
      <c r="AL133" s="7" t="s">
        <v>15077</v>
      </c>
    </row>
    <row r="134" spans="1:38" ht="36" customHeight="1">
      <c r="A134" s="1" t="s">
        <v>4833</v>
      </c>
      <c r="B134" s="1" t="s">
        <v>5557</v>
      </c>
      <c r="C134" s="1" t="s">
        <v>5558</v>
      </c>
      <c r="D134" s="1" t="s">
        <v>7229</v>
      </c>
      <c r="E134" s="1">
        <v>0</v>
      </c>
      <c r="F134" s="1"/>
      <c r="G134" s="1" t="s">
        <v>12859</v>
      </c>
      <c r="H134" s="1" t="s">
        <v>7187</v>
      </c>
      <c r="I134" s="1" t="s">
        <v>4747</v>
      </c>
      <c r="J134" s="1"/>
      <c r="K134" s="1"/>
      <c r="L134" s="1" t="s">
        <v>12860</v>
      </c>
      <c r="M134" s="1" t="s">
        <v>7231</v>
      </c>
      <c r="N134" s="1" t="s">
        <v>13246</v>
      </c>
      <c r="O134" s="1"/>
      <c r="P134" s="1" t="s">
        <v>12863</v>
      </c>
      <c r="Q134" s="1"/>
      <c r="R134" s="1"/>
      <c r="S134" s="1"/>
      <c r="T134" s="1"/>
      <c r="U134" s="1"/>
      <c r="V134" s="1"/>
      <c r="W134" s="1"/>
      <c r="X134" s="1"/>
      <c r="Y134" s="1"/>
      <c r="Z134" s="1"/>
      <c r="AA134" s="1">
        <f t="shared" si="9"/>
        <v>0</v>
      </c>
      <c r="AB134" s="1" t="str">
        <f t="shared" si="8"/>
        <v>R2 retained</v>
      </c>
      <c r="AC134" s="1"/>
      <c r="AD134" s="1"/>
      <c r="AE134" s="1"/>
      <c r="AF134" s="1"/>
      <c r="AG134" s="1"/>
      <c r="AH134" s="1"/>
      <c r="AI134" s="1">
        <f t="shared" si="10"/>
        <v>0</v>
      </c>
      <c r="AJ134" s="5"/>
      <c r="AK134" s="5"/>
      <c r="AL134" s="7" t="s">
        <v>15077</v>
      </c>
    </row>
    <row r="135" spans="1:38" ht="60" customHeight="1">
      <c r="A135" s="1" t="s">
        <v>4833</v>
      </c>
      <c r="B135" s="1" t="s">
        <v>5562</v>
      </c>
      <c r="C135" s="1" t="s">
        <v>5563</v>
      </c>
      <c r="D135" s="1" t="s">
        <v>5699</v>
      </c>
      <c r="E135" s="1">
        <v>0</v>
      </c>
      <c r="F135" s="1">
        <v>1</v>
      </c>
      <c r="G135" s="1" t="s">
        <v>4691</v>
      </c>
      <c r="H135" s="1" t="s">
        <v>7187</v>
      </c>
      <c r="I135" s="1" t="s">
        <v>4747</v>
      </c>
      <c r="J135" s="1"/>
      <c r="K135" s="1"/>
      <c r="L135" s="1" t="s">
        <v>12860</v>
      </c>
      <c r="M135" s="1" t="s">
        <v>7236</v>
      </c>
      <c r="N135" s="1" t="s">
        <v>13247</v>
      </c>
      <c r="O135" s="1" t="s">
        <v>13248</v>
      </c>
      <c r="P135" s="1" t="s">
        <v>12917</v>
      </c>
      <c r="Q135" s="1"/>
      <c r="R135" s="1"/>
      <c r="S135" s="1"/>
      <c r="T135" s="1"/>
      <c r="U135" s="1"/>
      <c r="V135" s="1"/>
      <c r="W135" s="1"/>
      <c r="X135" s="1"/>
      <c r="Y135" s="1" t="s">
        <v>5701</v>
      </c>
      <c r="Z135" s="1" t="s">
        <v>12918</v>
      </c>
      <c r="AA135" s="1">
        <f t="shared" si="9"/>
        <v>1</v>
      </c>
      <c r="AB135" s="1" t="str">
        <f t="shared" si="8"/>
        <v>Reviewer confirmed</v>
      </c>
      <c r="AC135" s="1">
        <v>1</v>
      </c>
      <c r="AD135" s="1" t="s">
        <v>12936</v>
      </c>
      <c r="AE135" s="1" t="s">
        <v>5701</v>
      </c>
      <c r="AF135" s="1" t="s">
        <v>5700</v>
      </c>
      <c r="AG135" s="1" t="s">
        <v>5702</v>
      </c>
      <c r="AH135" s="1" t="s">
        <v>5461</v>
      </c>
      <c r="AI135" s="1">
        <f t="shared" si="10"/>
        <v>1</v>
      </c>
      <c r="AJ135" s="5"/>
      <c r="AK135" s="5"/>
      <c r="AL135" s="7" t="s">
        <v>15077</v>
      </c>
    </row>
    <row r="136" spans="1:38" ht="36" customHeight="1">
      <c r="A136" s="1" t="s">
        <v>4833</v>
      </c>
      <c r="B136" s="1" t="s">
        <v>5567</v>
      </c>
      <c r="C136" s="1" t="s">
        <v>5568</v>
      </c>
      <c r="D136" s="1" t="s">
        <v>6307</v>
      </c>
      <c r="E136" s="1">
        <v>0</v>
      </c>
      <c r="F136" s="1"/>
      <c r="G136" s="1" t="s">
        <v>12859</v>
      </c>
      <c r="H136" s="1" t="s">
        <v>7187</v>
      </c>
      <c r="I136" s="1" t="s">
        <v>4747</v>
      </c>
      <c r="J136" s="1"/>
      <c r="K136" s="1"/>
      <c r="L136" s="1" t="s">
        <v>12860</v>
      </c>
      <c r="M136" s="1" t="s">
        <v>13249</v>
      </c>
      <c r="N136" s="1" t="s">
        <v>13250</v>
      </c>
      <c r="O136" s="1"/>
      <c r="P136" s="1" t="s">
        <v>12863</v>
      </c>
      <c r="Q136" s="1"/>
      <c r="R136" s="1"/>
      <c r="S136" s="1"/>
      <c r="T136" s="1"/>
      <c r="U136" s="1"/>
      <c r="V136" s="1"/>
      <c r="W136" s="1"/>
      <c r="X136" s="1"/>
      <c r="Y136" s="1"/>
      <c r="Z136" s="1"/>
      <c r="AA136" s="1">
        <f t="shared" si="9"/>
        <v>0</v>
      </c>
      <c r="AB136" s="1" t="str">
        <f t="shared" si="8"/>
        <v>R2 retained</v>
      </c>
      <c r="AC136" s="1"/>
      <c r="AD136" s="1"/>
      <c r="AE136" s="1"/>
      <c r="AF136" s="1"/>
      <c r="AG136" s="1"/>
      <c r="AH136" s="1"/>
      <c r="AI136" s="1">
        <f t="shared" si="10"/>
        <v>0</v>
      </c>
      <c r="AJ136" s="5"/>
      <c r="AK136" s="5"/>
      <c r="AL136" s="7" t="s">
        <v>15077</v>
      </c>
    </row>
    <row r="137" spans="1:38" ht="36" customHeight="1">
      <c r="A137" s="1" t="s">
        <v>4833</v>
      </c>
      <c r="B137" s="1" t="s">
        <v>5572</v>
      </c>
      <c r="C137" s="1" t="s">
        <v>5573</v>
      </c>
      <c r="D137" s="1" t="s">
        <v>4747</v>
      </c>
      <c r="E137" s="1">
        <v>0</v>
      </c>
      <c r="F137" s="1"/>
      <c r="G137" s="1" t="s">
        <v>12859</v>
      </c>
      <c r="H137" s="1" t="s">
        <v>7187</v>
      </c>
      <c r="I137" s="1" t="s">
        <v>4747</v>
      </c>
      <c r="J137" s="1"/>
      <c r="K137" s="1"/>
      <c r="L137" s="1" t="s">
        <v>12860</v>
      </c>
      <c r="M137" s="1" t="s">
        <v>13251</v>
      </c>
      <c r="N137" s="1" t="s">
        <v>13252</v>
      </c>
      <c r="O137" s="1"/>
      <c r="P137" s="1" t="s">
        <v>12863</v>
      </c>
      <c r="Q137" s="1"/>
      <c r="R137" s="1"/>
      <c r="S137" s="1"/>
      <c r="T137" s="1"/>
      <c r="U137" s="1"/>
      <c r="V137" s="1"/>
      <c r="W137" s="1"/>
      <c r="X137" s="1"/>
      <c r="Y137" s="1"/>
      <c r="Z137" s="1"/>
      <c r="AA137" s="1">
        <f t="shared" si="9"/>
        <v>0</v>
      </c>
      <c r="AB137" s="1" t="str">
        <f t="shared" si="8"/>
        <v>R2 retained</v>
      </c>
      <c r="AC137" s="1"/>
      <c r="AD137" s="1"/>
      <c r="AE137" s="1"/>
      <c r="AF137" s="1"/>
      <c r="AG137" s="1"/>
      <c r="AH137" s="1"/>
      <c r="AI137" s="1">
        <f t="shared" si="10"/>
        <v>0</v>
      </c>
      <c r="AJ137" s="5"/>
      <c r="AK137" s="5"/>
      <c r="AL137" s="7" t="s">
        <v>15077</v>
      </c>
    </row>
    <row r="138" spans="1:38" ht="36" customHeight="1">
      <c r="A138" s="1" t="s">
        <v>4833</v>
      </c>
      <c r="B138" s="1" t="s">
        <v>5577</v>
      </c>
      <c r="C138" s="1" t="s">
        <v>5578</v>
      </c>
      <c r="D138" s="1" t="s">
        <v>13253</v>
      </c>
      <c r="E138" s="1">
        <v>2</v>
      </c>
      <c r="F138" s="1"/>
      <c r="G138" s="1" t="s">
        <v>12859</v>
      </c>
      <c r="H138" s="1" t="s">
        <v>7187</v>
      </c>
      <c r="I138" s="1" t="s">
        <v>4862</v>
      </c>
      <c r="J138" s="1"/>
      <c r="K138" s="1"/>
      <c r="L138" s="1" t="s">
        <v>12860</v>
      </c>
      <c r="M138" s="1" t="s">
        <v>13254</v>
      </c>
      <c r="N138" s="1" t="s">
        <v>13255</v>
      </c>
      <c r="O138" s="1"/>
      <c r="P138" s="1" t="s">
        <v>12868</v>
      </c>
      <c r="Q138" s="1"/>
      <c r="R138" s="1"/>
      <c r="S138" s="1"/>
      <c r="T138" s="1"/>
      <c r="U138" s="1"/>
      <c r="V138" s="1"/>
      <c r="W138" s="1"/>
      <c r="X138" s="1"/>
      <c r="Y138" s="1"/>
      <c r="Z138" s="1"/>
      <c r="AA138" s="1">
        <f t="shared" si="9"/>
        <v>2</v>
      </c>
      <c r="AB138" s="1" t="str">
        <f t="shared" si="8"/>
        <v>R2 retained</v>
      </c>
      <c r="AC138" s="1"/>
      <c r="AD138" s="1"/>
      <c r="AE138" s="1"/>
      <c r="AF138" s="1"/>
      <c r="AG138" s="1"/>
      <c r="AH138" s="1"/>
      <c r="AI138" s="1">
        <f t="shared" si="10"/>
        <v>0</v>
      </c>
      <c r="AJ138" s="5"/>
      <c r="AK138" s="5"/>
      <c r="AL138" s="7" t="s">
        <v>15077</v>
      </c>
    </row>
    <row r="139" spans="1:38" ht="96" customHeight="1">
      <c r="A139" s="1" t="s">
        <v>4833</v>
      </c>
      <c r="B139" s="1" t="s">
        <v>5582</v>
      </c>
      <c r="C139" s="1" t="s">
        <v>5583</v>
      </c>
      <c r="D139" s="1" t="s">
        <v>4747</v>
      </c>
      <c r="E139" s="1">
        <v>0</v>
      </c>
      <c r="F139" s="1">
        <v>1</v>
      </c>
      <c r="G139" s="1" t="s">
        <v>4691</v>
      </c>
      <c r="H139" s="1" t="s">
        <v>7187</v>
      </c>
      <c r="I139" s="1" t="s">
        <v>4747</v>
      </c>
      <c r="J139" s="1"/>
      <c r="K139" s="1"/>
      <c r="L139" s="1" t="s">
        <v>12860</v>
      </c>
      <c r="M139" s="1" t="s">
        <v>7285</v>
      </c>
      <c r="N139" s="1" t="s">
        <v>13256</v>
      </c>
      <c r="O139" s="1" t="s">
        <v>13257</v>
      </c>
      <c r="P139" s="1" t="s">
        <v>12917</v>
      </c>
      <c r="Q139" s="1"/>
      <c r="R139" s="1"/>
      <c r="S139" s="1"/>
      <c r="T139" s="1"/>
      <c r="U139" s="1"/>
      <c r="V139" s="1"/>
      <c r="W139" s="1"/>
      <c r="X139" s="1"/>
      <c r="Y139" s="1" t="s">
        <v>5660</v>
      </c>
      <c r="Z139" s="1" t="s">
        <v>12918</v>
      </c>
      <c r="AA139" s="1">
        <f t="shared" si="9"/>
        <v>1</v>
      </c>
      <c r="AB139" s="1" t="str">
        <f>IF(OR(ISNUMBER(F139),F139="NA"),"Reviewer confirmed","Analyst proposed resolution")</f>
        <v>Reviewer confirmed</v>
      </c>
      <c r="AC139" s="1">
        <v>0</v>
      </c>
      <c r="AD139" s="1" t="s">
        <v>12919</v>
      </c>
      <c r="AE139" s="1" t="s">
        <v>5660</v>
      </c>
      <c r="AF139" s="1" t="s">
        <v>5659</v>
      </c>
      <c r="AG139" s="1" t="s">
        <v>5661</v>
      </c>
      <c r="AH139" s="1" t="s">
        <v>5461</v>
      </c>
      <c r="AI139" s="1">
        <f t="shared" si="10"/>
        <v>1</v>
      </c>
      <c r="AJ139" s="5" t="s">
        <v>12898</v>
      </c>
      <c r="AK139" s="5" t="s">
        <v>12899</v>
      </c>
      <c r="AL139" s="7" t="s">
        <v>15077</v>
      </c>
    </row>
    <row r="140" spans="1:38" ht="36" customHeight="1">
      <c r="A140" s="1" t="s">
        <v>4833</v>
      </c>
      <c r="B140" s="1" t="s">
        <v>5586</v>
      </c>
      <c r="C140" s="1" t="s">
        <v>5587</v>
      </c>
      <c r="D140" s="1" t="s">
        <v>13258</v>
      </c>
      <c r="E140" s="1">
        <v>0</v>
      </c>
      <c r="F140" s="1"/>
      <c r="G140" s="1" t="s">
        <v>12859</v>
      </c>
      <c r="H140" s="1" t="s">
        <v>7187</v>
      </c>
      <c r="I140" s="1" t="s">
        <v>4747</v>
      </c>
      <c r="J140" s="1"/>
      <c r="K140" s="1"/>
      <c r="L140" s="1" t="s">
        <v>12860</v>
      </c>
      <c r="M140" s="1" t="s">
        <v>13259</v>
      </c>
      <c r="N140" s="1" t="s">
        <v>13260</v>
      </c>
      <c r="O140" s="1"/>
      <c r="P140" s="1" t="s">
        <v>12863</v>
      </c>
      <c r="Q140" s="1"/>
      <c r="R140" s="1"/>
      <c r="S140" s="1"/>
      <c r="T140" s="1"/>
      <c r="U140" s="1"/>
      <c r="V140" s="1"/>
      <c r="W140" s="1"/>
      <c r="X140" s="1"/>
      <c r="Y140" s="1"/>
      <c r="Z140" s="1"/>
      <c r="AA140" s="1">
        <f t="shared" si="9"/>
        <v>0</v>
      </c>
      <c r="AB140" s="1" t="str">
        <f t="shared" ref="AB140:AB171" si="11">IF(OR(ISNUMBER(F140),F140="NA"),"Reviewer confirmed",IF(AD140="uncertain","Unresolved under clarified rule",IF(AND(OR(ISNUMBER(AC140),AC140="NA"),AC140&lt;&gt;E140),"Analyst scope correction","R2 retained")))</f>
        <v>R2 retained</v>
      </c>
      <c r="AC140" s="1"/>
      <c r="AD140" s="1"/>
      <c r="AE140" s="1"/>
      <c r="AF140" s="1"/>
      <c r="AG140" s="1"/>
      <c r="AH140" s="1"/>
      <c r="AI140" s="1">
        <f t="shared" si="10"/>
        <v>0</v>
      </c>
      <c r="AJ140" s="5"/>
      <c r="AK140" s="5"/>
      <c r="AL140" s="7" t="s">
        <v>15077</v>
      </c>
    </row>
    <row r="141" spans="1:38" ht="96" customHeight="1">
      <c r="A141" s="1" t="s">
        <v>4833</v>
      </c>
      <c r="B141" s="1" t="s">
        <v>5591</v>
      </c>
      <c r="C141" s="1" t="s">
        <v>5592</v>
      </c>
      <c r="D141" s="1" t="s">
        <v>13261</v>
      </c>
      <c r="E141" s="1">
        <v>1</v>
      </c>
      <c r="F141" s="1">
        <v>0</v>
      </c>
      <c r="G141" s="1" t="s">
        <v>12873</v>
      </c>
      <c r="H141" s="1" t="s">
        <v>7187</v>
      </c>
      <c r="I141" s="1"/>
      <c r="J141" s="1"/>
      <c r="K141" s="1"/>
      <c r="L141" s="1" t="s">
        <v>12860</v>
      </c>
      <c r="M141" s="1" t="s">
        <v>13262</v>
      </c>
      <c r="N141" s="1" t="s">
        <v>13263</v>
      </c>
      <c r="O141" s="1" t="s">
        <v>13264</v>
      </c>
      <c r="P141" s="1" t="s">
        <v>12876</v>
      </c>
      <c r="Q141" s="1">
        <v>0</v>
      </c>
      <c r="R141" s="1" t="s">
        <v>12877</v>
      </c>
      <c r="S141" s="1" t="s">
        <v>13265</v>
      </c>
      <c r="T141" s="1" t="s">
        <v>13266</v>
      </c>
      <c r="U141" s="1" t="s">
        <v>7192</v>
      </c>
      <c r="V141" s="1" t="s">
        <v>6096</v>
      </c>
      <c r="W141" s="1" t="s">
        <v>12880</v>
      </c>
      <c r="X141" s="1"/>
      <c r="Y141" s="1" t="s">
        <v>13267</v>
      </c>
      <c r="Z141" s="1" t="s">
        <v>12883</v>
      </c>
      <c r="AA141" s="1">
        <f t="shared" si="9"/>
        <v>0</v>
      </c>
      <c r="AB141" s="1" t="str">
        <f t="shared" si="11"/>
        <v>Reviewer confirmed</v>
      </c>
      <c r="AC141" s="1">
        <v>0</v>
      </c>
      <c r="AD141" s="1" t="s">
        <v>12936</v>
      </c>
      <c r="AE141" s="1" t="s">
        <v>13268</v>
      </c>
      <c r="AF141" s="1" t="s">
        <v>13266</v>
      </c>
      <c r="AG141" s="1" t="s">
        <v>7192</v>
      </c>
      <c r="AH141" s="1" t="s">
        <v>6096</v>
      </c>
      <c r="AI141" s="1">
        <f t="shared" si="10"/>
        <v>1</v>
      </c>
      <c r="AJ141" s="5" t="s">
        <v>12898</v>
      </c>
      <c r="AK141" s="5" t="s">
        <v>12899</v>
      </c>
      <c r="AL141" s="7" t="s">
        <v>15077</v>
      </c>
    </row>
    <row r="142" spans="1:38" ht="36" customHeight="1">
      <c r="A142" s="1" t="s">
        <v>4833</v>
      </c>
      <c r="B142" s="1" t="s">
        <v>5596</v>
      </c>
      <c r="C142" s="1" t="s">
        <v>5597</v>
      </c>
      <c r="D142" s="1" t="s">
        <v>4747</v>
      </c>
      <c r="E142" s="1">
        <v>0</v>
      </c>
      <c r="F142" s="1"/>
      <c r="G142" s="1" t="s">
        <v>12859</v>
      </c>
      <c r="H142" s="1" t="s">
        <v>7187</v>
      </c>
      <c r="I142" s="1" t="s">
        <v>4747</v>
      </c>
      <c r="J142" s="1"/>
      <c r="K142" s="1"/>
      <c r="L142" s="1" t="s">
        <v>12860</v>
      </c>
      <c r="M142" s="1" t="s">
        <v>13269</v>
      </c>
      <c r="N142" s="1" t="s">
        <v>13270</v>
      </c>
      <c r="O142" s="1"/>
      <c r="P142" s="1" t="s">
        <v>12863</v>
      </c>
      <c r="Q142" s="1"/>
      <c r="R142" s="1"/>
      <c r="S142" s="1"/>
      <c r="T142" s="1"/>
      <c r="U142" s="1"/>
      <c r="V142" s="1"/>
      <c r="W142" s="1"/>
      <c r="X142" s="1"/>
      <c r="Y142" s="1"/>
      <c r="Z142" s="1"/>
      <c r="AA142" s="1">
        <f t="shared" si="9"/>
        <v>0</v>
      </c>
      <c r="AB142" s="1" t="str">
        <f t="shared" si="11"/>
        <v>R2 retained</v>
      </c>
      <c r="AC142" s="1"/>
      <c r="AD142" s="1"/>
      <c r="AE142" s="1"/>
      <c r="AF142" s="1"/>
      <c r="AG142" s="1"/>
      <c r="AH142" s="1"/>
      <c r="AI142" s="1">
        <f t="shared" si="10"/>
        <v>0</v>
      </c>
      <c r="AJ142" s="5"/>
      <c r="AK142" s="5"/>
      <c r="AL142" s="7" t="s">
        <v>15077</v>
      </c>
    </row>
    <row r="143" spans="1:38" ht="36" customHeight="1">
      <c r="A143" s="1" t="s">
        <v>4833</v>
      </c>
      <c r="B143" s="1" t="s">
        <v>5601</v>
      </c>
      <c r="C143" s="1" t="s">
        <v>5602</v>
      </c>
      <c r="D143" s="1" t="s">
        <v>4747</v>
      </c>
      <c r="E143" s="1">
        <v>1</v>
      </c>
      <c r="F143" s="1"/>
      <c r="G143" s="1" t="s">
        <v>12859</v>
      </c>
      <c r="H143" s="1" t="s">
        <v>7187</v>
      </c>
      <c r="I143" s="1" t="s">
        <v>4862</v>
      </c>
      <c r="J143" s="1"/>
      <c r="K143" s="1"/>
      <c r="L143" s="1" t="s">
        <v>12860</v>
      </c>
      <c r="M143" s="1" t="s">
        <v>7306</v>
      </c>
      <c r="N143" s="1" t="s">
        <v>13271</v>
      </c>
      <c r="O143" s="1"/>
      <c r="P143" s="1" t="s">
        <v>12868</v>
      </c>
      <c r="Q143" s="1"/>
      <c r="R143" s="1"/>
      <c r="S143" s="1"/>
      <c r="T143" s="1"/>
      <c r="U143" s="1"/>
      <c r="V143" s="1"/>
      <c r="W143" s="1"/>
      <c r="X143" s="1"/>
      <c r="Y143" s="1"/>
      <c r="Z143" s="1"/>
      <c r="AA143" s="1">
        <f t="shared" si="9"/>
        <v>1</v>
      </c>
      <c r="AB143" s="1" t="str">
        <f t="shared" si="11"/>
        <v>R2 retained</v>
      </c>
      <c r="AC143" s="1"/>
      <c r="AD143" s="1"/>
      <c r="AE143" s="1"/>
      <c r="AF143" s="1"/>
      <c r="AG143" s="1"/>
      <c r="AH143" s="1"/>
      <c r="AI143" s="1">
        <f t="shared" si="10"/>
        <v>0</v>
      </c>
      <c r="AJ143" s="5"/>
      <c r="AK143" s="5"/>
      <c r="AL143" s="7" t="s">
        <v>15077</v>
      </c>
    </row>
    <row r="144" spans="1:38" ht="36" customHeight="1">
      <c r="A144" s="1" t="s">
        <v>4833</v>
      </c>
      <c r="B144" s="1" t="s">
        <v>5606</v>
      </c>
      <c r="C144" s="1" t="s">
        <v>5607</v>
      </c>
      <c r="D144" s="1" t="s">
        <v>4747</v>
      </c>
      <c r="E144" s="1">
        <v>0</v>
      </c>
      <c r="F144" s="1"/>
      <c r="G144" s="1" t="s">
        <v>12859</v>
      </c>
      <c r="H144" s="1" t="s">
        <v>7187</v>
      </c>
      <c r="I144" s="1" t="s">
        <v>4747</v>
      </c>
      <c r="J144" s="1"/>
      <c r="K144" s="1"/>
      <c r="L144" s="1" t="s">
        <v>12860</v>
      </c>
      <c r="M144" s="1" t="s">
        <v>7308</v>
      </c>
      <c r="N144" s="1" t="s">
        <v>13272</v>
      </c>
      <c r="O144" s="1"/>
      <c r="P144" s="1" t="s">
        <v>12863</v>
      </c>
      <c r="Q144" s="1"/>
      <c r="R144" s="1"/>
      <c r="S144" s="1"/>
      <c r="T144" s="1"/>
      <c r="U144" s="1"/>
      <c r="V144" s="1"/>
      <c r="W144" s="1"/>
      <c r="X144" s="1"/>
      <c r="Y144" s="1"/>
      <c r="Z144" s="1"/>
      <c r="AA144" s="1">
        <f t="shared" si="9"/>
        <v>0</v>
      </c>
      <c r="AB144" s="1" t="str">
        <f t="shared" si="11"/>
        <v>R2 retained</v>
      </c>
      <c r="AC144" s="1"/>
      <c r="AD144" s="1"/>
      <c r="AE144" s="1"/>
      <c r="AF144" s="1"/>
      <c r="AG144" s="1"/>
      <c r="AH144" s="1"/>
      <c r="AI144" s="1">
        <f t="shared" si="10"/>
        <v>0</v>
      </c>
      <c r="AJ144" s="5"/>
      <c r="AK144" s="5"/>
      <c r="AL144" s="7" t="s">
        <v>15077</v>
      </c>
    </row>
    <row r="145" spans="1:38" ht="48" customHeight="1">
      <c r="A145" s="1" t="s">
        <v>4833</v>
      </c>
      <c r="B145" s="1" t="s">
        <v>5454</v>
      </c>
      <c r="C145" s="1" t="s">
        <v>5455</v>
      </c>
      <c r="D145" s="1" t="s">
        <v>4747</v>
      </c>
      <c r="E145" s="1">
        <v>1</v>
      </c>
      <c r="F145" s="1">
        <v>0</v>
      </c>
      <c r="G145" s="1" t="s">
        <v>4691</v>
      </c>
      <c r="H145" s="1" t="s">
        <v>7187</v>
      </c>
      <c r="I145" s="1" t="s">
        <v>4959</v>
      </c>
      <c r="J145" s="1"/>
      <c r="K145" s="1"/>
      <c r="L145" s="1" t="s">
        <v>12860</v>
      </c>
      <c r="M145" s="1" t="s">
        <v>7311</v>
      </c>
      <c r="N145" s="1" t="s">
        <v>13273</v>
      </c>
      <c r="O145" s="1" t="s">
        <v>13274</v>
      </c>
      <c r="P145" s="1" t="s">
        <v>12917</v>
      </c>
      <c r="Q145" s="1"/>
      <c r="R145" s="1"/>
      <c r="S145" s="1"/>
      <c r="T145" s="1"/>
      <c r="U145" s="1"/>
      <c r="V145" s="1"/>
      <c r="W145" s="1"/>
      <c r="X145" s="1"/>
      <c r="Y145" s="1" t="s">
        <v>5704</v>
      </c>
      <c r="Z145" s="1" t="s">
        <v>12918</v>
      </c>
      <c r="AA145" s="1">
        <f t="shared" si="9"/>
        <v>0</v>
      </c>
      <c r="AB145" s="1" t="str">
        <f t="shared" si="11"/>
        <v>Reviewer confirmed</v>
      </c>
      <c r="AC145" s="1">
        <v>0</v>
      </c>
      <c r="AD145" s="1" t="s">
        <v>12936</v>
      </c>
      <c r="AE145" s="1" t="s">
        <v>5704</v>
      </c>
      <c r="AF145" s="1" t="s">
        <v>5703</v>
      </c>
      <c r="AG145" s="1" t="s">
        <v>5705</v>
      </c>
      <c r="AH145" s="1" t="s">
        <v>5461</v>
      </c>
      <c r="AI145" s="1">
        <f t="shared" si="10"/>
        <v>1</v>
      </c>
      <c r="AJ145" s="5" t="s">
        <v>12898</v>
      </c>
      <c r="AK145" s="5" t="s">
        <v>12899</v>
      </c>
      <c r="AL145" s="7" t="s">
        <v>15077</v>
      </c>
    </row>
    <row r="146" spans="1:38" ht="36" customHeight="1">
      <c r="A146" s="1" t="s">
        <v>4868</v>
      </c>
      <c r="B146" s="1" t="s">
        <v>5537</v>
      </c>
      <c r="C146" s="1" t="s">
        <v>5538</v>
      </c>
      <c r="D146" s="1" t="s">
        <v>4747</v>
      </c>
      <c r="E146" s="1">
        <v>0</v>
      </c>
      <c r="F146" s="1"/>
      <c r="G146" s="1" t="s">
        <v>12859</v>
      </c>
      <c r="H146" s="1" t="s">
        <v>7328</v>
      </c>
      <c r="I146" s="1" t="s">
        <v>4747</v>
      </c>
      <c r="J146" s="1"/>
      <c r="K146" s="1"/>
      <c r="L146" s="1" t="s">
        <v>12860</v>
      </c>
      <c r="M146" s="1" t="s">
        <v>13275</v>
      </c>
      <c r="N146" s="1" t="s">
        <v>13276</v>
      </c>
      <c r="O146" s="1"/>
      <c r="P146" s="1" t="s">
        <v>12863</v>
      </c>
      <c r="Q146" s="1"/>
      <c r="R146" s="1"/>
      <c r="S146" s="1"/>
      <c r="T146" s="1"/>
      <c r="U146" s="1"/>
      <c r="V146" s="1"/>
      <c r="W146" s="1"/>
      <c r="X146" s="1"/>
      <c r="Y146" s="1"/>
      <c r="Z146" s="1"/>
      <c r="AA146" s="1">
        <f t="shared" si="9"/>
        <v>0</v>
      </c>
      <c r="AB146" s="1" t="str">
        <f t="shared" si="11"/>
        <v>R2 retained</v>
      </c>
      <c r="AC146" s="1"/>
      <c r="AD146" s="1"/>
      <c r="AE146" s="1"/>
      <c r="AF146" s="1"/>
      <c r="AG146" s="1"/>
      <c r="AH146" s="1"/>
      <c r="AI146" s="1">
        <f t="shared" si="10"/>
        <v>0</v>
      </c>
      <c r="AJ146" s="5"/>
      <c r="AK146" s="5"/>
      <c r="AL146" s="7" t="s">
        <v>15077</v>
      </c>
    </row>
    <row r="147" spans="1:38" ht="36" customHeight="1">
      <c r="A147" s="1" t="s">
        <v>4868</v>
      </c>
      <c r="B147" s="1" t="s">
        <v>5542</v>
      </c>
      <c r="C147" s="1" t="s">
        <v>5543</v>
      </c>
      <c r="D147" s="1" t="s">
        <v>4747</v>
      </c>
      <c r="E147" s="1">
        <v>0</v>
      </c>
      <c r="F147" s="1"/>
      <c r="G147" s="1" t="s">
        <v>12859</v>
      </c>
      <c r="H147" s="1" t="s">
        <v>7328</v>
      </c>
      <c r="I147" s="1" t="s">
        <v>4747</v>
      </c>
      <c r="J147" s="1"/>
      <c r="K147" s="1"/>
      <c r="L147" s="1" t="s">
        <v>12860</v>
      </c>
      <c r="M147" s="1" t="s">
        <v>13277</v>
      </c>
      <c r="N147" s="1" t="s">
        <v>13278</v>
      </c>
      <c r="O147" s="1"/>
      <c r="P147" s="1" t="s">
        <v>12863</v>
      </c>
      <c r="Q147" s="1"/>
      <c r="R147" s="1"/>
      <c r="S147" s="1"/>
      <c r="T147" s="1"/>
      <c r="U147" s="1"/>
      <c r="V147" s="1"/>
      <c r="W147" s="1"/>
      <c r="X147" s="1"/>
      <c r="Y147" s="1"/>
      <c r="Z147" s="1"/>
      <c r="AA147" s="1">
        <f t="shared" si="9"/>
        <v>0</v>
      </c>
      <c r="AB147" s="1" t="str">
        <f t="shared" si="11"/>
        <v>R2 retained</v>
      </c>
      <c r="AC147" s="1"/>
      <c r="AD147" s="1"/>
      <c r="AE147" s="1"/>
      <c r="AF147" s="1"/>
      <c r="AG147" s="1"/>
      <c r="AH147" s="1"/>
      <c r="AI147" s="1">
        <f t="shared" si="10"/>
        <v>0</v>
      </c>
      <c r="AJ147" s="5"/>
      <c r="AK147" s="5"/>
      <c r="AL147" s="7" t="s">
        <v>15077</v>
      </c>
    </row>
    <row r="148" spans="1:38" ht="36" customHeight="1">
      <c r="A148" s="1" t="s">
        <v>4868</v>
      </c>
      <c r="B148" s="1" t="s">
        <v>5547</v>
      </c>
      <c r="C148" s="1" t="s">
        <v>5548</v>
      </c>
      <c r="D148" s="1" t="s">
        <v>4747</v>
      </c>
      <c r="E148" s="1">
        <v>1</v>
      </c>
      <c r="F148" s="1"/>
      <c r="G148" s="1" t="s">
        <v>12859</v>
      </c>
      <c r="H148" s="1" t="s">
        <v>7328</v>
      </c>
      <c r="I148" s="1" t="s">
        <v>4878</v>
      </c>
      <c r="J148" s="1"/>
      <c r="K148" s="1"/>
      <c r="L148" s="1" t="s">
        <v>12860</v>
      </c>
      <c r="M148" s="1" t="s">
        <v>13279</v>
      </c>
      <c r="N148" s="1" t="s">
        <v>13280</v>
      </c>
      <c r="O148" s="1"/>
      <c r="P148" s="1" t="s">
        <v>12868</v>
      </c>
      <c r="Q148" s="1"/>
      <c r="R148" s="1"/>
      <c r="S148" s="1"/>
      <c r="T148" s="1"/>
      <c r="U148" s="1"/>
      <c r="V148" s="1"/>
      <c r="W148" s="1"/>
      <c r="X148" s="1"/>
      <c r="Y148" s="1"/>
      <c r="Z148" s="1"/>
      <c r="AA148" s="1">
        <f t="shared" si="9"/>
        <v>1</v>
      </c>
      <c r="AB148" s="1" t="str">
        <f t="shared" si="11"/>
        <v>R2 retained</v>
      </c>
      <c r="AC148" s="1"/>
      <c r="AD148" s="1"/>
      <c r="AE148" s="1"/>
      <c r="AF148" s="1"/>
      <c r="AG148" s="1"/>
      <c r="AH148" s="1"/>
      <c r="AI148" s="1">
        <f t="shared" si="10"/>
        <v>0</v>
      </c>
      <c r="AJ148" s="5"/>
      <c r="AK148" s="5"/>
      <c r="AL148" s="7" t="s">
        <v>15077</v>
      </c>
    </row>
    <row r="149" spans="1:38" ht="36" customHeight="1">
      <c r="A149" s="1" t="s">
        <v>4868</v>
      </c>
      <c r="B149" s="1" t="s">
        <v>5552</v>
      </c>
      <c r="C149" s="1" t="s">
        <v>5553</v>
      </c>
      <c r="D149" s="1" t="s">
        <v>12929</v>
      </c>
      <c r="E149" s="1">
        <v>0</v>
      </c>
      <c r="F149" s="1"/>
      <c r="G149" s="1" t="s">
        <v>12859</v>
      </c>
      <c r="H149" s="1" t="s">
        <v>7328</v>
      </c>
      <c r="I149" s="1" t="s">
        <v>4747</v>
      </c>
      <c r="J149" s="1"/>
      <c r="K149" s="1" t="s">
        <v>4906</v>
      </c>
      <c r="L149" s="1" t="s">
        <v>12930</v>
      </c>
      <c r="M149" s="1" t="s">
        <v>13281</v>
      </c>
      <c r="N149" s="1" t="s">
        <v>13282</v>
      </c>
      <c r="O149" s="1" t="s">
        <v>7365</v>
      </c>
      <c r="P149" s="1" t="s">
        <v>12863</v>
      </c>
      <c r="Q149" s="1"/>
      <c r="R149" s="1"/>
      <c r="S149" s="1"/>
      <c r="T149" s="1"/>
      <c r="U149" s="1"/>
      <c r="V149" s="1"/>
      <c r="W149" s="1"/>
      <c r="X149" s="1"/>
      <c r="Y149" s="1"/>
      <c r="Z149" s="1"/>
      <c r="AA149" s="1">
        <f t="shared" si="9"/>
        <v>0</v>
      </c>
      <c r="AB149" s="1" t="str">
        <f t="shared" si="11"/>
        <v>R2 retained</v>
      </c>
      <c r="AC149" s="1"/>
      <c r="AD149" s="1"/>
      <c r="AE149" s="1"/>
      <c r="AF149" s="1"/>
      <c r="AG149" s="1"/>
      <c r="AH149" s="1"/>
      <c r="AI149" s="1">
        <f t="shared" si="10"/>
        <v>0</v>
      </c>
      <c r="AJ149" s="5"/>
      <c r="AK149" s="5"/>
      <c r="AL149" s="7" t="s">
        <v>15077</v>
      </c>
    </row>
    <row r="150" spans="1:38" ht="36" customHeight="1">
      <c r="A150" s="1" t="s">
        <v>4868</v>
      </c>
      <c r="B150" s="1" t="s">
        <v>5557</v>
      </c>
      <c r="C150" s="1" t="s">
        <v>5558</v>
      </c>
      <c r="D150" s="1" t="s">
        <v>7368</v>
      </c>
      <c r="E150" s="1">
        <v>0</v>
      </c>
      <c r="F150" s="1"/>
      <c r="G150" s="1" t="s">
        <v>12859</v>
      </c>
      <c r="H150" s="1" t="s">
        <v>7328</v>
      </c>
      <c r="I150" s="1" t="s">
        <v>4747</v>
      </c>
      <c r="J150" s="1"/>
      <c r="K150" s="1"/>
      <c r="L150" s="1" t="s">
        <v>12860</v>
      </c>
      <c r="M150" s="1" t="s">
        <v>7370</v>
      </c>
      <c r="N150" s="1" t="s">
        <v>13283</v>
      </c>
      <c r="O150" s="1"/>
      <c r="P150" s="1" t="s">
        <v>12863</v>
      </c>
      <c r="Q150" s="1"/>
      <c r="R150" s="1"/>
      <c r="S150" s="1"/>
      <c r="T150" s="1"/>
      <c r="U150" s="1"/>
      <c r="V150" s="1"/>
      <c r="W150" s="1"/>
      <c r="X150" s="1"/>
      <c r="Y150" s="1"/>
      <c r="Z150" s="1"/>
      <c r="AA150" s="1">
        <f t="shared" si="9"/>
        <v>0</v>
      </c>
      <c r="AB150" s="1" t="str">
        <f t="shared" si="11"/>
        <v>R2 retained</v>
      </c>
      <c r="AC150" s="1"/>
      <c r="AD150" s="1"/>
      <c r="AE150" s="1"/>
      <c r="AF150" s="1"/>
      <c r="AG150" s="1"/>
      <c r="AH150" s="1"/>
      <c r="AI150" s="1">
        <f t="shared" si="10"/>
        <v>0</v>
      </c>
      <c r="AJ150" s="5"/>
      <c r="AK150" s="5"/>
      <c r="AL150" s="7" t="s">
        <v>15077</v>
      </c>
    </row>
    <row r="151" spans="1:38" ht="72" customHeight="1">
      <c r="A151" s="1" t="s">
        <v>4868</v>
      </c>
      <c r="B151" s="1" t="s">
        <v>5562</v>
      </c>
      <c r="C151" s="1" t="s">
        <v>5563</v>
      </c>
      <c r="D151" s="1" t="s">
        <v>5706</v>
      </c>
      <c r="E151" s="1">
        <v>0</v>
      </c>
      <c r="F151" s="1">
        <v>1</v>
      </c>
      <c r="G151" s="1" t="s">
        <v>4691</v>
      </c>
      <c r="H151" s="1" t="s">
        <v>7328</v>
      </c>
      <c r="I151" s="1" t="s">
        <v>4747</v>
      </c>
      <c r="J151" s="1"/>
      <c r="K151" s="1"/>
      <c r="L151" s="1" t="s">
        <v>12860</v>
      </c>
      <c r="M151" s="1" t="s">
        <v>7375</v>
      </c>
      <c r="N151" s="1" t="s">
        <v>13284</v>
      </c>
      <c r="O151" s="1" t="s">
        <v>13285</v>
      </c>
      <c r="P151" s="1" t="s">
        <v>12917</v>
      </c>
      <c r="Q151" s="1"/>
      <c r="R151" s="1"/>
      <c r="S151" s="1"/>
      <c r="T151" s="1"/>
      <c r="U151" s="1"/>
      <c r="V151" s="1"/>
      <c r="W151" s="1"/>
      <c r="X151" s="1"/>
      <c r="Y151" s="1" t="s">
        <v>5708</v>
      </c>
      <c r="Z151" s="1" t="s">
        <v>12918</v>
      </c>
      <c r="AA151" s="1">
        <f t="shared" si="9"/>
        <v>1</v>
      </c>
      <c r="AB151" s="1" t="str">
        <f t="shared" si="11"/>
        <v>Reviewer confirmed</v>
      </c>
      <c r="AC151" s="1">
        <v>1</v>
      </c>
      <c r="AD151" s="1" t="s">
        <v>12936</v>
      </c>
      <c r="AE151" s="1" t="s">
        <v>5708</v>
      </c>
      <c r="AF151" s="1" t="s">
        <v>5707</v>
      </c>
      <c r="AG151" s="1" t="s">
        <v>5709</v>
      </c>
      <c r="AH151" s="1" t="s">
        <v>5461</v>
      </c>
      <c r="AI151" s="1">
        <f t="shared" si="10"/>
        <v>1</v>
      </c>
      <c r="AJ151" s="5"/>
      <c r="AK151" s="5"/>
      <c r="AL151" s="7" t="s">
        <v>15077</v>
      </c>
    </row>
    <row r="152" spans="1:38" ht="36" customHeight="1">
      <c r="A152" s="1" t="s">
        <v>4868</v>
      </c>
      <c r="B152" s="1" t="s">
        <v>5567</v>
      </c>
      <c r="C152" s="1" t="s">
        <v>5568</v>
      </c>
      <c r="D152" s="1" t="s">
        <v>13286</v>
      </c>
      <c r="E152" s="1">
        <v>0</v>
      </c>
      <c r="F152" s="1"/>
      <c r="G152" s="1" t="s">
        <v>12859</v>
      </c>
      <c r="H152" s="1" t="s">
        <v>7328</v>
      </c>
      <c r="I152" s="1" t="s">
        <v>4747</v>
      </c>
      <c r="J152" s="1"/>
      <c r="K152" s="1"/>
      <c r="L152" s="1" t="s">
        <v>12860</v>
      </c>
      <c r="M152" s="1" t="s">
        <v>13287</v>
      </c>
      <c r="N152" s="1" t="s">
        <v>13288</v>
      </c>
      <c r="O152" s="1"/>
      <c r="P152" s="1" t="s">
        <v>12863</v>
      </c>
      <c r="Q152" s="1"/>
      <c r="R152" s="1"/>
      <c r="S152" s="1"/>
      <c r="T152" s="1"/>
      <c r="U152" s="1"/>
      <c r="V152" s="1"/>
      <c r="W152" s="1"/>
      <c r="X152" s="1"/>
      <c r="Y152" s="1"/>
      <c r="Z152" s="1"/>
      <c r="AA152" s="1">
        <f t="shared" si="9"/>
        <v>0</v>
      </c>
      <c r="AB152" s="1" t="str">
        <f t="shared" si="11"/>
        <v>R2 retained</v>
      </c>
      <c r="AC152" s="1"/>
      <c r="AD152" s="1"/>
      <c r="AE152" s="1"/>
      <c r="AF152" s="1"/>
      <c r="AG152" s="1"/>
      <c r="AH152" s="1"/>
      <c r="AI152" s="1">
        <f t="shared" si="10"/>
        <v>0</v>
      </c>
      <c r="AJ152" s="5"/>
      <c r="AK152" s="5"/>
      <c r="AL152" s="7" t="s">
        <v>15077</v>
      </c>
    </row>
    <row r="153" spans="1:38" ht="36" customHeight="1">
      <c r="A153" s="1" t="s">
        <v>4868</v>
      </c>
      <c r="B153" s="1" t="s">
        <v>5572</v>
      </c>
      <c r="C153" s="1" t="s">
        <v>5573</v>
      </c>
      <c r="D153" s="1" t="s">
        <v>13289</v>
      </c>
      <c r="E153" s="1">
        <v>0</v>
      </c>
      <c r="F153" s="1"/>
      <c r="G153" s="1" t="s">
        <v>12859</v>
      </c>
      <c r="H153" s="1" t="s">
        <v>7328</v>
      </c>
      <c r="I153" s="1" t="s">
        <v>4747</v>
      </c>
      <c r="J153" s="1"/>
      <c r="K153" s="1"/>
      <c r="L153" s="1" t="s">
        <v>12860</v>
      </c>
      <c r="M153" s="1" t="s">
        <v>13290</v>
      </c>
      <c r="N153" s="1" t="s">
        <v>13291</v>
      </c>
      <c r="O153" s="1"/>
      <c r="P153" s="1" t="s">
        <v>12863</v>
      </c>
      <c r="Q153" s="1"/>
      <c r="R153" s="1"/>
      <c r="S153" s="1"/>
      <c r="T153" s="1"/>
      <c r="U153" s="1"/>
      <c r="V153" s="1"/>
      <c r="W153" s="1"/>
      <c r="X153" s="1"/>
      <c r="Y153" s="1"/>
      <c r="Z153" s="1"/>
      <c r="AA153" s="1">
        <f t="shared" si="9"/>
        <v>0</v>
      </c>
      <c r="AB153" s="1" t="str">
        <f t="shared" si="11"/>
        <v>R2 retained</v>
      </c>
      <c r="AC153" s="1"/>
      <c r="AD153" s="1"/>
      <c r="AE153" s="1"/>
      <c r="AF153" s="1"/>
      <c r="AG153" s="1"/>
      <c r="AH153" s="1"/>
      <c r="AI153" s="1">
        <f t="shared" si="10"/>
        <v>0</v>
      </c>
      <c r="AJ153" s="5"/>
      <c r="AK153" s="5"/>
      <c r="AL153" s="7" t="s">
        <v>15077</v>
      </c>
    </row>
    <row r="154" spans="1:38" ht="36" customHeight="1">
      <c r="A154" s="1" t="s">
        <v>4868</v>
      </c>
      <c r="B154" s="1" t="s">
        <v>5577</v>
      </c>
      <c r="C154" s="1" t="s">
        <v>5578</v>
      </c>
      <c r="D154" s="1" t="s">
        <v>13292</v>
      </c>
      <c r="E154" s="1">
        <v>2</v>
      </c>
      <c r="F154" s="1"/>
      <c r="G154" s="1" t="s">
        <v>12859</v>
      </c>
      <c r="H154" s="1" t="s">
        <v>7328</v>
      </c>
      <c r="I154" s="1" t="s">
        <v>4862</v>
      </c>
      <c r="J154" s="1"/>
      <c r="K154" s="1"/>
      <c r="L154" s="1" t="s">
        <v>12860</v>
      </c>
      <c r="M154" s="1" t="s">
        <v>13293</v>
      </c>
      <c r="N154" s="1" t="s">
        <v>13294</v>
      </c>
      <c r="O154" s="1"/>
      <c r="P154" s="1" t="s">
        <v>12868</v>
      </c>
      <c r="Q154" s="1"/>
      <c r="R154" s="1"/>
      <c r="S154" s="1"/>
      <c r="T154" s="1"/>
      <c r="U154" s="1"/>
      <c r="V154" s="1"/>
      <c r="W154" s="1"/>
      <c r="X154" s="1"/>
      <c r="Y154" s="1"/>
      <c r="Z154" s="1"/>
      <c r="AA154" s="1">
        <f t="shared" si="9"/>
        <v>2</v>
      </c>
      <c r="AB154" s="1" t="str">
        <f t="shared" si="11"/>
        <v>R2 retained</v>
      </c>
      <c r="AC154" s="1"/>
      <c r="AD154" s="1"/>
      <c r="AE154" s="1"/>
      <c r="AF154" s="1"/>
      <c r="AG154" s="1"/>
      <c r="AH154" s="1"/>
      <c r="AI154" s="1">
        <f t="shared" si="10"/>
        <v>0</v>
      </c>
      <c r="AJ154" s="5"/>
      <c r="AK154" s="5"/>
      <c r="AL154" s="7" t="s">
        <v>15077</v>
      </c>
    </row>
    <row r="155" spans="1:38" ht="36" customHeight="1">
      <c r="A155" s="1" t="s">
        <v>4868</v>
      </c>
      <c r="B155" s="1" t="s">
        <v>5582</v>
      </c>
      <c r="C155" s="1" t="s">
        <v>5583</v>
      </c>
      <c r="D155" s="1" t="s">
        <v>7428</v>
      </c>
      <c r="E155" s="1">
        <v>0</v>
      </c>
      <c r="F155" s="1"/>
      <c r="G155" s="1" t="s">
        <v>12859</v>
      </c>
      <c r="H155" s="1" t="s">
        <v>7328</v>
      </c>
      <c r="I155" s="1" t="s">
        <v>4747</v>
      </c>
      <c r="J155" s="1"/>
      <c r="K155" s="1"/>
      <c r="L155" s="1" t="s">
        <v>12860</v>
      </c>
      <c r="M155" s="1" t="s">
        <v>7430</v>
      </c>
      <c r="N155" s="1" t="s">
        <v>13295</v>
      </c>
      <c r="O155" s="1"/>
      <c r="P155" s="1" t="s">
        <v>12863</v>
      </c>
      <c r="Q155" s="1"/>
      <c r="R155" s="1"/>
      <c r="S155" s="1"/>
      <c r="T155" s="1"/>
      <c r="U155" s="1"/>
      <c r="V155" s="1"/>
      <c r="W155" s="1"/>
      <c r="X155" s="1"/>
      <c r="Y155" s="1"/>
      <c r="Z155" s="1"/>
      <c r="AA155" s="1">
        <f t="shared" si="9"/>
        <v>0</v>
      </c>
      <c r="AB155" s="1" t="str">
        <f t="shared" si="11"/>
        <v>R2 retained</v>
      </c>
      <c r="AC155" s="1">
        <v>0</v>
      </c>
      <c r="AD155" s="1" t="s">
        <v>12884</v>
      </c>
      <c r="AE155" s="1" t="s">
        <v>13296</v>
      </c>
      <c r="AF155" s="1" t="s">
        <v>13297</v>
      </c>
      <c r="AG155" s="1" t="s">
        <v>7333</v>
      </c>
      <c r="AH155" s="1" t="s">
        <v>6096</v>
      </c>
      <c r="AI155" s="1">
        <f t="shared" si="10"/>
        <v>1</v>
      </c>
      <c r="AJ155" s="5" t="s">
        <v>12898</v>
      </c>
      <c r="AK155" s="5" t="s">
        <v>12899</v>
      </c>
      <c r="AL155" s="7" t="s">
        <v>15077</v>
      </c>
    </row>
    <row r="156" spans="1:38" ht="36" customHeight="1">
      <c r="A156" s="1" t="s">
        <v>4868</v>
      </c>
      <c r="B156" s="1" t="s">
        <v>5586</v>
      </c>
      <c r="C156" s="1" t="s">
        <v>5587</v>
      </c>
      <c r="D156" s="1" t="s">
        <v>13298</v>
      </c>
      <c r="E156" s="1">
        <v>0</v>
      </c>
      <c r="F156" s="1"/>
      <c r="G156" s="1" t="s">
        <v>12859</v>
      </c>
      <c r="H156" s="1" t="s">
        <v>7328</v>
      </c>
      <c r="I156" s="1" t="s">
        <v>4747</v>
      </c>
      <c r="J156" s="1"/>
      <c r="K156" s="1"/>
      <c r="L156" s="1" t="s">
        <v>12860</v>
      </c>
      <c r="M156" s="1" t="s">
        <v>13299</v>
      </c>
      <c r="N156" s="1" t="s">
        <v>13300</v>
      </c>
      <c r="O156" s="1"/>
      <c r="P156" s="1" t="s">
        <v>12863</v>
      </c>
      <c r="Q156" s="1"/>
      <c r="R156" s="1"/>
      <c r="S156" s="1"/>
      <c r="T156" s="1"/>
      <c r="U156" s="1"/>
      <c r="V156" s="1"/>
      <c r="W156" s="1"/>
      <c r="X156" s="1"/>
      <c r="Y156" s="1"/>
      <c r="Z156" s="1"/>
      <c r="AA156" s="1">
        <f t="shared" si="9"/>
        <v>0</v>
      </c>
      <c r="AB156" s="1" t="str">
        <f t="shared" si="11"/>
        <v>R2 retained</v>
      </c>
      <c r="AC156" s="1"/>
      <c r="AD156" s="1"/>
      <c r="AE156" s="1"/>
      <c r="AF156" s="1"/>
      <c r="AG156" s="1"/>
      <c r="AH156" s="1"/>
      <c r="AI156" s="1">
        <f t="shared" si="10"/>
        <v>0</v>
      </c>
      <c r="AJ156" s="5"/>
      <c r="AK156" s="5"/>
      <c r="AL156" s="7" t="s">
        <v>15077</v>
      </c>
    </row>
    <row r="157" spans="1:38" ht="108" customHeight="1">
      <c r="A157" s="1" t="s">
        <v>4868</v>
      </c>
      <c r="B157" s="1" t="s">
        <v>5591</v>
      </c>
      <c r="C157" s="1" t="s">
        <v>5592</v>
      </c>
      <c r="D157" s="1" t="s">
        <v>13301</v>
      </c>
      <c r="E157" s="1">
        <v>1</v>
      </c>
      <c r="F157" s="1">
        <v>0</v>
      </c>
      <c r="G157" s="1" t="s">
        <v>12873</v>
      </c>
      <c r="H157" s="1" t="s">
        <v>7328</v>
      </c>
      <c r="I157" s="1"/>
      <c r="J157" s="1"/>
      <c r="K157" s="1"/>
      <c r="L157" s="1" t="s">
        <v>12860</v>
      </c>
      <c r="M157" s="1" t="s">
        <v>13302</v>
      </c>
      <c r="N157" s="1" t="s">
        <v>13303</v>
      </c>
      <c r="O157" s="1" t="s">
        <v>13304</v>
      </c>
      <c r="P157" s="1" t="s">
        <v>12876</v>
      </c>
      <c r="Q157" s="1">
        <v>0</v>
      </c>
      <c r="R157" s="1" t="s">
        <v>12877</v>
      </c>
      <c r="S157" s="1" t="s">
        <v>13305</v>
      </c>
      <c r="T157" s="1" t="s">
        <v>13306</v>
      </c>
      <c r="U157" s="1" t="s">
        <v>7393</v>
      </c>
      <c r="V157" s="1" t="s">
        <v>6096</v>
      </c>
      <c r="W157" s="1" t="s">
        <v>12880</v>
      </c>
      <c r="X157" s="1"/>
      <c r="Y157" s="1" t="s">
        <v>13307</v>
      </c>
      <c r="Z157" s="1" t="s">
        <v>12883</v>
      </c>
      <c r="AA157" s="1">
        <f t="shared" si="9"/>
        <v>0</v>
      </c>
      <c r="AB157" s="1" t="str">
        <f t="shared" si="11"/>
        <v>Reviewer confirmed</v>
      </c>
      <c r="AC157" s="1">
        <v>0</v>
      </c>
      <c r="AD157" s="1" t="s">
        <v>12936</v>
      </c>
      <c r="AE157" s="1" t="s">
        <v>13308</v>
      </c>
      <c r="AF157" s="1" t="s">
        <v>13306</v>
      </c>
      <c r="AG157" s="1" t="s">
        <v>7333</v>
      </c>
      <c r="AH157" s="1" t="s">
        <v>6096</v>
      </c>
      <c r="AI157" s="1">
        <f t="shared" si="10"/>
        <v>1</v>
      </c>
      <c r="AJ157" s="5" t="s">
        <v>12898</v>
      </c>
      <c r="AK157" s="5" t="s">
        <v>12899</v>
      </c>
      <c r="AL157" s="7" t="s">
        <v>15077</v>
      </c>
    </row>
    <row r="158" spans="1:38" ht="36" customHeight="1">
      <c r="A158" s="1" t="s">
        <v>4868</v>
      </c>
      <c r="B158" s="1" t="s">
        <v>5596</v>
      </c>
      <c r="C158" s="1" t="s">
        <v>5597</v>
      </c>
      <c r="D158" s="1" t="s">
        <v>4747</v>
      </c>
      <c r="E158" s="1">
        <v>0</v>
      </c>
      <c r="F158" s="1"/>
      <c r="G158" s="1" t="s">
        <v>12859</v>
      </c>
      <c r="H158" s="1" t="s">
        <v>7328</v>
      </c>
      <c r="I158" s="1" t="s">
        <v>4747</v>
      </c>
      <c r="J158" s="1"/>
      <c r="K158" s="1"/>
      <c r="L158" s="1" t="s">
        <v>12860</v>
      </c>
      <c r="M158" s="1" t="s">
        <v>13309</v>
      </c>
      <c r="N158" s="1" t="s">
        <v>13310</v>
      </c>
      <c r="O158" s="1"/>
      <c r="P158" s="1" t="s">
        <v>12863</v>
      </c>
      <c r="Q158" s="1"/>
      <c r="R158" s="1"/>
      <c r="S158" s="1"/>
      <c r="T158" s="1"/>
      <c r="U158" s="1"/>
      <c r="V158" s="1"/>
      <c r="W158" s="1"/>
      <c r="X158" s="1"/>
      <c r="Y158" s="1"/>
      <c r="Z158" s="1"/>
      <c r="AA158" s="1">
        <f t="shared" si="9"/>
        <v>0</v>
      </c>
      <c r="AB158" s="1" t="str">
        <f t="shared" si="11"/>
        <v>R2 retained</v>
      </c>
      <c r="AC158" s="1"/>
      <c r="AD158" s="1"/>
      <c r="AE158" s="1"/>
      <c r="AF158" s="1"/>
      <c r="AG158" s="1"/>
      <c r="AH158" s="1"/>
      <c r="AI158" s="1">
        <f t="shared" si="10"/>
        <v>0</v>
      </c>
      <c r="AJ158" s="5"/>
      <c r="AK158" s="5"/>
      <c r="AL158" s="7" t="s">
        <v>15077</v>
      </c>
    </row>
    <row r="159" spans="1:38" ht="36" customHeight="1">
      <c r="A159" s="1" t="s">
        <v>4868</v>
      </c>
      <c r="B159" s="1" t="s">
        <v>5601</v>
      </c>
      <c r="C159" s="1" t="s">
        <v>5602</v>
      </c>
      <c r="D159" s="1" t="s">
        <v>4747</v>
      </c>
      <c r="E159" s="1">
        <v>1</v>
      </c>
      <c r="F159" s="1"/>
      <c r="G159" s="1" t="s">
        <v>12859</v>
      </c>
      <c r="H159" s="1" t="s">
        <v>7328</v>
      </c>
      <c r="I159" s="1"/>
      <c r="J159" s="1"/>
      <c r="K159" s="1"/>
      <c r="L159" s="1" t="s">
        <v>12860</v>
      </c>
      <c r="M159" s="1" t="s">
        <v>7457</v>
      </c>
      <c r="N159" s="1" t="s">
        <v>13311</v>
      </c>
      <c r="O159" s="1"/>
      <c r="P159" s="1" t="s">
        <v>12876</v>
      </c>
      <c r="Q159" s="1">
        <v>1</v>
      </c>
      <c r="R159" s="1" t="s">
        <v>12981</v>
      </c>
      <c r="S159" s="1" t="s">
        <v>13312</v>
      </c>
      <c r="T159" s="1" t="s">
        <v>13313</v>
      </c>
      <c r="U159" s="1" t="s">
        <v>7393</v>
      </c>
      <c r="V159" s="1" t="s">
        <v>6096</v>
      </c>
      <c r="W159" s="1"/>
      <c r="X159" s="1"/>
      <c r="Y159" s="1"/>
      <c r="Z159" s="1" t="s">
        <v>12908</v>
      </c>
      <c r="AA159" s="1">
        <f t="shared" si="9"/>
        <v>1</v>
      </c>
      <c r="AB159" s="1" t="str">
        <f t="shared" si="11"/>
        <v>R2 retained</v>
      </c>
      <c r="AC159" s="1"/>
      <c r="AD159" s="1"/>
      <c r="AE159" s="1"/>
      <c r="AF159" s="1"/>
      <c r="AG159" s="1"/>
      <c r="AH159" s="1"/>
      <c r="AI159" s="1">
        <f t="shared" si="10"/>
        <v>1</v>
      </c>
      <c r="AJ159" s="5"/>
      <c r="AK159" s="5"/>
      <c r="AL159" s="7" t="s">
        <v>15077</v>
      </c>
    </row>
    <row r="160" spans="1:38" ht="36" customHeight="1">
      <c r="A160" s="1" t="s">
        <v>4868</v>
      </c>
      <c r="B160" s="1" t="s">
        <v>5606</v>
      </c>
      <c r="C160" s="1" t="s">
        <v>5607</v>
      </c>
      <c r="D160" s="1" t="s">
        <v>7459</v>
      </c>
      <c r="E160" s="1">
        <v>2</v>
      </c>
      <c r="F160" s="1"/>
      <c r="G160" s="1" t="s">
        <v>12859</v>
      </c>
      <c r="H160" s="1" t="s">
        <v>7328</v>
      </c>
      <c r="I160" s="1" t="s">
        <v>4886</v>
      </c>
      <c r="J160" s="1"/>
      <c r="K160" s="1"/>
      <c r="L160" s="1" t="s">
        <v>12860</v>
      </c>
      <c r="M160" s="1" t="s">
        <v>7461</v>
      </c>
      <c r="N160" s="1" t="s">
        <v>13314</v>
      </c>
      <c r="O160" s="1"/>
      <c r="P160" s="1" t="s">
        <v>12868</v>
      </c>
      <c r="Q160" s="1"/>
      <c r="R160" s="1"/>
      <c r="S160" s="1"/>
      <c r="T160" s="1"/>
      <c r="U160" s="1"/>
      <c r="V160" s="1"/>
      <c r="W160" s="1"/>
      <c r="X160" s="1"/>
      <c r="Y160" s="1"/>
      <c r="Z160" s="1"/>
      <c r="AA160" s="1">
        <f t="shared" si="9"/>
        <v>2</v>
      </c>
      <c r="AB160" s="1" t="str">
        <f t="shared" si="11"/>
        <v>R2 retained</v>
      </c>
      <c r="AC160" s="1"/>
      <c r="AD160" s="1"/>
      <c r="AE160" s="1"/>
      <c r="AF160" s="1"/>
      <c r="AG160" s="1"/>
      <c r="AH160" s="1"/>
      <c r="AI160" s="1">
        <f t="shared" si="10"/>
        <v>0</v>
      </c>
      <c r="AJ160" s="5"/>
      <c r="AK160" s="5"/>
      <c r="AL160" s="7" t="s">
        <v>15077</v>
      </c>
    </row>
    <row r="161" spans="1:38" ht="36" customHeight="1">
      <c r="A161" s="1" t="s">
        <v>4868</v>
      </c>
      <c r="B161" s="1" t="s">
        <v>5454</v>
      </c>
      <c r="C161" s="1" t="s">
        <v>5455</v>
      </c>
      <c r="D161" s="1" t="s">
        <v>4747</v>
      </c>
      <c r="E161" s="1">
        <v>1</v>
      </c>
      <c r="F161" s="1"/>
      <c r="G161" s="1" t="s">
        <v>12859</v>
      </c>
      <c r="H161" s="1" t="s">
        <v>7328</v>
      </c>
      <c r="I161" s="1" t="s">
        <v>5178</v>
      </c>
      <c r="J161" s="1"/>
      <c r="K161" s="1"/>
      <c r="L161" s="1" t="s">
        <v>12860</v>
      </c>
      <c r="M161" s="1" t="s">
        <v>7464</v>
      </c>
      <c r="N161" s="1" t="s">
        <v>13315</v>
      </c>
      <c r="O161" s="1"/>
      <c r="P161" s="1" t="s">
        <v>12868</v>
      </c>
      <c r="Q161" s="1"/>
      <c r="R161" s="1"/>
      <c r="S161" s="1"/>
      <c r="T161" s="1"/>
      <c r="U161" s="1"/>
      <c r="V161" s="1"/>
      <c r="W161" s="1"/>
      <c r="X161" s="1"/>
      <c r="Y161" s="1"/>
      <c r="Z161" s="1"/>
      <c r="AA161" s="1">
        <f t="shared" si="9"/>
        <v>1</v>
      </c>
      <c r="AB161" s="1" t="str">
        <f t="shared" si="11"/>
        <v>R2 retained</v>
      </c>
      <c r="AC161" s="1">
        <v>1</v>
      </c>
      <c r="AD161" s="1" t="s">
        <v>12884</v>
      </c>
      <c r="AE161" s="1" t="s">
        <v>13236</v>
      </c>
      <c r="AF161" s="1" t="s">
        <v>13316</v>
      </c>
      <c r="AG161" s="1" t="s">
        <v>7333</v>
      </c>
      <c r="AH161" s="1" t="s">
        <v>6096</v>
      </c>
      <c r="AI161" s="1">
        <f t="shared" si="10"/>
        <v>1</v>
      </c>
      <c r="AJ161" s="5" t="s">
        <v>12898</v>
      </c>
      <c r="AK161" s="5" t="s">
        <v>12899</v>
      </c>
      <c r="AL161" s="7" t="s">
        <v>15077</v>
      </c>
    </row>
    <row r="162" spans="1:38" ht="36" customHeight="1">
      <c r="A162" s="1" t="s">
        <v>4918</v>
      </c>
      <c r="B162" s="1" t="s">
        <v>5537</v>
      </c>
      <c r="C162" s="1" t="s">
        <v>5538</v>
      </c>
      <c r="D162" s="1" t="s">
        <v>4747</v>
      </c>
      <c r="E162" s="1">
        <v>1</v>
      </c>
      <c r="F162" s="1"/>
      <c r="G162" s="1" t="s">
        <v>12859</v>
      </c>
      <c r="H162" s="1" t="s">
        <v>7480</v>
      </c>
      <c r="I162" s="1" t="s">
        <v>4737</v>
      </c>
      <c r="J162" s="1"/>
      <c r="K162" s="1"/>
      <c r="L162" s="1" t="s">
        <v>12860</v>
      </c>
      <c r="M162" s="1" t="s">
        <v>13317</v>
      </c>
      <c r="N162" s="1" t="s">
        <v>13318</v>
      </c>
      <c r="O162" s="1"/>
      <c r="P162" s="1" t="s">
        <v>12868</v>
      </c>
      <c r="Q162" s="1"/>
      <c r="R162" s="1"/>
      <c r="S162" s="1"/>
      <c r="T162" s="1"/>
      <c r="U162" s="1"/>
      <c r="V162" s="1"/>
      <c r="W162" s="1"/>
      <c r="X162" s="1"/>
      <c r="Y162" s="1"/>
      <c r="Z162" s="1"/>
      <c r="AA162" s="1">
        <f t="shared" si="9"/>
        <v>1</v>
      </c>
      <c r="AB162" s="1" t="str">
        <f t="shared" si="11"/>
        <v>R2 retained</v>
      </c>
      <c r="AC162" s="1"/>
      <c r="AD162" s="1"/>
      <c r="AE162" s="1"/>
      <c r="AF162" s="1"/>
      <c r="AG162" s="1"/>
      <c r="AH162" s="1"/>
      <c r="AI162" s="1">
        <f t="shared" si="10"/>
        <v>0</v>
      </c>
      <c r="AJ162" s="5"/>
      <c r="AK162" s="5"/>
      <c r="AL162" s="7" t="s">
        <v>15077</v>
      </c>
    </row>
    <row r="163" spans="1:38" ht="36" customHeight="1">
      <c r="A163" s="1" t="s">
        <v>4918</v>
      </c>
      <c r="B163" s="1" t="s">
        <v>5542</v>
      </c>
      <c r="C163" s="1" t="s">
        <v>5543</v>
      </c>
      <c r="D163" s="1" t="s">
        <v>4747</v>
      </c>
      <c r="E163" s="1">
        <v>0</v>
      </c>
      <c r="F163" s="1"/>
      <c r="G163" s="1" t="s">
        <v>12859</v>
      </c>
      <c r="H163" s="1" t="s">
        <v>7480</v>
      </c>
      <c r="I163" s="1" t="s">
        <v>4747</v>
      </c>
      <c r="J163" s="1"/>
      <c r="K163" s="1"/>
      <c r="L163" s="1" t="s">
        <v>12860</v>
      </c>
      <c r="M163" s="1" t="s">
        <v>13319</v>
      </c>
      <c r="N163" s="1" t="s">
        <v>13320</v>
      </c>
      <c r="O163" s="1"/>
      <c r="P163" s="1" t="s">
        <v>12863</v>
      </c>
      <c r="Q163" s="1"/>
      <c r="R163" s="1"/>
      <c r="S163" s="1"/>
      <c r="T163" s="1"/>
      <c r="U163" s="1"/>
      <c r="V163" s="1"/>
      <c r="W163" s="1"/>
      <c r="X163" s="1"/>
      <c r="Y163" s="1"/>
      <c r="Z163" s="1"/>
      <c r="AA163" s="1">
        <f t="shared" si="9"/>
        <v>0</v>
      </c>
      <c r="AB163" s="1" t="str">
        <f t="shared" si="11"/>
        <v>R2 retained</v>
      </c>
      <c r="AC163" s="1"/>
      <c r="AD163" s="1"/>
      <c r="AE163" s="1"/>
      <c r="AF163" s="1"/>
      <c r="AG163" s="1"/>
      <c r="AH163" s="1"/>
      <c r="AI163" s="1">
        <f t="shared" si="10"/>
        <v>0</v>
      </c>
      <c r="AJ163" s="5"/>
      <c r="AK163" s="5"/>
      <c r="AL163" s="7" t="s">
        <v>15077</v>
      </c>
    </row>
    <row r="164" spans="1:38" ht="36" customHeight="1">
      <c r="A164" s="1" t="s">
        <v>4918</v>
      </c>
      <c r="B164" s="1" t="s">
        <v>5547</v>
      </c>
      <c r="C164" s="1" t="s">
        <v>5548</v>
      </c>
      <c r="D164" s="1" t="s">
        <v>4747</v>
      </c>
      <c r="E164" s="1">
        <v>1</v>
      </c>
      <c r="F164" s="1"/>
      <c r="G164" s="1" t="s">
        <v>12859</v>
      </c>
      <c r="H164" s="1" t="s">
        <v>7480</v>
      </c>
      <c r="I164" s="1" t="s">
        <v>5253</v>
      </c>
      <c r="J164" s="1"/>
      <c r="K164" s="1"/>
      <c r="L164" s="1" t="s">
        <v>12860</v>
      </c>
      <c r="M164" s="1" t="s">
        <v>13321</v>
      </c>
      <c r="N164" s="1" t="s">
        <v>13322</v>
      </c>
      <c r="O164" s="1"/>
      <c r="P164" s="1" t="s">
        <v>12868</v>
      </c>
      <c r="Q164" s="1"/>
      <c r="R164" s="1"/>
      <c r="S164" s="1"/>
      <c r="T164" s="1"/>
      <c r="U164" s="1"/>
      <c r="V164" s="1"/>
      <c r="W164" s="1"/>
      <c r="X164" s="1"/>
      <c r="Y164" s="1"/>
      <c r="Z164" s="1"/>
      <c r="AA164" s="1">
        <f t="shared" si="9"/>
        <v>1</v>
      </c>
      <c r="AB164" s="1" t="str">
        <f t="shared" si="11"/>
        <v>R2 retained</v>
      </c>
      <c r="AC164" s="1"/>
      <c r="AD164" s="1"/>
      <c r="AE164" s="1"/>
      <c r="AF164" s="1"/>
      <c r="AG164" s="1"/>
      <c r="AH164" s="1"/>
      <c r="AI164" s="1">
        <f t="shared" si="10"/>
        <v>0</v>
      </c>
      <c r="AJ164" s="5"/>
      <c r="AK164" s="5"/>
      <c r="AL164" s="7" t="s">
        <v>15077</v>
      </c>
    </row>
    <row r="165" spans="1:38" ht="48" customHeight="1">
      <c r="A165" s="1" t="s">
        <v>4918</v>
      </c>
      <c r="B165" s="1" t="s">
        <v>5552</v>
      </c>
      <c r="C165" s="1" t="s">
        <v>5553</v>
      </c>
      <c r="D165" s="1" t="s">
        <v>12929</v>
      </c>
      <c r="E165" s="1">
        <v>0</v>
      </c>
      <c r="F165" s="1"/>
      <c r="G165" s="1" t="s">
        <v>12859</v>
      </c>
      <c r="H165" s="1" t="s">
        <v>7480</v>
      </c>
      <c r="I165" s="1" t="s">
        <v>4747</v>
      </c>
      <c r="J165" s="1"/>
      <c r="K165" s="1" t="s">
        <v>4921</v>
      </c>
      <c r="L165" s="1" t="s">
        <v>12930</v>
      </c>
      <c r="M165" s="1" t="s">
        <v>13323</v>
      </c>
      <c r="N165" s="1" t="s">
        <v>13324</v>
      </c>
      <c r="O165" s="1" t="s">
        <v>7516</v>
      </c>
      <c r="P165" s="1" t="s">
        <v>12863</v>
      </c>
      <c r="Q165" s="1"/>
      <c r="R165" s="1"/>
      <c r="S165" s="1"/>
      <c r="T165" s="1"/>
      <c r="U165" s="1"/>
      <c r="V165" s="1"/>
      <c r="W165" s="1"/>
      <c r="X165" s="1"/>
      <c r="Y165" s="1"/>
      <c r="Z165" s="1"/>
      <c r="AA165" s="1">
        <f t="shared" si="9"/>
        <v>0</v>
      </c>
      <c r="AB165" s="1" t="str">
        <f t="shared" si="11"/>
        <v>R2 retained</v>
      </c>
      <c r="AC165" s="1"/>
      <c r="AD165" s="1"/>
      <c r="AE165" s="1"/>
      <c r="AF165" s="1"/>
      <c r="AG165" s="1"/>
      <c r="AH165" s="1"/>
      <c r="AI165" s="1">
        <f t="shared" si="10"/>
        <v>0</v>
      </c>
      <c r="AJ165" s="5"/>
      <c r="AK165" s="5"/>
      <c r="AL165" s="7" t="s">
        <v>15077</v>
      </c>
    </row>
    <row r="166" spans="1:38" ht="36" customHeight="1">
      <c r="A166" s="1" t="s">
        <v>4918</v>
      </c>
      <c r="B166" s="1" t="s">
        <v>5557</v>
      </c>
      <c r="C166" s="1" t="s">
        <v>5558</v>
      </c>
      <c r="D166" s="1" t="s">
        <v>4747</v>
      </c>
      <c r="E166" s="1">
        <v>0</v>
      </c>
      <c r="F166" s="1"/>
      <c r="G166" s="1" t="s">
        <v>12859</v>
      </c>
      <c r="H166" s="1" t="s">
        <v>7480</v>
      </c>
      <c r="I166" s="1" t="s">
        <v>4747</v>
      </c>
      <c r="J166" s="1"/>
      <c r="K166" s="1"/>
      <c r="L166" s="1" t="s">
        <v>12860</v>
      </c>
      <c r="M166" s="1" t="s">
        <v>7520</v>
      </c>
      <c r="N166" s="1" t="s">
        <v>13325</v>
      </c>
      <c r="O166" s="1"/>
      <c r="P166" s="1" t="s">
        <v>12863</v>
      </c>
      <c r="Q166" s="1"/>
      <c r="R166" s="1"/>
      <c r="S166" s="1"/>
      <c r="T166" s="1"/>
      <c r="U166" s="1"/>
      <c r="V166" s="1"/>
      <c r="W166" s="1"/>
      <c r="X166" s="1"/>
      <c r="Y166" s="1"/>
      <c r="Z166" s="1"/>
      <c r="AA166" s="1">
        <f t="shared" si="9"/>
        <v>0</v>
      </c>
      <c r="AB166" s="1" t="str">
        <f t="shared" si="11"/>
        <v>R2 retained</v>
      </c>
      <c r="AC166" s="1"/>
      <c r="AD166" s="1"/>
      <c r="AE166" s="1"/>
      <c r="AF166" s="1"/>
      <c r="AG166" s="1"/>
      <c r="AH166" s="1"/>
      <c r="AI166" s="1">
        <f t="shared" si="10"/>
        <v>0</v>
      </c>
      <c r="AJ166" s="5"/>
      <c r="AK166" s="5"/>
      <c r="AL166" s="7" t="s">
        <v>15077</v>
      </c>
    </row>
    <row r="167" spans="1:38" ht="60" customHeight="1">
      <c r="A167" s="1" t="s">
        <v>4918</v>
      </c>
      <c r="B167" s="1" t="s">
        <v>5562</v>
      </c>
      <c r="C167" s="1" t="s">
        <v>5563</v>
      </c>
      <c r="D167" s="1" t="s">
        <v>4747</v>
      </c>
      <c r="E167" s="1">
        <v>0</v>
      </c>
      <c r="F167" s="1">
        <v>1</v>
      </c>
      <c r="G167" s="1" t="s">
        <v>4691</v>
      </c>
      <c r="H167" s="1" t="s">
        <v>7480</v>
      </c>
      <c r="I167" s="1" t="s">
        <v>4747</v>
      </c>
      <c r="J167" s="1"/>
      <c r="K167" s="1"/>
      <c r="L167" s="1" t="s">
        <v>12860</v>
      </c>
      <c r="M167" s="1" t="s">
        <v>7525</v>
      </c>
      <c r="N167" s="1" t="s">
        <v>13326</v>
      </c>
      <c r="O167" s="1" t="s">
        <v>13327</v>
      </c>
      <c r="P167" s="1" t="s">
        <v>12917</v>
      </c>
      <c r="Q167" s="1"/>
      <c r="R167" s="1"/>
      <c r="S167" s="1"/>
      <c r="T167" s="1"/>
      <c r="U167" s="1"/>
      <c r="V167" s="1"/>
      <c r="W167" s="1"/>
      <c r="X167" s="1"/>
      <c r="Y167" s="1" t="s">
        <v>5711</v>
      </c>
      <c r="Z167" s="1" t="s">
        <v>12918</v>
      </c>
      <c r="AA167" s="1">
        <f t="shared" si="9"/>
        <v>1</v>
      </c>
      <c r="AB167" s="1" t="str">
        <f t="shared" si="11"/>
        <v>Reviewer confirmed</v>
      </c>
      <c r="AC167" s="1">
        <v>1</v>
      </c>
      <c r="AD167" s="1" t="s">
        <v>12936</v>
      </c>
      <c r="AE167" s="1" t="s">
        <v>5711</v>
      </c>
      <c r="AF167" s="1" t="s">
        <v>5710</v>
      </c>
      <c r="AG167" s="1" t="s">
        <v>5712</v>
      </c>
      <c r="AH167" s="1" t="s">
        <v>5461</v>
      </c>
      <c r="AI167" s="1">
        <f t="shared" si="10"/>
        <v>1</v>
      </c>
      <c r="AJ167" s="5"/>
      <c r="AK167" s="5"/>
      <c r="AL167" s="7" t="s">
        <v>15077</v>
      </c>
    </row>
    <row r="168" spans="1:38" ht="36" customHeight="1">
      <c r="A168" s="1" t="s">
        <v>4918</v>
      </c>
      <c r="B168" s="1" t="s">
        <v>5567</v>
      </c>
      <c r="C168" s="1" t="s">
        <v>5568</v>
      </c>
      <c r="D168" s="1" t="s">
        <v>6452</v>
      </c>
      <c r="E168" s="1">
        <v>0</v>
      </c>
      <c r="F168" s="1"/>
      <c r="G168" s="1" t="s">
        <v>12859</v>
      </c>
      <c r="H168" s="1" t="s">
        <v>7480</v>
      </c>
      <c r="I168" s="1" t="s">
        <v>4747</v>
      </c>
      <c r="J168" s="1"/>
      <c r="K168" s="1"/>
      <c r="L168" s="1" t="s">
        <v>12860</v>
      </c>
      <c r="M168" s="1" t="s">
        <v>13328</v>
      </c>
      <c r="N168" s="1" t="s">
        <v>13329</v>
      </c>
      <c r="O168" s="1"/>
      <c r="P168" s="1" t="s">
        <v>12863</v>
      </c>
      <c r="Q168" s="1"/>
      <c r="R168" s="1"/>
      <c r="S168" s="1"/>
      <c r="T168" s="1"/>
      <c r="U168" s="1"/>
      <c r="V168" s="1"/>
      <c r="W168" s="1"/>
      <c r="X168" s="1"/>
      <c r="Y168" s="1"/>
      <c r="Z168" s="1"/>
      <c r="AA168" s="1">
        <f t="shared" si="9"/>
        <v>0</v>
      </c>
      <c r="AB168" s="1" t="str">
        <f t="shared" si="11"/>
        <v>R2 retained</v>
      </c>
      <c r="AC168" s="1"/>
      <c r="AD168" s="1"/>
      <c r="AE168" s="1"/>
      <c r="AF168" s="1"/>
      <c r="AG168" s="1"/>
      <c r="AH168" s="1"/>
      <c r="AI168" s="1">
        <f t="shared" si="10"/>
        <v>0</v>
      </c>
      <c r="AJ168" s="5"/>
      <c r="AK168" s="5"/>
      <c r="AL168" s="7" t="s">
        <v>15077</v>
      </c>
    </row>
    <row r="169" spans="1:38" ht="36" customHeight="1">
      <c r="A169" s="1" t="s">
        <v>4918</v>
      </c>
      <c r="B169" s="1" t="s">
        <v>5572</v>
      </c>
      <c r="C169" s="1" t="s">
        <v>5573</v>
      </c>
      <c r="D169" s="1" t="s">
        <v>4747</v>
      </c>
      <c r="E169" s="1">
        <v>0</v>
      </c>
      <c r="F169" s="1"/>
      <c r="G169" s="1" t="s">
        <v>12859</v>
      </c>
      <c r="H169" s="1" t="s">
        <v>7480</v>
      </c>
      <c r="I169" s="1" t="s">
        <v>4747</v>
      </c>
      <c r="J169" s="1"/>
      <c r="K169" s="1"/>
      <c r="L169" s="1" t="s">
        <v>12860</v>
      </c>
      <c r="M169" s="1" t="s">
        <v>13330</v>
      </c>
      <c r="N169" s="1" t="s">
        <v>13331</v>
      </c>
      <c r="O169" s="1"/>
      <c r="P169" s="1" t="s">
        <v>12863</v>
      </c>
      <c r="Q169" s="1"/>
      <c r="R169" s="1"/>
      <c r="S169" s="1"/>
      <c r="T169" s="1"/>
      <c r="U169" s="1"/>
      <c r="V169" s="1"/>
      <c r="W169" s="1"/>
      <c r="X169" s="1"/>
      <c r="Y169" s="1"/>
      <c r="Z169" s="1"/>
      <c r="AA169" s="1">
        <f t="shared" si="9"/>
        <v>0</v>
      </c>
      <c r="AB169" s="1" t="str">
        <f t="shared" si="11"/>
        <v>R2 retained</v>
      </c>
      <c r="AC169" s="1"/>
      <c r="AD169" s="1"/>
      <c r="AE169" s="1"/>
      <c r="AF169" s="1"/>
      <c r="AG169" s="1"/>
      <c r="AH169" s="1"/>
      <c r="AI169" s="1">
        <f t="shared" si="10"/>
        <v>0</v>
      </c>
      <c r="AJ169" s="5"/>
      <c r="AK169" s="5"/>
      <c r="AL169" s="7" t="s">
        <v>15077</v>
      </c>
    </row>
    <row r="170" spans="1:38" ht="36" customHeight="1">
      <c r="A170" s="1" t="s">
        <v>4918</v>
      </c>
      <c r="B170" s="1" t="s">
        <v>5577</v>
      </c>
      <c r="C170" s="1" t="s">
        <v>5578</v>
      </c>
      <c r="D170" s="1" t="s">
        <v>4747</v>
      </c>
      <c r="E170" s="1">
        <v>2</v>
      </c>
      <c r="F170" s="1"/>
      <c r="G170" s="1" t="s">
        <v>12859</v>
      </c>
      <c r="H170" s="1" t="s">
        <v>7480</v>
      </c>
      <c r="I170" s="1" t="s">
        <v>4862</v>
      </c>
      <c r="J170" s="1"/>
      <c r="K170" s="1"/>
      <c r="L170" s="1" t="s">
        <v>12860</v>
      </c>
      <c r="M170" s="1" t="s">
        <v>13332</v>
      </c>
      <c r="N170" s="1" t="s">
        <v>13333</v>
      </c>
      <c r="O170" s="1"/>
      <c r="P170" s="1" t="s">
        <v>12868</v>
      </c>
      <c r="Q170" s="1"/>
      <c r="R170" s="1"/>
      <c r="S170" s="1"/>
      <c r="T170" s="1"/>
      <c r="U170" s="1"/>
      <c r="V170" s="1"/>
      <c r="W170" s="1"/>
      <c r="X170" s="1"/>
      <c r="Y170" s="1"/>
      <c r="Z170" s="1"/>
      <c r="AA170" s="1">
        <f t="shared" si="9"/>
        <v>2</v>
      </c>
      <c r="AB170" s="1" t="str">
        <f t="shared" si="11"/>
        <v>R2 retained</v>
      </c>
      <c r="AC170" s="1"/>
      <c r="AD170" s="1"/>
      <c r="AE170" s="1"/>
      <c r="AF170" s="1"/>
      <c r="AG170" s="1"/>
      <c r="AH170" s="1"/>
      <c r="AI170" s="1">
        <f t="shared" si="10"/>
        <v>0</v>
      </c>
      <c r="AJ170" s="5"/>
      <c r="AK170" s="5"/>
      <c r="AL170" s="7" t="s">
        <v>15077</v>
      </c>
    </row>
    <row r="171" spans="1:38" ht="120" customHeight="1">
      <c r="A171" s="1" t="s">
        <v>4918</v>
      </c>
      <c r="B171" s="1" t="s">
        <v>5582</v>
      </c>
      <c r="C171" s="1" t="s">
        <v>5583</v>
      </c>
      <c r="D171" s="1" t="s">
        <v>5788</v>
      </c>
      <c r="E171" s="1">
        <v>1</v>
      </c>
      <c r="F171" s="1">
        <v>0</v>
      </c>
      <c r="G171" s="1" t="s">
        <v>12873</v>
      </c>
      <c r="H171" s="1" t="s">
        <v>7480</v>
      </c>
      <c r="I171" s="1"/>
      <c r="J171" s="1"/>
      <c r="K171" s="1"/>
      <c r="L171" s="1" t="s">
        <v>12860</v>
      </c>
      <c r="M171" s="1" t="s">
        <v>7579</v>
      </c>
      <c r="N171" s="1" t="s">
        <v>13334</v>
      </c>
      <c r="O171" s="1" t="s">
        <v>13335</v>
      </c>
      <c r="P171" s="1" t="s">
        <v>12876</v>
      </c>
      <c r="Q171" s="1">
        <v>0</v>
      </c>
      <c r="R171" s="1" t="s">
        <v>12877</v>
      </c>
      <c r="S171" s="1" t="s">
        <v>13336</v>
      </c>
      <c r="T171" s="1" t="s">
        <v>13337</v>
      </c>
      <c r="U171" s="1" t="s">
        <v>7485</v>
      </c>
      <c r="V171" s="1" t="s">
        <v>6096</v>
      </c>
      <c r="W171" s="1" t="s">
        <v>12880</v>
      </c>
      <c r="X171" s="1" t="s">
        <v>12881</v>
      </c>
      <c r="Y171" s="1" t="s">
        <v>13338</v>
      </c>
      <c r="Z171" s="1" t="s">
        <v>12883</v>
      </c>
      <c r="AA171" s="1">
        <f t="shared" si="9"/>
        <v>0</v>
      </c>
      <c r="AB171" s="1" t="str">
        <f t="shared" si="11"/>
        <v>Reviewer confirmed</v>
      </c>
      <c r="AC171" s="1">
        <v>0</v>
      </c>
      <c r="AD171" s="1" t="s">
        <v>12936</v>
      </c>
      <c r="AE171" s="1" t="s">
        <v>13339</v>
      </c>
      <c r="AF171" s="1" t="s">
        <v>13340</v>
      </c>
      <c r="AG171" s="1" t="s">
        <v>7485</v>
      </c>
      <c r="AH171" s="1" t="s">
        <v>6096</v>
      </c>
      <c r="AI171" s="1">
        <f t="shared" si="10"/>
        <v>1</v>
      </c>
      <c r="AJ171" s="5" t="s">
        <v>12898</v>
      </c>
      <c r="AK171" s="5" t="s">
        <v>12899</v>
      </c>
      <c r="AL171" s="7" t="s">
        <v>15077</v>
      </c>
    </row>
    <row r="172" spans="1:38" ht="36" customHeight="1">
      <c r="A172" s="1" t="s">
        <v>4918</v>
      </c>
      <c r="B172" s="1" t="s">
        <v>5586</v>
      </c>
      <c r="C172" s="1" t="s">
        <v>5587</v>
      </c>
      <c r="D172" s="1" t="s">
        <v>4747</v>
      </c>
      <c r="E172" s="1">
        <v>1</v>
      </c>
      <c r="F172" s="1"/>
      <c r="G172" s="1" t="s">
        <v>12859</v>
      </c>
      <c r="H172" s="1" t="s">
        <v>7480</v>
      </c>
      <c r="I172" s="1" t="s">
        <v>4717</v>
      </c>
      <c r="J172" s="1"/>
      <c r="K172" s="1"/>
      <c r="L172" s="1" t="s">
        <v>12860</v>
      </c>
      <c r="M172" s="1" t="s">
        <v>13341</v>
      </c>
      <c r="N172" s="1" t="s">
        <v>13342</v>
      </c>
      <c r="O172" s="1"/>
      <c r="P172" s="1" t="s">
        <v>12868</v>
      </c>
      <c r="Q172" s="1"/>
      <c r="R172" s="1"/>
      <c r="S172" s="1"/>
      <c r="T172" s="1"/>
      <c r="U172" s="1"/>
      <c r="V172" s="1"/>
      <c r="W172" s="1"/>
      <c r="X172" s="1"/>
      <c r="Y172" s="1"/>
      <c r="Z172" s="1"/>
      <c r="AA172" s="1">
        <f t="shared" si="9"/>
        <v>1</v>
      </c>
      <c r="AB172" s="1" t="str">
        <f t="shared" ref="AB172:AB203" si="12">IF(OR(ISNUMBER(F172),F172="NA"),"Reviewer confirmed",IF(AD172="uncertain","Unresolved under clarified rule",IF(AND(OR(ISNUMBER(AC172),AC172="NA"),AC172&lt;&gt;E172),"Analyst scope correction","R2 retained")))</f>
        <v>R2 retained</v>
      </c>
      <c r="AC172" s="1"/>
      <c r="AD172" s="1"/>
      <c r="AE172" s="1"/>
      <c r="AF172" s="1"/>
      <c r="AG172" s="1"/>
      <c r="AH172" s="1"/>
      <c r="AI172" s="1">
        <f t="shared" si="10"/>
        <v>0</v>
      </c>
      <c r="AJ172" s="5"/>
      <c r="AK172" s="5"/>
      <c r="AL172" s="7" t="s">
        <v>15077</v>
      </c>
    </row>
    <row r="173" spans="1:38" ht="108" customHeight="1">
      <c r="A173" s="1" t="s">
        <v>4918</v>
      </c>
      <c r="B173" s="1" t="s">
        <v>5591</v>
      </c>
      <c r="C173" s="1" t="s">
        <v>5592</v>
      </c>
      <c r="D173" s="1" t="s">
        <v>4747</v>
      </c>
      <c r="E173" s="1">
        <v>1</v>
      </c>
      <c r="F173" s="1">
        <v>0</v>
      </c>
      <c r="G173" s="1" t="s">
        <v>12873</v>
      </c>
      <c r="H173" s="1" t="s">
        <v>7480</v>
      </c>
      <c r="I173" s="1"/>
      <c r="J173" s="1"/>
      <c r="K173" s="1"/>
      <c r="L173" s="1" t="s">
        <v>12860</v>
      </c>
      <c r="M173" s="1" t="s">
        <v>13343</v>
      </c>
      <c r="N173" s="1" t="s">
        <v>13344</v>
      </c>
      <c r="O173" s="1" t="s">
        <v>13345</v>
      </c>
      <c r="P173" s="1" t="s">
        <v>12876</v>
      </c>
      <c r="Q173" s="1">
        <v>0</v>
      </c>
      <c r="R173" s="1" t="s">
        <v>12877</v>
      </c>
      <c r="S173" s="1" t="s">
        <v>13346</v>
      </c>
      <c r="T173" s="1" t="s">
        <v>13347</v>
      </c>
      <c r="U173" s="1" t="s">
        <v>7485</v>
      </c>
      <c r="V173" s="1" t="s">
        <v>6096</v>
      </c>
      <c r="W173" s="1" t="s">
        <v>12880</v>
      </c>
      <c r="X173" s="1" t="s">
        <v>13348</v>
      </c>
      <c r="Y173" s="1" t="s">
        <v>13349</v>
      </c>
      <c r="Z173" s="1" t="s">
        <v>12883</v>
      </c>
      <c r="AA173" s="1">
        <f t="shared" si="9"/>
        <v>0</v>
      </c>
      <c r="AB173" s="1" t="str">
        <f t="shared" si="12"/>
        <v>Reviewer confirmed</v>
      </c>
      <c r="AC173" s="1">
        <v>0</v>
      </c>
      <c r="AD173" s="1" t="s">
        <v>12936</v>
      </c>
      <c r="AE173" s="1" t="s">
        <v>13350</v>
      </c>
      <c r="AF173" s="1" t="s">
        <v>13347</v>
      </c>
      <c r="AG173" s="1" t="s">
        <v>7485</v>
      </c>
      <c r="AH173" s="1" t="s">
        <v>6096</v>
      </c>
      <c r="AI173" s="1">
        <f t="shared" si="10"/>
        <v>1</v>
      </c>
      <c r="AJ173" s="5" t="s">
        <v>12898</v>
      </c>
      <c r="AK173" s="5" t="s">
        <v>12899</v>
      </c>
      <c r="AL173" s="7" t="s">
        <v>15077</v>
      </c>
    </row>
    <row r="174" spans="1:38" ht="36" customHeight="1">
      <c r="A174" s="1" t="s">
        <v>4918</v>
      </c>
      <c r="B174" s="1" t="s">
        <v>5596</v>
      </c>
      <c r="C174" s="1" t="s">
        <v>5597</v>
      </c>
      <c r="D174" s="1" t="s">
        <v>4747</v>
      </c>
      <c r="E174" s="1">
        <v>0</v>
      </c>
      <c r="F174" s="1"/>
      <c r="G174" s="1" t="s">
        <v>12859</v>
      </c>
      <c r="H174" s="1" t="s">
        <v>7480</v>
      </c>
      <c r="I174" s="1" t="s">
        <v>4747</v>
      </c>
      <c r="J174" s="1"/>
      <c r="K174" s="1"/>
      <c r="L174" s="1" t="s">
        <v>12860</v>
      </c>
      <c r="M174" s="1" t="s">
        <v>13351</v>
      </c>
      <c r="N174" s="1" t="s">
        <v>13352</v>
      </c>
      <c r="O174" s="1"/>
      <c r="P174" s="1" t="s">
        <v>12863</v>
      </c>
      <c r="Q174" s="1"/>
      <c r="R174" s="1"/>
      <c r="S174" s="1"/>
      <c r="T174" s="1"/>
      <c r="U174" s="1"/>
      <c r="V174" s="1"/>
      <c r="W174" s="1"/>
      <c r="X174" s="1"/>
      <c r="Y174" s="1"/>
      <c r="Z174" s="1"/>
      <c r="AA174" s="1">
        <f t="shared" si="9"/>
        <v>0</v>
      </c>
      <c r="AB174" s="1" t="str">
        <f t="shared" si="12"/>
        <v>R2 retained</v>
      </c>
      <c r="AC174" s="1"/>
      <c r="AD174" s="1"/>
      <c r="AE174" s="1"/>
      <c r="AF174" s="1"/>
      <c r="AG174" s="1"/>
      <c r="AH174" s="1"/>
      <c r="AI174" s="1">
        <f t="shared" si="10"/>
        <v>0</v>
      </c>
      <c r="AJ174" s="5"/>
      <c r="AK174" s="5"/>
      <c r="AL174" s="7" t="s">
        <v>15077</v>
      </c>
    </row>
    <row r="175" spans="1:38" ht="36" customHeight="1">
      <c r="A175" s="1" t="s">
        <v>4918</v>
      </c>
      <c r="B175" s="1" t="s">
        <v>5601</v>
      </c>
      <c r="C175" s="1" t="s">
        <v>5602</v>
      </c>
      <c r="D175" s="1" t="s">
        <v>4747</v>
      </c>
      <c r="E175" s="1">
        <v>1</v>
      </c>
      <c r="F175" s="1"/>
      <c r="G175" s="1" t="s">
        <v>12859</v>
      </c>
      <c r="H175" s="1" t="s">
        <v>7480</v>
      </c>
      <c r="I175" s="1" t="s">
        <v>4862</v>
      </c>
      <c r="J175" s="1"/>
      <c r="K175" s="1"/>
      <c r="L175" s="1" t="s">
        <v>12860</v>
      </c>
      <c r="M175" s="1" t="s">
        <v>7603</v>
      </c>
      <c r="N175" s="1" t="s">
        <v>13353</v>
      </c>
      <c r="O175" s="1"/>
      <c r="P175" s="1" t="s">
        <v>12868</v>
      </c>
      <c r="Q175" s="1"/>
      <c r="R175" s="1"/>
      <c r="S175" s="1"/>
      <c r="T175" s="1"/>
      <c r="U175" s="1"/>
      <c r="V175" s="1"/>
      <c r="W175" s="1"/>
      <c r="X175" s="1"/>
      <c r="Y175" s="1"/>
      <c r="Z175" s="1"/>
      <c r="AA175" s="1">
        <f t="shared" si="9"/>
        <v>1</v>
      </c>
      <c r="AB175" s="1" t="str">
        <f t="shared" si="12"/>
        <v>R2 retained</v>
      </c>
      <c r="AC175" s="1"/>
      <c r="AD175" s="1"/>
      <c r="AE175" s="1"/>
      <c r="AF175" s="1"/>
      <c r="AG175" s="1"/>
      <c r="AH175" s="1"/>
      <c r="AI175" s="1">
        <f t="shared" si="10"/>
        <v>0</v>
      </c>
      <c r="AJ175" s="5"/>
      <c r="AK175" s="5"/>
      <c r="AL175" s="7" t="s">
        <v>15077</v>
      </c>
    </row>
    <row r="176" spans="1:38" ht="36" customHeight="1">
      <c r="A176" s="1" t="s">
        <v>4918</v>
      </c>
      <c r="B176" s="1" t="s">
        <v>5606</v>
      </c>
      <c r="C176" s="1" t="s">
        <v>5607</v>
      </c>
      <c r="D176" s="1" t="s">
        <v>6522</v>
      </c>
      <c r="E176" s="1">
        <v>0</v>
      </c>
      <c r="F176" s="1"/>
      <c r="G176" s="1" t="s">
        <v>12859</v>
      </c>
      <c r="H176" s="1" t="s">
        <v>7480</v>
      </c>
      <c r="I176" s="1" t="s">
        <v>4747</v>
      </c>
      <c r="J176" s="1"/>
      <c r="K176" s="1"/>
      <c r="L176" s="1" t="s">
        <v>12860</v>
      </c>
      <c r="M176" s="1" t="s">
        <v>7605</v>
      </c>
      <c r="N176" s="1" t="s">
        <v>13354</v>
      </c>
      <c r="O176" s="1"/>
      <c r="P176" s="1" t="s">
        <v>12863</v>
      </c>
      <c r="Q176" s="1"/>
      <c r="R176" s="1"/>
      <c r="S176" s="1"/>
      <c r="T176" s="1"/>
      <c r="U176" s="1"/>
      <c r="V176" s="1"/>
      <c r="W176" s="1"/>
      <c r="X176" s="1"/>
      <c r="Y176" s="1"/>
      <c r="Z176" s="1"/>
      <c r="AA176" s="1">
        <f t="shared" si="9"/>
        <v>0</v>
      </c>
      <c r="AB176" s="1" t="str">
        <f t="shared" si="12"/>
        <v>R2 retained</v>
      </c>
      <c r="AC176" s="1"/>
      <c r="AD176" s="1"/>
      <c r="AE176" s="1"/>
      <c r="AF176" s="1"/>
      <c r="AG176" s="1"/>
      <c r="AH176" s="1"/>
      <c r="AI176" s="1">
        <f t="shared" si="10"/>
        <v>0</v>
      </c>
      <c r="AJ176" s="5"/>
      <c r="AK176" s="5"/>
      <c r="AL176" s="7" t="s">
        <v>15077</v>
      </c>
    </row>
    <row r="177" spans="1:38" ht="36" customHeight="1">
      <c r="A177" s="1" t="s">
        <v>4918</v>
      </c>
      <c r="B177" s="1" t="s">
        <v>5454</v>
      </c>
      <c r="C177" s="1" t="s">
        <v>5455</v>
      </c>
      <c r="D177" s="1" t="s">
        <v>4747</v>
      </c>
      <c r="E177" s="1">
        <v>1</v>
      </c>
      <c r="F177" s="1"/>
      <c r="G177" s="1" t="s">
        <v>12859</v>
      </c>
      <c r="H177" s="1" t="s">
        <v>7480</v>
      </c>
      <c r="I177" s="1" t="s">
        <v>4904</v>
      </c>
      <c r="J177" s="1"/>
      <c r="K177" s="1"/>
      <c r="L177" s="1" t="s">
        <v>12860</v>
      </c>
      <c r="M177" s="1" t="s">
        <v>7608</v>
      </c>
      <c r="N177" s="1" t="s">
        <v>13355</v>
      </c>
      <c r="O177" s="1"/>
      <c r="P177" s="1" t="s">
        <v>12868</v>
      </c>
      <c r="Q177" s="1"/>
      <c r="R177" s="1"/>
      <c r="S177" s="1"/>
      <c r="T177" s="1"/>
      <c r="U177" s="1"/>
      <c r="V177" s="1"/>
      <c r="W177" s="1"/>
      <c r="X177" s="1"/>
      <c r="Y177" s="1"/>
      <c r="Z177" s="1"/>
      <c r="AA177" s="1">
        <f t="shared" si="9"/>
        <v>1</v>
      </c>
      <c r="AB177" s="1" t="str">
        <f t="shared" si="12"/>
        <v>R2 retained</v>
      </c>
      <c r="AC177" s="1">
        <v>1</v>
      </c>
      <c r="AD177" s="1" t="s">
        <v>12884</v>
      </c>
      <c r="AE177" s="1" t="s">
        <v>13236</v>
      </c>
      <c r="AF177" s="1" t="s">
        <v>13356</v>
      </c>
      <c r="AG177" s="1" t="s">
        <v>7485</v>
      </c>
      <c r="AH177" s="1" t="s">
        <v>6096</v>
      </c>
      <c r="AI177" s="1">
        <f t="shared" si="10"/>
        <v>1</v>
      </c>
      <c r="AJ177" s="5" t="s">
        <v>12898</v>
      </c>
      <c r="AK177" s="5" t="s">
        <v>12899</v>
      </c>
      <c r="AL177" s="7" t="s">
        <v>15077</v>
      </c>
    </row>
    <row r="178" spans="1:38" ht="36" customHeight="1">
      <c r="A178" s="1" t="s">
        <v>4925</v>
      </c>
      <c r="B178" s="1" t="s">
        <v>5537</v>
      </c>
      <c r="C178" s="1" t="s">
        <v>5538</v>
      </c>
      <c r="D178" s="1" t="s">
        <v>4747</v>
      </c>
      <c r="E178" s="1">
        <v>0</v>
      </c>
      <c r="F178" s="1"/>
      <c r="G178" s="1" t="s">
        <v>12859</v>
      </c>
      <c r="H178" s="1" t="s">
        <v>7623</v>
      </c>
      <c r="I178" s="1" t="s">
        <v>4747</v>
      </c>
      <c r="J178" s="1"/>
      <c r="K178" s="1"/>
      <c r="L178" s="1" t="s">
        <v>12860</v>
      </c>
      <c r="M178" s="1" t="s">
        <v>13357</v>
      </c>
      <c r="N178" s="1" t="s">
        <v>13358</v>
      </c>
      <c r="O178" s="1"/>
      <c r="P178" s="1" t="s">
        <v>12863</v>
      </c>
      <c r="Q178" s="1"/>
      <c r="R178" s="1"/>
      <c r="S178" s="1"/>
      <c r="T178" s="1"/>
      <c r="U178" s="1"/>
      <c r="V178" s="1"/>
      <c r="W178" s="1"/>
      <c r="X178" s="1"/>
      <c r="Y178" s="1"/>
      <c r="Z178" s="1"/>
      <c r="AA178" s="1">
        <f t="shared" si="9"/>
        <v>0</v>
      </c>
      <c r="AB178" s="1" t="str">
        <f t="shared" si="12"/>
        <v>R2 retained</v>
      </c>
      <c r="AC178" s="1"/>
      <c r="AD178" s="1"/>
      <c r="AE178" s="1"/>
      <c r="AF178" s="1"/>
      <c r="AG178" s="1"/>
      <c r="AH178" s="1"/>
      <c r="AI178" s="1">
        <f t="shared" si="10"/>
        <v>0</v>
      </c>
      <c r="AJ178" s="5"/>
      <c r="AK178" s="5"/>
      <c r="AL178" s="7" t="s">
        <v>15077</v>
      </c>
    </row>
    <row r="179" spans="1:38" ht="36" customHeight="1">
      <c r="A179" s="1" t="s">
        <v>4925</v>
      </c>
      <c r="B179" s="1" t="s">
        <v>5542</v>
      </c>
      <c r="C179" s="1" t="s">
        <v>5543</v>
      </c>
      <c r="D179" s="1" t="s">
        <v>4747</v>
      </c>
      <c r="E179" s="1">
        <v>0</v>
      </c>
      <c r="F179" s="1"/>
      <c r="G179" s="1" t="s">
        <v>12859</v>
      </c>
      <c r="H179" s="1" t="s">
        <v>7623</v>
      </c>
      <c r="I179" s="1" t="s">
        <v>4747</v>
      </c>
      <c r="J179" s="1"/>
      <c r="K179" s="1"/>
      <c r="L179" s="1" t="s">
        <v>12860</v>
      </c>
      <c r="M179" s="1" t="s">
        <v>13359</v>
      </c>
      <c r="N179" s="1" t="s">
        <v>13360</v>
      </c>
      <c r="O179" s="1"/>
      <c r="P179" s="1" t="s">
        <v>12863</v>
      </c>
      <c r="Q179" s="1"/>
      <c r="R179" s="1"/>
      <c r="S179" s="1"/>
      <c r="T179" s="1"/>
      <c r="U179" s="1"/>
      <c r="V179" s="1"/>
      <c r="W179" s="1"/>
      <c r="X179" s="1"/>
      <c r="Y179" s="1"/>
      <c r="Z179" s="1"/>
      <c r="AA179" s="1">
        <f t="shared" si="9"/>
        <v>0</v>
      </c>
      <c r="AB179" s="1" t="str">
        <f t="shared" si="12"/>
        <v>R2 retained</v>
      </c>
      <c r="AC179" s="1"/>
      <c r="AD179" s="1"/>
      <c r="AE179" s="1"/>
      <c r="AF179" s="1"/>
      <c r="AG179" s="1"/>
      <c r="AH179" s="1"/>
      <c r="AI179" s="1">
        <f t="shared" si="10"/>
        <v>0</v>
      </c>
      <c r="AJ179" s="5"/>
      <c r="AK179" s="5"/>
      <c r="AL179" s="7" t="s">
        <v>15077</v>
      </c>
    </row>
    <row r="180" spans="1:38" ht="36" customHeight="1">
      <c r="A180" s="1" t="s">
        <v>4925</v>
      </c>
      <c r="B180" s="1" t="s">
        <v>5547</v>
      </c>
      <c r="C180" s="1" t="s">
        <v>5548</v>
      </c>
      <c r="D180" s="1" t="s">
        <v>4747</v>
      </c>
      <c r="E180" s="1">
        <v>1</v>
      </c>
      <c r="F180" s="1"/>
      <c r="G180" s="1" t="s">
        <v>12859</v>
      </c>
      <c r="H180" s="1" t="s">
        <v>7623</v>
      </c>
      <c r="I180" s="1"/>
      <c r="J180" s="1"/>
      <c r="K180" s="1"/>
      <c r="L180" s="1" t="s">
        <v>12860</v>
      </c>
      <c r="M180" s="1" t="s">
        <v>13361</v>
      </c>
      <c r="N180" s="1" t="s">
        <v>13362</v>
      </c>
      <c r="O180" s="1"/>
      <c r="P180" s="1" t="s">
        <v>12876</v>
      </c>
      <c r="Q180" s="1">
        <v>1</v>
      </c>
      <c r="R180" s="1" t="s">
        <v>12981</v>
      </c>
      <c r="S180" s="1" t="s">
        <v>13363</v>
      </c>
      <c r="T180" s="1" t="s">
        <v>13364</v>
      </c>
      <c r="U180" s="1" t="s">
        <v>7628</v>
      </c>
      <c r="V180" s="1" t="s">
        <v>6096</v>
      </c>
      <c r="W180" s="1"/>
      <c r="X180" s="1"/>
      <c r="Y180" s="1"/>
      <c r="Z180" s="1" t="s">
        <v>12908</v>
      </c>
      <c r="AA180" s="1">
        <f t="shared" si="9"/>
        <v>1</v>
      </c>
      <c r="AB180" s="1" t="str">
        <f t="shared" si="12"/>
        <v>R2 retained</v>
      </c>
      <c r="AC180" s="1"/>
      <c r="AD180" s="1"/>
      <c r="AE180" s="1"/>
      <c r="AF180" s="1"/>
      <c r="AG180" s="1"/>
      <c r="AH180" s="1"/>
      <c r="AI180" s="1">
        <f t="shared" si="10"/>
        <v>1</v>
      </c>
      <c r="AJ180" s="5"/>
      <c r="AK180" s="5"/>
      <c r="AL180" s="7" t="s">
        <v>15077</v>
      </c>
    </row>
    <row r="181" spans="1:38" ht="36" customHeight="1">
      <c r="A181" s="1" t="s">
        <v>4925</v>
      </c>
      <c r="B181" s="1" t="s">
        <v>5552</v>
      </c>
      <c r="C181" s="1" t="s">
        <v>5553</v>
      </c>
      <c r="D181" s="1" t="s">
        <v>12929</v>
      </c>
      <c r="E181" s="1">
        <v>0</v>
      </c>
      <c r="F181" s="1"/>
      <c r="G181" s="1" t="s">
        <v>12859</v>
      </c>
      <c r="H181" s="1" t="s">
        <v>7623</v>
      </c>
      <c r="I181" s="1" t="s">
        <v>4747</v>
      </c>
      <c r="J181" s="1"/>
      <c r="K181" s="1" t="s">
        <v>4937</v>
      </c>
      <c r="L181" s="1" t="s">
        <v>12930</v>
      </c>
      <c r="M181" s="1" t="s">
        <v>13365</v>
      </c>
      <c r="N181" s="1" t="s">
        <v>13366</v>
      </c>
      <c r="O181" s="1" t="s">
        <v>7659</v>
      </c>
      <c r="P181" s="1" t="s">
        <v>12863</v>
      </c>
      <c r="Q181" s="1"/>
      <c r="R181" s="1"/>
      <c r="S181" s="1"/>
      <c r="T181" s="1"/>
      <c r="U181" s="1"/>
      <c r="V181" s="1"/>
      <c r="W181" s="1"/>
      <c r="X181" s="1"/>
      <c r="Y181" s="1"/>
      <c r="Z181" s="1"/>
      <c r="AA181" s="1">
        <f t="shared" si="9"/>
        <v>0</v>
      </c>
      <c r="AB181" s="1" t="str">
        <f t="shared" si="12"/>
        <v>R2 retained</v>
      </c>
      <c r="AC181" s="1"/>
      <c r="AD181" s="1"/>
      <c r="AE181" s="1"/>
      <c r="AF181" s="1"/>
      <c r="AG181" s="1"/>
      <c r="AH181" s="1"/>
      <c r="AI181" s="1">
        <f t="shared" si="10"/>
        <v>0</v>
      </c>
      <c r="AJ181" s="5"/>
      <c r="AK181" s="5"/>
      <c r="AL181" s="7" t="s">
        <v>15077</v>
      </c>
    </row>
    <row r="182" spans="1:38" ht="36" customHeight="1">
      <c r="A182" s="1" t="s">
        <v>4925</v>
      </c>
      <c r="B182" s="1" t="s">
        <v>5557</v>
      </c>
      <c r="C182" s="1" t="s">
        <v>5558</v>
      </c>
      <c r="D182" s="1" t="s">
        <v>7662</v>
      </c>
      <c r="E182" s="1">
        <v>0</v>
      </c>
      <c r="F182" s="1"/>
      <c r="G182" s="1" t="s">
        <v>12859</v>
      </c>
      <c r="H182" s="1" t="s">
        <v>7623</v>
      </c>
      <c r="I182" s="1" t="s">
        <v>4747</v>
      </c>
      <c r="J182" s="1"/>
      <c r="K182" s="1"/>
      <c r="L182" s="1" t="s">
        <v>12860</v>
      </c>
      <c r="M182" s="1" t="s">
        <v>7664</v>
      </c>
      <c r="N182" s="1" t="s">
        <v>13367</v>
      </c>
      <c r="O182" s="1"/>
      <c r="P182" s="1" t="s">
        <v>12863</v>
      </c>
      <c r="Q182" s="1"/>
      <c r="R182" s="1"/>
      <c r="S182" s="1"/>
      <c r="T182" s="1"/>
      <c r="U182" s="1"/>
      <c r="V182" s="1"/>
      <c r="W182" s="1"/>
      <c r="X182" s="1"/>
      <c r="Y182" s="1"/>
      <c r="Z182" s="1"/>
      <c r="AA182" s="1">
        <f t="shared" si="9"/>
        <v>0</v>
      </c>
      <c r="AB182" s="1" t="str">
        <f t="shared" si="12"/>
        <v>R2 retained</v>
      </c>
      <c r="AC182" s="1"/>
      <c r="AD182" s="1"/>
      <c r="AE182" s="1"/>
      <c r="AF182" s="1"/>
      <c r="AG182" s="1"/>
      <c r="AH182" s="1"/>
      <c r="AI182" s="1">
        <f t="shared" si="10"/>
        <v>0</v>
      </c>
      <c r="AJ182" s="5"/>
      <c r="AK182" s="5"/>
      <c r="AL182" s="7" t="s">
        <v>15077</v>
      </c>
    </row>
    <row r="183" spans="1:38" ht="60" customHeight="1">
      <c r="A183" s="1" t="s">
        <v>4925</v>
      </c>
      <c r="B183" s="1" t="s">
        <v>5562</v>
      </c>
      <c r="C183" s="1" t="s">
        <v>5563</v>
      </c>
      <c r="D183" s="1" t="s">
        <v>5713</v>
      </c>
      <c r="E183" s="1">
        <v>0</v>
      </c>
      <c r="F183" s="1">
        <v>1</v>
      </c>
      <c r="G183" s="1" t="s">
        <v>4691</v>
      </c>
      <c r="H183" s="1" t="s">
        <v>7623</v>
      </c>
      <c r="I183" s="1" t="s">
        <v>4747</v>
      </c>
      <c r="J183" s="1"/>
      <c r="K183" s="1"/>
      <c r="L183" s="1" t="s">
        <v>12860</v>
      </c>
      <c r="M183" s="1" t="s">
        <v>7669</v>
      </c>
      <c r="N183" s="1" t="s">
        <v>13368</v>
      </c>
      <c r="O183" s="1" t="s">
        <v>13369</v>
      </c>
      <c r="P183" s="1" t="s">
        <v>12917</v>
      </c>
      <c r="Q183" s="1"/>
      <c r="R183" s="1"/>
      <c r="S183" s="1"/>
      <c r="T183" s="1"/>
      <c r="U183" s="1"/>
      <c r="V183" s="1"/>
      <c r="W183" s="1"/>
      <c r="X183" s="1"/>
      <c r="Y183" s="1" t="s">
        <v>5715</v>
      </c>
      <c r="Z183" s="1" t="s">
        <v>12918</v>
      </c>
      <c r="AA183" s="1">
        <f t="shared" si="9"/>
        <v>1</v>
      </c>
      <c r="AB183" s="1" t="str">
        <f t="shared" si="12"/>
        <v>Reviewer confirmed</v>
      </c>
      <c r="AC183" s="1">
        <v>1</v>
      </c>
      <c r="AD183" s="1" t="s">
        <v>12936</v>
      </c>
      <c r="AE183" s="1" t="s">
        <v>5715</v>
      </c>
      <c r="AF183" s="1" t="s">
        <v>5714</v>
      </c>
      <c r="AG183" s="1" t="s">
        <v>5716</v>
      </c>
      <c r="AH183" s="1" t="s">
        <v>5461</v>
      </c>
      <c r="AI183" s="1">
        <f t="shared" si="10"/>
        <v>1</v>
      </c>
      <c r="AJ183" s="5"/>
      <c r="AK183" s="5"/>
      <c r="AL183" s="7" t="s">
        <v>15077</v>
      </c>
    </row>
    <row r="184" spans="1:38" ht="36" customHeight="1">
      <c r="A184" s="1" t="s">
        <v>4925</v>
      </c>
      <c r="B184" s="1" t="s">
        <v>5567</v>
      </c>
      <c r="C184" s="1" t="s">
        <v>5568</v>
      </c>
      <c r="D184" s="1" t="s">
        <v>5214</v>
      </c>
      <c r="E184" s="1">
        <v>0</v>
      </c>
      <c r="F184" s="1"/>
      <c r="G184" s="1" t="s">
        <v>12859</v>
      </c>
      <c r="H184" s="1" t="s">
        <v>7623</v>
      </c>
      <c r="I184" s="1" t="s">
        <v>4747</v>
      </c>
      <c r="J184" s="1"/>
      <c r="K184" s="1"/>
      <c r="L184" s="1" t="s">
        <v>12860</v>
      </c>
      <c r="M184" s="1" t="s">
        <v>13370</v>
      </c>
      <c r="N184" s="1" t="s">
        <v>13371</v>
      </c>
      <c r="O184" s="1"/>
      <c r="P184" s="1" t="s">
        <v>12863</v>
      </c>
      <c r="Q184" s="1"/>
      <c r="R184" s="1"/>
      <c r="S184" s="1"/>
      <c r="T184" s="1"/>
      <c r="U184" s="1"/>
      <c r="V184" s="1"/>
      <c r="W184" s="1"/>
      <c r="X184" s="1"/>
      <c r="Y184" s="1"/>
      <c r="Z184" s="1"/>
      <c r="AA184" s="1">
        <f t="shared" si="9"/>
        <v>0</v>
      </c>
      <c r="AB184" s="1" t="str">
        <f t="shared" si="12"/>
        <v>R2 retained</v>
      </c>
      <c r="AC184" s="1"/>
      <c r="AD184" s="1"/>
      <c r="AE184" s="1"/>
      <c r="AF184" s="1"/>
      <c r="AG184" s="1"/>
      <c r="AH184" s="1"/>
      <c r="AI184" s="1">
        <f t="shared" si="10"/>
        <v>0</v>
      </c>
      <c r="AJ184" s="5"/>
      <c r="AK184" s="5"/>
      <c r="AL184" s="7" t="s">
        <v>15077</v>
      </c>
    </row>
    <row r="185" spans="1:38" ht="36" customHeight="1">
      <c r="A185" s="1" t="s">
        <v>4925</v>
      </c>
      <c r="B185" s="1" t="s">
        <v>5572</v>
      </c>
      <c r="C185" s="1" t="s">
        <v>5573</v>
      </c>
      <c r="D185" s="1" t="s">
        <v>4747</v>
      </c>
      <c r="E185" s="1">
        <v>0</v>
      </c>
      <c r="F185" s="1"/>
      <c r="G185" s="1" t="s">
        <v>12859</v>
      </c>
      <c r="H185" s="1" t="s">
        <v>7623</v>
      </c>
      <c r="I185" s="1" t="s">
        <v>4747</v>
      </c>
      <c r="J185" s="1"/>
      <c r="K185" s="1"/>
      <c r="L185" s="1" t="s">
        <v>12860</v>
      </c>
      <c r="M185" s="1" t="s">
        <v>13372</v>
      </c>
      <c r="N185" s="1" t="s">
        <v>13373</v>
      </c>
      <c r="O185" s="1"/>
      <c r="P185" s="1" t="s">
        <v>12863</v>
      </c>
      <c r="Q185" s="1"/>
      <c r="R185" s="1"/>
      <c r="S185" s="1"/>
      <c r="T185" s="1"/>
      <c r="U185" s="1"/>
      <c r="V185" s="1"/>
      <c r="W185" s="1"/>
      <c r="X185" s="1"/>
      <c r="Y185" s="1"/>
      <c r="Z185" s="1"/>
      <c r="AA185" s="1">
        <f t="shared" si="9"/>
        <v>0</v>
      </c>
      <c r="AB185" s="1" t="str">
        <f t="shared" si="12"/>
        <v>R2 retained</v>
      </c>
      <c r="AC185" s="1"/>
      <c r="AD185" s="1"/>
      <c r="AE185" s="1"/>
      <c r="AF185" s="1"/>
      <c r="AG185" s="1"/>
      <c r="AH185" s="1"/>
      <c r="AI185" s="1">
        <f t="shared" si="10"/>
        <v>0</v>
      </c>
      <c r="AJ185" s="5"/>
      <c r="AK185" s="5"/>
      <c r="AL185" s="7" t="s">
        <v>15077</v>
      </c>
    </row>
    <row r="186" spans="1:38" ht="36" customHeight="1">
      <c r="A186" s="1" t="s">
        <v>4925</v>
      </c>
      <c r="B186" s="1" t="s">
        <v>5577</v>
      </c>
      <c r="C186" s="1" t="s">
        <v>5578</v>
      </c>
      <c r="D186" s="1" t="s">
        <v>13374</v>
      </c>
      <c r="E186" s="1">
        <v>2</v>
      </c>
      <c r="F186" s="1"/>
      <c r="G186" s="1" t="s">
        <v>12859</v>
      </c>
      <c r="H186" s="1" t="s">
        <v>7623</v>
      </c>
      <c r="I186" s="1" t="s">
        <v>4862</v>
      </c>
      <c r="J186" s="1"/>
      <c r="K186" s="1"/>
      <c r="L186" s="1" t="s">
        <v>12860</v>
      </c>
      <c r="M186" s="1" t="s">
        <v>13375</v>
      </c>
      <c r="N186" s="1" t="s">
        <v>13376</v>
      </c>
      <c r="O186" s="1"/>
      <c r="P186" s="1" t="s">
        <v>12868</v>
      </c>
      <c r="Q186" s="1"/>
      <c r="R186" s="1"/>
      <c r="S186" s="1"/>
      <c r="T186" s="1"/>
      <c r="U186" s="1"/>
      <c r="V186" s="1"/>
      <c r="W186" s="1"/>
      <c r="X186" s="1"/>
      <c r="Y186" s="1"/>
      <c r="Z186" s="1"/>
      <c r="AA186" s="1">
        <f t="shared" si="9"/>
        <v>2</v>
      </c>
      <c r="AB186" s="1" t="str">
        <f t="shared" si="12"/>
        <v>R2 retained</v>
      </c>
      <c r="AC186" s="1"/>
      <c r="AD186" s="1"/>
      <c r="AE186" s="1"/>
      <c r="AF186" s="1"/>
      <c r="AG186" s="1"/>
      <c r="AH186" s="1"/>
      <c r="AI186" s="1">
        <f t="shared" si="10"/>
        <v>0</v>
      </c>
      <c r="AJ186" s="5"/>
      <c r="AK186" s="5"/>
      <c r="AL186" s="7" t="s">
        <v>15077</v>
      </c>
    </row>
    <row r="187" spans="1:38" ht="36" customHeight="1">
      <c r="A187" s="1" t="s">
        <v>4925</v>
      </c>
      <c r="B187" s="1" t="s">
        <v>5582</v>
      </c>
      <c r="C187" s="1" t="s">
        <v>5583</v>
      </c>
      <c r="D187" s="1" t="s">
        <v>4747</v>
      </c>
      <c r="E187" s="1">
        <v>0</v>
      </c>
      <c r="F187" s="1"/>
      <c r="G187" s="1" t="s">
        <v>12859</v>
      </c>
      <c r="H187" s="1" t="s">
        <v>7623</v>
      </c>
      <c r="I187" s="1" t="s">
        <v>4747</v>
      </c>
      <c r="J187" s="1"/>
      <c r="K187" s="1"/>
      <c r="L187" s="1" t="s">
        <v>12860</v>
      </c>
      <c r="M187" s="1" t="s">
        <v>7712</v>
      </c>
      <c r="N187" s="1" t="s">
        <v>13377</v>
      </c>
      <c r="O187" s="1"/>
      <c r="P187" s="1" t="s">
        <v>12863</v>
      </c>
      <c r="Q187" s="1"/>
      <c r="R187" s="1"/>
      <c r="S187" s="1"/>
      <c r="T187" s="1"/>
      <c r="U187" s="1"/>
      <c r="V187" s="1"/>
      <c r="W187" s="1"/>
      <c r="X187" s="1"/>
      <c r="Y187" s="1"/>
      <c r="Z187" s="1"/>
      <c r="AA187" s="1">
        <f t="shared" si="9"/>
        <v>0</v>
      </c>
      <c r="AB187" s="1" t="str">
        <f t="shared" si="12"/>
        <v>R2 retained</v>
      </c>
      <c r="AC187" s="1">
        <v>0</v>
      </c>
      <c r="AD187" s="1" t="s">
        <v>12884</v>
      </c>
      <c r="AE187" s="1" t="s">
        <v>13378</v>
      </c>
      <c r="AF187" s="1" t="s">
        <v>13379</v>
      </c>
      <c r="AG187" s="1" t="s">
        <v>7628</v>
      </c>
      <c r="AH187" s="1" t="s">
        <v>6096</v>
      </c>
      <c r="AI187" s="1">
        <f t="shared" si="10"/>
        <v>1</v>
      </c>
      <c r="AJ187" s="5" t="s">
        <v>12898</v>
      </c>
      <c r="AK187" s="5" t="s">
        <v>12899</v>
      </c>
      <c r="AL187" s="7" t="s">
        <v>15077</v>
      </c>
    </row>
    <row r="188" spans="1:38" ht="36" customHeight="1">
      <c r="A188" s="1" t="s">
        <v>4925</v>
      </c>
      <c r="B188" s="1" t="s">
        <v>5586</v>
      </c>
      <c r="C188" s="1" t="s">
        <v>5587</v>
      </c>
      <c r="D188" s="1" t="s">
        <v>13380</v>
      </c>
      <c r="E188" s="1">
        <v>2</v>
      </c>
      <c r="F188" s="1"/>
      <c r="G188" s="1" t="s">
        <v>12859</v>
      </c>
      <c r="H188" s="1" t="s">
        <v>7623</v>
      </c>
      <c r="I188" s="1" t="s">
        <v>4717</v>
      </c>
      <c r="J188" s="1"/>
      <c r="K188" s="1"/>
      <c r="L188" s="1" t="s">
        <v>12860</v>
      </c>
      <c r="M188" s="1" t="s">
        <v>13381</v>
      </c>
      <c r="N188" s="1" t="s">
        <v>13382</v>
      </c>
      <c r="O188" s="1"/>
      <c r="P188" s="1" t="s">
        <v>12868</v>
      </c>
      <c r="Q188" s="1"/>
      <c r="R188" s="1"/>
      <c r="S188" s="1"/>
      <c r="T188" s="1"/>
      <c r="U188" s="1"/>
      <c r="V188" s="1"/>
      <c r="W188" s="1"/>
      <c r="X188" s="1"/>
      <c r="Y188" s="1"/>
      <c r="Z188" s="1"/>
      <c r="AA188" s="1">
        <f t="shared" si="9"/>
        <v>2</v>
      </c>
      <c r="AB188" s="1" t="str">
        <f t="shared" si="12"/>
        <v>R2 retained</v>
      </c>
      <c r="AC188" s="1"/>
      <c r="AD188" s="1"/>
      <c r="AE188" s="1"/>
      <c r="AF188" s="1"/>
      <c r="AG188" s="1"/>
      <c r="AH188" s="1"/>
      <c r="AI188" s="1">
        <f t="shared" si="10"/>
        <v>0</v>
      </c>
      <c r="AJ188" s="5"/>
      <c r="AK188" s="5"/>
      <c r="AL188" s="7" t="s">
        <v>15077</v>
      </c>
    </row>
    <row r="189" spans="1:38" ht="96" customHeight="1">
      <c r="A189" s="1" t="s">
        <v>4925</v>
      </c>
      <c r="B189" s="1" t="s">
        <v>5591</v>
      </c>
      <c r="C189" s="1" t="s">
        <v>5592</v>
      </c>
      <c r="D189" s="1" t="s">
        <v>13383</v>
      </c>
      <c r="E189" s="1">
        <v>1</v>
      </c>
      <c r="F189" s="1">
        <v>0</v>
      </c>
      <c r="G189" s="1" t="s">
        <v>12873</v>
      </c>
      <c r="H189" s="1" t="s">
        <v>7623</v>
      </c>
      <c r="I189" s="1"/>
      <c r="J189" s="1"/>
      <c r="K189" s="1"/>
      <c r="L189" s="1" t="s">
        <v>12860</v>
      </c>
      <c r="M189" s="1" t="s">
        <v>13384</v>
      </c>
      <c r="N189" s="1" t="s">
        <v>13385</v>
      </c>
      <c r="O189" s="1" t="s">
        <v>13386</v>
      </c>
      <c r="P189" s="1" t="s">
        <v>12876</v>
      </c>
      <c r="Q189" s="1">
        <v>0</v>
      </c>
      <c r="R189" s="1" t="s">
        <v>12877</v>
      </c>
      <c r="S189" s="1" t="s">
        <v>13387</v>
      </c>
      <c r="T189" s="1" t="s">
        <v>13388</v>
      </c>
      <c r="U189" s="1" t="s">
        <v>7628</v>
      </c>
      <c r="V189" s="1" t="s">
        <v>6096</v>
      </c>
      <c r="W189" s="1" t="s">
        <v>12880</v>
      </c>
      <c r="X189" s="1"/>
      <c r="Y189" s="1" t="s">
        <v>13389</v>
      </c>
      <c r="Z189" s="1" t="s">
        <v>12883</v>
      </c>
      <c r="AA189" s="1">
        <f t="shared" si="9"/>
        <v>0</v>
      </c>
      <c r="AB189" s="1" t="str">
        <f t="shared" si="12"/>
        <v>Reviewer confirmed</v>
      </c>
      <c r="AC189" s="1">
        <v>0</v>
      </c>
      <c r="AD189" s="1" t="s">
        <v>12936</v>
      </c>
      <c r="AE189" s="1" t="s">
        <v>13390</v>
      </c>
      <c r="AF189" s="1" t="s">
        <v>13388</v>
      </c>
      <c r="AG189" s="1" t="s">
        <v>7628</v>
      </c>
      <c r="AH189" s="1" t="s">
        <v>6096</v>
      </c>
      <c r="AI189" s="1">
        <f t="shared" si="10"/>
        <v>1</v>
      </c>
      <c r="AJ189" s="5" t="s">
        <v>12898</v>
      </c>
      <c r="AK189" s="5" t="s">
        <v>12899</v>
      </c>
      <c r="AL189" s="7" t="s">
        <v>15077</v>
      </c>
    </row>
    <row r="190" spans="1:38" ht="36" customHeight="1">
      <c r="A190" s="1" t="s">
        <v>4925</v>
      </c>
      <c r="B190" s="1" t="s">
        <v>5596</v>
      </c>
      <c r="C190" s="1" t="s">
        <v>5597</v>
      </c>
      <c r="D190" s="1" t="s">
        <v>4747</v>
      </c>
      <c r="E190" s="1">
        <v>0</v>
      </c>
      <c r="F190" s="1"/>
      <c r="G190" s="1" t="s">
        <v>12859</v>
      </c>
      <c r="H190" s="1" t="s">
        <v>7623</v>
      </c>
      <c r="I190" s="1" t="s">
        <v>4747</v>
      </c>
      <c r="J190" s="1"/>
      <c r="K190" s="1"/>
      <c r="L190" s="1" t="s">
        <v>12860</v>
      </c>
      <c r="M190" s="1" t="s">
        <v>13391</v>
      </c>
      <c r="N190" s="1" t="s">
        <v>13392</v>
      </c>
      <c r="O190" s="1"/>
      <c r="P190" s="1" t="s">
        <v>12863</v>
      </c>
      <c r="Q190" s="1"/>
      <c r="R190" s="1"/>
      <c r="S190" s="1"/>
      <c r="T190" s="1"/>
      <c r="U190" s="1"/>
      <c r="V190" s="1"/>
      <c r="W190" s="1"/>
      <c r="X190" s="1"/>
      <c r="Y190" s="1"/>
      <c r="Z190" s="1"/>
      <c r="AA190" s="1">
        <f t="shared" si="9"/>
        <v>0</v>
      </c>
      <c r="AB190" s="1" t="str">
        <f t="shared" si="12"/>
        <v>R2 retained</v>
      </c>
      <c r="AC190" s="1"/>
      <c r="AD190" s="1"/>
      <c r="AE190" s="1"/>
      <c r="AF190" s="1"/>
      <c r="AG190" s="1"/>
      <c r="AH190" s="1"/>
      <c r="AI190" s="1">
        <f t="shared" si="10"/>
        <v>0</v>
      </c>
      <c r="AJ190" s="5"/>
      <c r="AK190" s="5"/>
      <c r="AL190" s="7" t="s">
        <v>15077</v>
      </c>
    </row>
    <row r="191" spans="1:38" ht="36" customHeight="1">
      <c r="A191" s="1" t="s">
        <v>4925</v>
      </c>
      <c r="B191" s="1" t="s">
        <v>5601</v>
      </c>
      <c r="C191" s="1" t="s">
        <v>5602</v>
      </c>
      <c r="D191" s="1" t="s">
        <v>7731</v>
      </c>
      <c r="E191" s="1">
        <v>1</v>
      </c>
      <c r="F191" s="1"/>
      <c r="G191" s="1" t="s">
        <v>12859</v>
      </c>
      <c r="H191" s="1" t="s">
        <v>7623</v>
      </c>
      <c r="I191" s="1"/>
      <c r="J191" s="1"/>
      <c r="K191" s="1"/>
      <c r="L191" s="1" t="s">
        <v>12860</v>
      </c>
      <c r="M191" s="1" t="s">
        <v>7732</v>
      </c>
      <c r="N191" s="1" t="s">
        <v>13393</v>
      </c>
      <c r="O191" s="1"/>
      <c r="P191" s="1" t="s">
        <v>12876</v>
      </c>
      <c r="Q191" s="1">
        <v>1</v>
      </c>
      <c r="R191" s="1" t="s">
        <v>12981</v>
      </c>
      <c r="S191" s="1" t="s">
        <v>13394</v>
      </c>
      <c r="T191" s="1" t="s">
        <v>13395</v>
      </c>
      <c r="U191" s="1" t="s">
        <v>7628</v>
      </c>
      <c r="V191" s="1" t="s">
        <v>6096</v>
      </c>
      <c r="W191" s="1"/>
      <c r="X191" s="1"/>
      <c r="Y191" s="1"/>
      <c r="Z191" s="1" t="s">
        <v>12908</v>
      </c>
      <c r="AA191" s="1">
        <f t="shared" si="9"/>
        <v>1</v>
      </c>
      <c r="AB191" s="1" t="str">
        <f t="shared" si="12"/>
        <v>R2 retained</v>
      </c>
      <c r="AC191" s="1"/>
      <c r="AD191" s="1"/>
      <c r="AE191" s="1"/>
      <c r="AF191" s="1"/>
      <c r="AG191" s="1"/>
      <c r="AH191" s="1"/>
      <c r="AI191" s="1">
        <f t="shared" si="10"/>
        <v>1</v>
      </c>
      <c r="AJ191" s="5"/>
      <c r="AK191" s="5"/>
      <c r="AL191" s="7" t="s">
        <v>15077</v>
      </c>
    </row>
    <row r="192" spans="1:38" ht="36" customHeight="1">
      <c r="A192" s="1" t="s">
        <v>4925</v>
      </c>
      <c r="B192" s="1" t="s">
        <v>5606</v>
      </c>
      <c r="C192" s="1" t="s">
        <v>5607</v>
      </c>
      <c r="D192" s="1" t="s">
        <v>4747</v>
      </c>
      <c r="E192" s="1">
        <v>2</v>
      </c>
      <c r="F192" s="1"/>
      <c r="G192" s="1" t="s">
        <v>12859</v>
      </c>
      <c r="H192" s="1" t="s">
        <v>7623</v>
      </c>
      <c r="I192" s="1" t="s">
        <v>4717</v>
      </c>
      <c r="J192" s="1"/>
      <c r="K192" s="1"/>
      <c r="L192" s="1" t="s">
        <v>12860</v>
      </c>
      <c r="M192" s="1" t="s">
        <v>7735</v>
      </c>
      <c r="N192" s="1" t="s">
        <v>13396</v>
      </c>
      <c r="O192" s="1"/>
      <c r="P192" s="1" t="s">
        <v>12868</v>
      </c>
      <c r="Q192" s="1"/>
      <c r="R192" s="1"/>
      <c r="S192" s="1"/>
      <c r="T192" s="1"/>
      <c r="U192" s="1"/>
      <c r="V192" s="1"/>
      <c r="W192" s="1"/>
      <c r="X192" s="1"/>
      <c r="Y192" s="1"/>
      <c r="Z192" s="1"/>
      <c r="AA192" s="1">
        <f t="shared" si="9"/>
        <v>2</v>
      </c>
      <c r="AB192" s="1" t="str">
        <f t="shared" si="12"/>
        <v>R2 retained</v>
      </c>
      <c r="AC192" s="1"/>
      <c r="AD192" s="1"/>
      <c r="AE192" s="1"/>
      <c r="AF192" s="1"/>
      <c r="AG192" s="1"/>
      <c r="AH192" s="1"/>
      <c r="AI192" s="1">
        <f t="shared" si="10"/>
        <v>0</v>
      </c>
      <c r="AJ192" s="5"/>
      <c r="AK192" s="5"/>
      <c r="AL192" s="7" t="s">
        <v>15077</v>
      </c>
    </row>
    <row r="193" spans="1:38" ht="48" customHeight="1">
      <c r="A193" s="1" t="s">
        <v>4925</v>
      </c>
      <c r="B193" s="1" t="s">
        <v>5454</v>
      </c>
      <c r="C193" s="1" t="s">
        <v>5455</v>
      </c>
      <c r="D193" s="1" t="s">
        <v>4747</v>
      </c>
      <c r="E193" s="1">
        <v>1</v>
      </c>
      <c r="F193" s="1">
        <v>0</v>
      </c>
      <c r="G193" s="1" t="s">
        <v>4691</v>
      </c>
      <c r="H193" s="1" t="s">
        <v>7623</v>
      </c>
      <c r="I193" s="1" t="s">
        <v>4904</v>
      </c>
      <c r="J193" s="1"/>
      <c r="K193" s="1"/>
      <c r="L193" s="1" t="s">
        <v>12860</v>
      </c>
      <c r="M193" s="1" t="s">
        <v>7738</v>
      </c>
      <c r="N193" s="1" t="s">
        <v>13397</v>
      </c>
      <c r="O193" s="1" t="s">
        <v>13398</v>
      </c>
      <c r="P193" s="1" t="s">
        <v>12917</v>
      </c>
      <c r="Q193" s="1"/>
      <c r="R193" s="1"/>
      <c r="S193" s="1"/>
      <c r="T193" s="1"/>
      <c r="U193" s="1"/>
      <c r="V193" s="1"/>
      <c r="W193" s="1"/>
      <c r="X193" s="1"/>
      <c r="Y193" s="1" t="s">
        <v>5718</v>
      </c>
      <c r="Z193" s="1" t="s">
        <v>12918</v>
      </c>
      <c r="AA193" s="1">
        <f t="shared" si="9"/>
        <v>0</v>
      </c>
      <c r="AB193" s="1" t="str">
        <f t="shared" si="12"/>
        <v>Reviewer confirmed</v>
      </c>
      <c r="AC193" s="1">
        <v>0</v>
      </c>
      <c r="AD193" s="1" t="s">
        <v>12936</v>
      </c>
      <c r="AE193" s="1" t="s">
        <v>5718</v>
      </c>
      <c r="AF193" s="1" t="s">
        <v>5717</v>
      </c>
      <c r="AG193" s="1" t="s">
        <v>5719</v>
      </c>
      <c r="AH193" s="1" t="s">
        <v>5461</v>
      </c>
      <c r="AI193" s="1">
        <f t="shared" si="10"/>
        <v>1</v>
      </c>
      <c r="AJ193" s="5" t="s">
        <v>12898</v>
      </c>
      <c r="AK193" s="5" t="s">
        <v>12899</v>
      </c>
      <c r="AL193" s="7" t="s">
        <v>15077</v>
      </c>
    </row>
    <row r="194" spans="1:38" ht="36" customHeight="1">
      <c r="A194" s="1" t="s">
        <v>4941</v>
      </c>
      <c r="B194" s="1" t="s">
        <v>5537</v>
      </c>
      <c r="C194" s="1" t="s">
        <v>5538</v>
      </c>
      <c r="D194" s="1" t="s">
        <v>13399</v>
      </c>
      <c r="E194" s="1">
        <v>0</v>
      </c>
      <c r="F194" s="1"/>
      <c r="G194" s="1" t="s">
        <v>12859</v>
      </c>
      <c r="H194" s="1" t="s">
        <v>422</v>
      </c>
      <c r="I194" s="1" t="s">
        <v>4747</v>
      </c>
      <c r="J194" s="1"/>
      <c r="K194" s="1"/>
      <c r="L194" s="1" t="s">
        <v>12860</v>
      </c>
      <c r="M194" s="1" t="s">
        <v>13400</v>
      </c>
      <c r="N194" s="1" t="s">
        <v>13401</v>
      </c>
      <c r="O194" s="1"/>
      <c r="P194" s="1" t="s">
        <v>12863</v>
      </c>
      <c r="Q194" s="1"/>
      <c r="R194" s="1"/>
      <c r="S194" s="1"/>
      <c r="T194" s="1"/>
      <c r="U194" s="1"/>
      <c r="V194" s="1"/>
      <c r="W194" s="1"/>
      <c r="X194" s="1"/>
      <c r="Y194" s="1"/>
      <c r="Z194" s="1"/>
      <c r="AA194" s="1">
        <f t="shared" ref="AA194:AA257" si="13">IF(OR(ISNUMBER(F194),F194="NA"),F194,IF(AD194="uncertain","",IF(OR(ISNUMBER(AC194),AC194="NA"),AC194,E194)))</f>
        <v>0</v>
      </c>
      <c r="AB194" s="1" t="str">
        <f t="shared" si="12"/>
        <v>R2 retained</v>
      </c>
      <c r="AC194" s="1"/>
      <c r="AD194" s="1"/>
      <c r="AE194" s="1"/>
      <c r="AF194" s="1"/>
      <c r="AG194" s="1"/>
      <c r="AH194" s="1"/>
      <c r="AI194" s="1">
        <f t="shared" ref="AI194:AI257" si="14">IF(OR(R194&lt;&gt;"",AD194&lt;&gt;""),1,0)</f>
        <v>0</v>
      </c>
      <c r="AJ194" s="5"/>
      <c r="AK194" s="5"/>
      <c r="AL194" s="7" t="s">
        <v>15077</v>
      </c>
    </row>
    <row r="195" spans="1:38" ht="36" customHeight="1">
      <c r="A195" s="1" t="s">
        <v>4941</v>
      </c>
      <c r="B195" s="1" t="s">
        <v>5542</v>
      </c>
      <c r="C195" s="1" t="s">
        <v>5543</v>
      </c>
      <c r="D195" s="1" t="s">
        <v>4747</v>
      </c>
      <c r="E195" s="1">
        <v>0</v>
      </c>
      <c r="F195" s="1"/>
      <c r="G195" s="1" t="s">
        <v>12859</v>
      </c>
      <c r="H195" s="1" t="s">
        <v>422</v>
      </c>
      <c r="I195" s="1" t="s">
        <v>4747</v>
      </c>
      <c r="J195" s="1"/>
      <c r="K195" s="1"/>
      <c r="L195" s="1" t="s">
        <v>12860</v>
      </c>
      <c r="M195" s="1" t="s">
        <v>13402</v>
      </c>
      <c r="N195" s="1" t="s">
        <v>13403</v>
      </c>
      <c r="O195" s="1"/>
      <c r="P195" s="1" t="s">
        <v>12863</v>
      </c>
      <c r="Q195" s="1"/>
      <c r="R195" s="1"/>
      <c r="S195" s="1"/>
      <c r="T195" s="1"/>
      <c r="U195" s="1"/>
      <c r="V195" s="1"/>
      <c r="W195" s="1"/>
      <c r="X195" s="1"/>
      <c r="Y195" s="1"/>
      <c r="Z195" s="1"/>
      <c r="AA195" s="1">
        <f t="shared" si="13"/>
        <v>0</v>
      </c>
      <c r="AB195" s="1" t="str">
        <f t="shared" si="12"/>
        <v>R2 retained</v>
      </c>
      <c r="AC195" s="1"/>
      <c r="AD195" s="1"/>
      <c r="AE195" s="1"/>
      <c r="AF195" s="1"/>
      <c r="AG195" s="1"/>
      <c r="AH195" s="1"/>
      <c r="AI195" s="1">
        <f t="shared" si="14"/>
        <v>0</v>
      </c>
      <c r="AJ195" s="5"/>
      <c r="AK195" s="5"/>
      <c r="AL195" s="7" t="s">
        <v>15077</v>
      </c>
    </row>
    <row r="196" spans="1:38" ht="36" customHeight="1">
      <c r="A196" s="1" t="s">
        <v>4941</v>
      </c>
      <c r="B196" s="1" t="s">
        <v>5547</v>
      </c>
      <c r="C196" s="1" t="s">
        <v>5548</v>
      </c>
      <c r="D196" s="1" t="s">
        <v>4747</v>
      </c>
      <c r="E196" s="1">
        <v>1</v>
      </c>
      <c r="F196" s="1"/>
      <c r="G196" s="1" t="s">
        <v>12859</v>
      </c>
      <c r="H196" s="1" t="s">
        <v>422</v>
      </c>
      <c r="I196" s="1" t="s">
        <v>4862</v>
      </c>
      <c r="J196" s="1"/>
      <c r="K196" s="1"/>
      <c r="L196" s="1" t="s">
        <v>12860</v>
      </c>
      <c r="M196" s="1" t="s">
        <v>13404</v>
      </c>
      <c r="N196" s="1" t="s">
        <v>13405</v>
      </c>
      <c r="O196" s="1"/>
      <c r="P196" s="1" t="s">
        <v>12868</v>
      </c>
      <c r="Q196" s="1"/>
      <c r="R196" s="1"/>
      <c r="S196" s="1"/>
      <c r="T196" s="1"/>
      <c r="U196" s="1"/>
      <c r="V196" s="1"/>
      <c r="W196" s="1"/>
      <c r="X196" s="1"/>
      <c r="Y196" s="1"/>
      <c r="Z196" s="1"/>
      <c r="AA196" s="1">
        <f t="shared" si="13"/>
        <v>1</v>
      </c>
      <c r="AB196" s="1" t="str">
        <f t="shared" si="12"/>
        <v>R2 retained</v>
      </c>
      <c r="AC196" s="1"/>
      <c r="AD196" s="1"/>
      <c r="AE196" s="1"/>
      <c r="AF196" s="1"/>
      <c r="AG196" s="1"/>
      <c r="AH196" s="1"/>
      <c r="AI196" s="1">
        <f t="shared" si="14"/>
        <v>0</v>
      </c>
      <c r="AJ196" s="5"/>
      <c r="AK196" s="5"/>
      <c r="AL196" s="7" t="s">
        <v>15077</v>
      </c>
    </row>
    <row r="197" spans="1:38" ht="36" customHeight="1">
      <c r="A197" s="1" t="s">
        <v>4941</v>
      </c>
      <c r="B197" s="1" t="s">
        <v>5552</v>
      </c>
      <c r="C197" s="1" t="s">
        <v>5553</v>
      </c>
      <c r="D197" s="1" t="s">
        <v>13406</v>
      </c>
      <c r="E197" s="1">
        <v>1</v>
      </c>
      <c r="F197" s="1"/>
      <c r="G197" s="1" t="s">
        <v>12859</v>
      </c>
      <c r="H197" s="1" t="s">
        <v>422</v>
      </c>
      <c r="I197" s="1" t="s">
        <v>11735</v>
      </c>
      <c r="J197" s="1"/>
      <c r="K197" s="1"/>
      <c r="L197" s="1" t="s">
        <v>12860</v>
      </c>
      <c r="M197" s="1" t="s">
        <v>13407</v>
      </c>
      <c r="N197" s="1" t="s">
        <v>13408</v>
      </c>
      <c r="O197" s="1"/>
      <c r="P197" s="1" t="s">
        <v>12868</v>
      </c>
      <c r="Q197" s="1"/>
      <c r="R197" s="1"/>
      <c r="S197" s="1"/>
      <c r="T197" s="1"/>
      <c r="U197" s="1"/>
      <c r="V197" s="1"/>
      <c r="W197" s="1"/>
      <c r="X197" s="1"/>
      <c r="Y197" s="1"/>
      <c r="Z197" s="1"/>
      <c r="AA197" s="1">
        <f t="shared" si="13"/>
        <v>1</v>
      </c>
      <c r="AB197" s="1" t="str">
        <f t="shared" si="12"/>
        <v>R2 retained</v>
      </c>
      <c r="AC197" s="1"/>
      <c r="AD197" s="1"/>
      <c r="AE197" s="1"/>
      <c r="AF197" s="1"/>
      <c r="AG197" s="1"/>
      <c r="AH197" s="1"/>
      <c r="AI197" s="1">
        <f t="shared" si="14"/>
        <v>0</v>
      </c>
      <c r="AJ197" s="5"/>
      <c r="AK197" s="5"/>
      <c r="AL197" s="7" t="s">
        <v>15077</v>
      </c>
    </row>
    <row r="198" spans="1:38" ht="36" customHeight="1">
      <c r="A198" s="1" t="s">
        <v>4941</v>
      </c>
      <c r="B198" s="1" t="s">
        <v>5557</v>
      </c>
      <c r="C198" s="1" t="s">
        <v>5558</v>
      </c>
      <c r="D198" s="1" t="s">
        <v>7792</v>
      </c>
      <c r="E198" s="1">
        <v>1</v>
      </c>
      <c r="F198" s="1"/>
      <c r="G198" s="1" t="s">
        <v>12859</v>
      </c>
      <c r="H198" s="1" t="s">
        <v>422</v>
      </c>
      <c r="I198" s="1" t="s">
        <v>4966</v>
      </c>
      <c r="J198" s="1"/>
      <c r="K198" s="1"/>
      <c r="L198" s="1" t="s">
        <v>12860</v>
      </c>
      <c r="M198" s="1" t="s">
        <v>7794</v>
      </c>
      <c r="N198" s="1" t="s">
        <v>13409</v>
      </c>
      <c r="O198" s="1"/>
      <c r="P198" s="1" t="s">
        <v>12868</v>
      </c>
      <c r="Q198" s="1"/>
      <c r="R198" s="1"/>
      <c r="S198" s="1"/>
      <c r="T198" s="1"/>
      <c r="U198" s="1"/>
      <c r="V198" s="1"/>
      <c r="W198" s="1"/>
      <c r="X198" s="1"/>
      <c r="Y198" s="1"/>
      <c r="Z198" s="1"/>
      <c r="AA198" s="1">
        <f t="shared" si="13"/>
        <v>1</v>
      </c>
      <c r="AB198" s="1" t="str">
        <f t="shared" si="12"/>
        <v>R2 retained</v>
      </c>
      <c r="AC198" s="1"/>
      <c r="AD198" s="1"/>
      <c r="AE198" s="1"/>
      <c r="AF198" s="1"/>
      <c r="AG198" s="1"/>
      <c r="AH198" s="1"/>
      <c r="AI198" s="1">
        <f t="shared" si="14"/>
        <v>0</v>
      </c>
      <c r="AJ198" s="5"/>
      <c r="AK198" s="5"/>
      <c r="AL198" s="7" t="s">
        <v>15077</v>
      </c>
    </row>
    <row r="199" spans="1:38" ht="36" customHeight="1">
      <c r="A199" s="1" t="s">
        <v>4941</v>
      </c>
      <c r="B199" s="1" t="s">
        <v>5562</v>
      </c>
      <c r="C199" s="1" t="s">
        <v>5563</v>
      </c>
      <c r="D199" s="1" t="s">
        <v>7796</v>
      </c>
      <c r="E199" s="1">
        <v>1</v>
      </c>
      <c r="F199" s="1"/>
      <c r="G199" s="1" t="s">
        <v>12859</v>
      </c>
      <c r="H199" s="1" t="s">
        <v>422</v>
      </c>
      <c r="I199" s="1" t="s">
        <v>4862</v>
      </c>
      <c r="J199" s="1"/>
      <c r="K199" s="1"/>
      <c r="L199" s="1" t="s">
        <v>12860</v>
      </c>
      <c r="M199" s="1" t="s">
        <v>7799</v>
      </c>
      <c r="N199" s="1" t="s">
        <v>13410</v>
      </c>
      <c r="O199" s="1"/>
      <c r="P199" s="1" t="s">
        <v>12868</v>
      </c>
      <c r="Q199" s="1"/>
      <c r="R199" s="1"/>
      <c r="S199" s="1"/>
      <c r="T199" s="1"/>
      <c r="U199" s="1"/>
      <c r="V199" s="1"/>
      <c r="W199" s="1"/>
      <c r="X199" s="1"/>
      <c r="Y199" s="1"/>
      <c r="Z199" s="1"/>
      <c r="AA199" s="1">
        <f t="shared" si="13"/>
        <v>1</v>
      </c>
      <c r="AB199" s="1" t="str">
        <f t="shared" si="12"/>
        <v>R2 retained</v>
      </c>
      <c r="AC199" s="1">
        <v>1</v>
      </c>
      <c r="AD199" s="1" t="s">
        <v>12884</v>
      </c>
      <c r="AE199" s="1" t="s">
        <v>13411</v>
      </c>
      <c r="AF199" s="1" t="s">
        <v>13412</v>
      </c>
      <c r="AG199" s="1" t="s">
        <v>7757</v>
      </c>
      <c r="AH199" s="1" t="s">
        <v>6096</v>
      </c>
      <c r="AI199" s="1">
        <f t="shared" si="14"/>
        <v>1</v>
      </c>
      <c r="AJ199" s="5"/>
      <c r="AK199" s="5"/>
      <c r="AL199" s="7" t="s">
        <v>15077</v>
      </c>
    </row>
    <row r="200" spans="1:38" ht="36" customHeight="1">
      <c r="A200" s="1" t="s">
        <v>4941</v>
      </c>
      <c r="B200" s="1" t="s">
        <v>5567</v>
      </c>
      <c r="C200" s="1" t="s">
        <v>5568</v>
      </c>
      <c r="D200" s="1" t="s">
        <v>13413</v>
      </c>
      <c r="E200" s="1">
        <v>2</v>
      </c>
      <c r="F200" s="1"/>
      <c r="G200" s="1" t="s">
        <v>12859</v>
      </c>
      <c r="H200" s="1" t="s">
        <v>422</v>
      </c>
      <c r="I200" s="1" t="s">
        <v>4737</v>
      </c>
      <c r="J200" s="1"/>
      <c r="K200" s="1"/>
      <c r="L200" s="1" t="s">
        <v>12860</v>
      </c>
      <c r="M200" s="1" t="s">
        <v>13414</v>
      </c>
      <c r="N200" s="1" t="s">
        <v>13415</v>
      </c>
      <c r="O200" s="1"/>
      <c r="P200" s="1" t="s">
        <v>12868</v>
      </c>
      <c r="Q200" s="1"/>
      <c r="R200" s="1"/>
      <c r="S200" s="1"/>
      <c r="T200" s="1"/>
      <c r="U200" s="1"/>
      <c r="V200" s="1"/>
      <c r="W200" s="1"/>
      <c r="X200" s="1"/>
      <c r="Y200" s="1"/>
      <c r="Z200" s="1"/>
      <c r="AA200" s="1">
        <f t="shared" si="13"/>
        <v>2</v>
      </c>
      <c r="AB200" s="1" t="str">
        <f t="shared" si="12"/>
        <v>R2 retained</v>
      </c>
      <c r="AC200" s="1"/>
      <c r="AD200" s="1"/>
      <c r="AE200" s="1"/>
      <c r="AF200" s="1"/>
      <c r="AG200" s="1"/>
      <c r="AH200" s="1"/>
      <c r="AI200" s="1">
        <f t="shared" si="14"/>
        <v>0</v>
      </c>
      <c r="AJ200" s="5"/>
      <c r="AK200" s="5"/>
      <c r="AL200" s="7" t="s">
        <v>15077</v>
      </c>
    </row>
    <row r="201" spans="1:38" ht="36" customHeight="1">
      <c r="A201" s="1" t="s">
        <v>4941</v>
      </c>
      <c r="B201" s="1" t="s">
        <v>5572</v>
      </c>
      <c r="C201" s="1" t="s">
        <v>5573</v>
      </c>
      <c r="D201" s="1" t="s">
        <v>13416</v>
      </c>
      <c r="E201" s="1">
        <v>1</v>
      </c>
      <c r="F201" s="1"/>
      <c r="G201" s="1" t="s">
        <v>12859</v>
      </c>
      <c r="H201" s="1" t="s">
        <v>422</v>
      </c>
      <c r="I201" s="1" t="s">
        <v>4764</v>
      </c>
      <c r="J201" s="1"/>
      <c r="K201" s="1"/>
      <c r="L201" s="1" t="s">
        <v>12860</v>
      </c>
      <c r="M201" s="1" t="s">
        <v>13417</v>
      </c>
      <c r="N201" s="1" t="s">
        <v>13418</v>
      </c>
      <c r="O201" s="1"/>
      <c r="P201" s="1" t="s">
        <v>12868</v>
      </c>
      <c r="Q201" s="1"/>
      <c r="R201" s="1"/>
      <c r="S201" s="1"/>
      <c r="T201" s="1"/>
      <c r="U201" s="1"/>
      <c r="V201" s="1"/>
      <c r="W201" s="1"/>
      <c r="X201" s="1"/>
      <c r="Y201" s="1"/>
      <c r="Z201" s="1"/>
      <c r="AA201" s="1">
        <f t="shared" si="13"/>
        <v>1</v>
      </c>
      <c r="AB201" s="1" t="str">
        <f t="shared" si="12"/>
        <v>R2 retained</v>
      </c>
      <c r="AC201" s="1"/>
      <c r="AD201" s="1"/>
      <c r="AE201" s="1"/>
      <c r="AF201" s="1"/>
      <c r="AG201" s="1"/>
      <c r="AH201" s="1"/>
      <c r="AI201" s="1">
        <f t="shared" si="14"/>
        <v>0</v>
      </c>
      <c r="AJ201" s="5"/>
      <c r="AK201" s="5"/>
      <c r="AL201" s="7" t="s">
        <v>15077</v>
      </c>
    </row>
    <row r="202" spans="1:38" ht="36" customHeight="1">
      <c r="A202" s="1" t="s">
        <v>4941</v>
      </c>
      <c r="B202" s="1" t="s">
        <v>5577</v>
      </c>
      <c r="C202" s="1" t="s">
        <v>5578</v>
      </c>
      <c r="D202" s="1" t="s">
        <v>13419</v>
      </c>
      <c r="E202" s="1">
        <v>2</v>
      </c>
      <c r="F202" s="1"/>
      <c r="G202" s="1" t="s">
        <v>12859</v>
      </c>
      <c r="H202" s="1" t="s">
        <v>422</v>
      </c>
      <c r="I202" s="1" t="s">
        <v>4896</v>
      </c>
      <c r="J202" s="1"/>
      <c r="K202" s="1"/>
      <c r="L202" s="1" t="s">
        <v>12860</v>
      </c>
      <c r="M202" s="1" t="s">
        <v>13420</v>
      </c>
      <c r="N202" s="1" t="s">
        <v>13421</v>
      </c>
      <c r="O202" s="1"/>
      <c r="P202" s="1" t="s">
        <v>12868</v>
      </c>
      <c r="Q202" s="1"/>
      <c r="R202" s="1"/>
      <c r="S202" s="1"/>
      <c r="T202" s="1"/>
      <c r="U202" s="1"/>
      <c r="V202" s="1"/>
      <c r="W202" s="1"/>
      <c r="X202" s="1"/>
      <c r="Y202" s="1"/>
      <c r="Z202" s="1"/>
      <c r="AA202" s="1">
        <f t="shared" si="13"/>
        <v>2</v>
      </c>
      <c r="AB202" s="1" t="str">
        <f t="shared" si="12"/>
        <v>R2 retained</v>
      </c>
      <c r="AC202" s="1"/>
      <c r="AD202" s="1"/>
      <c r="AE202" s="1"/>
      <c r="AF202" s="1"/>
      <c r="AG202" s="1"/>
      <c r="AH202" s="1"/>
      <c r="AI202" s="1">
        <f t="shared" si="14"/>
        <v>0</v>
      </c>
      <c r="AJ202" s="5"/>
      <c r="AK202" s="5"/>
      <c r="AL202" s="7" t="s">
        <v>15077</v>
      </c>
    </row>
    <row r="203" spans="1:38" ht="36" customHeight="1">
      <c r="A203" s="1" t="s">
        <v>4941</v>
      </c>
      <c r="B203" s="1" t="s">
        <v>5582</v>
      </c>
      <c r="C203" s="1" t="s">
        <v>5583</v>
      </c>
      <c r="D203" s="1" t="s">
        <v>7842</v>
      </c>
      <c r="E203" s="1">
        <v>0</v>
      </c>
      <c r="F203" s="1"/>
      <c r="G203" s="1" t="s">
        <v>12859</v>
      </c>
      <c r="H203" s="1" t="s">
        <v>422</v>
      </c>
      <c r="I203" s="1" t="s">
        <v>4747</v>
      </c>
      <c r="J203" s="1"/>
      <c r="K203" s="1"/>
      <c r="L203" s="1" t="s">
        <v>12860</v>
      </c>
      <c r="M203" s="1" t="s">
        <v>7844</v>
      </c>
      <c r="N203" s="1" t="s">
        <v>13422</v>
      </c>
      <c r="O203" s="1"/>
      <c r="P203" s="1" t="s">
        <v>12863</v>
      </c>
      <c r="Q203" s="1"/>
      <c r="R203" s="1"/>
      <c r="S203" s="1"/>
      <c r="T203" s="1"/>
      <c r="U203" s="1"/>
      <c r="V203" s="1"/>
      <c r="W203" s="1"/>
      <c r="X203" s="1"/>
      <c r="Y203" s="1"/>
      <c r="Z203" s="1"/>
      <c r="AA203" s="1">
        <f t="shared" si="13"/>
        <v>0</v>
      </c>
      <c r="AB203" s="1" t="str">
        <f t="shared" si="12"/>
        <v>R2 retained</v>
      </c>
      <c r="AC203" s="1">
        <v>0</v>
      </c>
      <c r="AD203" s="1" t="s">
        <v>12884</v>
      </c>
      <c r="AE203" s="1" t="s">
        <v>13049</v>
      </c>
      <c r="AF203" s="1" t="s">
        <v>422</v>
      </c>
      <c r="AG203" s="1" t="s">
        <v>7757</v>
      </c>
      <c r="AH203" s="1" t="s">
        <v>6096</v>
      </c>
      <c r="AI203" s="1">
        <f t="shared" si="14"/>
        <v>1</v>
      </c>
      <c r="AJ203" s="5" t="s">
        <v>12898</v>
      </c>
      <c r="AK203" s="5" t="s">
        <v>12899</v>
      </c>
      <c r="AL203" s="7" t="s">
        <v>15077</v>
      </c>
    </row>
    <row r="204" spans="1:38" ht="36" customHeight="1">
      <c r="A204" s="1" t="s">
        <v>4941</v>
      </c>
      <c r="B204" s="1" t="s">
        <v>5586</v>
      </c>
      <c r="C204" s="1" t="s">
        <v>5587</v>
      </c>
      <c r="D204" s="1" t="s">
        <v>13423</v>
      </c>
      <c r="E204" s="1">
        <v>2</v>
      </c>
      <c r="F204" s="1"/>
      <c r="G204" s="1" t="s">
        <v>12859</v>
      </c>
      <c r="H204" s="1" t="s">
        <v>422</v>
      </c>
      <c r="I204" s="1" t="s">
        <v>12313</v>
      </c>
      <c r="J204" s="1"/>
      <c r="K204" s="1"/>
      <c r="L204" s="1" t="s">
        <v>12860</v>
      </c>
      <c r="M204" s="1" t="s">
        <v>13424</v>
      </c>
      <c r="N204" s="1" t="s">
        <v>13425</v>
      </c>
      <c r="O204" s="1"/>
      <c r="P204" s="1" t="s">
        <v>12868</v>
      </c>
      <c r="Q204" s="1"/>
      <c r="R204" s="1"/>
      <c r="S204" s="1"/>
      <c r="T204" s="1"/>
      <c r="U204" s="1"/>
      <c r="V204" s="1"/>
      <c r="W204" s="1"/>
      <c r="X204" s="1"/>
      <c r="Y204" s="1"/>
      <c r="Z204" s="1"/>
      <c r="AA204" s="1">
        <f t="shared" si="13"/>
        <v>2</v>
      </c>
      <c r="AB204" s="1" t="str">
        <f t="shared" ref="AB204:AB235" si="15">IF(OR(ISNUMBER(F204),F204="NA"),"Reviewer confirmed",IF(AD204="uncertain","Unresolved under clarified rule",IF(AND(OR(ISNUMBER(AC204),AC204="NA"),AC204&lt;&gt;E204),"Analyst scope correction","R2 retained")))</f>
        <v>R2 retained</v>
      </c>
      <c r="AC204" s="1"/>
      <c r="AD204" s="1"/>
      <c r="AE204" s="1"/>
      <c r="AF204" s="1"/>
      <c r="AG204" s="1"/>
      <c r="AH204" s="1"/>
      <c r="AI204" s="1">
        <f t="shared" si="14"/>
        <v>0</v>
      </c>
      <c r="AJ204" s="5"/>
      <c r="AK204" s="5"/>
      <c r="AL204" s="7" t="s">
        <v>15077</v>
      </c>
    </row>
    <row r="205" spans="1:38" ht="72" customHeight="1">
      <c r="A205" s="1" t="s">
        <v>4941</v>
      </c>
      <c r="B205" s="1" t="s">
        <v>5591</v>
      </c>
      <c r="C205" s="1" t="s">
        <v>5592</v>
      </c>
      <c r="D205" s="1" t="s">
        <v>13426</v>
      </c>
      <c r="E205" s="1">
        <v>0</v>
      </c>
      <c r="F205" s="1"/>
      <c r="G205" s="1" t="s">
        <v>12859</v>
      </c>
      <c r="H205" s="1" t="s">
        <v>422</v>
      </c>
      <c r="I205" s="1" t="s">
        <v>4747</v>
      </c>
      <c r="J205" s="1"/>
      <c r="K205" s="1"/>
      <c r="L205" s="1" t="s">
        <v>12860</v>
      </c>
      <c r="M205" s="1" t="s">
        <v>13427</v>
      </c>
      <c r="N205" s="1" t="s">
        <v>13428</v>
      </c>
      <c r="O205" s="1"/>
      <c r="P205" s="1" t="s">
        <v>12863</v>
      </c>
      <c r="Q205" s="1">
        <v>0</v>
      </c>
      <c r="R205" s="1" t="s">
        <v>12904</v>
      </c>
      <c r="S205" s="1" t="s">
        <v>13429</v>
      </c>
      <c r="T205" s="1" t="s">
        <v>13430</v>
      </c>
      <c r="U205" s="1" t="s">
        <v>7757</v>
      </c>
      <c r="V205" s="1" t="s">
        <v>6096</v>
      </c>
      <c r="W205" s="1" t="s">
        <v>12907</v>
      </c>
      <c r="X205" s="1"/>
      <c r="Y205" s="1"/>
      <c r="Z205" s="1" t="s">
        <v>12908</v>
      </c>
      <c r="AA205" s="1">
        <f t="shared" si="13"/>
        <v>0</v>
      </c>
      <c r="AB205" s="1" t="str">
        <f t="shared" si="15"/>
        <v>R2 retained</v>
      </c>
      <c r="AC205" s="1">
        <v>0</v>
      </c>
      <c r="AD205" s="1" t="s">
        <v>12884</v>
      </c>
      <c r="AE205" s="1" t="s">
        <v>13431</v>
      </c>
      <c r="AF205" s="1" t="s">
        <v>13430</v>
      </c>
      <c r="AG205" s="1" t="s">
        <v>7757</v>
      </c>
      <c r="AH205" s="1" t="s">
        <v>6096</v>
      </c>
      <c r="AI205" s="1">
        <f t="shared" si="14"/>
        <v>1</v>
      </c>
      <c r="AJ205" s="5" t="s">
        <v>12898</v>
      </c>
      <c r="AK205" s="5" t="s">
        <v>12899</v>
      </c>
      <c r="AL205" s="7" t="s">
        <v>15077</v>
      </c>
    </row>
    <row r="206" spans="1:38" ht="36" customHeight="1">
      <c r="A206" s="1" t="s">
        <v>4941</v>
      </c>
      <c r="B206" s="1" t="s">
        <v>5596</v>
      </c>
      <c r="C206" s="1" t="s">
        <v>5597</v>
      </c>
      <c r="D206" s="1" t="s">
        <v>13432</v>
      </c>
      <c r="E206" s="1">
        <v>2</v>
      </c>
      <c r="F206" s="1"/>
      <c r="G206" s="1" t="s">
        <v>12859</v>
      </c>
      <c r="H206" s="1" t="s">
        <v>422</v>
      </c>
      <c r="I206" s="1" t="s">
        <v>4862</v>
      </c>
      <c r="J206" s="1"/>
      <c r="K206" s="1"/>
      <c r="L206" s="1" t="s">
        <v>12860</v>
      </c>
      <c r="M206" s="1" t="s">
        <v>13433</v>
      </c>
      <c r="N206" s="1" t="s">
        <v>13434</v>
      </c>
      <c r="O206" s="1"/>
      <c r="P206" s="1" t="s">
        <v>12868</v>
      </c>
      <c r="Q206" s="1"/>
      <c r="R206" s="1"/>
      <c r="S206" s="1"/>
      <c r="T206" s="1"/>
      <c r="U206" s="1"/>
      <c r="V206" s="1"/>
      <c r="W206" s="1"/>
      <c r="X206" s="1"/>
      <c r="Y206" s="1"/>
      <c r="Z206" s="1"/>
      <c r="AA206" s="1">
        <f t="shared" si="13"/>
        <v>2</v>
      </c>
      <c r="AB206" s="1" t="str">
        <f t="shared" si="15"/>
        <v>R2 retained</v>
      </c>
      <c r="AC206" s="1"/>
      <c r="AD206" s="1"/>
      <c r="AE206" s="1"/>
      <c r="AF206" s="1"/>
      <c r="AG206" s="1"/>
      <c r="AH206" s="1"/>
      <c r="AI206" s="1">
        <f t="shared" si="14"/>
        <v>0</v>
      </c>
      <c r="AJ206" s="5"/>
      <c r="AK206" s="5"/>
      <c r="AL206" s="7" t="s">
        <v>15077</v>
      </c>
    </row>
    <row r="207" spans="1:38" ht="36" customHeight="1">
      <c r="A207" s="1" t="s">
        <v>4941</v>
      </c>
      <c r="B207" s="1" t="s">
        <v>5601</v>
      </c>
      <c r="C207" s="1" t="s">
        <v>5602</v>
      </c>
      <c r="D207" s="1" t="s">
        <v>7865</v>
      </c>
      <c r="E207" s="1">
        <v>1</v>
      </c>
      <c r="F207" s="1"/>
      <c r="G207" s="1" t="s">
        <v>12859</v>
      </c>
      <c r="H207" s="1" t="s">
        <v>422</v>
      </c>
      <c r="I207" s="1" t="s">
        <v>4966</v>
      </c>
      <c r="J207" s="1"/>
      <c r="K207" s="1"/>
      <c r="L207" s="1" t="s">
        <v>12860</v>
      </c>
      <c r="M207" s="1" t="s">
        <v>7867</v>
      </c>
      <c r="N207" s="1" t="s">
        <v>13435</v>
      </c>
      <c r="O207" s="1"/>
      <c r="P207" s="1" t="s">
        <v>12868</v>
      </c>
      <c r="Q207" s="1"/>
      <c r="R207" s="1"/>
      <c r="S207" s="1"/>
      <c r="T207" s="1"/>
      <c r="U207" s="1"/>
      <c r="V207" s="1"/>
      <c r="W207" s="1"/>
      <c r="X207" s="1"/>
      <c r="Y207" s="1"/>
      <c r="Z207" s="1"/>
      <c r="AA207" s="1">
        <f t="shared" si="13"/>
        <v>1</v>
      </c>
      <c r="AB207" s="1" t="str">
        <f t="shared" si="15"/>
        <v>R2 retained</v>
      </c>
      <c r="AC207" s="1"/>
      <c r="AD207" s="1"/>
      <c r="AE207" s="1"/>
      <c r="AF207" s="1"/>
      <c r="AG207" s="1"/>
      <c r="AH207" s="1"/>
      <c r="AI207" s="1">
        <f t="shared" si="14"/>
        <v>0</v>
      </c>
      <c r="AJ207" s="5"/>
      <c r="AK207" s="5"/>
      <c r="AL207" s="7" t="s">
        <v>15077</v>
      </c>
    </row>
    <row r="208" spans="1:38" ht="36" customHeight="1">
      <c r="A208" s="1" t="s">
        <v>4941</v>
      </c>
      <c r="B208" s="1" t="s">
        <v>5606</v>
      </c>
      <c r="C208" s="1" t="s">
        <v>5607</v>
      </c>
      <c r="D208" s="1" t="s">
        <v>7869</v>
      </c>
      <c r="E208" s="1">
        <v>1</v>
      </c>
      <c r="F208" s="1"/>
      <c r="G208" s="1" t="s">
        <v>12859</v>
      </c>
      <c r="H208" s="1" t="s">
        <v>422</v>
      </c>
      <c r="I208" s="1" t="s">
        <v>4717</v>
      </c>
      <c r="J208" s="1"/>
      <c r="K208" s="1"/>
      <c r="L208" s="1" t="s">
        <v>12860</v>
      </c>
      <c r="M208" s="1" t="s">
        <v>7871</v>
      </c>
      <c r="N208" s="1" t="s">
        <v>13436</v>
      </c>
      <c r="O208" s="1"/>
      <c r="P208" s="1" t="s">
        <v>12868</v>
      </c>
      <c r="Q208" s="1"/>
      <c r="R208" s="1"/>
      <c r="S208" s="1"/>
      <c r="T208" s="1"/>
      <c r="U208" s="1"/>
      <c r="V208" s="1"/>
      <c r="W208" s="1"/>
      <c r="X208" s="1"/>
      <c r="Y208" s="1"/>
      <c r="Z208" s="1"/>
      <c r="AA208" s="1">
        <f t="shared" si="13"/>
        <v>1</v>
      </c>
      <c r="AB208" s="1" t="str">
        <f t="shared" si="15"/>
        <v>R2 retained</v>
      </c>
      <c r="AC208" s="1"/>
      <c r="AD208" s="1"/>
      <c r="AE208" s="1"/>
      <c r="AF208" s="1"/>
      <c r="AG208" s="1"/>
      <c r="AH208" s="1"/>
      <c r="AI208" s="1">
        <f t="shared" si="14"/>
        <v>0</v>
      </c>
      <c r="AJ208" s="5"/>
      <c r="AK208" s="5"/>
      <c r="AL208" s="7" t="s">
        <v>15077</v>
      </c>
    </row>
    <row r="209" spans="1:38" ht="60" customHeight="1">
      <c r="A209" s="1" t="s">
        <v>4941</v>
      </c>
      <c r="B209" s="1" t="s">
        <v>5454</v>
      </c>
      <c r="C209" s="1" t="s">
        <v>5455</v>
      </c>
      <c r="D209" s="1" t="s">
        <v>4747</v>
      </c>
      <c r="E209" s="1">
        <v>0</v>
      </c>
      <c r="F209" s="1">
        <v>2</v>
      </c>
      <c r="G209" s="1" t="s">
        <v>4691</v>
      </c>
      <c r="H209" s="1" t="s">
        <v>422</v>
      </c>
      <c r="I209" s="1" t="s">
        <v>4747</v>
      </c>
      <c r="J209" s="1"/>
      <c r="K209" s="1"/>
      <c r="L209" s="1" t="s">
        <v>12860</v>
      </c>
      <c r="M209" s="1" t="s">
        <v>7874</v>
      </c>
      <c r="N209" s="1" t="s">
        <v>13437</v>
      </c>
      <c r="O209" s="1" t="s">
        <v>13438</v>
      </c>
      <c r="P209" s="1" t="s">
        <v>12917</v>
      </c>
      <c r="Q209" s="1"/>
      <c r="R209" s="1"/>
      <c r="S209" s="1"/>
      <c r="T209" s="1"/>
      <c r="U209" s="1"/>
      <c r="V209" s="1"/>
      <c r="W209" s="1"/>
      <c r="X209" s="1"/>
      <c r="Y209" s="1" t="s">
        <v>5721</v>
      </c>
      <c r="Z209" s="1" t="s">
        <v>12918</v>
      </c>
      <c r="AA209" s="1">
        <f t="shared" si="13"/>
        <v>2</v>
      </c>
      <c r="AB209" s="1" t="str">
        <f t="shared" si="15"/>
        <v>Reviewer confirmed</v>
      </c>
      <c r="AC209" s="1">
        <v>2</v>
      </c>
      <c r="AD209" s="1" t="s">
        <v>12936</v>
      </c>
      <c r="AE209" s="1" t="s">
        <v>5721</v>
      </c>
      <c r="AF209" s="1" t="s">
        <v>5720</v>
      </c>
      <c r="AG209" s="1" t="s">
        <v>5722</v>
      </c>
      <c r="AH209" s="1" t="s">
        <v>5461</v>
      </c>
      <c r="AI209" s="1">
        <f t="shared" si="14"/>
        <v>1</v>
      </c>
      <c r="AJ209" s="5" t="s">
        <v>12898</v>
      </c>
      <c r="AK209" s="5" t="s">
        <v>12899</v>
      </c>
      <c r="AL209" s="7" t="s">
        <v>15077</v>
      </c>
    </row>
    <row r="210" spans="1:38" ht="36" customHeight="1">
      <c r="A210" s="1" t="s">
        <v>4950</v>
      </c>
      <c r="B210" s="1" t="s">
        <v>5537</v>
      </c>
      <c r="C210" s="1" t="s">
        <v>5538</v>
      </c>
      <c r="D210" s="1" t="s">
        <v>4747</v>
      </c>
      <c r="E210" s="1">
        <v>0</v>
      </c>
      <c r="F210" s="1"/>
      <c r="G210" s="1" t="s">
        <v>12859</v>
      </c>
      <c r="H210" s="1" t="s">
        <v>422</v>
      </c>
      <c r="I210" s="1" t="s">
        <v>4747</v>
      </c>
      <c r="J210" s="1"/>
      <c r="K210" s="1"/>
      <c r="L210" s="1" t="s">
        <v>12860</v>
      </c>
      <c r="M210" s="1" t="s">
        <v>13439</v>
      </c>
      <c r="N210" s="1" t="s">
        <v>13440</v>
      </c>
      <c r="O210" s="1"/>
      <c r="P210" s="1" t="s">
        <v>12863</v>
      </c>
      <c r="Q210" s="1"/>
      <c r="R210" s="1"/>
      <c r="S210" s="1"/>
      <c r="T210" s="1"/>
      <c r="U210" s="1"/>
      <c r="V210" s="1"/>
      <c r="W210" s="1"/>
      <c r="X210" s="1"/>
      <c r="Y210" s="1"/>
      <c r="Z210" s="1"/>
      <c r="AA210" s="1">
        <f t="shared" si="13"/>
        <v>0</v>
      </c>
      <c r="AB210" s="1" t="str">
        <f t="shared" si="15"/>
        <v>R2 retained</v>
      </c>
      <c r="AC210" s="1"/>
      <c r="AD210" s="1"/>
      <c r="AE210" s="1"/>
      <c r="AF210" s="1"/>
      <c r="AG210" s="1"/>
      <c r="AH210" s="1"/>
      <c r="AI210" s="1">
        <f t="shared" si="14"/>
        <v>0</v>
      </c>
      <c r="AJ210" s="5"/>
      <c r="AK210" s="5"/>
      <c r="AL210" s="7" t="s">
        <v>15077</v>
      </c>
    </row>
    <row r="211" spans="1:38" ht="36" customHeight="1">
      <c r="A211" s="1" t="s">
        <v>4950</v>
      </c>
      <c r="B211" s="1" t="s">
        <v>5542</v>
      </c>
      <c r="C211" s="1" t="s">
        <v>5543</v>
      </c>
      <c r="D211" s="1" t="s">
        <v>4747</v>
      </c>
      <c r="E211" s="1">
        <v>0</v>
      </c>
      <c r="F211" s="1"/>
      <c r="G211" s="1" t="s">
        <v>12859</v>
      </c>
      <c r="H211" s="1" t="s">
        <v>422</v>
      </c>
      <c r="I211" s="1" t="s">
        <v>4747</v>
      </c>
      <c r="J211" s="1"/>
      <c r="K211" s="1"/>
      <c r="L211" s="1" t="s">
        <v>12860</v>
      </c>
      <c r="M211" s="1" t="s">
        <v>13441</v>
      </c>
      <c r="N211" s="1" t="s">
        <v>13442</v>
      </c>
      <c r="O211" s="1"/>
      <c r="P211" s="1" t="s">
        <v>12863</v>
      </c>
      <c r="Q211" s="1"/>
      <c r="R211" s="1"/>
      <c r="S211" s="1"/>
      <c r="T211" s="1"/>
      <c r="U211" s="1"/>
      <c r="V211" s="1"/>
      <c r="W211" s="1"/>
      <c r="X211" s="1"/>
      <c r="Y211" s="1"/>
      <c r="Z211" s="1"/>
      <c r="AA211" s="1">
        <f t="shared" si="13"/>
        <v>0</v>
      </c>
      <c r="AB211" s="1" t="str">
        <f t="shared" si="15"/>
        <v>R2 retained</v>
      </c>
      <c r="AC211" s="1"/>
      <c r="AD211" s="1"/>
      <c r="AE211" s="1"/>
      <c r="AF211" s="1"/>
      <c r="AG211" s="1"/>
      <c r="AH211" s="1"/>
      <c r="AI211" s="1">
        <f t="shared" si="14"/>
        <v>0</v>
      </c>
      <c r="AJ211" s="5"/>
      <c r="AK211" s="5"/>
      <c r="AL211" s="7" t="s">
        <v>15077</v>
      </c>
    </row>
    <row r="212" spans="1:38" ht="36" customHeight="1">
      <c r="A212" s="1" t="s">
        <v>4950</v>
      </c>
      <c r="B212" s="1" t="s">
        <v>5547</v>
      </c>
      <c r="C212" s="1" t="s">
        <v>5548</v>
      </c>
      <c r="D212" s="1" t="s">
        <v>4747</v>
      </c>
      <c r="E212" s="1">
        <v>1</v>
      </c>
      <c r="F212" s="1"/>
      <c r="G212" s="1" t="s">
        <v>12859</v>
      </c>
      <c r="H212" s="1" t="s">
        <v>422</v>
      </c>
      <c r="I212" s="1" t="s">
        <v>4862</v>
      </c>
      <c r="J212" s="1"/>
      <c r="K212" s="1"/>
      <c r="L212" s="1" t="s">
        <v>12860</v>
      </c>
      <c r="M212" s="1" t="s">
        <v>13443</v>
      </c>
      <c r="N212" s="1" t="s">
        <v>13444</v>
      </c>
      <c r="O212" s="1"/>
      <c r="P212" s="1" t="s">
        <v>12868</v>
      </c>
      <c r="Q212" s="1"/>
      <c r="R212" s="1"/>
      <c r="S212" s="1"/>
      <c r="T212" s="1"/>
      <c r="U212" s="1"/>
      <c r="V212" s="1"/>
      <c r="W212" s="1"/>
      <c r="X212" s="1"/>
      <c r="Y212" s="1"/>
      <c r="Z212" s="1"/>
      <c r="AA212" s="1">
        <f t="shared" si="13"/>
        <v>1</v>
      </c>
      <c r="AB212" s="1" t="str">
        <f t="shared" si="15"/>
        <v>R2 retained</v>
      </c>
      <c r="AC212" s="1"/>
      <c r="AD212" s="1"/>
      <c r="AE212" s="1"/>
      <c r="AF212" s="1"/>
      <c r="AG212" s="1"/>
      <c r="AH212" s="1"/>
      <c r="AI212" s="1">
        <f t="shared" si="14"/>
        <v>0</v>
      </c>
      <c r="AJ212" s="5"/>
      <c r="AK212" s="5"/>
      <c r="AL212" s="7" t="s">
        <v>15077</v>
      </c>
    </row>
    <row r="213" spans="1:38" ht="36" customHeight="1">
      <c r="A213" s="1" t="s">
        <v>4950</v>
      </c>
      <c r="B213" s="1" t="s">
        <v>5552</v>
      </c>
      <c r="C213" s="1" t="s">
        <v>5553</v>
      </c>
      <c r="D213" s="1" t="s">
        <v>12929</v>
      </c>
      <c r="E213" s="1">
        <v>0</v>
      </c>
      <c r="F213" s="1"/>
      <c r="G213" s="1" t="s">
        <v>12859</v>
      </c>
      <c r="H213" s="1" t="s">
        <v>422</v>
      </c>
      <c r="I213" s="1" t="s">
        <v>4747</v>
      </c>
      <c r="J213" s="1"/>
      <c r="K213" s="1" t="s">
        <v>4961</v>
      </c>
      <c r="L213" s="1" t="s">
        <v>12930</v>
      </c>
      <c r="M213" s="1" t="s">
        <v>13445</v>
      </c>
      <c r="N213" s="1" t="s">
        <v>13446</v>
      </c>
      <c r="O213" s="1" t="s">
        <v>7924</v>
      </c>
      <c r="P213" s="1" t="s">
        <v>12863</v>
      </c>
      <c r="Q213" s="1"/>
      <c r="R213" s="1"/>
      <c r="S213" s="1"/>
      <c r="T213" s="1"/>
      <c r="U213" s="1"/>
      <c r="V213" s="1"/>
      <c r="W213" s="1"/>
      <c r="X213" s="1"/>
      <c r="Y213" s="1"/>
      <c r="Z213" s="1"/>
      <c r="AA213" s="1">
        <f t="shared" si="13"/>
        <v>0</v>
      </c>
      <c r="AB213" s="1" t="str">
        <f t="shared" si="15"/>
        <v>R2 retained</v>
      </c>
      <c r="AC213" s="1"/>
      <c r="AD213" s="1"/>
      <c r="AE213" s="1"/>
      <c r="AF213" s="1"/>
      <c r="AG213" s="1"/>
      <c r="AH213" s="1"/>
      <c r="AI213" s="1">
        <f t="shared" si="14"/>
        <v>0</v>
      </c>
      <c r="AJ213" s="5"/>
      <c r="AK213" s="5"/>
      <c r="AL213" s="7" t="s">
        <v>15077</v>
      </c>
    </row>
    <row r="214" spans="1:38" ht="36" customHeight="1">
      <c r="A214" s="1" t="s">
        <v>4950</v>
      </c>
      <c r="B214" s="1" t="s">
        <v>5557</v>
      </c>
      <c r="C214" s="1" t="s">
        <v>5558</v>
      </c>
      <c r="D214" s="1" t="s">
        <v>7927</v>
      </c>
      <c r="E214" s="1">
        <v>0</v>
      </c>
      <c r="F214" s="1"/>
      <c r="G214" s="1" t="s">
        <v>12859</v>
      </c>
      <c r="H214" s="1" t="s">
        <v>422</v>
      </c>
      <c r="I214" s="1" t="s">
        <v>4747</v>
      </c>
      <c r="J214" s="1"/>
      <c r="K214" s="1"/>
      <c r="L214" s="1" t="s">
        <v>12860</v>
      </c>
      <c r="M214" s="1" t="s">
        <v>7929</v>
      </c>
      <c r="N214" s="1" t="s">
        <v>13447</v>
      </c>
      <c r="O214" s="1"/>
      <c r="P214" s="1" t="s">
        <v>12863</v>
      </c>
      <c r="Q214" s="1"/>
      <c r="R214" s="1"/>
      <c r="S214" s="1"/>
      <c r="T214" s="1"/>
      <c r="U214" s="1"/>
      <c r="V214" s="1"/>
      <c r="W214" s="1"/>
      <c r="X214" s="1"/>
      <c r="Y214" s="1"/>
      <c r="Z214" s="1"/>
      <c r="AA214" s="1">
        <f t="shared" si="13"/>
        <v>0</v>
      </c>
      <c r="AB214" s="1" t="str">
        <f t="shared" si="15"/>
        <v>R2 retained</v>
      </c>
      <c r="AC214" s="1"/>
      <c r="AD214" s="1"/>
      <c r="AE214" s="1"/>
      <c r="AF214" s="1"/>
      <c r="AG214" s="1"/>
      <c r="AH214" s="1"/>
      <c r="AI214" s="1">
        <f t="shared" si="14"/>
        <v>0</v>
      </c>
      <c r="AJ214" s="5"/>
      <c r="AK214" s="5"/>
      <c r="AL214" s="7" t="s">
        <v>15077</v>
      </c>
    </row>
    <row r="215" spans="1:38" ht="84" customHeight="1">
      <c r="A215" s="1" t="s">
        <v>4950</v>
      </c>
      <c r="B215" s="1" t="s">
        <v>5562</v>
      </c>
      <c r="C215" s="1" t="s">
        <v>5563</v>
      </c>
      <c r="D215" s="1" t="s">
        <v>5723</v>
      </c>
      <c r="E215" s="1">
        <v>0</v>
      </c>
      <c r="F215" s="1">
        <v>2</v>
      </c>
      <c r="G215" s="1" t="s">
        <v>4691</v>
      </c>
      <c r="H215" s="1" t="s">
        <v>422</v>
      </c>
      <c r="I215" s="1" t="s">
        <v>4747</v>
      </c>
      <c r="J215" s="1"/>
      <c r="K215" s="1"/>
      <c r="L215" s="1" t="s">
        <v>12860</v>
      </c>
      <c r="M215" s="1" t="s">
        <v>7934</v>
      </c>
      <c r="N215" s="1" t="s">
        <v>13448</v>
      </c>
      <c r="O215" s="1" t="s">
        <v>13449</v>
      </c>
      <c r="P215" s="1" t="s">
        <v>12917</v>
      </c>
      <c r="Q215" s="1"/>
      <c r="R215" s="1"/>
      <c r="S215" s="1"/>
      <c r="T215" s="1"/>
      <c r="U215" s="1"/>
      <c r="V215" s="1"/>
      <c r="W215" s="1"/>
      <c r="X215" s="1"/>
      <c r="Y215" s="1" t="s">
        <v>5725</v>
      </c>
      <c r="Z215" s="1" t="s">
        <v>12918</v>
      </c>
      <c r="AA215" s="1">
        <f t="shared" si="13"/>
        <v>2</v>
      </c>
      <c r="AB215" s="1" t="str">
        <f t="shared" si="15"/>
        <v>Reviewer confirmed</v>
      </c>
      <c r="AC215" s="1">
        <v>1</v>
      </c>
      <c r="AD215" s="1" t="s">
        <v>12936</v>
      </c>
      <c r="AE215" s="1" t="s">
        <v>5725</v>
      </c>
      <c r="AF215" s="1" t="s">
        <v>5724</v>
      </c>
      <c r="AG215" s="1" t="s">
        <v>5726</v>
      </c>
      <c r="AH215" s="1" t="s">
        <v>5461</v>
      </c>
      <c r="AI215" s="1">
        <f t="shared" si="14"/>
        <v>1</v>
      </c>
      <c r="AJ215" s="5"/>
      <c r="AK215" s="5"/>
      <c r="AL215" s="7" t="s">
        <v>15077</v>
      </c>
    </row>
    <row r="216" spans="1:38" ht="36" customHeight="1">
      <c r="A216" s="1" t="s">
        <v>4950</v>
      </c>
      <c r="B216" s="1" t="s">
        <v>5567</v>
      </c>
      <c r="C216" s="1" t="s">
        <v>5568</v>
      </c>
      <c r="D216" s="1" t="s">
        <v>4965</v>
      </c>
      <c r="E216" s="1">
        <v>0</v>
      </c>
      <c r="F216" s="1"/>
      <c r="G216" s="1" t="s">
        <v>12859</v>
      </c>
      <c r="H216" s="1" t="s">
        <v>422</v>
      </c>
      <c r="I216" s="1" t="s">
        <v>4747</v>
      </c>
      <c r="J216" s="1"/>
      <c r="K216" s="1"/>
      <c r="L216" s="1" t="s">
        <v>12860</v>
      </c>
      <c r="M216" s="1" t="s">
        <v>13450</v>
      </c>
      <c r="N216" s="1" t="s">
        <v>13451</v>
      </c>
      <c r="O216" s="1"/>
      <c r="P216" s="1" t="s">
        <v>12863</v>
      </c>
      <c r="Q216" s="1"/>
      <c r="R216" s="1"/>
      <c r="S216" s="1"/>
      <c r="T216" s="1"/>
      <c r="U216" s="1"/>
      <c r="V216" s="1"/>
      <c r="W216" s="1"/>
      <c r="X216" s="1"/>
      <c r="Y216" s="1"/>
      <c r="Z216" s="1"/>
      <c r="AA216" s="1">
        <f t="shared" si="13"/>
        <v>0</v>
      </c>
      <c r="AB216" s="1" t="str">
        <f t="shared" si="15"/>
        <v>R2 retained</v>
      </c>
      <c r="AC216" s="1"/>
      <c r="AD216" s="1"/>
      <c r="AE216" s="1"/>
      <c r="AF216" s="1"/>
      <c r="AG216" s="1"/>
      <c r="AH216" s="1"/>
      <c r="AI216" s="1">
        <f t="shared" si="14"/>
        <v>0</v>
      </c>
      <c r="AJ216" s="5"/>
      <c r="AK216" s="5"/>
      <c r="AL216" s="7" t="s">
        <v>15077</v>
      </c>
    </row>
    <row r="217" spans="1:38" ht="36" customHeight="1">
      <c r="A217" s="1" t="s">
        <v>4950</v>
      </c>
      <c r="B217" s="1" t="s">
        <v>5572</v>
      </c>
      <c r="C217" s="1" t="s">
        <v>5573</v>
      </c>
      <c r="D217" s="1" t="s">
        <v>13452</v>
      </c>
      <c r="E217" s="1">
        <v>0</v>
      </c>
      <c r="F217" s="1"/>
      <c r="G217" s="1" t="s">
        <v>12859</v>
      </c>
      <c r="H217" s="1" t="s">
        <v>422</v>
      </c>
      <c r="I217" s="1" t="s">
        <v>4747</v>
      </c>
      <c r="J217" s="1"/>
      <c r="K217" s="1"/>
      <c r="L217" s="1" t="s">
        <v>12860</v>
      </c>
      <c r="M217" s="1" t="s">
        <v>13453</v>
      </c>
      <c r="N217" s="1" t="s">
        <v>13454</v>
      </c>
      <c r="O217" s="1"/>
      <c r="P217" s="1" t="s">
        <v>12863</v>
      </c>
      <c r="Q217" s="1"/>
      <c r="R217" s="1"/>
      <c r="S217" s="1"/>
      <c r="T217" s="1"/>
      <c r="U217" s="1"/>
      <c r="V217" s="1"/>
      <c r="W217" s="1"/>
      <c r="X217" s="1"/>
      <c r="Y217" s="1"/>
      <c r="Z217" s="1"/>
      <c r="AA217" s="1">
        <f t="shared" si="13"/>
        <v>0</v>
      </c>
      <c r="AB217" s="1" t="str">
        <f t="shared" si="15"/>
        <v>R2 retained</v>
      </c>
      <c r="AC217" s="1"/>
      <c r="AD217" s="1"/>
      <c r="AE217" s="1"/>
      <c r="AF217" s="1"/>
      <c r="AG217" s="1"/>
      <c r="AH217" s="1"/>
      <c r="AI217" s="1">
        <f t="shared" si="14"/>
        <v>0</v>
      </c>
      <c r="AJ217" s="5"/>
      <c r="AK217" s="5"/>
      <c r="AL217" s="7" t="s">
        <v>15077</v>
      </c>
    </row>
    <row r="218" spans="1:38" ht="36" customHeight="1">
      <c r="A218" s="1" t="s">
        <v>4950</v>
      </c>
      <c r="B218" s="1" t="s">
        <v>5577</v>
      </c>
      <c r="C218" s="1" t="s">
        <v>5578</v>
      </c>
      <c r="D218" s="1" t="s">
        <v>13455</v>
      </c>
      <c r="E218" s="1">
        <v>2</v>
      </c>
      <c r="F218" s="1"/>
      <c r="G218" s="1" t="s">
        <v>12859</v>
      </c>
      <c r="H218" s="1" t="s">
        <v>422</v>
      </c>
      <c r="I218" s="1" t="s">
        <v>4717</v>
      </c>
      <c r="J218" s="1"/>
      <c r="K218" s="1"/>
      <c r="L218" s="1" t="s">
        <v>12860</v>
      </c>
      <c r="M218" s="1" t="s">
        <v>13456</v>
      </c>
      <c r="N218" s="1" t="s">
        <v>13457</v>
      </c>
      <c r="O218" s="1"/>
      <c r="P218" s="1" t="s">
        <v>12868</v>
      </c>
      <c r="Q218" s="1"/>
      <c r="R218" s="1"/>
      <c r="S218" s="1"/>
      <c r="T218" s="1"/>
      <c r="U218" s="1"/>
      <c r="V218" s="1"/>
      <c r="W218" s="1"/>
      <c r="X218" s="1"/>
      <c r="Y218" s="1"/>
      <c r="Z218" s="1"/>
      <c r="AA218" s="1">
        <f t="shared" si="13"/>
        <v>2</v>
      </c>
      <c r="AB218" s="1" t="str">
        <f t="shared" si="15"/>
        <v>R2 retained</v>
      </c>
      <c r="AC218" s="1"/>
      <c r="AD218" s="1"/>
      <c r="AE218" s="1"/>
      <c r="AF218" s="1"/>
      <c r="AG218" s="1"/>
      <c r="AH218" s="1"/>
      <c r="AI218" s="1">
        <f t="shared" si="14"/>
        <v>0</v>
      </c>
      <c r="AJ218" s="5"/>
      <c r="AK218" s="5"/>
      <c r="AL218" s="7" t="s">
        <v>15077</v>
      </c>
    </row>
    <row r="219" spans="1:38" ht="84" customHeight="1">
      <c r="A219" s="1" t="s">
        <v>4950</v>
      </c>
      <c r="B219" s="1" t="s">
        <v>5582</v>
      </c>
      <c r="C219" s="1" t="s">
        <v>5583</v>
      </c>
      <c r="D219" s="1" t="s">
        <v>4747</v>
      </c>
      <c r="E219" s="1">
        <v>0</v>
      </c>
      <c r="F219" s="1">
        <v>0</v>
      </c>
      <c r="G219" s="1" t="s">
        <v>4691</v>
      </c>
      <c r="H219" s="1" t="s">
        <v>422</v>
      </c>
      <c r="I219" s="1" t="s">
        <v>4747</v>
      </c>
      <c r="J219" s="1"/>
      <c r="K219" s="1"/>
      <c r="L219" s="1" t="s">
        <v>12860</v>
      </c>
      <c r="M219" s="1" t="s">
        <v>7980</v>
      </c>
      <c r="N219" s="1" t="s">
        <v>13458</v>
      </c>
      <c r="O219" s="1" t="s">
        <v>13459</v>
      </c>
      <c r="P219" s="1" t="s">
        <v>12917</v>
      </c>
      <c r="Q219" s="1"/>
      <c r="R219" s="1"/>
      <c r="S219" s="1"/>
      <c r="T219" s="1"/>
      <c r="U219" s="1"/>
      <c r="V219" s="1"/>
      <c r="W219" s="1"/>
      <c r="X219" s="1"/>
      <c r="Y219" s="1" t="s">
        <v>5663</v>
      </c>
      <c r="Z219" s="1" t="s">
        <v>12918</v>
      </c>
      <c r="AA219" s="1">
        <f t="shared" si="13"/>
        <v>0</v>
      </c>
      <c r="AB219" s="1" t="str">
        <f>IF(OR(ISNUMBER(F219),F219="NA"),"Reviewer confirmed","Analyst proposed resolution")</f>
        <v>Reviewer confirmed</v>
      </c>
      <c r="AC219" s="1">
        <v>0</v>
      </c>
      <c r="AD219" s="1" t="s">
        <v>12919</v>
      </c>
      <c r="AE219" s="1" t="s">
        <v>5663</v>
      </c>
      <c r="AF219" s="1" t="s">
        <v>5662</v>
      </c>
      <c r="AG219" s="1" t="s">
        <v>5664</v>
      </c>
      <c r="AH219" s="1" t="s">
        <v>5461</v>
      </c>
      <c r="AI219" s="1">
        <f t="shared" si="14"/>
        <v>1</v>
      </c>
      <c r="AJ219" s="5" t="s">
        <v>12898</v>
      </c>
      <c r="AK219" s="5" t="s">
        <v>12899</v>
      </c>
      <c r="AL219" s="7" t="s">
        <v>15077</v>
      </c>
    </row>
    <row r="220" spans="1:38" ht="36" customHeight="1">
      <c r="A220" s="1" t="s">
        <v>4950</v>
      </c>
      <c r="B220" s="1" t="s">
        <v>5586</v>
      </c>
      <c r="C220" s="1" t="s">
        <v>5587</v>
      </c>
      <c r="D220" s="1" t="s">
        <v>13460</v>
      </c>
      <c r="E220" s="1">
        <v>2</v>
      </c>
      <c r="F220" s="1"/>
      <c r="G220" s="1" t="s">
        <v>12859</v>
      </c>
      <c r="H220" s="1" t="s">
        <v>422</v>
      </c>
      <c r="I220" s="1" t="s">
        <v>4896</v>
      </c>
      <c r="J220" s="1"/>
      <c r="K220" s="1"/>
      <c r="L220" s="1" t="s">
        <v>12860</v>
      </c>
      <c r="M220" s="1" t="s">
        <v>13461</v>
      </c>
      <c r="N220" s="1" t="s">
        <v>13462</v>
      </c>
      <c r="O220" s="1"/>
      <c r="P220" s="1" t="s">
        <v>12868</v>
      </c>
      <c r="Q220" s="1"/>
      <c r="R220" s="1"/>
      <c r="S220" s="1"/>
      <c r="T220" s="1"/>
      <c r="U220" s="1"/>
      <c r="V220" s="1"/>
      <c r="W220" s="1"/>
      <c r="X220" s="1"/>
      <c r="Y220" s="1"/>
      <c r="Z220" s="1"/>
      <c r="AA220" s="1">
        <f t="shared" si="13"/>
        <v>2</v>
      </c>
      <c r="AB220" s="1" t="str">
        <f>IF(OR(ISNUMBER(F220),F220="NA"),"Reviewer confirmed",IF(AD220="uncertain","Unresolved under clarified rule",IF(AND(OR(ISNUMBER(AC220),AC220="NA"),AC220&lt;&gt;E220),"Analyst scope correction","R2 retained")))</f>
        <v>R2 retained</v>
      </c>
      <c r="AC220" s="1"/>
      <c r="AD220" s="1"/>
      <c r="AE220" s="1"/>
      <c r="AF220" s="1"/>
      <c r="AG220" s="1"/>
      <c r="AH220" s="1"/>
      <c r="AI220" s="1">
        <f t="shared" si="14"/>
        <v>0</v>
      </c>
      <c r="AJ220" s="5"/>
      <c r="AK220" s="5"/>
      <c r="AL220" s="7" t="s">
        <v>15077</v>
      </c>
    </row>
    <row r="221" spans="1:38" ht="96" customHeight="1">
      <c r="A221" s="1" t="s">
        <v>4950</v>
      </c>
      <c r="B221" s="1" t="s">
        <v>5591</v>
      </c>
      <c r="C221" s="1" t="s">
        <v>5592</v>
      </c>
      <c r="D221" s="1" t="s">
        <v>13463</v>
      </c>
      <c r="E221" s="1">
        <v>1</v>
      </c>
      <c r="F221" s="1">
        <v>0</v>
      </c>
      <c r="G221" s="1" t="s">
        <v>12873</v>
      </c>
      <c r="H221" s="1" t="s">
        <v>422</v>
      </c>
      <c r="I221" s="1"/>
      <c r="J221" s="1"/>
      <c r="K221" s="1"/>
      <c r="L221" s="1" t="s">
        <v>12860</v>
      </c>
      <c r="M221" s="1" t="s">
        <v>13464</v>
      </c>
      <c r="N221" s="1" t="s">
        <v>13465</v>
      </c>
      <c r="O221" s="1" t="s">
        <v>13466</v>
      </c>
      <c r="P221" s="1" t="s">
        <v>12876</v>
      </c>
      <c r="Q221" s="1">
        <v>0</v>
      </c>
      <c r="R221" s="1" t="s">
        <v>12877</v>
      </c>
      <c r="S221" s="1" t="s">
        <v>13467</v>
      </c>
      <c r="T221" s="1" t="s">
        <v>13468</v>
      </c>
      <c r="U221" s="1" t="s">
        <v>7893</v>
      </c>
      <c r="V221" s="1" t="s">
        <v>6096</v>
      </c>
      <c r="W221" s="1" t="s">
        <v>12880</v>
      </c>
      <c r="X221" s="1"/>
      <c r="Y221" s="1" t="s">
        <v>13469</v>
      </c>
      <c r="Z221" s="1" t="s">
        <v>12883</v>
      </c>
      <c r="AA221" s="1">
        <f t="shared" si="13"/>
        <v>0</v>
      </c>
      <c r="AB221" s="1" t="str">
        <f>IF(OR(ISNUMBER(F221),F221="NA"),"Reviewer confirmed",IF(AD221="uncertain","Unresolved under clarified rule",IF(AND(OR(ISNUMBER(AC221),AC221="NA"),AC221&lt;&gt;E221),"Analyst scope correction","R2 retained")))</f>
        <v>Reviewer confirmed</v>
      </c>
      <c r="AC221" s="1">
        <v>0</v>
      </c>
      <c r="AD221" s="1" t="s">
        <v>12936</v>
      </c>
      <c r="AE221" s="1" t="s">
        <v>13470</v>
      </c>
      <c r="AF221" s="1" t="s">
        <v>13468</v>
      </c>
      <c r="AG221" s="1" t="s">
        <v>7893</v>
      </c>
      <c r="AH221" s="1" t="s">
        <v>6096</v>
      </c>
      <c r="AI221" s="1">
        <f t="shared" si="14"/>
        <v>1</v>
      </c>
      <c r="AJ221" s="5" t="s">
        <v>12898</v>
      </c>
      <c r="AK221" s="5" t="s">
        <v>12899</v>
      </c>
      <c r="AL221" s="7" t="s">
        <v>15077</v>
      </c>
    </row>
    <row r="222" spans="1:38" ht="36" customHeight="1">
      <c r="A222" s="1" t="s">
        <v>4950</v>
      </c>
      <c r="B222" s="1" t="s">
        <v>5596</v>
      </c>
      <c r="C222" s="1" t="s">
        <v>5597</v>
      </c>
      <c r="D222" s="1" t="s">
        <v>4747</v>
      </c>
      <c r="E222" s="1">
        <v>0</v>
      </c>
      <c r="F222" s="1"/>
      <c r="G222" s="1" t="s">
        <v>12859</v>
      </c>
      <c r="H222" s="1" t="s">
        <v>422</v>
      </c>
      <c r="I222" s="1" t="s">
        <v>4747</v>
      </c>
      <c r="J222" s="1"/>
      <c r="K222" s="1"/>
      <c r="L222" s="1" t="s">
        <v>12860</v>
      </c>
      <c r="M222" s="1" t="s">
        <v>13471</v>
      </c>
      <c r="N222" s="1" t="s">
        <v>13472</v>
      </c>
      <c r="O222" s="1"/>
      <c r="P222" s="1" t="s">
        <v>12863</v>
      </c>
      <c r="Q222" s="1"/>
      <c r="R222" s="1"/>
      <c r="S222" s="1"/>
      <c r="T222" s="1"/>
      <c r="U222" s="1"/>
      <c r="V222" s="1"/>
      <c r="W222" s="1"/>
      <c r="X222" s="1"/>
      <c r="Y222" s="1"/>
      <c r="Z222" s="1"/>
      <c r="AA222" s="1">
        <f t="shared" si="13"/>
        <v>0</v>
      </c>
      <c r="AB222" s="1" t="str">
        <f>IF(OR(ISNUMBER(F222),F222="NA"),"Reviewer confirmed",IF(AD222="uncertain","Unresolved under clarified rule",IF(AND(OR(ISNUMBER(AC222),AC222="NA"),AC222&lt;&gt;E222),"Analyst scope correction","R2 retained")))</f>
        <v>R2 retained</v>
      </c>
      <c r="AC222" s="1"/>
      <c r="AD222" s="1"/>
      <c r="AE222" s="1"/>
      <c r="AF222" s="1"/>
      <c r="AG222" s="1"/>
      <c r="AH222" s="1"/>
      <c r="AI222" s="1">
        <f t="shared" si="14"/>
        <v>0</v>
      </c>
      <c r="AJ222" s="5"/>
      <c r="AK222" s="5"/>
      <c r="AL222" s="7" t="s">
        <v>15077</v>
      </c>
    </row>
    <row r="223" spans="1:38" ht="36" customHeight="1">
      <c r="A223" s="1" t="s">
        <v>4950</v>
      </c>
      <c r="B223" s="1" t="s">
        <v>5601</v>
      </c>
      <c r="C223" s="1" t="s">
        <v>5602</v>
      </c>
      <c r="D223" s="1" t="s">
        <v>7999</v>
      </c>
      <c r="E223" s="1">
        <v>1</v>
      </c>
      <c r="F223" s="1"/>
      <c r="G223" s="1" t="s">
        <v>12859</v>
      </c>
      <c r="H223" s="1" t="s">
        <v>422</v>
      </c>
      <c r="I223" s="1" t="s">
        <v>4966</v>
      </c>
      <c r="J223" s="1"/>
      <c r="K223" s="1"/>
      <c r="L223" s="1" t="s">
        <v>12860</v>
      </c>
      <c r="M223" s="1" t="s">
        <v>8001</v>
      </c>
      <c r="N223" s="1" t="s">
        <v>13473</v>
      </c>
      <c r="O223" s="1"/>
      <c r="P223" s="1" t="s">
        <v>12868</v>
      </c>
      <c r="Q223" s="1"/>
      <c r="R223" s="1"/>
      <c r="S223" s="1"/>
      <c r="T223" s="1"/>
      <c r="U223" s="1"/>
      <c r="V223" s="1"/>
      <c r="W223" s="1"/>
      <c r="X223" s="1"/>
      <c r="Y223" s="1"/>
      <c r="Z223" s="1"/>
      <c r="AA223" s="1">
        <f t="shared" si="13"/>
        <v>1</v>
      </c>
      <c r="AB223" s="1" t="str">
        <f>IF(OR(ISNUMBER(F223),F223="NA"),"Reviewer confirmed",IF(AD223="uncertain","Unresolved under clarified rule",IF(AND(OR(ISNUMBER(AC223),AC223="NA"),AC223&lt;&gt;E223),"Analyst scope correction","R2 retained")))</f>
        <v>R2 retained</v>
      </c>
      <c r="AC223" s="1"/>
      <c r="AD223" s="1"/>
      <c r="AE223" s="1"/>
      <c r="AF223" s="1"/>
      <c r="AG223" s="1"/>
      <c r="AH223" s="1"/>
      <c r="AI223" s="1">
        <f t="shared" si="14"/>
        <v>0</v>
      </c>
      <c r="AJ223" s="5"/>
      <c r="AK223" s="5"/>
      <c r="AL223" s="7" t="s">
        <v>15077</v>
      </c>
    </row>
    <row r="224" spans="1:38" ht="36" customHeight="1">
      <c r="A224" s="1" t="s">
        <v>4950</v>
      </c>
      <c r="B224" s="1" t="s">
        <v>5606</v>
      </c>
      <c r="C224" s="1" t="s">
        <v>5607</v>
      </c>
      <c r="D224" s="1" t="s">
        <v>4747</v>
      </c>
      <c r="E224" s="1">
        <v>1</v>
      </c>
      <c r="F224" s="1"/>
      <c r="G224" s="1" t="s">
        <v>12859</v>
      </c>
      <c r="H224" s="1" t="s">
        <v>422</v>
      </c>
      <c r="I224" s="1" t="s">
        <v>4935</v>
      </c>
      <c r="J224" s="1"/>
      <c r="K224" s="1"/>
      <c r="L224" s="1" t="s">
        <v>12860</v>
      </c>
      <c r="M224" s="1" t="s">
        <v>8004</v>
      </c>
      <c r="N224" s="1" t="s">
        <v>13474</v>
      </c>
      <c r="O224" s="1"/>
      <c r="P224" s="1" t="s">
        <v>12868</v>
      </c>
      <c r="Q224" s="1"/>
      <c r="R224" s="1"/>
      <c r="S224" s="1"/>
      <c r="T224" s="1"/>
      <c r="U224" s="1"/>
      <c r="V224" s="1"/>
      <c r="W224" s="1"/>
      <c r="X224" s="1"/>
      <c r="Y224" s="1"/>
      <c r="Z224" s="1"/>
      <c r="AA224" s="1">
        <f t="shared" si="13"/>
        <v>1</v>
      </c>
      <c r="AB224" s="1" t="str">
        <f>IF(OR(ISNUMBER(F224),F224="NA"),"Reviewer confirmed",IF(AD224="uncertain","Unresolved under clarified rule",IF(AND(OR(ISNUMBER(AC224),AC224="NA"),AC224&lt;&gt;E224),"Analyst scope correction","R2 retained")))</f>
        <v>R2 retained</v>
      </c>
      <c r="AC224" s="1"/>
      <c r="AD224" s="1"/>
      <c r="AE224" s="1"/>
      <c r="AF224" s="1"/>
      <c r="AG224" s="1"/>
      <c r="AH224" s="1"/>
      <c r="AI224" s="1">
        <f t="shared" si="14"/>
        <v>0</v>
      </c>
      <c r="AJ224" s="5"/>
      <c r="AK224" s="5"/>
      <c r="AL224" s="7" t="s">
        <v>15077</v>
      </c>
    </row>
    <row r="225" spans="1:38" ht="84" customHeight="1">
      <c r="A225" s="1" t="s">
        <v>4950</v>
      </c>
      <c r="B225" s="1" t="s">
        <v>5454</v>
      </c>
      <c r="C225" s="1" t="s">
        <v>5455</v>
      </c>
      <c r="D225" s="1" t="s">
        <v>4747</v>
      </c>
      <c r="E225" s="1">
        <v>1</v>
      </c>
      <c r="F225" s="1">
        <v>1</v>
      </c>
      <c r="G225" s="1" t="s">
        <v>4691</v>
      </c>
      <c r="H225" s="1" t="s">
        <v>422</v>
      </c>
      <c r="I225" s="1" t="s">
        <v>11735</v>
      </c>
      <c r="J225" s="1"/>
      <c r="K225" s="1"/>
      <c r="L225" s="1" t="s">
        <v>12860</v>
      </c>
      <c r="M225" s="1" t="s">
        <v>8007</v>
      </c>
      <c r="N225" s="1" t="s">
        <v>13475</v>
      </c>
      <c r="O225" s="1" t="s">
        <v>13476</v>
      </c>
      <c r="P225" s="1" t="s">
        <v>12917</v>
      </c>
      <c r="Q225" s="1"/>
      <c r="R225" s="1"/>
      <c r="S225" s="1"/>
      <c r="T225" s="1"/>
      <c r="U225" s="1"/>
      <c r="V225" s="1"/>
      <c r="W225" s="1"/>
      <c r="X225" s="1"/>
      <c r="Y225" s="1" t="s">
        <v>5672</v>
      </c>
      <c r="Z225" s="1" t="s">
        <v>12918</v>
      </c>
      <c r="AA225" s="1">
        <f t="shared" si="13"/>
        <v>1</v>
      </c>
      <c r="AB225" s="1" t="str">
        <f>IF(OR(ISNUMBER(F225),F225="NA"),"Reviewer confirmed","Analyst proposed resolution")</f>
        <v>Reviewer confirmed</v>
      </c>
      <c r="AC225" s="1">
        <v>1</v>
      </c>
      <c r="AD225" s="1" t="s">
        <v>12919</v>
      </c>
      <c r="AE225" s="1" t="s">
        <v>5672</v>
      </c>
      <c r="AF225" s="1" t="s">
        <v>5671</v>
      </c>
      <c r="AG225" s="1" t="s">
        <v>5673</v>
      </c>
      <c r="AH225" s="1" t="s">
        <v>5461</v>
      </c>
      <c r="AI225" s="1">
        <f t="shared" si="14"/>
        <v>1</v>
      </c>
      <c r="AJ225" s="5" t="s">
        <v>12898</v>
      </c>
      <c r="AK225" s="5" t="s">
        <v>12899</v>
      </c>
      <c r="AL225" s="7" t="s">
        <v>15077</v>
      </c>
    </row>
    <row r="226" spans="1:38" ht="36" customHeight="1">
      <c r="A226" s="1" t="s">
        <v>4973</v>
      </c>
      <c r="B226" s="1" t="s">
        <v>5537</v>
      </c>
      <c r="C226" s="1" t="s">
        <v>5538</v>
      </c>
      <c r="D226" s="1" t="s">
        <v>4747</v>
      </c>
      <c r="E226" s="1">
        <v>0</v>
      </c>
      <c r="F226" s="1"/>
      <c r="G226" s="1" t="s">
        <v>12859</v>
      </c>
      <c r="H226" s="1" t="s">
        <v>8024</v>
      </c>
      <c r="I226" s="1" t="s">
        <v>4747</v>
      </c>
      <c r="J226" s="1"/>
      <c r="K226" s="1"/>
      <c r="L226" s="1" t="s">
        <v>12860</v>
      </c>
      <c r="M226" s="1" t="s">
        <v>13477</v>
      </c>
      <c r="N226" s="1" t="s">
        <v>13478</v>
      </c>
      <c r="O226" s="1"/>
      <c r="P226" s="1" t="s">
        <v>12863</v>
      </c>
      <c r="Q226" s="1"/>
      <c r="R226" s="1"/>
      <c r="S226" s="1"/>
      <c r="T226" s="1"/>
      <c r="U226" s="1"/>
      <c r="V226" s="1"/>
      <c r="W226" s="1"/>
      <c r="X226" s="1"/>
      <c r="Y226" s="1"/>
      <c r="Z226" s="1"/>
      <c r="AA226" s="1">
        <f t="shared" si="13"/>
        <v>0</v>
      </c>
      <c r="AB226" s="1" t="str">
        <f t="shared" ref="AB226:AB257" si="16">IF(OR(ISNUMBER(F226),F226="NA"),"Reviewer confirmed",IF(AD226="uncertain","Unresolved under clarified rule",IF(AND(OR(ISNUMBER(AC226),AC226="NA"),AC226&lt;&gt;E226),"Analyst scope correction","R2 retained")))</f>
        <v>R2 retained</v>
      </c>
      <c r="AC226" s="1"/>
      <c r="AD226" s="1"/>
      <c r="AE226" s="1"/>
      <c r="AF226" s="1"/>
      <c r="AG226" s="1"/>
      <c r="AH226" s="1"/>
      <c r="AI226" s="1">
        <f t="shared" si="14"/>
        <v>0</v>
      </c>
      <c r="AJ226" s="5"/>
      <c r="AK226" s="5"/>
      <c r="AL226" s="7" t="s">
        <v>15077</v>
      </c>
    </row>
    <row r="227" spans="1:38" ht="36" customHeight="1">
      <c r="A227" s="1" t="s">
        <v>4973</v>
      </c>
      <c r="B227" s="1" t="s">
        <v>5542</v>
      </c>
      <c r="C227" s="1" t="s">
        <v>5543</v>
      </c>
      <c r="D227" s="1" t="s">
        <v>4747</v>
      </c>
      <c r="E227" s="1">
        <v>0</v>
      </c>
      <c r="F227" s="1"/>
      <c r="G227" s="1" t="s">
        <v>12859</v>
      </c>
      <c r="H227" s="1" t="s">
        <v>8024</v>
      </c>
      <c r="I227" s="1" t="s">
        <v>4747</v>
      </c>
      <c r="J227" s="1"/>
      <c r="K227" s="1"/>
      <c r="L227" s="1" t="s">
        <v>12860</v>
      </c>
      <c r="M227" s="1" t="s">
        <v>13479</v>
      </c>
      <c r="N227" s="1" t="s">
        <v>13480</v>
      </c>
      <c r="O227" s="1"/>
      <c r="P227" s="1" t="s">
        <v>12863</v>
      </c>
      <c r="Q227" s="1"/>
      <c r="R227" s="1"/>
      <c r="S227" s="1"/>
      <c r="T227" s="1"/>
      <c r="U227" s="1"/>
      <c r="V227" s="1"/>
      <c r="W227" s="1"/>
      <c r="X227" s="1"/>
      <c r="Y227" s="1"/>
      <c r="Z227" s="1"/>
      <c r="AA227" s="1">
        <f t="shared" si="13"/>
        <v>0</v>
      </c>
      <c r="AB227" s="1" t="str">
        <f t="shared" si="16"/>
        <v>R2 retained</v>
      </c>
      <c r="AC227" s="1"/>
      <c r="AD227" s="1"/>
      <c r="AE227" s="1"/>
      <c r="AF227" s="1"/>
      <c r="AG227" s="1"/>
      <c r="AH227" s="1"/>
      <c r="AI227" s="1">
        <f t="shared" si="14"/>
        <v>0</v>
      </c>
      <c r="AJ227" s="5"/>
      <c r="AK227" s="5"/>
      <c r="AL227" s="7" t="s">
        <v>15077</v>
      </c>
    </row>
    <row r="228" spans="1:38" ht="36" customHeight="1">
      <c r="A228" s="1" t="s">
        <v>4973</v>
      </c>
      <c r="B228" s="1" t="s">
        <v>5547</v>
      </c>
      <c r="C228" s="1" t="s">
        <v>5548</v>
      </c>
      <c r="D228" s="1" t="s">
        <v>4747</v>
      </c>
      <c r="E228" s="1">
        <v>1</v>
      </c>
      <c r="F228" s="1"/>
      <c r="G228" s="1" t="s">
        <v>12859</v>
      </c>
      <c r="H228" s="1" t="s">
        <v>8024</v>
      </c>
      <c r="I228" s="1" t="s">
        <v>4788</v>
      </c>
      <c r="J228" s="1"/>
      <c r="K228" s="1"/>
      <c r="L228" s="1" t="s">
        <v>12860</v>
      </c>
      <c r="M228" s="1" t="s">
        <v>13481</v>
      </c>
      <c r="N228" s="1" t="s">
        <v>13482</v>
      </c>
      <c r="O228" s="1"/>
      <c r="P228" s="1" t="s">
        <v>12868</v>
      </c>
      <c r="Q228" s="1"/>
      <c r="R228" s="1"/>
      <c r="S228" s="1"/>
      <c r="T228" s="1"/>
      <c r="U228" s="1"/>
      <c r="V228" s="1"/>
      <c r="W228" s="1"/>
      <c r="X228" s="1"/>
      <c r="Y228" s="1"/>
      <c r="Z228" s="1"/>
      <c r="AA228" s="1">
        <f t="shared" si="13"/>
        <v>1</v>
      </c>
      <c r="AB228" s="1" t="str">
        <f t="shared" si="16"/>
        <v>R2 retained</v>
      </c>
      <c r="AC228" s="1"/>
      <c r="AD228" s="1"/>
      <c r="AE228" s="1"/>
      <c r="AF228" s="1"/>
      <c r="AG228" s="1"/>
      <c r="AH228" s="1"/>
      <c r="AI228" s="1">
        <f t="shared" si="14"/>
        <v>0</v>
      </c>
      <c r="AJ228" s="5"/>
      <c r="AK228" s="5"/>
      <c r="AL228" s="7" t="s">
        <v>15077</v>
      </c>
    </row>
    <row r="229" spans="1:38" ht="36" customHeight="1">
      <c r="A229" s="1" t="s">
        <v>4973</v>
      </c>
      <c r="B229" s="1" t="s">
        <v>5552</v>
      </c>
      <c r="C229" s="1" t="s">
        <v>5553</v>
      </c>
      <c r="D229" s="1" t="s">
        <v>12929</v>
      </c>
      <c r="E229" s="1">
        <v>0</v>
      </c>
      <c r="F229" s="1"/>
      <c r="G229" s="1" t="s">
        <v>12859</v>
      </c>
      <c r="H229" s="1" t="s">
        <v>8024</v>
      </c>
      <c r="I229" s="1" t="s">
        <v>4747</v>
      </c>
      <c r="J229" s="1"/>
      <c r="K229" s="1" t="s">
        <v>5000</v>
      </c>
      <c r="L229" s="1" t="s">
        <v>12930</v>
      </c>
      <c r="M229" s="1" t="s">
        <v>13483</v>
      </c>
      <c r="N229" s="1" t="s">
        <v>13484</v>
      </c>
      <c r="O229" s="1" t="s">
        <v>8062</v>
      </c>
      <c r="P229" s="1" t="s">
        <v>12863</v>
      </c>
      <c r="Q229" s="1"/>
      <c r="R229" s="1"/>
      <c r="S229" s="1"/>
      <c r="T229" s="1"/>
      <c r="U229" s="1"/>
      <c r="V229" s="1"/>
      <c r="W229" s="1"/>
      <c r="X229" s="1"/>
      <c r="Y229" s="1"/>
      <c r="Z229" s="1"/>
      <c r="AA229" s="1">
        <f t="shared" si="13"/>
        <v>0</v>
      </c>
      <c r="AB229" s="1" t="str">
        <f t="shared" si="16"/>
        <v>R2 retained</v>
      </c>
      <c r="AC229" s="1"/>
      <c r="AD229" s="1"/>
      <c r="AE229" s="1"/>
      <c r="AF229" s="1"/>
      <c r="AG229" s="1"/>
      <c r="AH229" s="1"/>
      <c r="AI229" s="1">
        <f t="shared" si="14"/>
        <v>0</v>
      </c>
      <c r="AJ229" s="5"/>
      <c r="AK229" s="5"/>
      <c r="AL229" s="7" t="s">
        <v>15077</v>
      </c>
    </row>
    <row r="230" spans="1:38" ht="36" customHeight="1">
      <c r="A230" s="1" t="s">
        <v>4973</v>
      </c>
      <c r="B230" s="1" t="s">
        <v>5557</v>
      </c>
      <c r="C230" s="1" t="s">
        <v>5558</v>
      </c>
      <c r="D230" s="1" t="s">
        <v>8065</v>
      </c>
      <c r="E230" s="1">
        <v>0</v>
      </c>
      <c r="F230" s="1"/>
      <c r="G230" s="1" t="s">
        <v>12859</v>
      </c>
      <c r="H230" s="1" t="s">
        <v>8024</v>
      </c>
      <c r="I230" s="1" t="s">
        <v>4747</v>
      </c>
      <c r="J230" s="1"/>
      <c r="K230" s="1"/>
      <c r="L230" s="1" t="s">
        <v>12860</v>
      </c>
      <c r="M230" s="1" t="s">
        <v>8067</v>
      </c>
      <c r="N230" s="1" t="s">
        <v>13485</v>
      </c>
      <c r="O230" s="1"/>
      <c r="P230" s="1" t="s">
        <v>12863</v>
      </c>
      <c r="Q230" s="1"/>
      <c r="R230" s="1"/>
      <c r="S230" s="1"/>
      <c r="T230" s="1"/>
      <c r="U230" s="1"/>
      <c r="V230" s="1"/>
      <c r="W230" s="1"/>
      <c r="X230" s="1"/>
      <c r="Y230" s="1"/>
      <c r="Z230" s="1"/>
      <c r="AA230" s="1">
        <f t="shared" si="13"/>
        <v>0</v>
      </c>
      <c r="AB230" s="1" t="str">
        <f t="shared" si="16"/>
        <v>R2 retained</v>
      </c>
      <c r="AC230" s="1"/>
      <c r="AD230" s="1"/>
      <c r="AE230" s="1"/>
      <c r="AF230" s="1"/>
      <c r="AG230" s="1"/>
      <c r="AH230" s="1"/>
      <c r="AI230" s="1">
        <f t="shared" si="14"/>
        <v>0</v>
      </c>
      <c r="AJ230" s="5"/>
      <c r="AK230" s="5"/>
      <c r="AL230" s="7" t="s">
        <v>15077</v>
      </c>
    </row>
    <row r="231" spans="1:38" ht="60" customHeight="1">
      <c r="A231" s="1" t="s">
        <v>4973</v>
      </c>
      <c r="B231" s="1" t="s">
        <v>5562</v>
      </c>
      <c r="C231" s="1" t="s">
        <v>5563</v>
      </c>
      <c r="D231" s="1" t="s">
        <v>5727</v>
      </c>
      <c r="E231" s="1">
        <v>0</v>
      </c>
      <c r="F231" s="1">
        <v>1</v>
      </c>
      <c r="G231" s="1" t="s">
        <v>4691</v>
      </c>
      <c r="H231" s="1" t="s">
        <v>8024</v>
      </c>
      <c r="I231" s="1" t="s">
        <v>4747</v>
      </c>
      <c r="J231" s="1"/>
      <c r="K231" s="1"/>
      <c r="L231" s="1" t="s">
        <v>12860</v>
      </c>
      <c r="M231" s="1" t="s">
        <v>8071</v>
      </c>
      <c r="N231" s="1" t="s">
        <v>13486</v>
      </c>
      <c r="O231" s="1" t="s">
        <v>13487</v>
      </c>
      <c r="P231" s="1" t="s">
        <v>12917</v>
      </c>
      <c r="Q231" s="1"/>
      <c r="R231" s="1"/>
      <c r="S231" s="1"/>
      <c r="T231" s="1"/>
      <c r="U231" s="1"/>
      <c r="V231" s="1"/>
      <c r="W231" s="1"/>
      <c r="X231" s="1"/>
      <c r="Y231" s="1" t="s">
        <v>5729</v>
      </c>
      <c r="Z231" s="1" t="s">
        <v>12918</v>
      </c>
      <c r="AA231" s="1">
        <f t="shared" si="13"/>
        <v>1</v>
      </c>
      <c r="AB231" s="1" t="str">
        <f t="shared" si="16"/>
        <v>Reviewer confirmed</v>
      </c>
      <c r="AC231" s="1">
        <v>1</v>
      </c>
      <c r="AD231" s="1" t="s">
        <v>12936</v>
      </c>
      <c r="AE231" s="1" t="s">
        <v>5729</v>
      </c>
      <c r="AF231" s="1" t="s">
        <v>5728</v>
      </c>
      <c r="AG231" s="1" t="s">
        <v>5730</v>
      </c>
      <c r="AH231" s="1" t="s">
        <v>5461</v>
      </c>
      <c r="AI231" s="1">
        <f t="shared" si="14"/>
        <v>1</v>
      </c>
      <c r="AJ231" s="5"/>
      <c r="AK231" s="5"/>
      <c r="AL231" s="7" t="s">
        <v>15077</v>
      </c>
    </row>
    <row r="232" spans="1:38" ht="36" customHeight="1">
      <c r="A232" s="1" t="s">
        <v>4973</v>
      </c>
      <c r="B232" s="1" t="s">
        <v>5567</v>
      </c>
      <c r="C232" s="1" t="s">
        <v>5568</v>
      </c>
      <c r="D232" s="1" t="s">
        <v>8075</v>
      </c>
      <c r="E232" s="1">
        <v>0</v>
      </c>
      <c r="F232" s="1"/>
      <c r="G232" s="1" t="s">
        <v>12859</v>
      </c>
      <c r="H232" s="1" t="s">
        <v>8024</v>
      </c>
      <c r="I232" s="1" t="s">
        <v>4747</v>
      </c>
      <c r="J232" s="1"/>
      <c r="K232" s="1"/>
      <c r="L232" s="1" t="s">
        <v>12860</v>
      </c>
      <c r="M232" s="1" t="s">
        <v>13488</v>
      </c>
      <c r="N232" s="1" t="s">
        <v>13489</v>
      </c>
      <c r="O232" s="1"/>
      <c r="P232" s="1" t="s">
        <v>12863</v>
      </c>
      <c r="Q232" s="1"/>
      <c r="R232" s="1"/>
      <c r="S232" s="1"/>
      <c r="T232" s="1"/>
      <c r="U232" s="1"/>
      <c r="V232" s="1"/>
      <c r="W232" s="1"/>
      <c r="X232" s="1"/>
      <c r="Y232" s="1"/>
      <c r="Z232" s="1"/>
      <c r="AA232" s="1">
        <f t="shared" si="13"/>
        <v>0</v>
      </c>
      <c r="AB232" s="1" t="str">
        <f t="shared" si="16"/>
        <v>R2 retained</v>
      </c>
      <c r="AC232" s="1"/>
      <c r="AD232" s="1"/>
      <c r="AE232" s="1"/>
      <c r="AF232" s="1"/>
      <c r="AG232" s="1"/>
      <c r="AH232" s="1"/>
      <c r="AI232" s="1">
        <f t="shared" si="14"/>
        <v>0</v>
      </c>
      <c r="AJ232" s="5"/>
      <c r="AK232" s="5"/>
      <c r="AL232" s="7" t="s">
        <v>15077</v>
      </c>
    </row>
    <row r="233" spans="1:38" ht="36" customHeight="1">
      <c r="A233" s="1" t="s">
        <v>4973</v>
      </c>
      <c r="B233" s="1" t="s">
        <v>5572</v>
      </c>
      <c r="C233" s="1" t="s">
        <v>5573</v>
      </c>
      <c r="D233" s="1" t="s">
        <v>4747</v>
      </c>
      <c r="E233" s="1">
        <v>0</v>
      </c>
      <c r="F233" s="1"/>
      <c r="G233" s="1" t="s">
        <v>12859</v>
      </c>
      <c r="H233" s="1" t="s">
        <v>8024</v>
      </c>
      <c r="I233" s="1" t="s">
        <v>4747</v>
      </c>
      <c r="J233" s="1"/>
      <c r="K233" s="1"/>
      <c r="L233" s="1" t="s">
        <v>12860</v>
      </c>
      <c r="M233" s="1" t="s">
        <v>13490</v>
      </c>
      <c r="N233" s="1" t="s">
        <v>13491</v>
      </c>
      <c r="O233" s="1"/>
      <c r="P233" s="1" t="s">
        <v>12863</v>
      </c>
      <c r="Q233" s="1"/>
      <c r="R233" s="1"/>
      <c r="S233" s="1"/>
      <c r="T233" s="1"/>
      <c r="U233" s="1"/>
      <c r="V233" s="1"/>
      <c r="W233" s="1"/>
      <c r="X233" s="1"/>
      <c r="Y233" s="1"/>
      <c r="Z233" s="1"/>
      <c r="AA233" s="1">
        <f t="shared" si="13"/>
        <v>0</v>
      </c>
      <c r="AB233" s="1" t="str">
        <f t="shared" si="16"/>
        <v>R2 retained</v>
      </c>
      <c r="AC233" s="1"/>
      <c r="AD233" s="1"/>
      <c r="AE233" s="1"/>
      <c r="AF233" s="1"/>
      <c r="AG233" s="1"/>
      <c r="AH233" s="1"/>
      <c r="AI233" s="1">
        <f t="shared" si="14"/>
        <v>0</v>
      </c>
      <c r="AJ233" s="5"/>
      <c r="AK233" s="5"/>
      <c r="AL233" s="7" t="s">
        <v>15077</v>
      </c>
    </row>
    <row r="234" spans="1:38" ht="36" customHeight="1">
      <c r="A234" s="1" t="s">
        <v>4973</v>
      </c>
      <c r="B234" s="1" t="s">
        <v>5577</v>
      </c>
      <c r="C234" s="1" t="s">
        <v>5578</v>
      </c>
      <c r="D234" s="1" t="s">
        <v>13492</v>
      </c>
      <c r="E234" s="1">
        <v>2</v>
      </c>
      <c r="F234" s="1"/>
      <c r="G234" s="1" t="s">
        <v>12859</v>
      </c>
      <c r="H234" s="1" t="s">
        <v>8024</v>
      </c>
      <c r="I234" s="1" t="s">
        <v>4862</v>
      </c>
      <c r="J234" s="1"/>
      <c r="K234" s="1"/>
      <c r="L234" s="1" t="s">
        <v>12860</v>
      </c>
      <c r="M234" s="1" t="s">
        <v>13493</v>
      </c>
      <c r="N234" s="1" t="s">
        <v>13494</v>
      </c>
      <c r="O234" s="1"/>
      <c r="P234" s="1" t="s">
        <v>12868</v>
      </c>
      <c r="Q234" s="1"/>
      <c r="R234" s="1"/>
      <c r="S234" s="1"/>
      <c r="T234" s="1"/>
      <c r="U234" s="1"/>
      <c r="V234" s="1"/>
      <c r="W234" s="1"/>
      <c r="X234" s="1"/>
      <c r="Y234" s="1"/>
      <c r="Z234" s="1"/>
      <c r="AA234" s="1">
        <f t="shared" si="13"/>
        <v>2</v>
      </c>
      <c r="AB234" s="1" t="str">
        <f t="shared" si="16"/>
        <v>R2 retained</v>
      </c>
      <c r="AC234" s="1"/>
      <c r="AD234" s="1"/>
      <c r="AE234" s="1"/>
      <c r="AF234" s="1"/>
      <c r="AG234" s="1"/>
      <c r="AH234" s="1"/>
      <c r="AI234" s="1">
        <f t="shared" si="14"/>
        <v>0</v>
      </c>
      <c r="AJ234" s="5"/>
      <c r="AK234" s="5"/>
      <c r="AL234" s="7" t="s">
        <v>15077</v>
      </c>
    </row>
    <row r="235" spans="1:38" ht="36" customHeight="1">
      <c r="A235" s="1" t="s">
        <v>4973</v>
      </c>
      <c r="B235" s="1" t="s">
        <v>5582</v>
      </c>
      <c r="C235" s="1" t="s">
        <v>5583</v>
      </c>
      <c r="D235" s="1" t="s">
        <v>4747</v>
      </c>
      <c r="E235" s="1">
        <v>0</v>
      </c>
      <c r="F235" s="1"/>
      <c r="G235" s="1" t="s">
        <v>12859</v>
      </c>
      <c r="H235" s="1" t="s">
        <v>8024</v>
      </c>
      <c r="I235" s="1" t="s">
        <v>4747</v>
      </c>
      <c r="J235" s="1"/>
      <c r="K235" s="1"/>
      <c r="L235" s="1" t="s">
        <v>12860</v>
      </c>
      <c r="M235" s="1" t="s">
        <v>8115</v>
      </c>
      <c r="N235" s="1" t="s">
        <v>13495</v>
      </c>
      <c r="O235" s="1"/>
      <c r="P235" s="1" t="s">
        <v>12863</v>
      </c>
      <c r="Q235" s="1"/>
      <c r="R235" s="1"/>
      <c r="S235" s="1"/>
      <c r="T235" s="1"/>
      <c r="U235" s="1"/>
      <c r="V235" s="1"/>
      <c r="W235" s="1"/>
      <c r="X235" s="1"/>
      <c r="Y235" s="1"/>
      <c r="Z235" s="1"/>
      <c r="AA235" s="1">
        <f t="shared" si="13"/>
        <v>0</v>
      </c>
      <c r="AB235" s="1" t="str">
        <f t="shared" si="16"/>
        <v>R2 retained</v>
      </c>
      <c r="AC235" s="1">
        <v>0</v>
      </c>
      <c r="AD235" s="1" t="s">
        <v>12884</v>
      </c>
      <c r="AE235" s="1" t="s">
        <v>13049</v>
      </c>
      <c r="AF235" s="1" t="s">
        <v>8024</v>
      </c>
      <c r="AG235" s="1" t="s">
        <v>8031</v>
      </c>
      <c r="AH235" s="1" t="s">
        <v>6096</v>
      </c>
      <c r="AI235" s="1">
        <f t="shared" si="14"/>
        <v>1</v>
      </c>
      <c r="AJ235" s="5" t="s">
        <v>12898</v>
      </c>
      <c r="AK235" s="5" t="s">
        <v>12899</v>
      </c>
      <c r="AL235" s="7" t="s">
        <v>15077</v>
      </c>
    </row>
    <row r="236" spans="1:38" ht="36" customHeight="1">
      <c r="A236" s="1" t="s">
        <v>4973</v>
      </c>
      <c r="B236" s="1" t="s">
        <v>5586</v>
      </c>
      <c r="C236" s="1" t="s">
        <v>5587</v>
      </c>
      <c r="D236" s="1" t="s">
        <v>13496</v>
      </c>
      <c r="E236" s="1">
        <v>0</v>
      </c>
      <c r="F236" s="1"/>
      <c r="G236" s="1" t="s">
        <v>12859</v>
      </c>
      <c r="H236" s="1" t="s">
        <v>8024</v>
      </c>
      <c r="I236" s="1" t="s">
        <v>4747</v>
      </c>
      <c r="J236" s="1"/>
      <c r="K236" s="1"/>
      <c r="L236" s="1" t="s">
        <v>12860</v>
      </c>
      <c r="M236" s="1" t="s">
        <v>13497</v>
      </c>
      <c r="N236" s="1" t="s">
        <v>13498</v>
      </c>
      <c r="O236" s="1"/>
      <c r="P236" s="1" t="s">
        <v>12863</v>
      </c>
      <c r="Q236" s="1"/>
      <c r="R236" s="1"/>
      <c r="S236" s="1"/>
      <c r="T236" s="1"/>
      <c r="U236" s="1"/>
      <c r="V236" s="1"/>
      <c r="W236" s="1"/>
      <c r="X236" s="1"/>
      <c r="Y236" s="1"/>
      <c r="Z236" s="1"/>
      <c r="AA236" s="1">
        <f t="shared" si="13"/>
        <v>0</v>
      </c>
      <c r="AB236" s="1" t="str">
        <f t="shared" si="16"/>
        <v>R2 retained</v>
      </c>
      <c r="AC236" s="1"/>
      <c r="AD236" s="1"/>
      <c r="AE236" s="1"/>
      <c r="AF236" s="1"/>
      <c r="AG236" s="1"/>
      <c r="AH236" s="1"/>
      <c r="AI236" s="1">
        <f t="shared" si="14"/>
        <v>0</v>
      </c>
      <c r="AJ236" s="5"/>
      <c r="AK236" s="5"/>
      <c r="AL236" s="7" t="s">
        <v>15077</v>
      </c>
    </row>
    <row r="237" spans="1:38" ht="96" customHeight="1">
      <c r="A237" s="1" t="s">
        <v>4973</v>
      </c>
      <c r="B237" s="1" t="s">
        <v>5591</v>
      </c>
      <c r="C237" s="1" t="s">
        <v>5592</v>
      </c>
      <c r="D237" s="1" t="s">
        <v>13499</v>
      </c>
      <c r="E237" s="1">
        <v>1</v>
      </c>
      <c r="F237" s="1">
        <v>0</v>
      </c>
      <c r="G237" s="1" t="s">
        <v>12873</v>
      </c>
      <c r="H237" s="1" t="s">
        <v>8024</v>
      </c>
      <c r="I237" s="1"/>
      <c r="J237" s="1"/>
      <c r="K237" s="1"/>
      <c r="L237" s="1" t="s">
        <v>12860</v>
      </c>
      <c r="M237" s="1" t="s">
        <v>13500</v>
      </c>
      <c r="N237" s="1" t="s">
        <v>13501</v>
      </c>
      <c r="O237" s="1" t="s">
        <v>13502</v>
      </c>
      <c r="P237" s="1" t="s">
        <v>12876</v>
      </c>
      <c r="Q237" s="1">
        <v>0</v>
      </c>
      <c r="R237" s="1" t="s">
        <v>12877</v>
      </c>
      <c r="S237" s="1" t="s">
        <v>13503</v>
      </c>
      <c r="T237" s="1" t="s">
        <v>13504</v>
      </c>
      <c r="U237" s="1" t="s">
        <v>8099</v>
      </c>
      <c r="V237" s="1" t="s">
        <v>6096</v>
      </c>
      <c r="W237" s="1" t="s">
        <v>12880</v>
      </c>
      <c r="X237" s="1"/>
      <c r="Y237" s="1" t="s">
        <v>13505</v>
      </c>
      <c r="Z237" s="1" t="s">
        <v>12883</v>
      </c>
      <c r="AA237" s="1">
        <f t="shared" si="13"/>
        <v>0</v>
      </c>
      <c r="AB237" s="1" t="str">
        <f t="shared" si="16"/>
        <v>Reviewer confirmed</v>
      </c>
      <c r="AC237" s="1">
        <v>0</v>
      </c>
      <c r="AD237" s="1" t="s">
        <v>12936</v>
      </c>
      <c r="AE237" s="1" t="s">
        <v>13506</v>
      </c>
      <c r="AF237" s="1" t="s">
        <v>13504</v>
      </c>
      <c r="AG237" s="1" t="s">
        <v>8031</v>
      </c>
      <c r="AH237" s="1" t="s">
        <v>6096</v>
      </c>
      <c r="AI237" s="1">
        <f t="shared" si="14"/>
        <v>1</v>
      </c>
      <c r="AJ237" s="5" t="s">
        <v>12898</v>
      </c>
      <c r="AK237" s="5" t="s">
        <v>12899</v>
      </c>
      <c r="AL237" s="7" t="s">
        <v>15077</v>
      </c>
    </row>
    <row r="238" spans="1:38" ht="36" customHeight="1">
      <c r="A238" s="1" t="s">
        <v>4973</v>
      </c>
      <c r="B238" s="1" t="s">
        <v>5596</v>
      </c>
      <c r="C238" s="1" t="s">
        <v>5597</v>
      </c>
      <c r="D238" s="1" t="s">
        <v>4747</v>
      </c>
      <c r="E238" s="1">
        <v>0</v>
      </c>
      <c r="F238" s="1"/>
      <c r="G238" s="1" t="s">
        <v>12859</v>
      </c>
      <c r="H238" s="1" t="s">
        <v>8024</v>
      </c>
      <c r="I238" s="1" t="s">
        <v>4747</v>
      </c>
      <c r="J238" s="1"/>
      <c r="K238" s="1"/>
      <c r="L238" s="1" t="s">
        <v>12860</v>
      </c>
      <c r="M238" s="1" t="s">
        <v>13507</v>
      </c>
      <c r="N238" s="1" t="s">
        <v>13508</v>
      </c>
      <c r="O238" s="1"/>
      <c r="P238" s="1" t="s">
        <v>12863</v>
      </c>
      <c r="Q238" s="1"/>
      <c r="R238" s="1"/>
      <c r="S238" s="1"/>
      <c r="T238" s="1"/>
      <c r="U238" s="1"/>
      <c r="V238" s="1"/>
      <c r="W238" s="1"/>
      <c r="X238" s="1"/>
      <c r="Y238" s="1"/>
      <c r="Z238" s="1"/>
      <c r="AA238" s="1">
        <f t="shared" si="13"/>
        <v>0</v>
      </c>
      <c r="AB238" s="1" t="str">
        <f t="shared" si="16"/>
        <v>R2 retained</v>
      </c>
      <c r="AC238" s="1"/>
      <c r="AD238" s="1"/>
      <c r="AE238" s="1"/>
      <c r="AF238" s="1"/>
      <c r="AG238" s="1"/>
      <c r="AH238" s="1"/>
      <c r="AI238" s="1">
        <f t="shared" si="14"/>
        <v>0</v>
      </c>
      <c r="AJ238" s="5"/>
      <c r="AK238" s="5"/>
      <c r="AL238" s="7" t="s">
        <v>15077</v>
      </c>
    </row>
    <row r="239" spans="1:38" ht="36" customHeight="1">
      <c r="A239" s="1" t="s">
        <v>4973</v>
      </c>
      <c r="B239" s="1" t="s">
        <v>5601</v>
      </c>
      <c r="C239" s="1" t="s">
        <v>5602</v>
      </c>
      <c r="D239" s="1" t="s">
        <v>8130</v>
      </c>
      <c r="E239" s="1">
        <v>1</v>
      </c>
      <c r="F239" s="1"/>
      <c r="G239" s="1" t="s">
        <v>12859</v>
      </c>
      <c r="H239" s="1" t="s">
        <v>8024</v>
      </c>
      <c r="I239" s="1"/>
      <c r="J239" s="1"/>
      <c r="K239" s="1"/>
      <c r="L239" s="1" t="s">
        <v>12860</v>
      </c>
      <c r="M239" s="1" t="s">
        <v>8131</v>
      </c>
      <c r="N239" s="1" t="s">
        <v>13509</v>
      </c>
      <c r="O239" s="1"/>
      <c r="P239" s="1" t="s">
        <v>12876</v>
      </c>
      <c r="Q239" s="1">
        <v>1</v>
      </c>
      <c r="R239" s="1" t="s">
        <v>12981</v>
      </c>
      <c r="S239" s="1" t="s">
        <v>13510</v>
      </c>
      <c r="T239" s="1" t="s">
        <v>13511</v>
      </c>
      <c r="U239" s="1" t="s">
        <v>8031</v>
      </c>
      <c r="V239" s="1" t="s">
        <v>6096</v>
      </c>
      <c r="W239" s="1"/>
      <c r="X239" s="1"/>
      <c r="Y239" s="1"/>
      <c r="Z239" s="1" t="s">
        <v>12908</v>
      </c>
      <c r="AA239" s="1">
        <f t="shared" si="13"/>
        <v>1</v>
      </c>
      <c r="AB239" s="1" t="str">
        <f t="shared" si="16"/>
        <v>R2 retained</v>
      </c>
      <c r="AC239" s="1"/>
      <c r="AD239" s="1"/>
      <c r="AE239" s="1"/>
      <c r="AF239" s="1"/>
      <c r="AG239" s="1"/>
      <c r="AH239" s="1"/>
      <c r="AI239" s="1">
        <f t="shared" si="14"/>
        <v>1</v>
      </c>
      <c r="AJ239" s="5"/>
      <c r="AK239" s="5"/>
      <c r="AL239" s="7" t="s">
        <v>15077</v>
      </c>
    </row>
    <row r="240" spans="1:38" ht="36" customHeight="1">
      <c r="A240" s="1" t="s">
        <v>4973</v>
      </c>
      <c r="B240" s="1" t="s">
        <v>5606</v>
      </c>
      <c r="C240" s="1" t="s">
        <v>5607</v>
      </c>
      <c r="D240" s="1" t="s">
        <v>4747</v>
      </c>
      <c r="E240" s="1">
        <v>1</v>
      </c>
      <c r="F240" s="1"/>
      <c r="G240" s="1" t="s">
        <v>12859</v>
      </c>
      <c r="H240" s="1" t="s">
        <v>8024</v>
      </c>
      <c r="I240" s="1" t="s">
        <v>4935</v>
      </c>
      <c r="J240" s="1"/>
      <c r="K240" s="1"/>
      <c r="L240" s="1" t="s">
        <v>12860</v>
      </c>
      <c r="M240" s="1" t="s">
        <v>8133</v>
      </c>
      <c r="N240" s="1" t="s">
        <v>13512</v>
      </c>
      <c r="O240" s="1"/>
      <c r="P240" s="1" t="s">
        <v>12868</v>
      </c>
      <c r="Q240" s="1"/>
      <c r="R240" s="1"/>
      <c r="S240" s="1"/>
      <c r="T240" s="1"/>
      <c r="U240" s="1"/>
      <c r="V240" s="1"/>
      <c r="W240" s="1"/>
      <c r="X240" s="1"/>
      <c r="Y240" s="1"/>
      <c r="Z240" s="1"/>
      <c r="AA240" s="1">
        <f t="shared" si="13"/>
        <v>1</v>
      </c>
      <c r="AB240" s="1" t="str">
        <f t="shared" si="16"/>
        <v>R2 retained</v>
      </c>
      <c r="AC240" s="1"/>
      <c r="AD240" s="1"/>
      <c r="AE240" s="1"/>
      <c r="AF240" s="1"/>
      <c r="AG240" s="1"/>
      <c r="AH240" s="1"/>
      <c r="AI240" s="1">
        <f t="shared" si="14"/>
        <v>0</v>
      </c>
      <c r="AJ240" s="5"/>
      <c r="AK240" s="5"/>
      <c r="AL240" s="7" t="s">
        <v>15077</v>
      </c>
    </row>
    <row r="241" spans="1:38" ht="48" customHeight="1">
      <c r="A241" s="1" t="s">
        <v>4973</v>
      </c>
      <c r="B241" s="1" t="s">
        <v>5454</v>
      </c>
      <c r="C241" s="1" t="s">
        <v>5455</v>
      </c>
      <c r="D241" s="1" t="s">
        <v>4747</v>
      </c>
      <c r="E241" s="1">
        <v>1</v>
      </c>
      <c r="F241" s="1">
        <v>0</v>
      </c>
      <c r="G241" s="1" t="s">
        <v>4691</v>
      </c>
      <c r="H241" s="1" t="s">
        <v>8024</v>
      </c>
      <c r="I241" s="1" t="s">
        <v>13040</v>
      </c>
      <c r="J241" s="1"/>
      <c r="K241" s="1"/>
      <c r="L241" s="1" t="s">
        <v>12860</v>
      </c>
      <c r="M241" s="1" t="s">
        <v>8135</v>
      </c>
      <c r="N241" s="1" t="s">
        <v>13513</v>
      </c>
      <c r="O241" s="1" t="s">
        <v>13514</v>
      </c>
      <c r="P241" s="1" t="s">
        <v>12917</v>
      </c>
      <c r="Q241" s="1"/>
      <c r="R241" s="1"/>
      <c r="S241" s="1"/>
      <c r="T241" s="1"/>
      <c r="U241" s="1"/>
      <c r="V241" s="1"/>
      <c r="W241" s="1"/>
      <c r="X241" s="1"/>
      <c r="Y241" s="1" t="s">
        <v>5732</v>
      </c>
      <c r="Z241" s="1" t="s">
        <v>12918</v>
      </c>
      <c r="AA241" s="1">
        <f t="shared" si="13"/>
        <v>0</v>
      </c>
      <c r="AB241" s="1" t="str">
        <f t="shared" si="16"/>
        <v>Reviewer confirmed</v>
      </c>
      <c r="AC241" s="1">
        <v>0</v>
      </c>
      <c r="AD241" s="1" t="s">
        <v>12936</v>
      </c>
      <c r="AE241" s="1" t="s">
        <v>5732</v>
      </c>
      <c r="AF241" s="1" t="s">
        <v>5731</v>
      </c>
      <c r="AG241" s="1" t="s">
        <v>5733</v>
      </c>
      <c r="AH241" s="1" t="s">
        <v>5461</v>
      </c>
      <c r="AI241" s="1">
        <f t="shared" si="14"/>
        <v>1</v>
      </c>
      <c r="AJ241" s="5" t="s">
        <v>12898</v>
      </c>
      <c r="AK241" s="5" t="s">
        <v>12899</v>
      </c>
      <c r="AL241" s="7" t="s">
        <v>15077</v>
      </c>
    </row>
    <row r="242" spans="1:38" ht="36" customHeight="1">
      <c r="A242" s="1" t="s">
        <v>5004</v>
      </c>
      <c r="B242" s="1" t="s">
        <v>5537</v>
      </c>
      <c r="C242" s="1" t="s">
        <v>5538</v>
      </c>
      <c r="D242" s="1" t="s">
        <v>4747</v>
      </c>
      <c r="E242" s="1">
        <v>0</v>
      </c>
      <c r="F242" s="1"/>
      <c r="G242" s="1" t="s">
        <v>12859</v>
      </c>
      <c r="H242" s="1" t="s">
        <v>8151</v>
      </c>
      <c r="I242" s="1" t="s">
        <v>4747</v>
      </c>
      <c r="J242" s="1"/>
      <c r="K242" s="1"/>
      <c r="L242" s="1" t="s">
        <v>12860</v>
      </c>
      <c r="M242" s="1" t="s">
        <v>13515</v>
      </c>
      <c r="N242" s="1" t="s">
        <v>13516</v>
      </c>
      <c r="O242" s="1"/>
      <c r="P242" s="1" t="s">
        <v>12863</v>
      </c>
      <c r="Q242" s="1"/>
      <c r="R242" s="1"/>
      <c r="S242" s="1"/>
      <c r="T242" s="1"/>
      <c r="U242" s="1"/>
      <c r="V242" s="1"/>
      <c r="W242" s="1"/>
      <c r="X242" s="1"/>
      <c r="Y242" s="1"/>
      <c r="Z242" s="1"/>
      <c r="AA242" s="1">
        <f t="shared" si="13"/>
        <v>0</v>
      </c>
      <c r="AB242" s="1" t="str">
        <f t="shared" si="16"/>
        <v>R2 retained</v>
      </c>
      <c r="AC242" s="1"/>
      <c r="AD242" s="1"/>
      <c r="AE242" s="1"/>
      <c r="AF242" s="1"/>
      <c r="AG242" s="1"/>
      <c r="AH242" s="1"/>
      <c r="AI242" s="1">
        <f t="shared" si="14"/>
        <v>0</v>
      </c>
      <c r="AJ242" s="5"/>
      <c r="AK242" s="5"/>
      <c r="AL242" s="7" t="s">
        <v>15077</v>
      </c>
    </row>
    <row r="243" spans="1:38" ht="36" customHeight="1">
      <c r="A243" s="1" t="s">
        <v>5004</v>
      </c>
      <c r="B243" s="1" t="s">
        <v>5542</v>
      </c>
      <c r="C243" s="1" t="s">
        <v>5543</v>
      </c>
      <c r="D243" s="1" t="s">
        <v>4747</v>
      </c>
      <c r="E243" s="1">
        <v>0</v>
      </c>
      <c r="F243" s="1"/>
      <c r="G243" s="1" t="s">
        <v>12859</v>
      </c>
      <c r="H243" s="1" t="s">
        <v>8151</v>
      </c>
      <c r="I243" s="1" t="s">
        <v>4747</v>
      </c>
      <c r="J243" s="1"/>
      <c r="K243" s="1"/>
      <c r="L243" s="1" t="s">
        <v>12860</v>
      </c>
      <c r="M243" s="1" t="s">
        <v>13517</v>
      </c>
      <c r="N243" s="1" t="s">
        <v>13518</v>
      </c>
      <c r="O243" s="1"/>
      <c r="P243" s="1" t="s">
        <v>12863</v>
      </c>
      <c r="Q243" s="1"/>
      <c r="R243" s="1"/>
      <c r="S243" s="1"/>
      <c r="T243" s="1"/>
      <c r="U243" s="1"/>
      <c r="V243" s="1"/>
      <c r="W243" s="1"/>
      <c r="X243" s="1"/>
      <c r="Y243" s="1"/>
      <c r="Z243" s="1"/>
      <c r="AA243" s="1">
        <f t="shared" si="13"/>
        <v>0</v>
      </c>
      <c r="AB243" s="1" t="str">
        <f t="shared" si="16"/>
        <v>R2 retained</v>
      </c>
      <c r="AC243" s="1"/>
      <c r="AD243" s="1"/>
      <c r="AE243" s="1"/>
      <c r="AF243" s="1"/>
      <c r="AG243" s="1"/>
      <c r="AH243" s="1"/>
      <c r="AI243" s="1">
        <f t="shared" si="14"/>
        <v>0</v>
      </c>
      <c r="AJ243" s="5"/>
      <c r="AK243" s="5"/>
      <c r="AL243" s="7" t="s">
        <v>15077</v>
      </c>
    </row>
    <row r="244" spans="1:38" ht="36" customHeight="1">
      <c r="A244" s="1" t="s">
        <v>5004</v>
      </c>
      <c r="B244" s="1" t="s">
        <v>5547</v>
      </c>
      <c r="C244" s="1" t="s">
        <v>5548</v>
      </c>
      <c r="D244" s="1" t="s">
        <v>4747</v>
      </c>
      <c r="E244" s="1">
        <v>1</v>
      </c>
      <c r="F244" s="1"/>
      <c r="G244" s="1" t="s">
        <v>12859</v>
      </c>
      <c r="H244" s="1" t="s">
        <v>8151</v>
      </c>
      <c r="I244" s="1" t="s">
        <v>4862</v>
      </c>
      <c r="J244" s="1"/>
      <c r="K244" s="1"/>
      <c r="L244" s="1" t="s">
        <v>12860</v>
      </c>
      <c r="M244" s="1" t="s">
        <v>13519</v>
      </c>
      <c r="N244" s="1" t="s">
        <v>13520</v>
      </c>
      <c r="O244" s="1"/>
      <c r="P244" s="1" t="s">
        <v>12868</v>
      </c>
      <c r="Q244" s="1"/>
      <c r="R244" s="1"/>
      <c r="S244" s="1"/>
      <c r="T244" s="1"/>
      <c r="U244" s="1"/>
      <c r="V244" s="1"/>
      <c r="W244" s="1"/>
      <c r="X244" s="1"/>
      <c r="Y244" s="1"/>
      <c r="Z244" s="1"/>
      <c r="AA244" s="1">
        <f t="shared" si="13"/>
        <v>1</v>
      </c>
      <c r="AB244" s="1" t="str">
        <f t="shared" si="16"/>
        <v>R2 retained</v>
      </c>
      <c r="AC244" s="1"/>
      <c r="AD244" s="1"/>
      <c r="AE244" s="1"/>
      <c r="AF244" s="1"/>
      <c r="AG244" s="1"/>
      <c r="AH244" s="1"/>
      <c r="AI244" s="1">
        <f t="shared" si="14"/>
        <v>0</v>
      </c>
      <c r="AJ244" s="5"/>
      <c r="AK244" s="5"/>
      <c r="AL244" s="7" t="s">
        <v>15077</v>
      </c>
    </row>
    <row r="245" spans="1:38" ht="36" customHeight="1">
      <c r="A245" s="1" t="s">
        <v>5004</v>
      </c>
      <c r="B245" s="1" t="s">
        <v>5552</v>
      </c>
      <c r="C245" s="1" t="s">
        <v>5553</v>
      </c>
      <c r="D245" s="1" t="s">
        <v>13521</v>
      </c>
      <c r="E245" s="1">
        <v>2</v>
      </c>
      <c r="F245" s="1"/>
      <c r="G245" s="1" t="s">
        <v>12859</v>
      </c>
      <c r="H245" s="1" t="s">
        <v>8151</v>
      </c>
      <c r="I245" s="1" t="s">
        <v>4896</v>
      </c>
      <c r="J245" s="1"/>
      <c r="K245" s="1"/>
      <c r="L245" s="1" t="s">
        <v>12860</v>
      </c>
      <c r="M245" s="1" t="s">
        <v>13522</v>
      </c>
      <c r="N245" s="1" t="s">
        <v>13523</v>
      </c>
      <c r="O245" s="1"/>
      <c r="P245" s="1" t="s">
        <v>12868</v>
      </c>
      <c r="Q245" s="1"/>
      <c r="R245" s="1"/>
      <c r="S245" s="1"/>
      <c r="T245" s="1"/>
      <c r="U245" s="1"/>
      <c r="V245" s="1"/>
      <c r="W245" s="1"/>
      <c r="X245" s="1"/>
      <c r="Y245" s="1"/>
      <c r="Z245" s="1"/>
      <c r="AA245" s="1">
        <f t="shared" si="13"/>
        <v>2</v>
      </c>
      <c r="AB245" s="1" t="str">
        <f t="shared" si="16"/>
        <v>R2 retained</v>
      </c>
      <c r="AC245" s="1"/>
      <c r="AD245" s="1"/>
      <c r="AE245" s="1"/>
      <c r="AF245" s="1"/>
      <c r="AG245" s="1"/>
      <c r="AH245" s="1"/>
      <c r="AI245" s="1">
        <f t="shared" si="14"/>
        <v>0</v>
      </c>
      <c r="AJ245" s="5"/>
      <c r="AK245" s="5"/>
      <c r="AL245" s="7" t="s">
        <v>15077</v>
      </c>
    </row>
    <row r="246" spans="1:38" ht="36" customHeight="1">
      <c r="A246" s="1" t="s">
        <v>5004</v>
      </c>
      <c r="B246" s="1" t="s">
        <v>5557</v>
      </c>
      <c r="C246" s="1" t="s">
        <v>5558</v>
      </c>
      <c r="D246" s="1" t="s">
        <v>8193</v>
      </c>
      <c r="E246" s="1">
        <v>0</v>
      </c>
      <c r="F246" s="1"/>
      <c r="G246" s="1" t="s">
        <v>12859</v>
      </c>
      <c r="H246" s="1" t="s">
        <v>8151</v>
      </c>
      <c r="I246" s="1" t="s">
        <v>4747</v>
      </c>
      <c r="J246" s="1"/>
      <c r="K246" s="1"/>
      <c r="L246" s="1" t="s">
        <v>12860</v>
      </c>
      <c r="M246" s="1" t="s">
        <v>8195</v>
      </c>
      <c r="N246" s="1" t="s">
        <v>13524</v>
      </c>
      <c r="O246" s="1"/>
      <c r="P246" s="1" t="s">
        <v>12863</v>
      </c>
      <c r="Q246" s="1"/>
      <c r="R246" s="1"/>
      <c r="S246" s="1"/>
      <c r="T246" s="1"/>
      <c r="U246" s="1"/>
      <c r="V246" s="1"/>
      <c r="W246" s="1"/>
      <c r="X246" s="1"/>
      <c r="Y246" s="1"/>
      <c r="Z246" s="1"/>
      <c r="AA246" s="1">
        <f t="shared" si="13"/>
        <v>0</v>
      </c>
      <c r="AB246" s="1" t="str">
        <f t="shared" si="16"/>
        <v>R2 retained</v>
      </c>
      <c r="AC246" s="1"/>
      <c r="AD246" s="1"/>
      <c r="AE246" s="1"/>
      <c r="AF246" s="1"/>
      <c r="AG246" s="1"/>
      <c r="AH246" s="1"/>
      <c r="AI246" s="1">
        <f t="shared" si="14"/>
        <v>0</v>
      </c>
      <c r="AJ246" s="5"/>
      <c r="AK246" s="5"/>
      <c r="AL246" s="7" t="s">
        <v>15077</v>
      </c>
    </row>
    <row r="247" spans="1:38" ht="36" customHeight="1">
      <c r="A247" s="1" t="s">
        <v>5004</v>
      </c>
      <c r="B247" s="1" t="s">
        <v>5562</v>
      </c>
      <c r="C247" s="1" t="s">
        <v>5563</v>
      </c>
      <c r="D247" s="1" t="s">
        <v>8197</v>
      </c>
      <c r="E247" s="1">
        <v>1</v>
      </c>
      <c r="F247" s="1"/>
      <c r="G247" s="1" t="s">
        <v>12859</v>
      </c>
      <c r="H247" s="1" t="s">
        <v>8151</v>
      </c>
      <c r="I247" s="1" t="s">
        <v>4862</v>
      </c>
      <c r="J247" s="1"/>
      <c r="K247" s="1"/>
      <c r="L247" s="1" t="s">
        <v>12860</v>
      </c>
      <c r="M247" s="1" t="s">
        <v>8200</v>
      </c>
      <c r="N247" s="1" t="s">
        <v>13525</v>
      </c>
      <c r="O247" s="1"/>
      <c r="P247" s="1" t="s">
        <v>12868</v>
      </c>
      <c r="Q247" s="1"/>
      <c r="R247" s="1"/>
      <c r="S247" s="1"/>
      <c r="T247" s="1"/>
      <c r="U247" s="1"/>
      <c r="V247" s="1"/>
      <c r="W247" s="1"/>
      <c r="X247" s="1"/>
      <c r="Y247" s="1"/>
      <c r="Z247" s="1"/>
      <c r="AA247" s="1">
        <f t="shared" si="13"/>
        <v>1</v>
      </c>
      <c r="AB247" s="1" t="str">
        <f t="shared" si="16"/>
        <v>R2 retained</v>
      </c>
      <c r="AC247" s="1">
        <v>1</v>
      </c>
      <c r="AD247" s="1" t="s">
        <v>12884</v>
      </c>
      <c r="AE247" s="1" t="s">
        <v>13526</v>
      </c>
      <c r="AF247" s="1" t="s">
        <v>13527</v>
      </c>
      <c r="AG247" s="1" t="s">
        <v>8158</v>
      </c>
      <c r="AH247" s="1" t="s">
        <v>6096</v>
      </c>
      <c r="AI247" s="1">
        <f t="shared" si="14"/>
        <v>1</v>
      </c>
      <c r="AJ247" s="5"/>
      <c r="AK247" s="5"/>
      <c r="AL247" s="7" t="s">
        <v>15077</v>
      </c>
    </row>
    <row r="248" spans="1:38" ht="36" customHeight="1">
      <c r="A248" s="1" t="s">
        <v>5004</v>
      </c>
      <c r="B248" s="1" t="s">
        <v>5567</v>
      </c>
      <c r="C248" s="1" t="s">
        <v>5568</v>
      </c>
      <c r="D248" s="1" t="s">
        <v>8202</v>
      </c>
      <c r="E248" s="1">
        <v>1</v>
      </c>
      <c r="F248" s="1"/>
      <c r="G248" s="1" t="s">
        <v>12859</v>
      </c>
      <c r="H248" s="1" t="s">
        <v>8151</v>
      </c>
      <c r="I248" s="1" t="s">
        <v>11803</v>
      </c>
      <c r="J248" s="1"/>
      <c r="K248" s="1"/>
      <c r="L248" s="1" t="s">
        <v>12860</v>
      </c>
      <c r="M248" s="1" t="s">
        <v>13528</v>
      </c>
      <c r="N248" s="1" t="s">
        <v>13529</v>
      </c>
      <c r="O248" s="1"/>
      <c r="P248" s="1" t="s">
        <v>12868</v>
      </c>
      <c r="Q248" s="1"/>
      <c r="R248" s="1"/>
      <c r="S248" s="1"/>
      <c r="T248" s="1"/>
      <c r="U248" s="1"/>
      <c r="V248" s="1"/>
      <c r="W248" s="1"/>
      <c r="X248" s="1"/>
      <c r="Y248" s="1"/>
      <c r="Z248" s="1"/>
      <c r="AA248" s="1">
        <f t="shared" si="13"/>
        <v>1</v>
      </c>
      <c r="AB248" s="1" t="str">
        <f t="shared" si="16"/>
        <v>R2 retained</v>
      </c>
      <c r="AC248" s="1"/>
      <c r="AD248" s="1"/>
      <c r="AE248" s="1"/>
      <c r="AF248" s="1"/>
      <c r="AG248" s="1"/>
      <c r="AH248" s="1"/>
      <c r="AI248" s="1">
        <f t="shared" si="14"/>
        <v>0</v>
      </c>
      <c r="AJ248" s="5"/>
      <c r="AK248" s="5"/>
      <c r="AL248" s="7" t="s">
        <v>15077</v>
      </c>
    </row>
    <row r="249" spans="1:38" ht="36" customHeight="1">
      <c r="A249" s="1" t="s">
        <v>5004</v>
      </c>
      <c r="B249" s="1" t="s">
        <v>5572</v>
      </c>
      <c r="C249" s="1" t="s">
        <v>5573</v>
      </c>
      <c r="D249" s="1" t="s">
        <v>13530</v>
      </c>
      <c r="E249" s="1">
        <v>1</v>
      </c>
      <c r="F249" s="1"/>
      <c r="G249" s="1" t="s">
        <v>12859</v>
      </c>
      <c r="H249" s="1" t="s">
        <v>8151</v>
      </c>
      <c r="I249" s="1" t="s">
        <v>4935</v>
      </c>
      <c r="J249" s="1"/>
      <c r="K249" s="1"/>
      <c r="L249" s="1" t="s">
        <v>12860</v>
      </c>
      <c r="M249" s="1" t="s">
        <v>13531</v>
      </c>
      <c r="N249" s="1" t="s">
        <v>13532</v>
      </c>
      <c r="O249" s="1"/>
      <c r="P249" s="1" t="s">
        <v>12868</v>
      </c>
      <c r="Q249" s="1"/>
      <c r="R249" s="1"/>
      <c r="S249" s="1"/>
      <c r="T249" s="1"/>
      <c r="U249" s="1"/>
      <c r="V249" s="1"/>
      <c r="W249" s="1"/>
      <c r="X249" s="1"/>
      <c r="Y249" s="1"/>
      <c r="Z249" s="1"/>
      <c r="AA249" s="1">
        <f t="shared" si="13"/>
        <v>1</v>
      </c>
      <c r="AB249" s="1" t="str">
        <f t="shared" si="16"/>
        <v>R2 retained</v>
      </c>
      <c r="AC249" s="1"/>
      <c r="AD249" s="1"/>
      <c r="AE249" s="1"/>
      <c r="AF249" s="1"/>
      <c r="AG249" s="1"/>
      <c r="AH249" s="1"/>
      <c r="AI249" s="1">
        <f t="shared" si="14"/>
        <v>0</v>
      </c>
      <c r="AJ249" s="5"/>
      <c r="AK249" s="5"/>
      <c r="AL249" s="7" t="s">
        <v>15077</v>
      </c>
    </row>
    <row r="250" spans="1:38" ht="36" customHeight="1">
      <c r="A250" s="1" t="s">
        <v>5004</v>
      </c>
      <c r="B250" s="1" t="s">
        <v>5577</v>
      </c>
      <c r="C250" s="1" t="s">
        <v>5578</v>
      </c>
      <c r="D250" s="1" t="s">
        <v>13533</v>
      </c>
      <c r="E250" s="1">
        <v>1</v>
      </c>
      <c r="F250" s="1"/>
      <c r="G250" s="1" t="s">
        <v>12859</v>
      </c>
      <c r="H250" s="1" t="s">
        <v>8151</v>
      </c>
      <c r="I250" s="1" t="s">
        <v>13534</v>
      </c>
      <c r="J250" s="1"/>
      <c r="K250" s="1"/>
      <c r="L250" s="1" t="s">
        <v>12860</v>
      </c>
      <c r="M250" s="1" t="s">
        <v>13535</v>
      </c>
      <c r="N250" s="1" t="s">
        <v>13536</v>
      </c>
      <c r="O250" s="1"/>
      <c r="P250" s="1" t="s">
        <v>12868</v>
      </c>
      <c r="Q250" s="1"/>
      <c r="R250" s="1"/>
      <c r="S250" s="1"/>
      <c r="T250" s="1"/>
      <c r="U250" s="1"/>
      <c r="V250" s="1"/>
      <c r="W250" s="1"/>
      <c r="X250" s="1"/>
      <c r="Y250" s="1"/>
      <c r="Z250" s="1"/>
      <c r="AA250" s="1">
        <f t="shared" si="13"/>
        <v>1</v>
      </c>
      <c r="AB250" s="1" t="str">
        <f t="shared" si="16"/>
        <v>R2 retained</v>
      </c>
      <c r="AC250" s="1"/>
      <c r="AD250" s="1"/>
      <c r="AE250" s="1"/>
      <c r="AF250" s="1"/>
      <c r="AG250" s="1"/>
      <c r="AH250" s="1"/>
      <c r="AI250" s="1">
        <f t="shared" si="14"/>
        <v>0</v>
      </c>
      <c r="AJ250" s="5"/>
      <c r="AK250" s="5"/>
      <c r="AL250" s="7" t="s">
        <v>15077</v>
      </c>
    </row>
    <row r="251" spans="1:38" ht="36" customHeight="1">
      <c r="A251" s="1" t="s">
        <v>5004</v>
      </c>
      <c r="B251" s="1" t="s">
        <v>5582</v>
      </c>
      <c r="C251" s="1" t="s">
        <v>5583</v>
      </c>
      <c r="D251" s="1" t="s">
        <v>8225</v>
      </c>
      <c r="E251" s="1">
        <v>0</v>
      </c>
      <c r="F251" s="1"/>
      <c r="G251" s="1" t="s">
        <v>12859</v>
      </c>
      <c r="H251" s="1" t="s">
        <v>8151</v>
      </c>
      <c r="I251" s="1" t="s">
        <v>4747</v>
      </c>
      <c r="J251" s="1"/>
      <c r="K251" s="1"/>
      <c r="L251" s="1" t="s">
        <v>12860</v>
      </c>
      <c r="M251" s="1" t="s">
        <v>8227</v>
      </c>
      <c r="N251" s="1" t="s">
        <v>13537</v>
      </c>
      <c r="O251" s="1"/>
      <c r="P251" s="1" t="s">
        <v>12863</v>
      </c>
      <c r="Q251" s="1"/>
      <c r="R251" s="1"/>
      <c r="S251" s="1"/>
      <c r="T251" s="1"/>
      <c r="U251" s="1"/>
      <c r="V251" s="1"/>
      <c r="W251" s="1"/>
      <c r="X251" s="1"/>
      <c r="Y251" s="1"/>
      <c r="Z251" s="1"/>
      <c r="AA251" s="1">
        <f t="shared" si="13"/>
        <v>0</v>
      </c>
      <c r="AB251" s="1" t="str">
        <f t="shared" si="16"/>
        <v>R2 retained</v>
      </c>
      <c r="AC251" s="1">
        <v>0</v>
      </c>
      <c r="AD251" s="1" t="s">
        <v>12884</v>
      </c>
      <c r="AE251" s="1" t="s">
        <v>13049</v>
      </c>
      <c r="AF251" s="1" t="s">
        <v>8151</v>
      </c>
      <c r="AG251" s="1" t="s">
        <v>8158</v>
      </c>
      <c r="AH251" s="1" t="s">
        <v>6096</v>
      </c>
      <c r="AI251" s="1">
        <f t="shared" si="14"/>
        <v>1</v>
      </c>
      <c r="AJ251" s="5" t="s">
        <v>12898</v>
      </c>
      <c r="AK251" s="5" t="s">
        <v>12899</v>
      </c>
      <c r="AL251" s="7" t="s">
        <v>15077</v>
      </c>
    </row>
    <row r="252" spans="1:38" ht="36" customHeight="1">
      <c r="A252" s="1" t="s">
        <v>5004</v>
      </c>
      <c r="B252" s="1" t="s">
        <v>5586</v>
      </c>
      <c r="C252" s="1" t="s">
        <v>5587</v>
      </c>
      <c r="D252" s="1" t="s">
        <v>13538</v>
      </c>
      <c r="E252" s="1">
        <v>0</v>
      </c>
      <c r="F252" s="1"/>
      <c r="G252" s="1" t="s">
        <v>12859</v>
      </c>
      <c r="H252" s="1" t="s">
        <v>8151</v>
      </c>
      <c r="I252" s="1" t="s">
        <v>4747</v>
      </c>
      <c r="J252" s="1"/>
      <c r="K252" s="1"/>
      <c r="L252" s="1" t="s">
        <v>12860</v>
      </c>
      <c r="M252" s="1" t="s">
        <v>13539</v>
      </c>
      <c r="N252" s="1" t="s">
        <v>13540</v>
      </c>
      <c r="O252" s="1"/>
      <c r="P252" s="1" t="s">
        <v>12863</v>
      </c>
      <c r="Q252" s="1"/>
      <c r="R252" s="1"/>
      <c r="S252" s="1"/>
      <c r="T252" s="1"/>
      <c r="U252" s="1"/>
      <c r="V252" s="1"/>
      <c r="W252" s="1"/>
      <c r="X252" s="1"/>
      <c r="Y252" s="1"/>
      <c r="Z252" s="1"/>
      <c r="AA252" s="1">
        <f t="shared" si="13"/>
        <v>0</v>
      </c>
      <c r="AB252" s="1" t="str">
        <f t="shared" si="16"/>
        <v>R2 retained</v>
      </c>
      <c r="AC252" s="1"/>
      <c r="AD252" s="1"/>
      <c r="AE252" s="1"/>
      <c r="AF252" s="1"/>
      <c r="AG252" s="1"/>
      <c r="AH252" s="1"/>
      <c r="AI252" s="1">
        <f t="shared" si="14"/>
        <v>0</v>
      </c>
      <c r="AJ252" s="5"/>
      <c r="AK252" s="5"/>
      <c r="AL252" s="7" t="s">
        <v>15077</v>
      </c>
    </row>
    <row r="253" spans="1:38" ht="72" customHeight="1">
      <c r="A253" s="1" t="s">
        <v>5004</v>
      </c>
      <c r="B253" s="1" t="s">
        <v>5591</v>
      </c>
      <c r="C253" s="1" t="s">
        <v>5592</v>
      </c>
      <c r="D253" s="1" t="s">
        <v>4747</v>
      </c>
      <c r="E253" s="1">
        <v>0</v>
      </c>
      <c r="F253" s="1"/>
      <c r="G253" s="1" t="s">
        <v>12859</v>
      </c>
      <c r="H253" s="1" t="s">
        <v>8151</v>
      </c>
      <c r="I253" s="1" t="s">
        <v>4747</v>
      </c>
      <c r="J253" s="1"/>
      <c r="K253" s="1"/>
      <c r="L253" s="1" t="s">
        <v>12860</v>
      </c>
      <c r="M253" s="1" t="s">
        <v>13541</v>
      </c>
      <c r="N253" s="1" t="s">
        <v>13542</v>
      </c>
      <c r="O253" s="1"/>
      <c r="P253" s="1" t="s">
        <v>12863</v>
      </c>
      <c r="Q253" s="1">
        <v>0</v>
      </c>
      <c r="R253" s="1" t="s">
        <v>12904</v>
      </c>
      <c r="S253" s="1" t="s">
        <v>13543</v>
      </c>
      <c r="T253" s="1" t="s">
        <v>13544</v>
      </c>
      <c r="U253" s="1" t="s">
        <v>8158</v>
      </c>
      <c r="V253" s="1" t="s">
        <v>6096</v>
      </c>
      <c r="W253" s="1" t="s">
        <v>12907</v>
      </c>
      <c r="X253" s="1"/>
      <c r="Y253" s="1"/>
      <c r="Z253" s="1" t="s">
        <v>12908</v>
      </c>
      <c r="AA253" s="1">
        <f t="shared" si="13"/>
        <v>0</v>
      </c>
      <c r="AB253" s="1" t="str">
        <f t="shared" si="16"/>
        <v>R2 retained</v>
      </c>
      <c r="AC253" s="1">
        <v>0</v>
      </c>
      <c r="AD253" s="1" t="s">
        <v>12884</v>
      </c>
      <c r="AE253" s="1" t="s">
        <v>13543</v>
      </c>
      <c r="AF253" s="1" t="s">
        <v>13544</v>
      </c>
      <c r="AG253" s="1" t="s">
        <v>8158</v>
      </c>
      <c r="AH253" s="1" t="s">
        <v>6096</v>
      </c>
      <c r="AI253" s="1">
        <f t="shared" si="14"/>
        <v>1</v>
      </c>
      <c r="AJ253" s="5" t="s">
        <v>12898</v>
      </c>
      <c r="AK253" s="5" t="s">
        <v>12899</v>
      </c>
      <c r="AL253" s="7" t="s">
        <v>15077</v>
      </c>
    </row>
    <row r="254" spans="1:38" ht="36" customHeight="1">
      <c r="A254" s="1" t="s">
        <v>5004</v>
      </c>
      <c r="B254" s="1" t="s">
        <v>5596</v>
      </c>
      <c r="C254" s="1" t="s">
        <v>5597</v>
      </c>
      <c r="D254" s="1" t="s">
        <v>13545</v>
      </c>
      <c r="E254" s="1">
        <v>0</v>
      </c>
      <c r="F254" s="1"/>
      <c r="G254" s="1" t="s">
        <v>12859</v>
      </c>
      <c r="H254" s="1" t="s">
        <v>8151</v>
      </c>
      <c r="I254" s="1" t="s">
        <v>4747</v>
      </c>
      <c r="J254" s="1"/>
      <c r="K254" s="1"/>
      <c r="L254" s="1" t="s">
        <v>12860</v>
      </c>
      <c r="M254" s="1" t="s">
        <v>13546</v>
      </c>
      <c r="N254" s="1" t="s">
        <v>13547</v>
      </c>
      <c r="O254" s="1"/>
      <c r="P254" s="1" t="s">
        <v>12863</v>
      </c>
      <c r="Q254" s="1"/>
      <c r="R254" s="1"/>
      <c r="S254" s="1"/>
      <c r="T254" s="1"/>
      <c r="U254" s="1"/>
      <c r="V254" s="1"/>
      <c r="W254" s="1"/>
      <c r="X254" s="1"/>
      <c r="Y254" s="1"/>
      <c r="Z254" s="1"/>
      <c r="AA254" s="1">
        <f t="shared" si="13"/>
        <v>0</v>
      </c>
      <c r="AB254" s="1" t="str">
        <f t="shared" si="16"/>
        <v>R2 retained</v>
      </c>
      <c r="AC254" s="1"/>
      <c r="AD254" s="1"/>
      <c r="AE254" s="1"/>
      <c r="AF254" s="1"/>
      <c r="AG254" s="1"/>
      <c r="AH254" s="1"/>
      <c r="AI254" s="1">
        <f t="shared" si="14"/>
        <v>0</v>
      </c>
      <c r="AJ254" s="5"/>
      <c r="AK254" s="5"/>
      <c r="AL254" s="7" t="s">
        <v>15077</v>
      </c>
    </row>
    <row r="255" spans="1:38" ht="36" customHeight="1">
      <c r="A255" s="1" t="s">
        <v>5004</v>
      </c>
      <c r="B255" s="1" t="s">
        <v>5601</v>
      </c>
      <c r="C255" s="1" t="s">
        <v>5602</v>
      </c>
      <c r="D255" s="1" t="s">
        <v>8239</v>
      </c>
      <c r="E255" s="1">
        <v>2</v>
      </c>
      <c r="F255" s="1"/>
      <c r="G255" s="1" t="s">
        <v>12859</v>
      </c>
      <c r="H255" s="1" t="s">
        <v>8151</v>
      </c>
      <c r="I255" s="1" t="s">
        <v>4717</v>
      </c>
      <c r="J255" s="1"/>
      <c r="K255" s="1"/>
      <c r="L255" s="1" t="s">
        <v>12860</v>
      </c>
      <c r="M255" s="1" t="s">
        <v>8241</v>
      </c>
      <c r="N255" s="1" t="s">
        <v>13548</v>
      </c>
      <c r="O255" s="1"/>
      <c r="P255" s="1" t="s">
        <v>12868</v>
      </c>
      <c r="Q255" s="1"/>
      <c r="R255" s="1"/>
      <c r="S255" s="1"/>
      <c r="T255" s="1"/>
      <c r="U255" s="1"/>
      <c r="V255" s="1"/>
      <c r="W255" s="1"/>
      <c r="X255" s="1"/>
      <c r="Y255" s="1"/>
      <c r="Z255" s="1"/>
      <c r="AA255" s="1">
        <f t="shared" si="13"/>
        <v>2</v>
      </c>
      <c r="AB255" s="1" t="str">
        <f t="shared" si="16"/>
        <v>R2 retained</v>
      </c>
      <c r="AC255" s="1"/>
      <c r="AD255" s="1"/>
      <c r="AE255" s="1"/>
      <c r="AF255" s="1"/>
      <c r="AG255" s="1"/>
      <c r="AH255" s="1"/>
      <c r="AI255" s="1">
        <f t="shared" si="14"/>
        <v>0</v>
      </c>
      <c r="AJ255" s="5"/>
      <c r="AK255" s="5"/>
      <c r="AL255" s="7" t="s">
        <v>15077</v>
      </c>
    </row>
    <row r="256" spans="1:38" ht="36" customHeight="1">
      <c r="A256" s="1" t="s">
        <v>5004</v>
      </c>
      <c r="B256" s="1" t="s">
        <v>5606</v>
      </c>
      <c r="C256" s="1" t="s">
        <v>5607</v>
      </c>
      <c r="D256" s="1" t="s">
        <v>8243</v>
      </c>
      <c r="E256" s="1">
        <v>1</v>
      </c>
      <c r="F256" s="1"/>
      <c r="G256" s="1" t="s">
        <v>12859</v>
      </c>
      <c r="H256" s="1" t="s">
        <v>8151</v>
      </c>
      <c r="I256" s="1" t="s">
        <v>4959</v>
      </c>
      <c r="J256" s="1"/>
      <c r="K256" s="1"/>
      <c r="L256" s="1" t="s">
        <v>12860</v>
      </c>
      <c r="M256" s="1" t="s">
        <v>8245</v>
      </c>
      <c r="N256" s="1" t="s">
        <v>13549</v>
      </c>
      <c r="O256" s="1"/>
      <c r="P256" s="1" t="s">
        <v>12868</v>
      </c>
      <c r="Q256" s="1"/>
      <c r="R256" s="1"/>
      <c r="S256" s="1"/>
      <c r="T256" s="1"/>
      <c r="U256" s="1"/>
      <c r="V256" s="1"/>
      <c r="W256" s="1"/>
      <c r="X256" s="1"/>
      <c r="Y256" s="1"/>
      <c r="Z256" s="1"/>
      <c r="AA256" s="1">
        <f t="shared" si="13"/>
        <v>1</v>
      </c>
      <c r="AB256" s="1" t="str">
        <f t="shared" si="16"/>
        <v>R2 retained</v>
      </c>
      <c r="AC256" s="1"/>
      <c r="AD256" s="1"/>
      <c r="AE256" s="1"/>
      <c r="AF256" s="1"/>
      <c r="AG256" s="1"/>
      <c r="AH256" s="1"/>
      <c r="AI256" s="1">
        <f t="shared" si="14"/>
        <v>0</v>
      </c>
      <c r="AJ256" s="5"/>
      <c r="AK256" s="5"/>
      <c r="AL256" s="7" t="s">
        <v>15077</v>
      </c>
    </row>
    <row r="257" spans="1:38" ht="36" customHeight="1">
      <c r="A257" s="1" t="s">
        <v>5004</v>
      </c>
      <c r="B257" s="1" t="s">
        <v>5454</v>
      </c>
      <c r="C257" s="1" t="s">
        <v>5455</v>
      </c>
      <c r="D257" s="1" t="s">
        <v>4747</v>
      </c>
      <c r="E257" s="1">
        <v>0</v>
      </c>
      <c r="F257" s="1"/>
      <c r="G257" s="1" t="s">
        <v>12859</v>
      </c>
      <c r="H257" s="1" t="s">
        <v>8151</v>
      </c>
      <c r="I257" s="1" t="s">
        <v>4747</v>
      </c>
      <c r="J257" s="1"/>
      <c r="K257" s="1"/>
      <c r="L257" s="1" t="s">
        <v>12860</v>
      </c>
      <c r="M257" s="1" t="s">
        <v>8248</v>
      </c>
      <c r="N257" s="1" t="s">
        <v>13550</v>
      </c>
      <c r="O257" s="1"/>
      <c r="P257" s="1" t="s">
        <v>12863</v>
      </c>
      <c r="Q257" s="1"/>
      <c r="R257" s="1"/>
      <c r="S257" s="1"/>
      <c r="T257" s="1"/>
      <c r="U257" s="1"/>
      <c r="V257" s="1"/>
      <c r="W257" s="1"/>
      <c r="X257" s="1"/>
      <c r="Y257" s="1"/>
      <c r="Z257" s="1"/>
      <c r="AA257" s="1">
        <f t="shared" si="13"/>
        <v>0</v>
      </c>
      <c r="AB257" s="1" t="str">
        <f t="shared" si="16"/>
        <v>R2 retained</v>
      </c>
      <c r="AC257" s="1">
        <v>0</v>
      </c>
      <c r="AD257" s="1" t="s">
        <v>12884</v>
      </c>
      <c r="AE257" s="1" t="s">
        <v>13065</v>
      </c>
      <c r="AF257" s="1" t="s">
        <v>13551</v>
      </c>
      <c r="AG257" s="1" t="s">
        <v>8158</v>
      </c>
      <c r="AH257" s="1" t="s">
        <v>6096</v>
      </c>
      <c r="AI257" s="1">
        <f t="shared" si="14"/>
        <v>1</v>
      </c>
      <c r="AJ257" s="5" t="s">
        <v>12898</v>
      </c>
      <c r="AK257" s="5" t="s">
        <v>12899</v>
      </c>
      <c r="AL257" s="7" t="s">
        <v>15077</v>
      </c>
    </row>
    <row r="258" spans="1:38" ht="36" customHeight="1">
      <c r="A258" s="1" t="s">
        <v>5012</v>
      </c>
      <c r="B258" s="1" t="s">
        <v>5537</v>
      </c>
      <c r="C258" s="1" t="s">
        <v>5538</v>
      </c>
      <c r="D258" s="1" t="s">
        <v>4747</v>
      </c>
      <c r="E258" s="1">
        <v>0</v>
      </c>
      <c r="F258" s="1"/>
      <c r="G258" s="1" t="s">
        <v>12859</v>
      </c>
      <c r="H258" s="1" t="s">
        <v>8264</v>
      </c>
      <c r="I258" s="1" t="s">
        <v>4747</v>
      </c>
      <c r="J258" s="1"/>
      <c r="K258" s="1"/>
      <c r="L258" s="1" t="s">
        <v>12860</v>
      </c>
      <c r="M258" s="1" t="s">
        <v>13552</v>
      </c>
      <c r="N258" s="1" t="s">
        <v>13553</v>
      </c>
      <c r="O258" s="1"/>
      <c r="P258" s="1" t="s">
        <v>12863</v>
      </c>
      <c r="Q258" s="1"/>
      <c r="R258" s="1"/>
      <c r="S258" s="1"/>
      <c r="T258" s="1"/>
      <c r="U258" s="1"/>
      <c r="V258" s="1"/>
      <c r="W258" s="1"/>
      <c r="X258" s="1"/>
      <c r="Y258" s="1"/>
      <c r="Z258" s="1"/>
      <c r="AA258" s="1">
        <f t="shared" ref="AA258:AA321" si="17">IF(OR(ISNUMBER(F258),F258="NA"),F258,IF(AD258="uncertain","",IF(OR(ISNUMBER(AC258),AC258="NA"),AC258,E258)))</f>
        <v>0</v>
      </c>
      <c r="AB258" s="1" t="str">
        <f t="shared" ref="AB258:AB289" si="18">IF(OR(ISNUMBER(F258),F258="NA"),"Reviewer confirmed",IF(AD258="uncertain","Unresolved under clarified rule",IF(AND(OR(ISNUMBER(AC258),AC258="NA"),AC258&lt;&gt;E258),"Analyst scope correction","R2 retained")))</f>
        <v>R2 retained</v>
      </c>
      <c r="AC258" s="1"/>
      <c r="AD258" s="1"/>
      <c r="AE258" s="1"/>
      <c r="AF258" s="1"/>
      <c r="AG258" s="1"/>
      <c r="AH258" s="1"/>
      <c r="AI258" s="1">
        <f t="shared" ref="AI258:AI321" si="19">IF(OR(R258&lt;&gt;"",AD258&lt;&gt;""),1,0)</f>
        <v>0</v>
      </c>
      <c r="AJ258" s="5"/>
      <c r="AK258" s="5"/>
      <c r="AL258" s="7" t="s">
        <v>15077</v>
      </c>
    </row>
    <row r="259" spans="1:38" ht="36" customHeight="1">
      <c r="A259" s="1" t="s">
        <v>5012</v>
      </c>
      <c r="B259" s="1" t="s">
        <v>5542</v>
      </c>
      <c r="C259" s="1" t="s">
        <v>5543</v>
      </c>
      <c r="D259" s="1" t="s">
        <v>4747</v>
      </c>
      <c r="E259" s="1">
        <v>0</v>
      </c>
      <c r="F259" s="1"/>
      <c r="G259" s="1" t="s">
        <v>12859</v>
      </c>
      <c r="H259" s="1" t="s">
        <v>8264</v>
      </c>
      <c r="I259" s="1" t="s">
        <v>4747</v>
      </c>
      <c r="J259" s="1"/>
      <c r="K259" s="1"/>
      <c r="L259" s="1" t="s">
        <v>12860</v>
      </c>
      <c r="M259" s="1" t="s">
        <v>13554</v>
      </c>
      <c r="N259" s="1" t="s">
        <v>13555</v>
      </c>
      <c r="O259" s="1"/>
      <c r="P259" s="1" t="s">
        <v>12863</v>
      </c>
      <c r="Q259" s="1"/>
      <c r="R259" s="1"/>
      <c r="S259" s="1"/>
      <c r="T259" s="1"/>
      <c r="U259" s="1"/>
      <c r="V259" s="1"/>
      <c r="W259" s="1"/>
      <c r="X259" s="1"/>
      <c r="Y259" s="1"/>
      <c r="Z259" s="1"/>
      <c r="AA259" s="1">
        <f t="shared" si="17"/>
        <v>0</v>
      </c>
      <c r="AB259" s="1" t="str">
        <f t="shared" si="18"/>
        <v>R2 retained</v>
      </c>
      <c r="AC259" s="1"/>
      <c r="AD259" s="1"/>
      <c r="AE259" s="1"/>
      <c r="AF259" s="1"/>
      <c r="AG259" s="1"/>
      <c r="AH259" s="1"/>
      <c r="AI259" s="1">
        <f t="shared" si="19"/>
        <v>0</v>
      </c>
      <c r="AJ259" s="5"/>
      <c r="AK259" s="5"/>
      <c r="AL259" s="7" t="s">
        <v>15077</v>
      </c>
    </row>
    <row r="260" spans="1:38" ht="36" customHeight="1">
      <c r="A260" s="1" t="s">
        <v>5012</v>
      </c>
      <c r="B260" s="1" t="s">
        <v>5547</v>
      </c>
      <c r="C260" s="1" t="s">
        <v>5548</v>
      </c>
      <c r="D260" s="1" t="s">
        <v>4747</v>
      </c>
      <c r="E260" s="1">
        <v>1</v>
      </c>
      <c r="F260" s="1"/>
      <c r="G260" s="1" t="s">
        <v>12859</v>
      </c>
      <c r="H260" s="1" t="s">
        <v>8264</v>
      </c>
      <c r="I260" s="1" t="s">
        <v>4764</v>
      </c>
      <c r="J260" s="1"/>
      <c r="K260" s="1"/>
      <c r="L260" s="1" t="s">
        <v>12860</v>
      </c>
      <c r="M260" s="1" t="s">
        <v>13556</v>
      </c>
      <c r="N260" s="1" t="s">
        <v>13557</v>
      </c>
      <c r="O260" s="1"/>
      <c r="P260" s="1" t="s">
        <v>12868</v>
      </c>
      <c r="Q260" s="1"/>
      <c r="R260" s="1"/>
      <c r="S260" s="1"/>
      <c r="T260" s="1"/>
      <c r="U260" s="1"/>
      <c r="V260" s="1"/>
      <c r="W260" s="1"/>
      <c r="X260" s="1"/>
      <c r="Y260" s="1"/>
      <c r="Z260" s="1"/>
      <c r="AA260" s="1">
        <f t="shared" si="17"/>
        <v>1</v>
      </c>
      <c r="AB260" s="1" t="str">
        <f t="shared" si="18"/>
        <v>R2 retained</v>
      </c>
      <c r="AC260" s="1"/>
      <c r="AD260" s="1"/>
      <c r="AE260" s="1"/>
      <c r="AF260" s="1"/>
      <c r="AG260" s="1"/>
      <c r="AH260" s="1"/>
      <c r="AI260" s="1">
        <f t="shared" si="19"/>
        <v>0</v>
      </c>
      <c r="AJ260" s="5"/>
      <c r="AK260" s="5"/>
      <c r="AL260" s="7" t="s">
        <v>15077</v>
      </c>
    </row>
    <row r="261" spans="1:38" ht="36" customHeight="1">
      <c r="A261" s="1" t="s">
        <v>5012</v>
      </c>
      <c r="B261" s="1" t="s">
        <v>5552</v>
      </c>
      <c r="C261" s="1" t="s">
        <v>5553</v>
      </c>
      <c r="D261" s="1" t="s">
        <v>13558</v>
      </c>
      <c r="E261" s="1">
        <v>0</v>
      </c>
      <c r="F261" s="1"/>
      <c r="G261" s="1" t="s">
        <v>12859</v>
      </c>
      <c r="H261" s="1" t="s">
        <v>8264</v>
      </c>
      <c r="I261" s="1" t="s">
        <v>4747</v>
      </c>
      <c r="J261" s="1"/>
      <c r="K261" s="1" t="s">
        <v>5037</v>
      </c>
      <c r="L261" s="1" t="s">
        <v>12930</v>
      </c>
      <c r="M261" s="1" t="s">
        <v>13559</v>
      </c>
      <c r="N261" s="1" t="s">
        <v>13560</v>
      </c>
      <c r="O261" s="1" t="s">
        <v>8301</v>
      </c>
      <c r="P261" s="1" t="s">
        <v>12863</v>
      </c>
      <c r="Q261" s="1"/>
      <c r="R261" s="1"/>
      <c r="S261" s="1"/>
      <c r="T261" s="1"/>
      <c r="U261" s="1"/>
      <c r="V261" s="1"/>
      <c r="W261" s="1"/>
      <c r="X261" s="1"/>
      <c r="Y261" s="1"/>
      <c r="Z261" s="1"/>
      <c r="AA261" s="1">
        <f t="shared" si="17"/>
        <v>0</v>
      </c>
      <c r="AB261" s="1" t="str">
        <f t="shared" si="18"/>
        <v>R2 retained</v>
      </c>
      <c r="AC261" s="1"/>
      <c r="AD261" s="1"/>
      <c r="AE261" s="1"/>
      <c r="AF261" s="1"/>
      <c r="AG261" s="1"/>
      <c r="AH261" s="1"/>
      <c r="AI261" s="1">
        <f t="shared" si="19"/>
        <v>0</v>
      </c>
      <c r="AJ261" s="5"/>
      <c r="AK261" s="5"/>
      <c r="AL261" s="7" t="s">
        <v>15077</v>
      </c>
    </row>
    <row r="262" spans="1:38" ht="36" customHeight="1">
      <c r="A262" s="1" t="s">
        <v>5012</v>
      </c>
      <c r="B262" s="1" t="s">
        <v>5557</v>
      </c>
      <c r="C262" s="1" t="s">
        <v>5558</v>
      </c>
      <c r="D262" s="1" t="s">
        <v>8304</v>
      </c>
      <c r="E262" s="1">
        <v>0</v>
      </c>
      <c r="F262" s="1"/>
      <c r="G262" s="1" t="s">
        <v>12859</v>
      </c>
      <c r="H262" s="1" t="s">
        <v>8264</v>
      </c>
      <c r="I262" s="1" t="s">
        <v>4747</v>
      </c>
      <c r="J262" s="1"/>
      <c r="K262" s="1"/>
      <c r="L262" s="1" t="s">
        <v>12860</v>
      </c>
      <c r="M262" s="1" t="s">
        <v>8306</v>
      </c>
      <c r="N262" s="1" t="s">
        <v>13561</v>
      </c>
      <c r="O262" s="1"/>
      <c r="P262" s="1" t="s">
        <v>12863</v>
      </c>
      <c r="Q262" s="1"/>
      <c r="R262" s="1"/>
      <c r="S262" s="1"/>
      <c r="T262" s="1"/>
      <c r="U262" s="1"/>
      <c r="V262" s="1"/>
      <c r="W262" s="1"/>
      <c r="X262" s="1"/>
      <c r="Y262" s="1"/>
      <c r="Z262" s="1"/>
      <c r="AA262" s="1">
        <f t="shared" si="17"/>
        <v>0</v>
      </c>
      <c r="AB262" s="1" t="str">
        <f t="shared" si="18"/>
        <v>R2 retained</v>
      </c>
      <c r="AC262" s="1"/>
      <c r="AD262" s="1"/>
      <c r="AE262" s="1"/>
      <c r="AF262" s="1"/>
      <c r="AG262" s="1"/>
      <c r="AH262" s="1"/>
      <c r="AI262" s="1">
        <f t="shared" si="19"/>
        <v>0</v>
      </c>
      <c r="AJ262" s="5"/>
      <c r="AK262" s="5"/>
      <c r="AL262" s="7" t="s">
        <v>15077</v>
      </c>
    </row>
    <row r="263" spans="1:38" ht="60" customHeight="1">
      <c r="A263" s="1" t="s">
        <v>5012</v>
      </c>
      <c r="B263" s="1" t="s">
        <v>5562</v>
      </c>
      <c r="C263" s="1" t="s">
        <v>5563</v>
      </c>
      <c r="D263" s="1" t="s">
        <v>5734</v>
      </c>
      <c r="E263" s="1">
        <v>0</v>
      </c>
      <c r="F263" s="1">
        <v>1</v>
      </c>
      <c r="G263" s="1" t="s">
        <v>4691</v>
      </c>
      <c r="H263" s="1" t="s">
        <v>8264</v>
      </c>
      <c r="I263" s="1" t="s">
        <v>4747</v>
      </c>
      <c r="J263" s="1"/>
      <c r="K263" s="1"/>
      <c r="L263" s="1" t="s">
        <v>12860</v>
      </c>
      <c r="M263" s="1" t="s">
        <v>8311</v>
      </c>
      <c r="N263" s="1" t="s">
        <v>13562</v>
      </c>
      <c r="O263" s="1" t="s">
        <v>13563</v>
      </c>
      <c r="P263" s="1" t="s">
        <v>12917</v>
      </c>
      <c r="Q263" s="1"/>
      <c r="R263" s="1"/>
      <c r="S263" s="1"/>
      <c r="T263" s="1"/>
      <c r="U263" s="1"/>
      <c r="V263" s="1"/>
      <c r="W263" s="1"/>
      <c r="X263" s="1"/>
      <c r="Y263" s="1" t="s">
        <v>5736</v>
      </c>
      <c r="Z263" s="1" t="s">
        <v>12918</v>
      </c>
      <c r="AA263" s="1">
        <f t="shared" si="17"/>
        <v>1</v>
      </c>
      <c r="AB263" s="1" t="str">
        <f t="shared" si="18"/>
        <v>Reviewer confirmed</v>
      </c>
      <c r="AC263" s="1">
        <v>1</v>
      </c>
      <c r="AD263" s="1" t="s">
        <v>12936</v>
      </c>
      <c r="AE263" s="1" t="s">
        <v>5736</v>
      </c>
      <c r="AF263" s="1" t="s">
        <v>5735</v>
      </c>
      <c r="AG263" s="1" t="s">
        <v>5737</v>
      </c>
      <c r="AH263" s="1" t="s">
        <v>5461</v>
      </c>
      <c r="AI263" s="1">
        <f t="shared" si="19"/>
        <v>1</v>
      </c>
      <c r="AJ263" s="5"/>
      <c r="AK263" s="5"/>
      <c r="AL263" s="7" t="s">
        <v>15077</v>
      </c>
    </row>
    <row r="264" spans="1:38" ht="36" customHeight="1">
      <c r="A264" s="1" t="s">
        <v>5012</v>
      </c>
      <c r="B264" s="1" t="s">
        <v>5567</v>
      </c>
      <c r="C264" s="1" t="s">
        <v>5568</v>
      </c>
      <c r="D264" s="1" t="s">
        <v>8315</v>
      </c>
      <c r="E264" s="1">
        <v>0</v>
      </c>
      <c r="F264" s="1"/>
      <c r="G264" s="1" t="s">
        <v>12859</v>
      </c>
      <c r="H264" s="1" t="s">
        <v>8264</v>
      </c>
      <c r="I264" s="1" t="s">
        <v>4747</v>
      </c>
      <c r="J264" s="1"/>
      <c r="K264" s="1"/>
      <c r="L264" s="1" t="s">
        <v>12860</v>
      </c>
      <c r="M264" s="1" t="s">
        <v>13564</v>
      </c>
      <c r="N264" s="1" t="s">
        <v>13565</v>
      </c>
      <c r="O264" s="1"/>
      <c r="P264" s="1" t="s">
        <v>12863</v>
      </c>
      <c r="Q264" s="1"/>
      <c r="R264" s="1"/>
      <c r="S264" s="1"/>
      <c r="T264" s="1"/>
      <c r="U264" s="1"/>
      <c r="V264" s="1"/>
      <c r="W264" s="1"/>
      <c r="X264" s="1"/>
      <c r="Y264" s="1"/>
      <c r="Z264" s="1"/>
      <c r="AA264" s="1">
        <f t="shared" si="17"/>
        <v>0</v>
      </c>
      <c r="AB264" s="1" t="str">
        <f t="shared" si="18"/>
        <v>R2 retained</v>
      </c>
      <c r="AC264" s="1"/>
      <c r="AD264" s="1"/>
      <c r="AE264" s="1"/>
      <c r="AF264" s="1"/>
      <c r="AG264" s="1"/>
      <c r="AH264" s="1"/>
      <c r="AI264" s="1">
        <f t="shared" si="19"/>
        <v>0</v>
      </c>
      <c r="AJ264" s="5"/>
      <c r="AK264" s="5"/>
      <c r="AL264" s="7" t="s">
        <v>15077</v>
      </c>
    </row>
    <row r="265" spans="1:38" ht="36" customHeight="1">
      <c r="A265" s="1" t="s">
        <v>5012</v>
      </c>
      <c r="B265" s="1" t="s">
        <v>5572</v>
      </c>
      <c r="C265" s="1" t="s">
        <v>5573</v>
      </c>
      <c r="D265" s="1" t="s">
        <v>4747</v>
      </c>
      <c r="E265" s="1">
        <v>0</v>
      </c>
      <c r="F265" s="1"/>
      <c r="G265" s="1" t="s">
        <v>12859</v>
      </c>
      <c r="H265" s="1" t="s">
        <v>8264</v>
      </c>
      <c r="I265" s="1" t="s">
        <v>4747</v>
      </c>
      <c r="J265" s="1"/>
      <c r="K265" s="1"/>
      <c r="L265" s="1" t="s">
        <v>12860</v>
      </c>
      <c r="M265" s="1" t="s">
        <v>13566</v>
      </c>
      <c r="N265" s="1" t="s">
        <v>13567</v>
      </c>
      <c r="O265" s="1"/>
      <c r="P265" s="1" t="s">
        <v>12863</v>
      </c>
      <c r="Q265" s="1"/>
      <c r="R265" s="1"/>
      <c r="S265" s="1"/>
      <c r="T265" s="1"/>
      <c r="U265" s="1"/>
      <c r="V265" s="1"/>
      <c r="W265" s="1"/>
      <c r="X265" s="1"/>
      <c r="Y265" s="1"/>
      <c r="Z265" s="1"/>
      <c r="AA265" s="1">
        <f t="shared" si="17"/>
        <v>0</v>
      </c>
      <c r="AB265" s="1" t="str">
        <f t="shared" si="18"/>
        <v>R2 retained</v>
      </c>
      <c r="AC265" s="1"/>
      <c r="AD265" s="1"/>
      <c r="AE265" s="1"/>
      <c r="AF265" s="1"/>
      <c r="AG265" s="1"/>
      <c r="AH265" s="1"/>
      <c r="AI265" s="1">
        <f t="shared" si="19"/>
        <v>0</v>
      </c>
      <c r="AJ265" s="5"/>
      <c r="AK265" s="5"/>
      <c r="AL265" s="7" t="s">
        <v>15077</v>
      </c>
    </row>
    <row r="266" spans="1:38" ht="36" customHeight="1">
      <c r="A266" s="1" t="s">
        <v>5012</v>
      </c>
      <c r="B266" s="1" t="s">
        <v>5577</v>
      </c>
      <c r="C266" s="1" t="s">
        <v>5578</v>
      </c>
      <c r="D266" s="1" t="s">
        <v>13568</v>
      </c>
      <c r="E266" s="1">
        <v>2</v>
      </c>
      <c r="F266" s="1"/>
      <c r="G266" s="1" t="s">
        <v>12859</v>
      </c>
      <c r="H266" s="1" t="s">
        <v>8264</v>
      </c>
      <c r="I266" s="1" t="s">
        <v>5028</v>
      </c>
      <c r="J266" s="1"/>
      <c r="K266" s="1"/>
      <c r="L266" s="1" t="s">
        <v>12860</v>
      </c>
      <c r="M266" s="1" t="s">
        <v>13569</v>
      </c>
      <c r="N266" s="1" t="s">
        <v>13570</v>
      </c>
      <c r="O266" s="1"/>
      <c r="P266" s="1" t="s">
        <v>12868</v>
      </c>
      <c r="Q266" s="1"/>
      <c r="R266" s="1"/>
      <c r="S266" s="1"/>
      <c r="T266" s="1"/>
      <c r="U266" s="1"/>
      <c r="V266" s="1"/>
      <c r="W266" s="1"/>
      <c r="X266" s="1"/>
      <c r="Y266" s="1"/>
      <c r="Z266" s="1"/>
      <c r="AA266" s="1">
        <f t="shared" si="17"/>
        <v>2</v>
      </c>
      <c r="AB266" s="1" t="str">
        <f t="shared" si="18"/>
        <v>R2 retained</v>
      </c>
      <c r="AC266" s="1"/>
      <c r="AD266" s="1"/>
      <c r="AE266" s="1"/>
      <c r="AF266" s="1"/>
      <c r="AG266" s="1"/>
      <c r="AH266" s="1"/>
      <c r="AI266" s="1">
        <f t="shared" si="19"/>
        <v>0</v>
      </c>
      <c r="AJ266" s="5"/>
      <c r="AK266" s="5"/>
      <c r="AL266" s="7" t="s">
        <v>15077</v>
      </c>
    </row>
    <row r="267" spans="1:38" ht="36" customHeight="1">
      <c r="A267" s="1" t="s">
        <v>5012</v>
      </c>
      <c r="B267" s="1" t="s">
        <v>5582</v>
      </c>
      <c r="C267" s="1" t="s">
        <v>5583</v>
      </c>
      <c r="D267" s="1" t="s">
        <v>4747</v>
      </c>
      <c r="E267" s="1">
        <v>0</v>
      </c>
      <c r="F267" s="1"/>
      <c r="G267" s="1" t="s">
        <v>12859</v>
      </c>
      <c r="H267" s="1" t="s">
        <v>8264</v>
      </c>
      <c r="I267" s="1" t="s">
        <v>4747</v>
      </c>
      <c r="J267" s="1"/>
      <c r="K267" s="1"/>
      <c r="L267" s="1" t="s">
        <v>12860</v>
      </c>
      <c r="M267" s="1" t="s">
        <v>8357</v>
      </c>
      <c r="N267" s="1" t="s">
        <v>13571</v>
      </c>
      <c r="O267" s="1"/>
      <c r="P267" s="1" t="s">
        <v>12863</v>
      </c>
      <c r="Q267" s="1"/>
      <c r="R267" s="1"/>
      <c r="S267" s="1"/>
      <c r="T267" s="1"/>
      <c r="U267" s="1"/>
      <c r="V267" s="1"/>
      <c r="W267" s="1"/>
      <c r="X267" s="1"/>
      <c r="Y267" s="1"/>
      <c r="Z267" s="1"/>
      <c r="AA267" s="1">
        <f t="shared" si="17"/>
        <v>0</v>
      </c>
      <c r="AB267" s="1" t="str">
        <f t="shared" si="18"/>
        <v>R2 retained</v>
      </c>
      <c r="AC267" s="1">
        <v>0</v>
      </c>
      <c r="AD267" s="1" t="s">
        <v>12884</v>
      </c>
      <c r="AE267" s="1" t="s">
        <v>13049</v>
      </c>
      <c r="AF267" s="1" t="s">
        <v>8264</v>
      </c>
      <c r="AG267" s="1" t="s">
        <v>8269</v>
      </c>
      <c r="AH267" s="1" t="s">
        <v>6096</v>
      </c>
      <c r="AI267" s="1">
        <f t="shared" si="19"/>
        <v>1</v>
      </c>
      <c r="AJ267" s="5" t="s">
        <v>12898</v>
      </c>
      <c r="AK267" s="5" t="s">
        <v>12899</v>
      </c>
      <c r="AL267" s="7" t="s">
        <v>15077</v>
      </c>
    </row>
    <row r="268" spans="1:38" ht="36" customHeight="1">
      <c r="A268" s="1" t="s">
        <v>5012</v>
      </c>
      <c r="B268" s="1" t="s">
        <v>5586</v>
      </c>
      <c r="C268" s="1" t="s">
        <v>5587</v>
      </c>
      <c r="D268" s="1" t="s">
        <v>13572</v>
      </c>
      <c r="E268" s="1">
        <v>0</v>
      </c>
      <c r="F268" s="1"/>
      <c r="G268" s="1" t="s">
        <v>12859</v>
      </c>
      <c r="H268" s="1" t="s">
        <v>8264</v>
      </c>
      <c r="I268" s="1" t="s">
        <v>4747</v>
      </c>
      <c r="J268" s="1"/>
      <c r="K268" s="1"/>
      <c r="L268" s="1" t="s">
        <v>12860</v>
      </c>
      <c r="M268" s="1" t="s">
        <v>13573</v>
      </c>
      <c r="N268" s="1" t="s">
        <v>13574</v>
      </c>
      <c r="O268" s="1"/>
      <c r="P268" s="1" t="s">
        <v>12863</v>
      </c>
      <c r="Q268" s="1"/>
      <c r="R268" s="1"/>
      <c r="S268" s="1"/>
      <c r="T268" s="1"/>
      <c r="U268" s="1"/>
      <c r="V268" s="1"/>
      <c r="W268" s="1"/>
      <c r="X268" s="1"/>
      <c r="Y268" s="1"/>
      <c r="Z268" s="1"/>
      <c r="AA268" s="1">
        <f t="shared" si="17"/>
        <v>0</v>
      </c>
      <c r="AB268" s="1" t="str">
        <f t="shared" si="18"/>
        <v>R2 retained</v>
      </c>
      <c r="AC268" s="1"/>
      <c r="AD268" s="1"/>
      <c r="AE268" s="1"/>
      <c r="AF268" s="1"/>
      <c r="AG268" s="1"/>
      <c r="AH268" s="1"/>
      <c r="AI268" s="1">
        <f t="shared" si="19"/>
        <v>0</v>
      </c>
      <c r="AJ268" s="5"/>
      <c r="AK268" s="5"/>
      <c r="AL268" s="7" t="s">
        <v>15077</v>
      </c>
    </row>
    <row r="269" spans="1:38" ht="108" customHeight="1">
      <c r="A269" s="1" t="s">
        <v>5012</v>
      </c>
      <c r="B269" s="1" t="s">
        <v>5591</v>
      </c>
      <c r="C269" s="1" t="s">
        <v>5592</v>
      </c>
      <c r="D269" s="1" t="s">
        <v>13575</v>
      </c>
      <c r="E269" s="1">
        <v>1</v>
      </c>
      <c r="F269" s="1">
        <v>0</v>
      </c>
      <c r="G269" s="1" t="s">
        <v>12873</v>
      </c>
      <c r="H269" s="1" t="s">
        <v>8264</v>
      </c>
      <c r="I269" s="1"/>
      <c r="J269" s="1"/>
      <c r="K269" s="1"/>
      <c r="L269" s="1" t="s">
        <v>12860</v>
      </c>
      <c r="M269" s="1" t="s">
        <v>13576</v>
      </c>
      <c r="N269" s="1" t="s">
        <v>13577</v>
      </c>
      <c r="O269" s="1" t="s">
        <v>13578</v>
      </c>
      <c r="P269" s="1" t="s">
        <v>12876</v>
      </c>
      <c r="Q269" s="1">
        <v>0</v>
      </c>
      <c r="R269" s="1" t="s">
        <v>12877</v>
      </c>
      <c r="S269" s="1" t="s">
        <v>13579</v>
      </c>
      <c r="T269" s="1" t="s">
        <v>13580</v>
      </c>
      <c r="U269" s="1" t="s">
        <v>13581</v>
      </c>
      <c r="V269" s="1" t="s">
        <v>6096</v>
      </c>
      <c r="W269" s="1" t="s">
        <v>12880</v>
      </c>
      <c r="X269" s="1"/>
      <c r="Y269" s="1" t="s">
        <v>13582</v>
      </c>
      <c r="Z269" s="1" t="s">
        <v>12883</v>
      </c>
      <c r="AA269" s="1">
        <f t="shared" si="17"/>
        <v>0</v>
      </c>
      <c r="AB269" s="1" t="str">
        <f t="shared" si="18"/>
        <v>Reviewer confirmed</v>
      </c>
      <c r="AC269" s="1">
        <v>0</v>
      </c>
      <c r="AD269" s="1" t="s">
        <v>12936</v>
      </c>
      <c r="AE269" s="1" t="s">
        <v>13583</v>
      </c>
      <c r="AF269" s="1" t="s">
        <v>13580</v>
      </c>
      <c r="AG269" s="1" t="s">
        <v>8269</v>
      </c>
      <c r="AH269" s="1" t="s">
        <v>6096</v>
      </c>
      <c r="AI269" s="1">
        <f t="shared" si="19"/>
        <v>1</v>
      </c>
      <c r="AJ269" s="5" t="s">
        <v>12898</v>
      </c>
      <c r="AK269" s="5" t="s">
        <v>12899</v>
      </c>
      <c r="AL269" s="7" t="s">
        <v>15077</v>
      </c>
    </row>
    <row r="270" spans="1:38" ht="36" customHeight="1">
      <c r="A270" s="1" t="s">
        <v>5012</v>
      </c>
      <c r="B270" s="1" t="s">
        <v>5596</v>
      </c>
      <c r="C270" s="1" t="s">
        <v>5597</v>
      </c>
      <c r="D270" s="1" t="s">
        <v>4747</v>
      </c>
      <c r="E270" s="1">
        <v>0</v>
      </c>
      <c r="F270" s="1"/>
      <c r="G270" s="1" t="s">
        <v>12859</v>
      </c>
      <c r="H270" s="1" t="s">
        <v>8264</v>
      </c>
      <c r="I270" s="1" t="s">
        <v>4747</v>
      </c>
      <c r="J270" s="1"/>
      <c r="K270" s="1"/>
      <c r="L270" s="1" t="s">
        <v>12860</v>
      </c>
      <c r="M270" s="1" t="s">
        <v>13584</v>
      </c>
      <c r="N270" s="1" t="s">
        <v>13585</v>
      </c>
      <c r="O270" s="1"/>
      <c r="P270" s="1" t="s">
        <v>12863</v>
      </c>
      <c r="Q270" s="1"/>
      <c r="R270" s="1"/>
      <c r="S270" s="1"/>
      <c r="T270" s="1"/>
      <c r="U270" s="1"/>
      <c r="V270" s="1"/>
      <c r="W270" s="1"/>
      <c r="X270" s="1"/>
      <c r="Y270" s="1"/>
      <c r="Z270" s="1"/>
      <c r="AA270" s="1">
        <f t="shared" si="17"/>
        <v>0</v>
      </c>
      <c r="AB270" s="1" t="str">
        <f t="shared" si="18"/>
        <v>R2 retained</v>
      </c>
      <c r="AC270" s="1"/>
      <c r="AD270" s="1"/>
      <c r="AE270" s="1"/>
      <c r="AF270" s="1"/>
      <c r="AG270" s="1"/>
      <c r="AH270" s="1"/>
      <c r="AI270" s="1">
        <f t="shared" si="19"/>
        <v>0</v>
      </c>
      <c r="AJ270" s="5"/>
      <c r="AK270" s="5"/>
      <c r="AL270" s="7" t="s">
        <v>15077</v>
      </c>
    </row>
    <row r="271" spans="1:38" ht="36" customHeight="1">
      <c r="A271" s="1" t="s">
        <v>5012</v>
      </c>
      <c r="B271" s="1" t="s">
        <v>5601</v>
      </c>
      <c r="C271" s="1" t="s">
        <v>5602</v>
      </c>
      <c r="D271" s="1" t="s">
        <v>8369</v>
      </c>
      <c r="E271" s="1">
        <v>1</v>
      </c>
      <c r="F271" s="1"/>
      <c r="G271" s="1" t="s">
        <v>12859</v>
      </c>
      <c r="H271" s="1" t="s">
        <v>8264</v>
      </c>
      <c r="I271" s="1" t="s">
        <v>4717</v>
      </c>
      <c r="J271" s="1"/>
      <c r="K271" s="1"/>
      <c r="L271" s="1" t="s">
        <v>12860</v>
      </c>
      <c r="M271" s="1" t="s">
        <v>8371</v>
      </c>
      <c r="N271" s="1" t="s">
        <v>13586</v>
      </c>
      <c r="O271" s="1"/>
      <c r="P271" s="1" t="s">
        <v>12868</v>
      </c>
      <c r="Q271" s="1"/>
      <c r="R271" s="1"/>
      <c r="S271" s="1"/>
      <c r="T271" s="1"/>
      <c r="U271" s="1"/>
      <c r="V271" s="1"/>
      <c r="W271" s="1"/>
      <c r="X271" s="1"/>
      <c r="Y271" s="1"/>
      <c r="Z271" s="1"/>
      <c r="AA271" s="1">
        <f t="shared" si="17"/>
        <v>1</v>
      </c>
      <c r="AB271" s="1" t="str">
        <f t="shared" si="18"/>
        <v>R2 retained</v>
      </c>
      <c r="AC271" s="1"/>
      <c r="AD271" s="1"/>
      <c r="AE271" s="1"/>
      <c r="AF271" s="1"/>
      <c r="AG271" s="1"/>
      <c r="AH271" s="1"/>
      <c r="AI271" s="1">
        <f t="shared" si="19"/>
        <v>0</v>
      </c>
      <c r="AJ271" s="5"/>
      <c r="AK271" s="5"/>
      <c r="AL271" s="7" t="s">
        <v>15077</v>
      </c>
    </row>
    <row r="272" spans="1:38" ht="36" customHeight="1">
      <c r="A272" s="1" t="s">
        <v>5012</v>
      </c>
      <c r="B272" s="1" t="s">
        <v>5606</v>
      </c>
      <c r="C272" s="1" t="s">
        <v>5607</v>
      </c>
      <c r="D272" s="1" t="s">
        <v>4747</v>
      </c>
      <c r="E272" s="1">
        <v>0</v>
      </c>
      <c r="F272" s="1"/>
      <c r="G272" s="1" t="s">
        <v>12859</v>
      </c>
      <c r="H272" s="1" t="s">
        <v>8264</v>
      </c>
      <c r="I272" s="1" t="s">
        <v>4747</v>
      </c>
      <c r="J272" s="1"/>
      <c r="K272" s="1"/>
      <c r="L272" s="1" t="s">
        <v>12860</v>
      </c>
      <c r="M272" s="1" t="s">
        <v>8373</v>
      </c>
      <c r="N272" s="1" t="s">
        <v>13587</v>
      </c>
      <c r="O272" s="1"/>
      <c r="P272" s="1" t="s">
        <v>12863</v>
      </c>
      <c r="Q272" s="1"/>
      <c r="R272" s="1"/>
      <c r="S272" s="1"/>
      <c r="T272" s="1"/>
      <c r="U272" s="1"/>
      <c r="V272" s="1"/>
      <c r="W272" s="1"/>
      <c r="X272" s="1"/>
      <c r="Y272" s="1"/>
      <c r="Z272" s="1"/>
      <c r="AA272" s="1">
        <f t="shared" si="17"/>
        <v>0</v>
      </c>
      <c r="AB272" s="1" t="str">
        <f t="shared" si="18"/>
        <v>R2 retained</v>
      </c>
      <c r="AC272" s="1"/>
      <c r="AD272" s="1"/>
      <c r="AE272" s="1"/>
      <c r="AF272" s="1"/>
      <c r="AG272" s="1"/>
      <c r="AH272" s="1"/>
      <c r="AI272" s="1">
        <f t="shared" si="19"/>
        <v>0</v>
      </c>
      <c r="AJ272" s="5"/>
      <c r="AK272" s="5"/>
      <c r="AL272" s="7" t="s">
        <v>15077</v>
      </c>
    </row>
    <row r="273" spans="1:38" ht="48" customHeight="1">
      <c r="A273" s="1" t="s">
        <v>5012</v>
      </c>
      <c r="B273" s="1" t="s">
        <v>5454</v>
      </c>
      <c r="C273" s="1" t="s">
        <v>5455</v>
      </c>
      <c r="D273" s="1" t="s">
        <v>4747</v>
      </c>
      <c r="E273" s="1">
        <v>1</v>
      </c>
      <c r="F273" s="1">
        <v>0</v>
      </c>
      <c r="G273" s="1" t="s">
        <v>4691</v>
      </c>
      <c r="H273" s="1" t="s">
        <v>8264</v>
      </c>
      <c r="I273" s="1" t="s">
        <v>4862</v>
      </c>
      <c r="J273" s="1"/>
      <c r="K273" s="1"/>
      <c r="L273" s="1" t="s">
        <v>12860</v>
      </c>
      <c r="M273" s="1" t="s">
        <v>8376</v>
      </c>
      <c r="N273" s="1" t="s">
        <v>13588</v>
      </c>
      <c r="O273" s="1" t="s">
        <v>13589</v>
      </c>
      <c r="P273" s="1" t="s">
        <v>12917</v>
      </c>
      <c r="Q273" s="1"/>
      <c r="R273" s="1"/>
      <c r="S273" s="1"/>
      <c r="T273" s="1"/>
      <c r="U273" s="1"/>
      <c r="V273" s="1"/>
      <c r="W273" s="1"/>
      <c r="X273" s="1"/>
      <c r="Y273" s="1" t="s">
        <v>5739</v>
      </c>
      <c r="Z273" s="1" t="s">
        <v>12918</v>
      </c>
      <c r="AA273" s="1">
        <f t="shared" si="17"/>
        <v>0</v>
      </c>
      <c r="AB273" s="1" t="str">
        <f t="shared" si="18"/>
        <v>Reviewer confirmed</v>
      </c>
      <c r="AC273" s="1">
        <v>0</v>
      </c>
      <c r="AD273" s="1" t="s">
        <v>12936</v>
      </c>
      <c r="AE273" s="1" t="s">
        <v>5739</v>
      </c>
      <c r="AF273" s="1" t="s">
        <v>5738</v>
      </c>
      <c r="AG273" s="1" t="s">
        <v>5740</v>
      </c>
      <c r="AH273" s="1" t="s">
        <v>5461</v>
      </c>
      <c r="AI273" s="1">
        <f t="shared" si="19"/>
        <v>1</v>
      </c>
      <c r="AJ273" s="5" t="s">
        <v>12898</v>
      </c>
      <c r="AK273" s="5" t="s">
        <v>12899</v>
      </c>
      <c r="AL273" s="7" t="s">
        <v>15077</v>
      </c>
    </row>
    <row r="274" spans="1:38" ht="36" customHeight="1">
      <c r="A274" s="1" t="s">
        <v>5041</v>
      </c>
      <c r="B274" s="1" t="s">
        <v>5537</v>
      </c>
      <c r="C274" s="1" t="s">
        <v>5538</v>
      </c>
      <c r="D274" s="1" t="s">
        <v>4747</v>
      </c>
      <c r="E274" s="1">
        <v>0</v>
      </c>
      <c r="F274" s="1"/>
      <c r="G274" s="1" t="s">
        <v>12859</v>
      </c>
      <c r="H274" s="1" t="s">
        <v>422</v>
      </c>
      <c r="I274" s="1" t="s">
        <v>4747</v>
      </c>
      <c r="J274" s="1"/>
      <c r="K274" s="1"/>
      <c r="L274" s="1" t="s">
        <v>12860</v>
      </c>
      <c r="M274" s="1" t="s">
        <v>13590</v>
      </c>
      <c r="N274" s="1" t="s">
        <v>13591</v>
      </c>
      <c r="O274" s="1"/>
      <c r="P274" s="1" t="s">
        <v>12863</v>
      </c>
      <c r="Q274" s="1"/>
      <c r="R274" s="1"/>
      <c r="S274" s="1"/>
      <c r="T274" s="1"/>
      <c r="U274" s="1"/>
      <c r="V274" s="1"/>
      <c r="W274" s="1"/>
      <c r="X274" s="1"/>
      <c r="Y274" s="1"/>
      <c r="Z274" s="1"/>
      <c r="AA274" s="1">
        <f t="shared" si="17"/>
        <v>0</v>
      </c>
      <c r="AB274" s="1" t="str">
        <f t="shared" si="18"/>
        <v>R2 retained</v>
      </c>
      <c r="AC274" s="1"/>
      <c r="AD274" s="1"/>
      <c r="AE274" s="1"/>
      <c r="AF274" s="1"/>
      <c r="AG274" s="1"/>
      <c r="AH274" s="1"/>
      <c r="AI274" s="1">
        <f t="shared" si="19"/>
        <v>0</v>
      </c>
      <c r="AJ274" s="5"/>
      <c r="AK274" s="5"/>
      <c r="AL274" s="7" t="s">
        <v>15077</v>
      </c>
    </row>
    <row r="275" spans="1:38" ht="36" customHeight="1">
      <c r="A275" s="1" t="s">
        <v>5041</v>
      </c>
      <c r="B275" s="1" t="s">
        <v>5542</v>
      </c>
      <c r="C275" s="1" t="s">
        <v>5543</v>
      </c>
      <c r="D275" s="1" t="s">
        <v>4747</v>
      </c>
      <c r="E275" s="1">
        <v>0</v>
      </c>
      <c r="F275" s="1"/>
      <c r="G275" s="1" t="s">
        <v>12859</v>
      </c>
      <c r="H275" s="1" t="s">
        <v>422</v>
      </c>
      <c r="I275" s="1" t="s">
        <v>4747</v>
      </c>
      <c r="J275" s="1"/>
      <c r="K275" s="1"/>
      <c r="L275" s="1" t="s">
        <v>12860</v>
      </c>
      <c r="M275" s="1" t="s">
        <v>13592</v>
      </c>
      <c r="N275" s="1" t="s">
        <v>13593</v>
      </c>
      <c r="O275" s="1"/>
      <c r="P275" s="1" t="s">
        <v>12863</v>
      </c>
      <c r="Q275" s="1"/>
      <c r="R275" s="1"/>
      <c r="S275" s="1"/>
      <c r="T275" s="1"/>
      <c r="U275" s="1"/>
      <c r="V275" s="1"/>
      <c r="W275" s="1"/>
      <c r="X275" s="1"/>
      <c r="Y275" s="1"/>
      <c r="Z275" s="1"/>
      <c r="AA275" s="1">
        <f t="shared" si="17"/>
        <v>0</v>
      </c>
      <c r="AB275" s="1" t="str">
        <f t="shared" si="18"/>
        <v>R2 retained</v>
      </c>
      <c r="AC275" s="1"/>
      <c r="AD275" s="1"/>
      <c r="AE275" s="1"/>
      <c r="AF275" s="1"/>
      <c r="AG275" s="1"/>
      <c r="AH275" s="1"/>
      <c r="AI275" s="1">
        <f t="shared" si="19"/>
        <v>0</v>
      </c>
      <c r="AJ275" s="5"/>
      <c r="AK275" s="5"/>
      <c r="AL275" s="7" t="s">
        <v>15077</v>
      </c>
    </row>
    <row r="276" spans="1:38" ht="36" customHeight="1">
      <c r="A276" s="1" t="s">
        <v>5041</v>
      </c>
      <c r="B276" s="1" t="s">
        <v>5547</v>
      </c>
      <c r="C276" s="1" t="s">
        <v>5548</v>
      </c>
      <c r="D276" s="1" t="s">
        <v>4747</v>
      </c>
      <c r="E276" s="1">
        <v>1</v>
      </c>
      <c r="F276" s="1"/>
      <c r="G276" s="1" t="s">
        <v>12859</v>
      </c>
      <c r="H276" s="1" t="s">
        <v>422</v>
      </c>
      <c r="I276" s="1" t="s">
        <v>4717</v>
      </c>
      <c r="J276" s="1"/>
      <c r="K276" s="1"/>
      <c r="L276" s="1" t="s">
        <v>12860</v>
      </c>
      <c r="M276" s="1" t="s">
        <v>13594</v>
      </c>
      <c r="N276" s="1" t="s">
        <v>13595</v>
      </c>
      <c r="O276" s="1"/>
      <c r="P276" s="1" t="s">
        <v>12868</v>
      </c>
      <c r="Q276" s="1"/>
      <c r="R276" s="1"/>
      <c r="S276" s="1"/>
      <c r="T276" s="1"/>
      <c r="U276" s="1"/>
      <c r="V276" s="1"/>
      <c r="W276" s="1"/>
      <c r="X276" s="1"/>
      <c r="Y276" s="1"/>
      <c r="Z276" s="1"/>
      <c r="AA276" s="1">
        <f t="shared" si="17"/>
        <v>1</v>
      </c>
      <c r="AB276" s="1" t="str">
        <f t="shared" si="18"/>
        <v>R2 retained</v>
      </c>
      <c r="AC276" s="1"/>
      <c r="AD276" s="1"/>
      <c r="AE276" s="1"/>
      <c r="AF276" s="1"/>
      <c r="AG276" s="1"/>
      <c r="AH276" s="1"/>
      <c r="AI276" s="1">
        <f t="shared" si="19"/>
        <v>0</v>
      </c>
      <c r="AJ276" s="5"/>
      <c r="AK276" s="5"/>
      <c r="AL276" s="7" t="s">
        <v>15077</v>
      </c>
    </row>
    <row r="277" spans="1:38" ht="72" customHeight="1">
      <c r="A277" s="1" t="s">
        <v>5041</v>
      </c>
      <c r="B277" s="1" t="s">
        <v>5552</v>
      </c>
      <c r="C277" s="1" t="s">
        <v>5553</v>
      </c>
      <c r="D277" s="1" t="s">
        <v>13596</v>
      </c>
      <c r="E277" s="1">
        <v>1</v>
      </c>
      <c r="F277" s="1">
        <v>2</v>
      </c>
      <c r="G277" s="1" t="s">
        <v>12873</v>
      </c>
      <c r="H277" s="1" t="s">
        <v>422</v>
      </c>
      <c r="I277" s="1"/>
      <c r="J277" s="1"/>
      <c r="K277" s="1"/>
      <c r="L277" s="1" t="s">
        <v>12860</v>
      </c>
      <c r="M277" s="1" t="s">
        <v>13597</v>
      </c>
      <c r="N277" s="1" t="s">
        <v>13598</v>
      </c>
      <c r="O277" s="1" t="s">
        <v>13599</v>
      </c>
      <c r="P277" s="1" t="s">
        <v>12876</v>
      </c>
      <c r="Q277" s="1">
        <v>2</v>
      </c>
      <c r="R277" s="1" t="s">
        <v>12877</v>
      </c>
      <c r="S277" s="1" t="s">
        <v>13600</v>
      </c>
      <c r="T277" s="1" t="s">
        <v>13601</v>
      </c>
      <c r="U277" s="1" t="s">
        <v>8397</v>
      </c>
      <c r="V277" s="1" t="s">
        <v>6096</v>
      </c>
      <c r="W277" s="1"/>
      <c r="X277" s="1"/>
      <c r="Y277" s="1" t="s">
        <v>13602</v>
      </c>
      <c r="Z277" s="1" t="s">
        <v>12883</v>
      </c>
      <c r="AA277" s="1">
        <f t="shared" si="17"/>
        <v>2</v>
      </c>
      <c r="AB277" s="1" t="str">
        <f t="shared" si="18"/>
        <v>Reviewer confirmed</v>
      </c>
      <c r="AC277" s="1"/>
      <c r="AD277" s="1"/>
      <c r="AE277" s="1"/>
      <c r="AF277" s="1"/>
      <c r="AG277" s="1"/>
      <c r="AH277" s="1"/>
      <c r="AI277" s="1">
        <f t="shared" si="19"/>
        <v>1</v>
      </c>
      <c r="AJ277" s="5"/>
      <c r="AK277" s="5"/>
      <c r="AL277" s="7" t="s">
        <v>15077</v>
      </c>
    </row>
    <row r="278" spans="1:38" ht="36" customHeight="1">
      <c r="A278" s="1" t="s">
        <v>5041</v>
      </c>
      <c r="B278" s="1" t="s">
        <v>5557</v>
      </c>
      <c r="C278" s="1" t="s">
        <v>5558</v>
      </c>
      <c r="D278" s="1" t="s">
        <v>8433</v>
      </c>
      <c r="E278" s="1">
        <v>0</v>
      </c>
      <c r="F278" s="1"/>
      <c r="G278" s="1" t="s">
        <v>12859</v>
      </c>
      <c r="H278" s="1" t="s">
        <v>422</v>
      </c>
      <c r="I278" s="1" t="s">
        <v>4747</v>
      </c>
      <c r="J278" s="1"/>
      <c r="K278" s="1"/>
      <c r="L278" s="1" t="s">
        <v>12860</v>
      </c>
      <c r="M278" s="1" t="s">
        <v>8435</v>
      </c>
      <c r="N278" s="1" t="s">
        <v>13603</v>
      </c>
      <c r="O278" s="1"/>
      <c r="P278" s="1" t="s">
        <v>12863</v>
      </c>
      <c r="Q278" s="1"/>
      <c r="R278" s="1"/>
      <c r="S278" s="1"/>
      <c r="T278" s="1"/>
      <c r="U278" s="1"/>
      <c r="V278" s="1"/>
      <c r="W278" s="1"/>
      <c r="X278" s="1"/>
      <c r="Y278" s="1"/>
      <c r="Z278" s="1"/>
      <c r="AA278" s="1">
        <f t="shared" si="17"/>
        <v>0</v>
      </c>
      <c r="AB278" s="1" t="str">
        <f t="shared" si="18"/>
        <v>R2 retained</v>
      </c>
      <c r="AC278" s="1"/>
      <c r="AD278" s="1"/>
      <c r="AE278" s="1"/>
      <c r="AF278" s="1"/>
      <c r="AG278" s="1"/>
      <c r="AH278" s="1"/>
      <c r="AI278" s="1">
        <f t="shared" si="19"/>
        <v>0</v>
      </c>
      <c r="AJ278" s="5"/>
      <c r="AK278" s="5"/>
      <c r="AL278" s="7" t="s">
        <v>15077</v>
      </c>
    </row>
    <row r="279" spans="1:38" ht="36" customHeight="1">
      <c r="A279" s="1" t="s">
        <v>5041</v>
      </c>
      <c r="B279" s="1" t="s">
        <v>5562</v>
      </c>
      <c r="C279" s="1" t="s">
        <v>5563</v>
      </c>
      <c r="D279" s="1" t="s">
        <v>8437</v>
      </c>
      <c r="E279" s="1">
        <v>1</v>
      </c>
      <c r="F279" s="1"/>
      <c r="G279" s="1" t="s">
        <v>12859</v>
      </c>
      <c r="H279" s="1" t="s">
        <v>422</v>
      </c>
      <c r="I279" s="1" t="s">
        <v>4935</v>
      </c>
      <c r="J279" s="1"/>
      <c r="K279" s="1"/>
      <c r="L279" s="1" t="s">
        <v>12860</v>
      </c>
      <c r="M279" s="1" t="s">
        <v>8440</v>
      </c>
      <c r="N279" s="1" t="s">
        <v>13604</v>
      </c>
      <c r="O279" s="1"/>
      <c r="P279" s="1" t="s">
        <v>12868</v>
      </c>
      <c r="Q279" s="1"/>
      <c r="R279" s="1"/>
      <c r="S279" s="1"/>
      <c r="T279" s="1"/>
      <c r="U279" s="1"/>
      <c r="V279" s="1"/>
      <c r="W279" s="1"/>
      <c r="X279" s="1"/>
      <c r="Y279" s="1"/>
      <c r="Z279" s="1"/>
      <c r="AA279" s="1">
        <f t="shared" si="17"/>
        <v>1</v>
      </c>
      <c r="AB279" s="1" t="str">
        <f t="shared" si="18"/>
        <v>R2 retained</v>
      </c>
      <c r="AC279" s="1">
        <v>1</v>
      </c>
      <c r="AD279" s="1" t="s">
        <v>12884</v>
      </c>
      <c r="AE279" s="1" t="s">
        <v>13605</v>
      </c>
      <c r="AF279" s="1" t="s">
        <v>13606</v>
      </c>
      <c r="AG279" s="1" t="s">
        <v>8397</v>
      </c>
      <c r="AH279" s="1" t="s">
        <v>6096</v>
      </c>
      <c r="AI279" s="1">
        <f t="shared" si="19"/>
        <v>1</v>
      </c>
      <c r="AJ279" s="5"/>
      <c r="AK279" s="5"/>
      <c r="AL279" s="7" t="s">
        <v>15077</v>
      </c>
    </row>
    <row r="280" spans="1:38" ht="36" customHeight="1">
      <c r="A280" s="1" t="s">
        <v>5041</v>
      </c>
      <c r="B280" s="1" t="s">
        <v>5567</v>
      </c>
      <c r="C280" s="1" t="s">
        <v>5568</v>
      </c>
      <c r="D280" s="1" t="s">
        <v>13607</v>
      </c>
      <c r="E280" s="1">
        <v>2</v>
      </c>
      <c r="F280" s="1"/>
      <c r="G280" s="1" t="s">
        <v>12859</v>
      </c>
      <c r="H280" s="1" t="s">
        <v>422</v>
      </c>
      <c r="I280" s="1" t="s">
        <v>4862</v>
      </c>
      <c r="J280" s="1"/>
      <c r="K280" s="1"/>
      <c r="L280" s="1" t="s">
        <v>12860</v>
      </c>
      <c r="M280" s="1" t="s">
        <v>13608</v>
      </c>
      <c r="N280" s="1" t="s">
        <v>13609</v>
      </c>
      <c r="O280" s="1"/>
      <c r="P280" s="1" t="s">
        <v>12868</v>
      </c>
      <c r="Q280" s="1"/>
      <c r="R280" s="1"/>
      <c r="S280" s="1"/>
      <c r="T280" s="1"/>
      <c r="U280" s="1"/>
      <c r="V280" s="1"/>
      <c r="W280" s="1"/>
      <c r="X280" s="1"/>
      <c r="Y280" s="1"/>
      <c r="Z280" s="1"/>
      <c r="AA280" s="1">
        <f t="shared" si="17"/>
        <v>2</v>
      </c>
      <c r="AB280" s="1" t="str">
        <f t="shared" si="18"/>
        <v>R2 retained</v>
      </c>
      <c r="AC280" s="1"/>
      <c r="AD280" s="1"/>
      <c r="AE280" s="1"/>
      <c r="AF280" s="1"/>
      <c r="AG280" s="1"/>
      <c r="AH280" s="1"/>
      <c r="AI280" s="1">
        <f t="shared" si="19"/>
        <v>0</v>
      </c>
      <c r="AJ280" s="5"/>
      <c r="AK280" s="5"/>
      <c r="AL280" s="7" t="s">
        <v>15077</v>
      </c>
    </row>
    <row r="281" spans="1:38" ht="36" customHeight="1">
      <c r="A281" s="1" t="s">
        <v>5041</v>
      </c>
      <c r="B281" s="1" t="s">
        <v>5572</v>
      </c>
      <c r="C281" s="1" t="s">
        <v>5573</v>
      </c>
      <c r="D281" s="1" t="s">
        <v>13610</v>
      </c>
      <c r="E281" s="1">
        <v>2</v>
      </c>
      <c r="F281" s="1"/>
      <c r="G281" s="1" t="s">
        <v>12859</v>
      </c>
      <c r="H281" s="1" t="s">
        <v>422</v>
      </c>
      <c r="I281" s="1" t="s">
        <v>4862</v>
      </c>
      <c r="J281" s="1"/>
      <c r="K281" s="1"/>
      <c r="L281" s="1" t="s">
        <v>12860</v>
      </c>
      <c r="M281" s="1" t="s">
        <v>13611</v>
      </c>
      <c r="N281" s="1" t="s">
        <v>13612</v>
      </c>
      <c r="O281" s="1"/>
      <c r="P281" s="1" t="s">
        <v>12868</v>
      </c>
      <c r="Q281" s="1"/>
      <c r="R281" s="1"/>
      <c r="S281" s="1"/>
      <c r="T281" s="1"/>
      <c r="U281" s="1"/>
      <c r="V281" s="1"/>
      <c r="W281" s="1"/>
      <c r="X281" s="1"/>
      <c r="Y281" s="1"/>
      <c r="Z281" s="1"/>
      <c r="AA281" s="1">
        <f t="shared" si="17"/>
        <v>2</v>
      </c>
      <c r="AB281" s="1" t="str">
        <f t="shared" si="18"/>
        <v>R2 retained</v>
      </c>
      <c r="AC281" s="1"/>
      <c r="AD281" s="1"/>
      <c r="AE281" s="1"/>
      <c r="AF281" s="1"/>
      <c r="AG281" s="1"/>
      <c r="AH281" s="1"/>
      <c r="AI281" s="1">
        <f t="shared" si="19"/>
        <v>0</v>
      </c>
      <c r="AJ281" s="5"/>
      <c r="AK281" s="5"/>
      <c r="AL281" s="7" t="s">
        <v>15077</v>
      </c>
    </row>
    <row r="282" spans="1:38" ht="36" customHeight="1">
      <c r="A282" s="1" t="s">
        <v>5041</v>
      </c>
      <c r="B282" s="1" t="s">
        <v>5577</v>
      </c>
      <c r="C282" s="1" t="s">
        <v>5578</v>
      </c>
      <c r="D282" s="1" t="s">
        <v>13613</v>
      </c>
      <c r="E282" s="1">
        <v>2</v>
      </c>
      <c r="F282" s="1"/>
      <c r="G282" s="1" t="s">
        <v>12859</v>
      </c>
      <c r="H282" s="1" t="s">
        <v>422</v>
      </c>
      <c r="I282" s="1" t="s">
        <v>4717</v>
      </c>
      <c r="J282" s="1"/>
      <c r="K282" s="1"/>
      <c r="L282" s="1" t="s">
        <v>12860</v>
      </c>
      <c r="M282" s="1" t="s">
        <v>13614</v>
      </c>
      <c r="N282" s="1" t="s">
        <v>13615</v>
      </c>
      <c r="O282" s="1"/>
      <c r="P282" s="1" t="s">
        <v>12868</v>
      </c>
      <c r="Q282" s="1"/>
      <c r="R282" s="1"/>
      <c r="S282" s="1"/>
      <c r="T282" s="1"/>
      <c r="U282" s="1"/>
      <c r="V282" s="1"/>
      <c r="W282" s="1"/>
      <c r="X282" s="1"/>
      <c r="Y282" s="1"/>
      <c r="Z282" s="1"/>
      <c r="AA282" s="1">
        <f t="shared" si="17"/>
        <v>2</v>
      </c>
      <c r="AB282" s="1" t="str">
        <f t="shared" si="18"/>
        <v>R2 retained</v>
      </c>
      <c r="AC282" s="1"/>
      <c r="AD282" s="1"/>
      <c r="AE282" s="1"/>
      <c r="AF282" s="1"/>
      <c r="AG282" s="1"/>
      <c r="AH282" s="1"/>
      <c r="AI282" s="1">
        <f t="shared" si="19"/>
        <v>0</v>
      </c>
      <c r="AJ282" s="5"/>
      <c r="AK282" s="5"/>
      <c r="AL282" s="7" t="s">
        <v>15077</v>
      </c>
    </row>
    <row r="283" spans="1:38" ht="36" customHeight="1">
      <c r="A283" s="1" t="s">
        <v>5041</v>
      </c>
      <c r="B283" s="1" t="s">
        <v>5582</v>
      </c>
      <c r="C283" s="1" t="s">
        <v>5583</v>
      </c>
      <c r="D283" s="1" t="s">
        <v>8485</v>
      </c>
      <c r="E283" s="1">
        <v>0</v>
      </c>
      <c r="F283" s="1"/>
      <c r="G283" s="1" t="s">
        <v>12859</v>
      </c>
      <c r="H283" s="1" t="s">
        <v>422</v>
      </c>
      <c r="I283" s="1" t="s">
        <v>4747</v>
      </c>
      <c r="J283" s="1"/>
      <c r="K283" s="1"/>
      <c r="L283" s="1" t="s">
        <v>12860</v>
      </c>
      <c r="M283" s="1" t="s">
        <v>8487</v>
      </c>
      <c r="N283" s="1" t="s">
        <v>13616</v>
      </c>
      <c r="O283" s="1"/>
      <c r="P283" s="1" t="s">
        <v>12863</v>
      </c>
      <c r="Q283" s="1"/>
      <c r="R283" s="1"/>
      <c r="S283" s="1"/>
      <c r="T283" s="1"/>
      <c r="U283" s="1"/>
      <c r="V283" s="1"/>
      <c r="W283" s="1"/>
      <c r="X283" s="1"/>
      <c r="Y283" s="1"/>
      <c r="Z283" s="1"/>
      <c r="AA283" s="1">
        <f t="shared" si="17"/>
        <v>0</v>
      </c>
      <c r="AB283" s="1" t="str">
        <f t="shared" si="18"/>
        <v>R2 retained</v>
      </c>
      <c r="AC283" s="1">
        <v>0</v>
      </c>
      <c r="AD283" s="1" t="s">
        <v>12884</v>
      </c>
      <c r="AE283" s="1" t="s">
        <v>13617</v>
      </c>
      <c r="AF283" s="1" t="s">
        <v>13618</v>
      </c>
      <c r="AG283" s="1" t="s">
        <v>8397</v>
      </c>
      <c r="AH283" s="1" t="s">
        <v>6096</v>
      </c>
      <c r="AI283" s="1">
        <f t="shared" si="19"/>
        <v>1</v>
      </c>
      <c r="AJ283" s="5" t="s">
        <v>12898</v>
      </c>
      <c r="AK283" s="5" t="s">
        <v>12899</v>
      </c>
      <c r="AL283" s="7" t="s">
        <v>15077</v>
      </c>
    </row>
    <row r="284" spans="1:38" ht="36" customHeight="1">
      <c r="A284" s="1" t="s">
        <v>5041</v>
      </c>
      <c r="B284" s="1" t="s">
        <v>5586</v>
      </c>
      <c r="C284" s="1" t="s">
        <v>5587</v>
      </c>
      <c r="D284" s="1" t="s">
        <v>13619</v>
      </c>
      <c r="E284" s="1">
        <v>0</v>
      </c>
      <c r="F284" s="1"/>
      <c r="G284" s="1" t="s">
        <v>12859</v>
      </c>
      <c r="H284" s="1" t="s">
        <v>422</v>
      </c>
      <c r="I284" s="1" t="s">
        <v>4747</v>
      </c>
      <c r="J284" s="1"/>
      <c r="K284" s="1"/>
      <c r="L284" s="1" t="s">
        <v>12860</v>
      </c>
      <c r="M284" s="1" t="s">
        <v>13620</v>
      </c>
      <c r="N284" s="1" t="s">
        <v>13621</v>
      </c>
      <c r="O284" s="1"/>
      <c r="P284" s="1" t="s">
        <v>12863</v>
      </c>
      <c r="Q284" s="1"/>
      <c r="R284" s="1"/>
      <c r="S284" s="1"/>
      <c r="T284" s="1"/>
      <c r="U284" s="1"/>
      <c r="V284" s="1"/>
      <c r="W284" s="1"/>
      <c r="X284" s="1"/>
      <c r="Y284" s="1"/>
      <c r="Z284" s="1"/>
      <c r="AA284" s="1">
        <f t="shared" si="17"/>
        <v>0</v>
      </c>
      <c r="AB284" s="1" t="str">
        <f t="shared" si="18"/>
        <v>R2 retained</v>
      </c>
      <c r="AC284" s="1"/>
      <c r="AD284" s="1"/>
      <c r="AE284" s="1"/>
      <c r="AF284" s="1"/>
      <c r="AG284" s="1"/>
      <c r="AH284" s="1"/>
      <c r="AI284" s="1">
        <f t="shared" si="19"/>
        <v>0</v>
      </c>
      <c r="AJ284" s="5"/>
      <c r="AK284" s="5"/>
      <c r="AL284" s="7" t="s">
        <v>15077</v>
      </c>
    </row>
    <row r="285" spans="1:38" ht="72" customHeight="1">
      <c r="A285" s="1" t="s">
        <v>5041</v>
      </c>
      <c r="B285" s="1" t="s">
        <v>5591</v>
      </c>
      <c r="C285" s="1" t="s">
        <v>5592</v>
      </c>
      <c r="D285" s="1" t="s">
        <v>13622</v>
      </c>
      <c r="E285" s="1">
        <v>0</v>
      </c>
      <c r="F285" s="1"/>
      <c r="G285" s="1" t="s">
        <v>12859</v>
      </c>
      <c r="H285" s="1" t="s">
        <v>422</v>
      </c>
      <c r="I285" s="1" t="s">
        <v>4747</v>
      </c>
      <c r="J285" s="1"/>
      <c r="K285" s="1"/>
      <c r="L285" s="1" t="s">
        <v>12860</v>
      </c>
      <c r="M285" s="1" t="s">
        <v>13623</v>
      </c>
      <c r="N285" s="1" t="s">
        <v>13624</v>
      </c>
      <c r="O285" s="1"/>
      <c r="P285" s="1" t="s">
        <v>12863</v>
      </c>
      <c r="Q285" s="1">
        <v>0</v>
      </c>
      <c r="R285" s="1" t="s">
        <v>12904</v>
      </c>
      <c r="S285" s="1" t="s">
        <v>13625</v>
      </c>
      <c r="T285" s="1" t="s">
        <v>13626</v>
      </c>
      <c r="U285" s="1" t="s">
        <v>8397</v>
      </c>
      <c r="V285" s="1" t="s">
        <v>6096</v>
      </c>
      <c r="W285" s="1" t="s">
        <v>12907</v>
      </c>
      <c r="X285" s="1"/>
      <c r="Y285" s="1"/>
      <c r="Z285" s="1" t="s">
        <v>12908</v>
      </c>
      <c r="AA285" s="1">
        <f t="shared" si="17"/>
        <v>0</v>
      </c>
      <c r="AB285" s="1" t="str">
        <f t="shared" si="18"/>
        <v>R2 retained</v>
      </c>
      <c r="AC285" s="1">
        <v>0</v>
      </c>
      <c r="AD285" s="1" t="s">
        <v>12884</v>
      </c>
      <c r="AE285" s="1" t="s">
        <v>13625</v>
      </c>
      <c r="AF285" s="1" t="s">
        <v>13626</v>
      </c>
      <c r="AG285" s="1" t="s">
        <v>8397</v>
      </c>
      <c r="AH285" s="1" t="s">
        <v>6096</v>
      </c>
      <c r="AI285" s="1">
        <f t="shared" si="19"/>
        <v>1</v>
      </c>
      <c r="AJ285" s="5" t="s">
        <v>12898</v>
      </c>
      <c r="AK285" s="5" t="s">
        <v>12899</v>
      </c>
      <c r="AL285" s="7" t="s">
        <v>15077</v>
      </c>
    </row>
    <row r="286" spans="1:38" ht="36" customHeight="1">
      <c r="A286" s="1" t="s">
        <v>5041</v>
      </c>
      <c r="B286" s="1" t="s">
        <v>5596</v>
      </c>
      <c r="C286" s="1" t="s">
        <v>5597</v>
      </c>
      <c r="D286" s="1" t="s">
        <v>13627</v>
      </c>
      <c r="E286" s="1">
        <v>0</v>
      </c>
      <c r="F286" s="1"/>
      <c r="G286" s="1" t="s">
        <v>12859</v>
      </c>
      <c r="H286" s="1" t="s">
        <v>422</v>
      </c>
      <c r="I286" s="1" t="s">
        <v>4747</v>
      </c>
      <c r="J286" s="1"/>
      <c r="K286" s="1"/>
      <c r="L286" s="1" t="s">
        <v>12860</v>
      </c>
      <c r="M286" s="1" t="s">
        <v>13628</v>
      </c>
      <c r="N286" s="1" t="s">
        <v>13629</v>
      </c>
      <c r="O286" s="1"/>
      <c r="P286" s="1" t="s">
        <v>12863</v>
      </c>
      <c r="Q286" s="1"/>
      <c r="R286" s="1"/>
      <c r="S286" s="1"/>
      <c r="T286" s="1"/>
      <c r="U286" s="1"/>
      <c r="V286" s="1"/>
      <c r="W286" s="1"/>
      <c r="X286" s="1"/>
      <c r="Y286" s="1"/>
      <c r="Z286" s="1"/>
      <c r="AA286" s="1">
        <f t="shared" si="17"/>
        <v>0</v>
      </c>
      <c r="AB286" s="1" t="str">
        <f t="shared" si="18"/>
        <v>R2 retained</v>
      </c>
      <c r="AC286" s="1"/>
      <c r="AD286" s="1"/>
      <c r="AE286" s="1"/>
      <c r="AF286" s="1"/>
      <c r="AG286" s="1"/>
      <c r="AH286" s="1"/>
      <c r="AI286" s="1">
        <f t="shared" si="19"/>
        <v>0</v>
      </c>
      <c r="AJ286" s="5"/>
      <c r="AK286" s="5"/>
      <c r="AL286" s="7" t="s">
        <v>15077</v>
      </c>
    </row>
    <row r="287" spans="1:38" ht="36" customHeight="1">
      <c r="A287" s="1" t="s">
        <v>5041</v>
      </c>
      <c r="B287" s="1" t="s">
        <v>5601</v>
      </c>
      <c r="C287" s="1" t="s">
        <v>5602</v>
      </c>
      <c r="D287" s="1" t="s">
        <v>8499</v>
      </c>
      <c r="E287" s="1">
        <v>1</v>
      </c>
      <c r="F287" s="1"/>
      <c r="G287" s="1" t="s">
        <v>12859</v>
      </c>
      <c r="H287" s="1" t="s">
        <v>422</v>
      </c>
      <c r="I287" s="1" t="s">
        <v>4862</v>
      </c>
      <c r="J287" s="1"/>
      <c r="K287" s="1"/>
      <c r="L287" s="1" t="s">
        <v>12860</v>
      </c>
      <c r="M287" s="1" t="s">
        <v>8501</v>
      </c>
      <c r="N287" s="1" t="s">
        <v>13630</v>
      </c>
      <c r="O287" s="1"/>
      <c r="P287" s="1" t="s">
        <v>12868</v>
      </c>
      <c r="Q287" s="1"/>
      <c r="R287" s="1"/>
      <c r="S287" s="1"/>
      <c r="T287" s="1"/>
      <c r="U287" s="1"/>
      <c r="V287" s="1"/>
      <c r="W287" s="1"/>
      <c r="X287" s="1"/>
      <c r="Y287" s="1"/>
      <c r="Z287" s="1"/>
      <c r="AA287" s="1">
        <f t="shared" si="17"/>
        <v>1</v>
      </c>
      <c r="AB287" s="1" t="str">
        <f t="shared" si="18"/>
        <v>R2 retained</v>
      </c>
      <c r="AC287" s="1"/>
      <c r="AD287" s="1"/>
      <c r="AE287" s="1"/>
      <c r="AF287" s="1"/>
      <c r="AG287" s="1"/>
      <c r="AH287" s="1"/>
      <c r="AI287" s="1">
        <f t="shared" si="19"/>
        <v>0</v>
      </c>
      <c r="AJ287" s="5"/>
      <c r="AK287" s="5"/>
      <c r="AL287" s="7" t="s">
        <v>15077</v>
      </c>
    </row>
    <row r="288" spans="1:38" ht="36" customHeight="1">
      <c r="A288" s="1" t="s">
        <v>5041</v>
      </c>
      <c r="B288" s="1" t="s">
        <v>5606</v>
      </c>
      <c r="C288" s="1" t="s">
        <v>5607</v>
      </c>
      <c r="D288" s="1" t="s">
        <v>8503</v>
      </c>
      <c r="E288" s="1">
        <v>2</v>
      </c>
      <c r="F288" s="1"/>
      <c r="G288" s="1" t="s">
        <v>12859</v>
      </c>
      <c r="H288" s="1" t="s">
        <v>422</v>
      </c>
      <c r="I288" s="1" t="s">
        <v>4717</v>
      </c>
      <c r="J288" s="1"/>
      <c r="K288" s="1"/>
      <c r="L288" s="1" t="s">
        <v>12860</v>
      </c>
      <c r="M288" s="1" t="s">
        <v>8504</v>
      </c>
      <c r="N288" s="1" t="s">
        <v>13631</v>
      </c>
      <c r="O288" s="1"/>
      <c r="P288" s="1" t="s">
        <v>12868</v>
      </c>
      <c r="Q288" s="1"/>
      <c r="R288" s="1"/>
      <c r="S288" s="1"/>
      <c r="T288" s="1"/>
      <c r="U288" s="1"/>
      <c r="V288" s="1"/>
      <c r="W288" s="1"/>
      <c r="X288" s="1"/>
      <c r="Y288" s="1"/>
      <c r="Z288" s="1"/>
      <c r="AA288" s="1">
        <f t="shared" si="17"/>
        <v>2</v>
      </c>
      <c r="AB288" s="1" t="str">
        <f t="shared" si="18"/>
        <v>R2 retained</v>
      </c>
      <c r="AC288" s="1"/>
      <c r="AD288" s="1"/>
      <c r="AE288" s="1"/>
      <c r="AF288" s="1"/>
      <c r="AG288" s="1"/>
      <c r="AH288" s="1"/>
      <c r="AI288" s="1">
        <f t="shared" si="19"/>
        <v>0</v>
      </c>
      <c r="AJ288" s="5"/>
      <c r="AK288" s="5"/>
      <c r="AL288" s="7" t="s">
        <v>15077</v>
      </c>
    </row>
    <row r="289" spans="1:38" ht="84" customHeight="1">
      <c r="A289" s="1" t="s">
        <v>5041</v>
      </c>
      <c r="B289" s="1" t="s">
        <v>5454</v>
      </c>
      <c r="C289" s="1" t="s">
        <v>5455</v>
      </c>
      <c r="D289" s="1" t="s">
        <v>5741</v>
      </c>
      <c r="E289" s="1">
        <v>0</v>
      </c>
      <c r="F289" s="1">
        <v>1</v>
      </c>
      <c r="G289" s="1" t="s">
        <v>4691</v>
      </c>
      <c r="H289" s="1" t="s">
        <v>422</v>
      </c>
      <c r="I289" s="1" t="s">
        <v>4747</v>
      </c>
      <c r="J289" s="1"/>
      <c r="K289" s="1"/>
      <c r="L289" s="1" t="s">
        <v>12860</v>
      </c>
      <c r="M289" s="1" t="s">
        <v>8507</v>
      </c>
      <c r="N289" s="1" t="s">
        <v>13632</v>
      </c>
      <c r="O289" s="1" t="s">
        <v>13633</v>
      </c>
      <c r="P289" s="1" t="s">
        <v>12917</v>
      </c>
      <c r="Q289" s="1"/>
      <c r="R289" s="1"/>
      <c r="S289" s="1"/>
      <c r="T289" s="1"/>
      <c r="U289" s="1"/>
      <c r="V289" s="1"/>
      <c r="W289" s="1"/>
      <c r="X289" s="1"/>
      <c r="Y289" s="1" t="s">
        <v>5743</v>
      </c>
      <c r="Z289" s="1" t="s">
        <v>12918</v>
      </c>
      <c r="AA289" s="1">
        <f t="shared" si="17"/>
        <v>1</v>
      </c>
      <c r="AB289" s="1" t="str">
        <f t="shared" si="18"/>
        <v>Reviewer confirmed</v>
      </c>
      <c r="AC289" s="1">
        <v>1</v>
      </c>
      <c r="AD289" s="1" t="s">
        <v>12936</v>
      </c>
      <c r="AE289" s="1" t="s">
        <v>5743</v>
      </c>
      <c r="AF289" s="1" t="s">
        <v>5742</v>
      </c>
      <c r="AG289" s="1" t="s">
        <v>5744</v>
      </c>
      <c r="AH289" s="1" t="s">
        <v>5461</v>
      </c>
      <c r="AI289" s="1">
        <f t="shared" si="19"/>
        <v>1</v>
      </c>
      <c r="AJ289" s="5" t="s">
        <v>12898</v>
      </c>
      <c r="AK289" s="5" t="s">
        <v>12899</v>
      </c>
      <c r="AL289" s="7" t="s">
        <v>15077</v>
      </c>
    </row>
    <row r="290" spans="1:38" ht="36" customHeight="1">
      <c r="A290" s="1" t="s">
        <v>5063</v>
      </c>
      <c r="B290" s="1" t="s">
        <v>5537</v>
      </c>
      <c r="C290" s="1" t="s">
        <v>5538</v>
      </c>
      <c r="D290" s="1" t="s">
        <v>13634</v>
      </c>
      <c r="E290" s="1">
        <v>0</v>
      </c>
      <c r="F290" s="1"/>
      <c r="G290" s="1" t="s">
        <v>12859</v>
      </c>
      <c r="H290" s="1" t="s">
        <v>8522</v>
      </c>
      <c r="I290" s="1" t="s">
        <v>4747</v>
      </c>
      <c r="J290" s="1"/>
      <c r="K290" s="1"/>
      <c r="L290" s="1" t="s">
        <v>12860</v>
      </c>
      <c r="M290" s="1" t="s">
        <v>13635</v>
      </c>
      <c r="N290" s="1" t="s">
        <v>13636</v>
      </c>
      <c r="O290" s="1"/>
      <c r="P290" s="1" t="s">
        <v>12863</v>
      </c>
      <c r="Q290" s="1"/>
      <c r="R290" s="1"/>
      <c r="S290" s="1"/>
      <c r="T290" s="1"/>
      <c r="U290" s="1"/>
      <c r="V290" s="1"/>
      <c r="W290" s="1"/>
      <c r="X290" s="1"/>
      <c r="Y290" s="1"/>
      <c r="Z290" s="1"/>
      <c r="AA290" s="1">
        <f t="shared" si="17"/>
        <v>0</v>
      </c>
      <c r="AB290" s="1" t="str">
        <f t="shared" ref="AB290:AB321" si="20">IF(OR(ISNUMBER(F290),F290="NA"),"Reviewer confirmed",IF(AD290="uncertain","Unresolved under clarified rule",IF(AND(OR(ISNUMBER(AC290),AC290="NA"),AC290&lt;&gt;E290),"Analyst scope correction","R2 retained")))</f>
        <v>R2 retained</v>
      </c>
      <c r="AC290" s="1"/>
      <c r="AD290" s="1"/>
      <c r="AE290" s="1"/>
      <c r="AF290" s="1"/>
      <c r="AG290" s="1"/>
      <c r="AH290" s="1"/>
      <c r="AI290" s="1">
        <f t="shared" si="19"/>
        <v>0</v>
      </c>
      <c r="AJ290" s="5"/>
      <c r="AK290" s="5"/>
      <c r="AL290" s="7" t="s">
        <v>15077</v>
      </c>
    </row>
    <row r="291" spans="1:38" ht="36" customHeight="1">
      <c r="A291" s="1" t="s">
        <v>5063</v>
      </c>
      <c r="B291" s="1" t="s">
        <v>5542</v>
      </c>
      <c r="C291" s="1" t="s">
        <v>5543</v>
      </c>
      <c r="D291" s="1" t="s">
        <v>13637</v>
      </c>
      <c r="E291" s="1">
        <v>1</v>
      </c>
      <c r="F291" s="1"/>
      <c r="G291" s="1" t="s">
        <v>12859</v>
      </c>
      <c r="H291" s="1" t="s">
        <v>8522</v>
      </c>
      <c r="I291" s="1" t="s">
        <v>13638</v>
      </c>
      <c r="J291" s="1"/>
      <c r="K291" s="1"/>
      <c r="L291" s="1" t="s">
        <v>12860</v>
      </c>
      <c r="M291" s="1" t="s">
        <v>13639</v>
      </c>
      <c r="N291" s="1" t="s">
        <v>13640</v>
      </c>
      <c r="O291" s="1"/>
      <c r="P291" s="1" t="s">
        <v>12868</v>
      </c>
      <c r="Q291" s="1"/>
      <c r="R291" s="1"/>
      <c r="S291" s="1"/>
      <c r="T291" s="1"/>
      <c r="U291" s="1"/>
      <c r="V291" s="1"/>
      <c r="W291" s="1"/>
      <c r="X291" s="1"/>
      <c r="Y291" s="1"/>
      <c r="Z291" s="1"/>
      <c r="AA291" s="1">
        <f t="shared" si="17"/>
        <v>1</v>
      </c>
      <c r="AB291" s="1" t="str">
        <f t="shared" si="20"/>
        <v>R2 retained</v>
      </c>
      <c r="AC291" s="1"/>
      <c r="AD291" s="1"/>
      <c r="AE291" s="1"/>
      <c r="AF291" s="1"/>
      <c r="AG291" s="1"/>
      <c r="AH291" s="1"/>
      <c r="AI291" s="1">
        <f t="shared" si="19"/>
        <v>0</v>
      </c>
      <c r="AJ291" s="5"/>
      <c r="AK291" s="5"/>
      <c r="AL291" s="7" t="s">
        <v>15077</v>
      </c>
    </row>
    <row r="292" spans="1:38" ht="36" customHeight="1">
      <c r="A292" s="1" t="s">
        <v>5063</v>
      </c>
      <c r="B292" s="1" t="s">
        <v>5547</v>
      </c>
      <c r="C292" s="1" t="s">
        <v>5548</v>
      </c>
      <c r="D292" s="1" t="s">
        <v>13641</v>
      </c>
      <c r="E292" s="1">
        <v>1</v>
      </c>
      <c r="F292" s="1"/>
      <c r="G292" s="1" t="s">
        <v>12859</v>
      </c>
      <c r="H292" s="1" t="s">
        <v>8522</v>
      </c>
      <c r="I292" s="1" t="s">
        <v>4862</v>
      </c>
      <c r="J292" s="1"/>
      <c r="K292" s="1"/>
      <c r="L292" s="1" t="s">
        <v>12860</v>
      </c>
      <c r="M292" s="1" t="s">
        <v>13642</v>
      </c>
      <c r="N292" s="1" t="s">
        <v>13643</v>
      </c>
      <c r="O292" s="1"/>
      <c r="P292" s="1" t="s">
        <v>12868</v>
      </c>
      <c r="Q292" s="1"/>
      <c r="R292" s="1"/>
      <c r="S292" s="1"/>
      <c r="T292" s="1"/>
      <c r="U292" s="1"/>
      <c r="V292" s="1"/>
      <c r="W292" s="1"/>
      <c r="X292" s="1"/>
      <c r="Y292" s="1"/>
      <c r="Z292" s="1"/>
      <c r="AA292" s="1">
        <f t="shared" si="17"/>
        <v>1</v>
      </c>
      <c r="AB292" s="1" t="str">
        <f t="shared" si="20"/>
        <v>R2 retained</v>
      </c>
      <c r="AC292" s="1"/>
      <c r="AD292" s="1"/>
      <c r="AE292" s="1"/>
      <c r="AF292" s="1"/>
      <c r="AG292" s="1"/>
      <c r="AH292" s="1"/>
      <c r="AI292" s="1">
        <f t="shared" si="19"/>
        <v>0</v>
      </c>
      <c r="AJ292" s="5"/>
      <c r="AK292" s="5"/>
      <c r="AL292" s="7" t="s">
        <v>15077</v>
      </c>
    </row>
    <row r="293" spans="1:38" ht="36" customHeight="1">
      <c r="A293" s="1" t="s">
        <v>5063</v>
      </c>
      <c r="B293" s="1" t="s">
        <v>5552</v>
      </c>
      <c r="C293" s="1" t="s">
        <v>5553</v>
      </c>
      <c r="D293" s="1" t="s">
        <v>13644</v>
      </c>
      <c r="E293" s="1">
        <v>2</v>
      </c>
      <c r="F293" s="1"/>
      <c r="G293" s="1" t="s">
        <v>12859</v>
      </c>
      <c r="H293" s="1" t="s">
        <v>8522</v>
      </c>
      <c r="I293" s="1" t="s">
        <v>4886</v>
      </c>
      <c r="J293" s="1"/>
      <c r="K293" s="1"/>
      <c r="L293" s="1" t="s">
        <v>12860</v>
      </c>
      <c r="M293" s="1" t="s">
        <v>13645</v>
      </c>
      <c r="N293" s="1" t="s">
        <v>13646</v>
      </c>
      <c r="O293" s="1"/>
      <c r="P293" s="1" t="s">
        <v>12868</v>
      </c>
      <c r="Q293" s="1"/>
      <c r="R293" s="1"/>
      <c r="S293" s="1"/>
      <c r="T293" s="1"/>
      <c r="U293" s="1"/>
      <c r="V293" s="1"/>
      <c r="W293" s="1"/>
      <c r="X293" s="1"/>
      <c r="Y293" s="1"/>
      <c r="Z293" s="1"/>
      <c r="AA293" s="1">
        <f t="shared" si="17"/>
        <v>2</v>
      </c>
      <c r="AB293" s="1" t="str">
        <f t="shared" si="20"/>
        <v>R2 retained</v>
      </c>
      <c r="AC293" s="1"/>
      <c r="AD293" s="1"/>
      <c r="AE293" s="1"/>
      <c r="AF293" s="1"/>
      <c r="AG293" s="1"/>
      <c r="AH293" s="1"/>
      <c r="AI293" s="1">
        <f t="shared" si="19"/>
        <v>0</v>
      </c>
      <c r="AJ293" s="5"/>
      <c r="AK293" s="5"/>
      <c r="AL293" s="7" t="s">
        <v>15077</v>
      </c>
    </row>
    <row r="294" spans="1:38" ht="36" customHeight="1">
      <c r="A294" s="1" t="s">
        <v>5063</v>
      </c>
      <c r="B294" s="1" t="s">
        <v>5557</v>
      </c>
      <c r="C294" s="1" t="s">
        <v>5558</v>
      </c>
      <c r="D294" s="1" t="s">
        <v>8562</v>
      </c>
      <c r="E294" s="1">
        <v>0</v>
      </c>
      <c r="F294" s="1"/>
      <c r="G294" s="1" t="s">
        <v>12859</v>
      </c>
      <c r="H294" s="1" t="s">
        <v>8522</v>
      </c>
      <c r="I294" s="1" t="s">
        <v>4747</v>
      </c>
      <c r="J294" s="1"/>
      <c r="K294" s="1"/>
      <c r="L294" s="1" t="s">
        <v>12860</v>
      </c>
      <c r="M294" s="1" t="s">
        <v>8564</v>
      </c>
      <c r="N294" s="1" t="s">
        <v>13647</v>
      </c>
      <c r="O294" s="1"/>
      <c r="P294" s="1" t="s">
        <v>12863</v>
      </c>
      <c r="Q294" s="1"/>
      <c r="R294" s="1"/>
      <c r="S294" s="1"/>
      <c r="T294" s="1"/>
      <c r="U294" s="1"/>
      <c r="V294" s="1"/>
      <c r="W294" s="1"/>
      <c r="X294" s="1"/>
      <c r="Y294" s="1"/>
      <c r="Z294" s="1"/>
      <c r="AA294" s="1">
        <f t="shared" si="17"/>
        <v>0</v>
      </c>
      <c r="AB294" s="1" t="str">
        <f t="shared" si="20"/>
        <v>R2 retained</v>
      </c>
      <c r="AC294" s="1"/>
      <c r="AD294" s="1"/>
      <c r="AE294" s="1"/>
      <c r="AF294" s="1"/>
      <c r="AG294" s="1"/>
      <c r="AH294" s="1"/>
      <c r="AI294" s="1">
        <f t="shared" si="19"/>
        <v>0</v>
      </c>
      <c r="AJ294" s="5"/>
      <c r="AK294" s="5"/>
      <c r="AL294" s="7" t="s">
        <v>15077</v>
      </c>
    </row>
    <row r="295" spans="1:38" ht="36" customHeight="1">
      <c r="A295" s="1" t="s">
        <v>5063</v>
      </c>
      <c r="B295" s="1" t="s">
        <v>5562</v>
      </c>
      <c r="C295" s="1" t="s">
        <v>5563</v>
      </c>
      <c r="D295" s="1" t="s">
        <v>8566</v>
      </c>
      <c r="E295" s="1">
        <v>2</v>
      </c>
      <c r="F295" s="1"/>
      <c r="G295" s="1" t="s">
        <v>12859</v>
      </c>
      <c r="H295" s="1" t="s">
        <v>8522</v>
      </c>
      <c r="I295" s="1" t="s">
        <v>4862</v>
      </c>
      <c r="J295" s="1"/>
      <c r="K295" s="1"/>
      <c r="L295" s="1" t="s">
        <v>12860</v>
      </c>
      <c r="M295" s="1" t="s">
        <v>8569</v>
      </c>
      <c r="N295" s="1" t="s">
        <v>13648</v>
      </c>
      <c r="O295" s="1"/>
      <c r="P295" s="1" t="s">
        <v>12868</v>
      </c>
      <c r="Q295" s="1"/>
      <c r="R295" s="1"/>
      <c r="S295" s="1"/>
      <c r="T295" s="1"/>
      <c r="U295" s="1"/>
      <c r="V295" s="1"/>
      <c r="W295" s="1"/>
      <c r="X295" s="1"/>
      <c r="Y295" s="1"/>
      <c r="Z295" s="1"/>
      <c r="AA295" s="1">
        <f t="shared" si="17"/>
        <v>2</v>
      </c>
      <c r="AB295" s="1" t="str">
        <f t="shared" si="20"/>
        <v>R2 retained</v>
      </c>
      <c r="AC295" s="1">
        <v>2</v>
      </c>
      <c r="AD295" s="1" t="s">
        <v>12884</v>
      </c>
      <c r="AE295" s="1" t="s">
        <v>13649</v>
      </c>
      <c r="AF295" s="1" t="s">
        <v>13650</v>
      </c>
      <c r="AG295" s="1" t="s">
        <v>8527</v>
      </c>
      <c r="AH295" s="1" t="s">
        <v>6096</v>
      </c>
      <c r="AI295" s="1">
        <f t="shared" si="19"/>
        <v>1</v>
      </c>
      <c r="AJ295" s="5"/>
      <c r="AK295" s="5"/>
      <c r="AL295" s="7" t="s">
        <v>15077</v>
      </c>
    </row>
    <row r="296" spans="1:38" ht="36" customHeight="1">
      <c r="A296" s="1" t="s">
        <v>5063</v>
      </c>
      <c r="B296" s="1" t="s">
        <v>5567</v>
      </c>
      <c r="C296" s="1" t="s">
        <v>5568</v>
      </c>
      <c r="D296" s="1" t="s">
        <v>13651</v>
      </c>
      <c r="E296" s="1">
        <v>2</v>
      </c>
      <c r="F296" s="1"/>
      <c r="G296" s="1" t="s">
        <v>12859</v>
      </c>
      <c r="H296" s="1" t="s">
        <v>8522</v>
      </c>
      <c r="I296" s="1" t="s">
        <v>4862</v>
      </c>
      <c r="J296" s="1"/>
      <c r="K296" s="1"/>
      <c r="L296" s="1" t="s">
        <v>12860</v>
      </c>
      <c r="M296" s="1" t="s">
        <v>13652</v>
      </c>
      <c r="N296" s="1" t="s">
        <v>13653</v>
      </c>
      <c r="O296" s="1"/>
      <c r="P296" s="1" t="s">
        <v>12868</v>
      </c>
      <c r="Q296" s="1"/>
      <c r="R296" s="1"/>
      <c r="S296" s="1"/>
      <c r="T296" s="1"/>
      <c r="U296" s="1"/>
      <c r="V296" s="1"/>
      <c r="W296" s="1"/>
      <c r="X296" s="1"/>
      <c r="Y296" s="1"/>
      <c r="Z296" s="1"/>
      <c r="AA296" s="1">
        <f t="shared" si="17"/>
        <v>2</v>
      </c>
      <c r="AB296" s="1" t="str">
        <f t="shared" si="20"/>
        <v>R2 retained</v>
      </c>
      <c r="AC296" s="1"/>
      <c r="AD296" s="1"/>
      <c r="AE296" s="1"/>
      <c r="AF296" s="1"/>
      <c r="AG296" s="1"/>
      <c r="AH296" s="1"/>
      <c r="AI296" s="1">
        <f t="shared" si="19"/>
        <v>0</v>
      </c>
      <c r="AJ296" s="5"/>
      <c r="AK296" s="5"/>
      <c r="AL296" s="7" t="s">
        <v>15077</v>
      </c>
    </row>
    <row r="297" spans="1:38" ht="36" customHeight="1">
      <c r="A297" s="1" t="s">
        <v>5063</v>
      </c>
      <c r="B297" s="1" t="s">
        <v>5572</v>
      </c>
      <c r="C297" s="1" t="s">
        <v>5573</v>
      </c>
      <c r="D297" s="1" t="s">
        <v>13654</v>
      </c>
      <c r="E297" s="1">
        <v>1</v>
      </c>
      <c r="F297" s="1"/>
      <c r="G297" s="1" t="s">
        <v>12859</v>
      </c>
      <c r="H297" s="1" t="s">
        <v>8522</v>
      </c>
      <c r="I297" s="1" t="s">
        <v>13655</v>
      </c>
      <c r="J297" s="1"/>
      <c r="K297" s="1"/>
      <c r="L297" s="1" t="s">
        <v>12860</v>
      </c>
      <c r="M297" s="1" t="s">
        <v>13656</v>
      </c>
      <c r="N297" s="1" t="s">
        <v>13657</v>
      </c>
      <c r="O297" s="1"/>
      <c r="P297" s="1" t="s">
        <v>12868</v>
      </c>
      <c r="Q297" s="1"/>
      <c r="R297" s="1"/>
      <c r="S297" s="1"/>
      <c r="T297" s="1"/>
      <c r="U297" s="1"/>
      <c r="V297" s="1"/>
      <c r="W297" s="1"/>
      <c r="X297" s="1"/>
      <c r="Y297" s="1"/>
      <c r="Z297" s="1"/>
      <c r="AA297" s="1">
        <f t="shared" si="17"/>
        <v>1</v>
      </c>
      <c r="AB297" s="1" t="str">
        <f t="shared" si="20"/>
        <v>R2 retained</v>
      </c>
      <c r="AC297" s="1"/>
      <c r="AD297" s="1"/>
      <c r="AE297" s="1"/>
      <c r="AF297" s="1"/>
      <c r="AG297" s="1"/>
      <c r="AH297" s="1"/>
      <c r="AI297" s="1">
        <f t="shared" si="19"/>
        <v>0</v>
      </c>
      <c r="AJ297" s="5"/>
      <c r="AK297" s="5"/>
      <c r="AL297" s="7" t="s">
        <v>15077</v>
      </c>
    </row>
    <row r="298" spans="1:38" ht="36" customHeight="1">
      <c r="A298" s="1" t="s">
        <v>5063</v>
      </c>
      <c r="B298" s="1" t="s">
        <v>5577</v>
      </c>
      <c r="C298" s="1" t="s">
        <v>5578</v>
      </c>
      <c r="D298" s="1" t="s">
        <v>13658</v>
      </c>
      <c r="E298" s="1">
        <v>2</v>
      </c>
      <c r="F298" s="1"/>
      <c r="G298" s="1" t="s">
        <v>12859</v>
      </c>
      <c r="H298" s="1" t="s">
        <v>8522</v>
      </c>
      <c r="I298" s="1" t="s">
        <v>4862</v>
      </c>
      <c r="J298" s="1"/>
      <c r="K298" s="1"/>
      <c r="L298" s="1" t="s">
        <v>12860</v>
      </c>
      <c r="M298" s="1" t="s">
        <v>13659</v>
      </c>
      <c r="N298" s="1" t="s">
        <v>13660</v>
      </c>
      <c r="O298" s="1"/>
      <c r="P298" s="1" t="s">
        <v>12868</v>
      </c>
      <c r="Q298" s="1"/>
      <c r="R298" s="1"/>
      <c r="S298" s="1"/>
      <c r="T298" s="1"/>
      <c r="U298" s="1"/>
      <c r="V298" s="1"/>
      <c r="W298" s="1"/>
      <c r="X298" s="1"/>
      <c r="Y298" s="1"/>
      <c r="Z298" s="1"/>
      <c r="AA298" s="1">
        <f t="shared" si="17"/>
        <v>2</v>
      </c>
      <c r="AB298" s="1" t="str">
        <f t="shared" si="20"/>
        <v>R2 retained</v>
      </c>
      <c r="AC298" s="1"/>
      <c r="AD298" s="1"/>
      <c r="AE298" s="1"/>
      <c r="AF298" s="1"/>
      <c r="AG298" s="1"/>
      <c r="AH298" s="1"/>
      <c r="AI298" s="1">
        <f t="shared" si="19"/>
        <v>0</v>
      </c>
      <c r="AJ298" s="5"/>
      <c r="AK298" s="5"/>
      <c r="AL298" s="7" t="s">
        <v>15077</v>
      </c>
    </row>
    <row r="299" spans="1:38" ht="36" customHeight="1">
      <c r="A299" s="1" t="s">
        <v>5063</v>
      </c>
      <c r="B299" s="1" t="s">
        <v>5582</v>
      </c>
      <c r="C299" s="1" t="s">
        <v>5583</v>
      </c>
      <c r="D299" s="1" t="s">
        <v>8621</v>
      </c>
      <c r="E299" s="1">
        <v>0</v>
      </c>
      <c r="F299" s="1"/>
      <c r="G299" s="1" t="s">
        <v>12859</v>
      </c>
      <c r="H299" s="1" t="s">
        <v>8522</v>
      </c>
      <c r="I299" s="1" t="s">
        <v>4747</v>
      </c>
      <c r="J299" s="1"/>
      <c r="K299" s="1"/>
      <c r="L299" s="1" t="s">
        <v>12860</v>
      </c>
      <c r="M299" s="1" t="s">
        <v>8623</v>
      </c>
      <c r="N299" s="1" t="s">
        <v>13661</v>
      </c>
      <c r="O299" s="1"/>
      <c r="P299" s="1" t="s">
        <v>12863</v>
      </c>
      <c r="Q299" s="1"/>
      <c r="R299" s="1"/>
      <c r="S299" s="1"/>
      <c r="T299" s="1"/>
      <c r="U299" s="1"/>
      <c r="V299" s="1"/>
      <c r="W299" s="1"/>
      <c r="X299" s="1"/>
      <c r="Y299" s="1"/>
      <c r="Z299" s="1"/>
      <c r="AA299" s="1">
        <f t="shared" si="17"/>
        <v>0</v>
      </c>
      <c r="AB299" s="1" t="str">
        <f t="shared" si="20"/>
        <v>R2 retained</v>
      </c>
      <c r="AC299" s="1">
        <v>0</v>
      </c>
      <c r="AD299" s="1" t="s">
        <v>12884</v>
      </c>
      <c r="AE299" s="1" t="s">
        <v>13662</v>
      </c>
      <c r="AF299" s="1" t="s">
        <v>13663</v>
      </c>
      <c r="AG299" s="1" t="s">
        <v>8527</v>
      </c>
      <c r="AH299" s="1" t="s">
        <v>6096</v>
      </c>
      <c r="AI299" s="1">
        <f t="shared" si="19"/>
        <v>1</v>
      </c>
      <c r="AJ299" s="5" t="s">
        <v>12898</v>
      </c>
      <c r="AK299" s="5" t="s">
        <v>12899</v>
      </c>
      <c r="AL299" s="7" t="s">
        <v>15077</v>
      </c>
    </row>
    <row r="300" spans="1:38" ht="36" customHeight="1">
      <c r="A300" s="1" t="s">
        <v>5063</v>
      </c>
      <c r="B300" s="1" t="s">
        <v>5586</v>
      </c>
      <c r="C300" s="1" t="s">
        <v>5587</v>
      </c>
      <c r="D300" s="1" t="s">
        <v>13664</v>
      </c>
      <c r="E300" s="1">
        <v>0</v>
      </c>
      <c r="F300" s="1"/>
      <c r="G300" s="1" t="s">
        <v>12859</v>
      </c>
      <c r="H300" s="1" t="s">
        <v>8522</v>
      </c>
      <c r="I300" s="1" t="s">
        <v>4747</v>
      </c>
      <c r="J300" s="1"/>
      <c r="K300" s="1"/>
      <c r="L300" s="1" t="s">
        <v>12860</v>
      </c>
      <c r="M300" s="1" t="s">
        <v>13665</v>
      </c>
      <c r="N300" s="1" t="s">
        <v>13666</v>
      </c>
      <c r="O300" s="1"/>
      <c r="P300" s="1" t="s">
        <v>12863</v>
      </c>
      <c r="Q300" s="1"/>
      <c r="R300" s="1"/>
      <c r="S300" s="1"/>
      <c r="T300" s="1"/>
      <c r="U300" s="1"/>
      <c r="V300" s="1"/>
      <c r="W300" s="1"/>
      <c r="X300" s="1"/>
      <c r="Y300" s="1"/>
      <c r="Z300" s="1"/>
      <c r="AA300" s="1">
        <f t="shared" si="17"/>
        <v>0</v>
      </c>
      <c r="AB300" s="1" t="str">
        <f t="shared" si="20"/>
        <v>R2 retained</v>
      </c>
      <c r="AC300" s="1"/>
      <c r="AD300" s="1"/>
      <c r="AE300" s="1"/>
      <c r="AF300" s="1"/>
      <c r="AG300" s="1"/>
      <c r="AH300" s="1"/>
      <c r="AI300" s="1">
        <f t="shared" si="19"/>
        <v>0</v>
      </c>
      <c r="AJ300" s="5"/>
      <c r="AK300" s="5"/>
      <c r="AL300" s="7" t="s">
        <v>15077</v>
      </c>
    </row>
    <row r="301" spans="1:38" ht="72" customHeight="1">
      <c r="A301" s="1" t="s">
        <v>5063</v>
      </c>
      <c r="B301" s="1" t="s">
        <v>5591</v>
      </c>
      <c r="C301" s="1" t="s">
        <v>5592</v>
      </c>
      <c r="D301" s="1" t="s">
        <v>13667</v>
      </c>
      <c r="E301" s="1">
        <v>0</v>
      </c>
      <c r="F301" s="1"/>
      <c r="G301" s="1" t="s">
        <v>12859</v>
      </c>
      <c r="H301" s="1" t="s">
        <v>8522</v>
      </c>
      <c r="I301" s="1" t="s">
        <v>4747</v>
      </c>
      <c r="J301" s="1"/>
      <c r="K301" s="1"/>
      <c r="L301" s="1" t="s">
        <v>12860</v>
      </c>
      <c r="M301" s="1" t="s">
        <v>13668</v>
      </c>
      <c r="N301" s="1" t="s">
        <v>13669</v>
      </c>
      <c r="O301" s="1"/>
      <c r="P301" s="1" t="s">
        <v>12863</v>
      </c>
      <c r="Q301" s="1">
        <v>0</v>
      </c>
      <c r="R301" s="1" t="s">
        <v>12904</v>
      </c>
      <c r="S301" s="1" t="s">
        <v>13670</v>
      </c>
      <c r="T301" s="1" t="s">
        <v>13671</v>
      </c>
      <c r="U301" s="1" t="s">
        <v>8527</v>
      </c>
      <c r="V301" s="1" t="s">
        <v>6096</v>
      </c>
      <c r="W301" s="1" t="s">
        <v>12907</v>
      </c>
      <c r="X301" s="1"/>
      <c r="Y301" s="1"/>
      <c r="Z301" s="1" t="s">
        <v>12908</v>
      </c>
      <c r="AA301" s="1">
        <f t="shared" si="17"/>
        <v>0</v>
      </c>
      <c r="AB301" s="1" t="str">
        <f t="shared" si="20"/>
        <v>R2 retained</v>
      </c>
      <c r="AC301" s="1">
        <v>0</v>
      </c>
      <c r="AD301" s="1" t="s">
        <v>12884</v>
      </c>
      <c r="AE301" s="1" t="s">
        <v>13670</v>
      </c>
      <c r="AF301" s="1" t="s">
        <v>13671</v>
      </c>
      <c r="AG301" s="1" t="s">
        <v>8527</v>
      </c>
      <c r="AH301" s="1" t="s">
        <v>6096</v>
      </c>
      <c r="AI301" s="1">
        <f t="shared" si="19"/>
        <v>1</v>
      </c>
      <c r="AJ301" s="5" t="s">
        <v>12898</v>
      </c>
      <c r="AK301" s="5" t="s">
        <v>12899</v>
      </c>
      <c r="AL301" s="7" t="s">
        <v>15077</v>
      </c>
    </row>
    <row r="302" spans="1:38" ht="36" customHeight="1">
      <c r="A302" s="1" t="s">
        <v>5063</v>
      </c>
      <c r="B302" s="1" t="s">
        <v>5596</v>
      </c>
      <c r="C302" s="1" t="s">
        <v>5597</v>
      </c>
      <c r="D302" s="1" t="s">
        <v>13672</v>
      </c>
      <c r="E302" s="1">
        <v>0</v>
      </c>
      <c r="F302" s="1"/>
      <c r="G302" s="1" t="s">
        <v>12859</v>
      </c>
      <c r="H302" s="1" t="s">
        <v>8522</v>
      </c>
      <c r="I302" s="1" t="s">
        <v>4747</v>
      </c>
      <c r="J302" s="1"/>
      <c r="K302" s="1"/>
      <c r="L302" s="1" t="s">
        <v>12860</v>
      </c>
      <c r="M302" s="1" t="s">
        <v>13673</v>
      </c>
      <c r="N302" s="1" t="s">
        <v>13674</v>
      </c>
      <c r="O302" s="1"/>
      <c r="P302" s="1" t="s">
        <v>12863</v>
      </c>
      <c r="Q302" s="1"/>
      <c r="R302" s="1"/>
      <c r="S302" s="1"/>
      <c r="T302" s="1"/>
      <c r="U302" s="1"/>
      <c r="V302" s="1"/>
      <c r="W302" s="1"/>
      <c r="X302" s="1"/>
      <c r="Y302" s="1"/>
      <c r="Z302" s="1"/>
      <c r="AA302" s="1">
        <f t="shared" si="17"/>
        <v>0</v>
      </c>
      <c r="AB302" s="1" t="str">
        <f t="shared" si="20"/>
        <v>R2 retained</v>
      </c>
      <c r="AC302" s="1"/>
      <c r="AD302" s="1"/>
      <c r="AE302" s="1"/>
      <c r="AF302" s="1"/>
      <c r="AG302" s="1"/>
      <c r="AH302" s="1"/>
      <c r="AI302" s="1">
        <f t="shared" si="19"/>
        <v>0</v>
      </c>
      <c r="AJ302" s="5"/>
      <c r="AK302" s="5"/>
      <c r="AL302" s="7" t="s">
        <v>15077</v>
      </c>
    </row>
    <row r="303" spans="1:38" ht="36" customHeight="1">
      <c r="A303" s="1" t="s">
        <v>5063</v>
      </c>
      <c r="B303" s="1" t="s">
        <v>5601</v>
      </c>
      <c r="C303" s="1" t="s">
        <v>5602</v>
      </c>
      <c r="D303" s="1" t="s">
        <v>8640</v>
      </c>
      <c r="E303" s="1">
        <v>1</v>
      </c>
      <c r="F303" s="1"/>
      <c r="G303" s="1" t="s">
        <v>12859</v>
      </c>
      <c r="H303" s="1" t="s">
        <v>8522</v>
      </c>
      <c r="I303" s="1" t="s">
        <v>4959</v>
      </c>
      <c r="J303" s="1"/>
      <c r="K303" s="1"/>
      <c r="L303" s="1" t="s">
        <v>12860</v>
      </c>
      <c r="M303" s="1" t="s">
        <v>8642</v>
      </c>
      <c r="N303" s="1" t="s">
        <v>13675</v>
      </c>
      <c r="O303" s="1"/>
      <c r="P303" s="1" t="s">
        <v>12868</v>
      </c>
      <c r="Q303" s="1"/>
      <c r="R303" s="1"/>
      <c r="S303" s="1"/>
      <c r="T303" s="1"/>
      <c r="U303" s="1"/>
      <c r="V303" s="1"/>
      <c r="W303" s="1"/>
      <c r="X303" s="1"/>
      <c r="Y303" s="1"/>
      <c r="Z303" s="1"/>
      <c r="AA303" s="1">
        <f t="shared" si="17"/>
        <v>1</v>
      </c>
      <c r="AB303" s="1" t="str">
        <f t="shared" si="20"/>
        <v>R2 retained</v>
      </c>
      <c r="AC303" s="1"/>
      <c r="AD303" s="1"/>
      <c r="AE303" s="1"/>
      <c r="AF303" s="1"/>
      <c r="AG303" s="1"/>
      <c r="AH303" s="1"/>
      <c r="AI303" s="1">
        <f t="shared" si="19"/>
        <v>0</v>
      </c>
      <c r="AJ303" s="5"/>
      <c r="AK303" s="5"/>
      <c r="AL303" s="7" t="s">
        <v>15077</v>
      </c>
    </row>
    <row r="304" spans="1:38" ht="36" customHeight="1">
      <c r="A304" s="1" t="s">
        <v>5063</v>
      </c>
      <c r="B304" s="1" t="s">
        <v>5606</v>
      </c>
      <c r="C304" s="1" t="s">
        <v>5607</v>
      </c>
      <c r="D304" s="1" t="s">
        <v>8644</v>
      </c>
      <c r="E304" s="1">
        <v>2</v>
      </c>
      <c r="F304" s="1"/>
      <c r="G304" s="1" t="s">
        <v>12859</v>
      </c>
      <c r="H304" s="1" t="s">
        <v>8522</v>
      </c>
      <c r="I304" s="1" t="s">
        <v>4862</v>
      </c>
      <c r="J304" s="1"/>
      <c r="K304" s="1"/>
      <c r="L304" s="1" t="s">
        <v>12860</v>
      </c>
      <c r="M304" s="1" t="s">
        <v>8646</v>
      </c>
      <c r="N304" s="1" t="s">
        <v>13676</v>
      </c>
      <c r="O304" s="1"/>
      <c r="P304" s="1" t="s">
        <v>12868</v>
      </c>
      <c r="Q304" s="1"/>
      <c r="R304" s="1"/>
      <c r="S304" s="1"/>
      <c r="T304" s="1"/>
      <c r="U304" s="1"/>
      <c r="V304" s="1"/>
      <c r="W304" s="1"/>
      <c r="X304" s="1"/>
      <c r="Y304" s="1"/>
      <c r="Z304" s="1"/>
      <c r="AA304" s="1">
        <f t="shared" si="17"/>
        <v>2</v>
      </c>
      <c r="AB304" s="1" t="str">
        <f t="shared" si="20"/>
        <v>R2 retained</v>
      </c>
      <c r="AC304" s="1"/>
      <c r="AD304" s="1"/>
      <c r="AE304" s="1"/>
      <c r="AF304" s="1"/>
      <c r="AG304" s="1"/>
      <c r="AH304" s="1"/>
      <c r="AI304" s="1">
        <f t="shared" si="19"/>
        <v>0</v>
      </c>
      <c r="AJ304" s="5"/>
      <c r="AK304" s="5"/>
      <c r="AL304" s="7" t="s">
        <v>15077</v>
      </c>
    </row>
    <row r="305" spans="1:38" ht="96" customHeight="1">
      <c r="A305" s="1" t="s">
        <v>5063</v>
      </c>
      <c r="B305" s="1" t="s">
        <v>5454</v>
      </c>
      <c r="C305" s="1" t="s">
        <v>5455</v>
      </c>
      <c r="D305" s="1" t="s">
        <v>4747</v>
      </c>
      <c r="E305" s="1">
        <v>1</v>
      </c>
      <c r="F305" s="1">
        <v>0</v>
      </c>
      <c r="G305" s="1" t="s">
        <v>4691</v>
      </c>
      <c r="H305" s="1" t="s">
        <v>8522</v>
      </c>
      <c r="I305" s="1" t="s">
        <v>4788</v>
      </c>
      <c r="J305" s="1"/>
      <c r="K305" s="1"/>
      <c r="L305" s="1" t="s">
        <v>12860</v>
      </c>
      <c r="M305" s="1" t="s">
        <v>8648</v>
      </c>
      <c r="N305" s="1" t="s">
        <v>13677</v>
      </c>
      <c r="O305" s="1" t="s">
        <v>13678</v>
      </c>
      <c r="P305" s="1" t="s">
        <v>12917</v>
      </c>
      <c r="Q305" s="1"/>
      <c r="R305" s="1"/>
      <c r="S305" s="1"/>
      <c r="T305" s="1"/>
      <c r="U305" s="1"/>
      <c r="V305" s="1"/>
      <c r="W305" s="1"/>
      <c r="X305" s="1"/>
      <c r="Y305" s="1" t="s">
        <v>13679</v>
      </c>
      <c r="Z305" s="1" t="s">
        <v>12918</v>
      </c>
      <c r="AA305" s="1">
        <f t="shared" si="17"/>
        <v>0</v>
      </c>
      <c r="AB305" s="1" t="str">
        <f t="shared" si="20"/>
        <v>Reviewer confirmed</v>
      </c>
      <c r="AC305" s="1">
        <v>0</v>
      </c>
      <c r="AD305" s="1" t="s">
        <v>12936</v>
      </c>
      <c r="AE305" s="1" t="s">
        <v>13679</v>
      </c>
      <c r="AF305" s="1" t="s">
        <v>13680</v>
      </c>
      <c r="AG305" s="1" t="s">
        <v>13681</v>
      </c>
      <c r="AH305" s="1" t="s">
        <v>5461</v>
      </c>
      <c r="AI305" s="1">
        <f t="shared" si="19"/>
        <v>1</v>
      </c>
      <c r="AJ305" s="5" t="s">
        <v>12898</v>
      </c>
      <c r="AK305" s="5" t="s">
        <v>12899</v>
      </c>
      <c r="AL305" s="7" t="s">
        <v>15077</v>
      </c>
    </row>
    <row r="306" spans="1:38" ht="36" customHeight="1">
      <c r="A306" s="1" t="s">
        <v>5745</v>
      </c>
      <c r="B306" s="1" t="s">
        <v>5537</v>
      </c>
      <c r="C306" s="1" t="s">
        <v>5538</v>
      </c>
      <c r="D306" s="1" t="s">
        <v>13682</v>
      </c>
      <c r="E306" s="1">
        <v>0</v>
      </c>
      <c r="F306" s="1"/>
      <c r="G306" s="1" t="s">
        <v>12859</v>
      </c>
      <c r="H306" s="1" t="s">
        <v>8663</v>
      </c>
      <c r="I306" s="1" t="s">
        <v>4747</v>
      </c>
      <c r="J306" s="1"/>
      <c r="K306" s="1"/>
      <c r="L306" s="1" t="s">
        <v>12860</v>
      </c>
      <c r="M306" s="1" t="s">
        <v>13683</v>
      </c>
      <c r="N306" s="1" t="s">
        <v>13684</v>
      </c>
      <c r="O306" s="1"/>
      <c r="P306" s="1" t="s">
        <v>12863</v>
      </c>
      <c r="Q306" s="1"/>
      <c r="R306" s="1"/>
      <c r="S306" s="1"/>
      <c r="T306" s="1"/>
      <c r="U306" s="1"/>
      <c r="V306" s="1"/>
      <c r="W306" s="1"/>
      <c r="X306" s="1"/>
      <c r="Y306" s="1"/>
      <c r="Z306" s="1"/>
      <c r="AA306" s="1">
        <f t="shared" si="17"/>
        <v>0</v>
      </c>
      <c r="AB306" s="1" t="str">
        <f t="shared" si="20"/>
        <v>R2 retained</v>
      </c>
      <c r="AC306" s="1"/>
      <c r="AD306" s="1"/>
      <c r="AE306" s="1"/>
      <c r="AF306" s="1"/>
      <c r="AG306" s="1"/>
      <c r="AH306" s="1"/>
      <c r="AI306" s="1">
        <f t="shared" si="19"/>
        <v>0</v>
      </c>
      <c r="AJ306" s="5"/>
      <c r="AK306" s="5"/>
      <c r="AL306" s="7" t="s">
        <v>15077</v>
      </c>
    </row>
    <row r="307" spans="1:38" ht="36" customHeight="1">
      <c r="A307" s="1" t="s">
        <v>5745</v>
      </c>
      <c r="B307" s="1" t="s">
        <v>5542</v>
      </c>
      <c r="C307" s="1" t="s">
        <v>5543</v>
      </c>
      <c r="D307" s="1" t="s">
        <v>4747</v>
      </c>
      <c r="E307" s="1">
        <v>0</v>
      </c>
      <c r="F307" s="1"/>
      <c r="G307" s="1" t="s">
        <v>12859</v>
      </c>
      <c r="H307" s="1" t="s">
        <v>8663</v>
      </c>
      <c r="I307" s="1" t="s">
        <v>4747</v>
      </c>
      <c r="J307" s="1"/>
      <c r="K307" s="1"/>
      <c r="L307" s="1" t="s">
        <v>12860</v>
      </c>
      <c r="M307" s="1" t="s">
        <v>13685</v>
      </c>
      <c r="N307" s="1" t="s">
        <v>13686</v>
      </c>
      <c r="O307" s="1"/>
      <c r="P307" s="1" t="s">
        <v>12863</v>
      </c>
      <c r="Q307" s="1"/>
      <c r="R307" s="1"/>
      <c r="S307" s="1"/>
      <c r="T307" s="1"/>
      <c r="U307" s="1"/>
      <c r="V307" s="1"/>
      <c r="W307" s="1"/>
      <c r="X307" s="1"/>
      <c r="Y307" s="1"/>
      <c r="Z307" s="1"/>
      <c r="AA307" s="1">
        <f t="shared" si="17"/>
        <v>0</v>
      </c>
      <c r="AB307" s="1" t="str">
        <f t="shared" si="20"/>
        <v>R2 retained</v>
      </c>
      <c r="AC307" s="1"/>
      <c r="AD307" s="1"/>
      <c r="AE307" s="1"/>
      <c r="AF307" s="1"/>
      <c r="AG307" s="1"/>
      <c r="AH307" s="1"/>
      <c r="AI307" s="1">
        <f t="shared" si="19"/>
        <v>0</v>
      </c>
      <c r="AJ307" s="5"/>
      <c r="AK307" s="5"/>
      <c r="AL307" s="7" t="s">
        <v>15077</v>
      </c>
    </row>
    <row r="308" spans="1:38" ht="36" customHeight="1">
      <c r="A308" s="1" t="s">
        <v>5745</v>
      </c>
      <c r="B308" s="1" t="s">
        <v>5547</v>
      </c>
      <c r="C308" s="1" t="s">
        <v>5548</v>
      </c>
      <c r="D308" s="1" t="s">
        <v>13687</v>
      </c>
      <c r="E308" s="1">
        <v>1</v>
      </c>
      <c r="F308" s="1"/>
      <c r="G308" s="1" t="s">
        <v>12859</v>
      </c>
      <c r="H308" s="1" t="s">
        <v>8663</v>
      </c>
      <c r="I308" s="1" t="s">
        <v>5178</v>
      </c>
      <c r="J308" s="1"/>
      <c r="K308" s="1"/>
      <c r="L308" s="1" t="s">
        <v>12860</v>
      </c>
      <c r="M308" s="1" t="s">
        <v>13688</v>
      </c>
      <c r="N308" s="1" t="s">
        <v>13689</v>
      </c>
      <c r="O308" s="1"/>
      <c r="P308" s="1" t="s">
        <v>12868</v>
      </c>
      <c r="Q308" s="1"/>
      <c r="R308" s="1"/>
      <c r="S308" s="1"/>
      <c r="T308" s="1"/>
      <c r="U308" s="1"/>
      <c r="V308" s="1"/>
      <c r="W308" s="1"/>
      <c r="X308" s="1"/>
      <c r="Y308" s="1"/>
      <c r="Z308" s="1"/>
      <c r="AA308" s="1">
        <f t="shared" si="17"/>
        <v>1</v>
      </c>
      <c r="AB308" s="1" t="str">
        <f t="shared" si="20"/>
        <v>R2 retained</v>
      </c>
      <c r="AC308" s="1"/>
      <c r="AD308" s="1"/>
      <c r="AE308" s="1"/>
      <c r="AF308" s="1"/>
      <c r="AG308" s="1"/>
      <c r="AH308" s="1"/>
      <c r="AI308" s="1">
        <f t="shared" si="19"/>
        <v>0</v>
      </c>
      <c r="AJ308" s="5"/>
      <c r="AK308" s="5"/>
      <c r="AL308" s="7" t="s">
        <v>15077</v>
      </c>
    </row>
    <row r="309" spans="1:38" ht="36" customHeight="1">
      <c r="A309" s="1" t="s">
        <v>5745</v>
      </c>
      <c r="B309" s="1" t="s">
        <v>5552</v>
      </c>
      <c r="C309" s="1" t="s">
        <v>5553</v>
      </c>
      <c r="D309" s="1" t="s">
        <v>13690</v>
      </c>
      <c r="E309" s="1">
        <v>2</v>
      </c>
      <c r="F309" s="1"/>
      <c r="G309" s="1" t="s">
        <v>12859</v>
      </c>
      <c r="H309" s="1" t="s">
        <v>8663</v>
      </c>
      <c r="I309" s="1"/>
      <c r="J309" s="1"/>
      <c r="K309" s="1"/>
      <c r="L309" s="1" t="s">
        <v>12860</v>
      </c>
      <c r="M309" s="1" t="s">
        <v>13691</v>
      </c>
      <c r="N309" s="1" t="s">
        <v>13692</v>
      </c>
      <c r="O309" s="1"/>
      <c r="P309" s="1" t="s">
        <v>12876</v>
      </c>
      <c r="Q309" s="1">
        <v>2</v>
      </c>
      <c r="R309" s="1" t="s">
        <v>12981</v>
      </c>
      <c r="S309" s="1" t="s">
        <v>13693</v>
      </c>
      <c r="T309" s="1" t="s">
        <v>13694</v>
      </c>
      <c r="U309" s="1" t="s">
        <v>8668</v>
      </c>
      <c r="V309" s="1" t="s">
        <v>6096</v>
      </c>
      <c r="W309" s="1"/>
      <c r="X309" s="1"/>
      <c r="Y309" s="1"/>
      <c r="Z309" s="1" t="s">
        <v>12908</v>
      </c>
      <c r="AA309" s="1">
        <f t="shared" si="17"/>
        <v>2</v>
      </c>
      <c r="AB309" s="1" t="str">
        <f t="shared" si="20"/>
        <v>R2 retained</v>
      </c>
      <c r="AC309" s="1"/>
      <c r="AD309" s="1"/>
      <c r="AE309" s="1"/>
      <c r="AF309" s="1"/>
      <c r="AG309" s="1"/>
      <c r="AH309" s="1"/>
      <c r="AI309" s="1">
        <f t="shared" si="19"/>
        <v>1</v>
      </c>
      <c r="AJ309" s="5"/>
      <c r="AK309" s="5"/>
      <c r="AL309" s="7" t="s">
        <v>15077</v>
      </c>
    </row>
    <row r="310" spans="1:38" ht="72" customHeight="1">
      <c r="A310" s="1" t="s">
        <v>5745</v>
      </c>
      <c r="B310" s="1" t="s">
        <v>5557</v>
      </c>
      <c r="C310" s="1" t="s">
        <v>5558</v>
      </c>
      <c r="D310" s="1" t="s">
        <v>8703</v>
      </c>
      <c r="E310" s="1">
        <v>1</v>
      </c>
      <c r="F310" s="1">
        <v>0</v>
      </c>
      <c r="G310" s="1" t="s">
        <v>12873</v>
      </c>
      <c r="H310" s="1" t="s">
        <v>8663</v>
      </c>
      <c r="I310" s="1"/>
      <c r="J310" s="1"/>
      <c r="K310" s="1"/>
      <c r="L310" s="1" t="s">
        <v>12860</v>
      </c>
      <c r="M310" s="1" t="s">
        <v>8705</v>
      </c>
      <c r="N310" s="1" t="s">
        <v>13695</v>
      </c>
      <c r="O310" s="1" t="s">
        <v>13696</v>
      </c>
      <c r="P310" s="1" t="s">
        <v>12876</v>
      </c>
      <c r="Q310" s="1">
        <v>0</v>
      </c>
      <c r="R310" s="1" t="s">
        <v>12877</v>
      </c>
      <c r="S310" s="1" t="s">
        <v>13697</v>
      </c>
      <c r="T310" s="1" t="s">
        <v>13698</v>
      </c>
      <c r="U310" s="1" t="s">
        <v>8668</v>
      </c>
      <c r="V310" s="1" t="s">
        <v>6096</v>
      </c>
      <c r="W310" s="1"/>
      <c r="X310" s="1"/>
      <c r="Y310" s="1" t="s">
        <v>13699</v>
      </c>
      <c r="Z310" s="1" t="s">
        <v>12883</v>
      </c>
      <c r="AA310" s="1">
        <f t="shared" si="17"/>
        <v>0</v>
      </c>
      <c r="AB310" s="1" t="str">
        <f t="shared" si="20"/>
        <v>Reviewer confirmed</v>
      </c>
      <c r="AC310" s="1"/>
      <c r="AD310" s="1"/>
      <c r="AE310" s="1"/>
      <c r="AF310" s="1"/>
      <c r="AG310" s="1"/>
      <c r="AH310" s="1"/>
      <c r="AI310" s="1">
        <f t="shared" si="19"/>
        <v>1</v>
      </c>
      <c r="AJ310" s="5"/>
      <c r="AK310" s="5"/>
      <c r="AL310" s="7" t="s">
        <v>15077</v>
      </c>
    </row>
    <row r="311" spans="1:38" ht="36" customHeight="1">
      <c r="A311" s="1" t="s">
        <v>5745</v>
      </c>
      <c r="B311" s="1" t="s">
        <v>5562</v>
      </c>
      <c r="C311" s="1" t="s">
        <v>5563</v>
      </c>
      <c r="D311" s="1" t="s">
        <v>8707</v>
      </c>
      <c r="E311" s="1">
        <v>2</v>
      </c>
      <c r="F311" s="1"/>
      <c r="G311" s="1" t="s">
        <v>12859</v>
      </c>
      <c r="H311" s="1" t="s">
        <v>8663</v>
      </c>
      <c r="I311" s="1" t="s">
        <v>4717</v>
      </c>
      <c r="J311" s="1"/>
      <c r="K311" s="1"/>
      <c r="L311" s="1" t="s">
        <v>12860</v>
      </c>
      <c r="M311" s="1" t="s">
        <v>8710</v>
      </c>
      <c r="N311" s="1" t="s">
        <v>13700</v>
      </c>
      <c r="O311" s="1"/>
      <c r="P311" s="1" t="s">
        <v>12868</v>
      </c>
      <c r="Q311" s="1"/>
      <c r="R311" s="1"/>
      <c r="S311" s="1"/>
      <c r="T311" s="1"/>
      <c r="U311" s="1"/>
      <c r="V311" s="1"/>
      <c r="W311" s="1"/>
      <c r="X311" s="1"/>
      <c r="Y311" s="1"/>
      <c r="Z311" s="1"/>
      <c r="AA311" s="1">
        <f t="shared" si="17"/>
        <v>2</v>
      </c>
      <c r="AB311" s="1" t="str">
        <f t="shared" si="20"/>
        <v>R2 retained</v>
      </c>
      <c r="AC311" s="1">
        <v>2</v>
      </c>
      <c r="AD311" s="1" t="s">
        <v>12884</v>
      </c>
      <c r="AE311" s="1" t="s">
        <v>13701</v>
      </c>
      <c r="AF311" s="1" t="s">
        <v>13702</v>
      </c>
      <c r="AG311" s="1" t="s">
        <v>8668</v>
      </c>
      <c r="AH311" s="1" t="s">
        <v>6096</v>
      </c>
      <c r="AI311" s="1">
        <f t="shared" si="19"/>
        <v>1</v>
      </c>
      <c r="AJ311" s="5"/>
      <c r="AK311" s="5"/>
      <c r="AL311" s="7" t="s">
        <v>15077</v>
      </c>
    </row>
    <row r="312" spans="1:38" ht="36" customHeight="1">
      <c r="A312" s="1" t="s">
        <v>5745</v>
      </c>
      <c r="B312" s="1" t="s">
        <v>5567</v>
      </c>
      <c r="C312" s="1" t="s">
        <v>5568</v>
      </c>
      <c r="D312" s="1" t="s">
        <v>13703</v>
      </c>
      <c r="E312" s="1">
        <v>2</v>
      </c>
      <c r="F312" s="1"/>
      <c r="G312" s="1" t="s">
        <v>12859</v>
      </c>
      <c r="H312" s="1" t="s">
        <v>8663</v>
      </c>
      <c r="I312" s="1" t="s">
        <v>4717</v>
      </c>
      <c r="J312" s="1"/>
      <c r="K312" s="1"/>
      <c r="L312" s="1" t="s">
        <v>12860</v>
      </c>
      <c r="M312" s="1" t="s">
        <v>13704</v>
      </c>
      <c r="N312" s="1" t="s">
        <v>13705</v>
      </c>
      <c r="O312" s="1"/>
      <c r="P312" s="1" t="s">
        <v>12868</v>
      </c>
      <c r="Q312" s="1"/>
      <c r="R312" s="1"/>
      <c r="S312" s="1"/>
      <c r="T312" s="1"/>
      <c r="U312" s="1"/>
      <c r="V312" s="1"/>
      <c r="W312" s="1"/>
      <c r="X312" s="1"/>
      <c r="Y312" s="1"/>
      <c r="Z312" s="1"/>
      <c r="AA312" s="1">
        <f t="shared" si="17"/>
        <v>2</v>
      </c>
      <c r="AB312" s="1" t="str">
        <f t="shared" si="20"/>
        <v>R2 retained</v>
      </c>
      <c r="AC312" s="1"/>
      <c r="AD312" s="1"/>
      <c r="AE312" s="1"/>
      <c r="AF312" s="1"/>
      <c r="AG312" s="1"/>
      <c r="AH312" s="1"/>
      <c r="AI312" s="1">
        <f t="shared" si="19"/>
        <v>0</v>
      </c>
      <c r="AJ312" s="5"/>
      <c r="AK312" s="5"/>
      <c r="AL312" s="7" t="s">
        <v>15077</v>
      </c>
    </row>
    <row r="313" spans="1:38" ht="36" customHeight="1">
      <c r="A313" s="1" t="s">
        <v>5745</v>
      </c>
      <c r="B313" s="1" t="s">
        <v>5572</v>
      </c>
      <c r="C313" s="1" t="s">
        <v>5573</v>
      </c>
      <c r="D313" s="1" t="s">
        <v>13706</v>
      </c>
      <c r="E313" s="1">
        <v>2</v>
      </c>
      <c r="F313" s="1"/>
      <c r="G313" s="1" t="s">
        <v>12859</v>
      </c>
      <c r="H313" s="1" t="s">
        <v>8663</v>
      </c>
      <c r="I313" s="1" t="s">
        <v>4717</v>
      </c>
      <c r="J313" s="1"/>
      <c r="K313" s="1"/>
      <c r="L313" s="1" t="s">
        <v>12860</v>
      </c>
      <c r="M313" s="1" t="s">
        <v>13707</v>
      </c>
      <c r="N313" s="1" t="s">
        <v>13708</v>
      </c>
      <c r="O313" s="1"/>
      <c r="P313" s="1" t="s">
        <v>12868</v>
      </c>
      <c r="Q313" s="1"/>
      <c r="R313" s="1"/>
      <c r="S313" s="1"/>
      <c r="T313" s="1"/>
      <c r="U313" s="1"/>
      <c r="V313" s="1"/>
      <c r="W313" s="1"/>
      <c r="X313" s="1"/>
      <c r="Y313" s="1"/>
      <c r="Z313" s="1"/>
      <c r="AA313" s="1">
        <f t="shared" si="17"/>
        <v>2</v>
      </c>
      <c r="AB313" s="1" t="str">
        <f t="shared" si="20"/>
        <v>R2 retained</v>
      </c>
      <c r="AC313" s="1"/>
      <c r="AD313" s="1"/>
      <c r="AE313" s="1"/>
      <c r="AF313" s="1"/>
      <c r="AG313" s="1"/>
      <c r="AH313" s="1"/>
      <c r="AI313" s="1">
        <f t="shared" si="19"/>
        <v>0</v>
      </c>
      <c r="AJ313" s="5"/>
      <c r="AK313" s="5"/>
      <c r="AL313" s="7" t="s">
        <v>15077</v>
      </c>
    </row>
    <row r="314" spans="1:38" ht="36" customHeight="1">
      <c r="A314" s="1" t="s">
        <v>5745</v>
      </c>
      <c r="B314" s="1" t="s">
        <v>5577</v>
      </c>
      <c r="C314" s="1" t="s">
        <v>5578</v>
      </c>
      <c r="D314" s="1" t="s">
        <v>13709</v>
      </c>
      <c r="E314" s="1">
        <v>2</v>
      </c>
      <c r="F314" s="1"/>
      <c r="G314" s="1" t="s">
        <v>12859</v>
      </c>
      <c r="H314" s="1" t="s">
        <v>8663</v>
      </c>
      <c r="I314" s="1" t="s">
        <v>4862</v>
      </c>
      <c r="J314" s="1"/>
      <c r="K314" s="1"/>
      <c r="L314" s="1" t="s">
        <v>12860</v>
      </c>
      <c r="M314" s="1" t="s">
        <v>13710</v>
      </c>
      <c r="N314" s="1" t="s">
        <v>13711</v>
      </c>
      <c r="O314" s="1"/>
      <c r="P314" s="1" t="s">
        <v>12868</v>
      </c>
      <c r="Q314" s="1"/>
      <c r="R314" s="1"/>
      <c r="S314" s="1"/>
      <c r="T314" s="1"/>
      <c r="U314" s="1"/>
      <c r="V314" s="1"/>
      <c r="W314" s="1"/>
      <c r="X314" s="1"/>
      <c r="Y314" s="1"/>
      <c r="Z314" s="1"/>
      <c r="AA314" s="1">
        <f t="shared" si="17"/>
        <v>2</v>
      </c>
      <c r="AB314" s="1" t="str">
        <f t="shared" si="20"/>
        <v>R2 retained</v>
      </c>
      <c r="AC314" s="1"/>
      <c r="AD314" s="1"/>
      <c r="AE314" s="1"/>
      <c r="AF314" s="1"/>
      <c r="AG314" s="1"/>
      <c r="AH314" s="1"/>
      <c r="AI314" s="1">
        <f t="shared" si="19"/>
        <v>0</v>
      </c>
      <c r="AJ314" s="5"/>
      <c r="AK314" s="5"/>
      <c r="AL314" s="7" t="s">
        <v>15077</v>
      </c>
    </row>
    <row r="315" spans="1:38" ht="36" customHeight="1">
      <c r="A315" s="1" t="s">
        <v>5745</v>
      </c>
      <c r="B315" s="1" t="s">
        <v>5582</v>
      </c>
      <c r="C315" s="1" t="s">
        <v>5583</v>
      </c>
      <c r="D315" s="1" t="s">
        <v>8740</v>
      </c>
      <c r="E315" s="1">
        <v>1</v>
      </c>
      <c r="F315" s="1"/>
      <c r="G315" s="1" t="s">
        <v>12859</v>
      </c>
      <c r="H315" s="1" t="s">
        <v>8663</v>
      </c>
      <c r="I315" s="1" t="s">
        <v>5178</v>
      </c>
      <c r="J315" s="1"/>
      <c r="K315" s="1"/>
      <c r="L315" s="1" t="s">
        <v>12860</v>
      </c>
      <c r="M315" s="1" t="s">
        <v>8743</v>
      </c>
      <c r="N315" s="1" t="s">
        <v>13712</v>
      </c>
      <c r="O315" s="1"/>
      <c r="P315" s="1" t="s">
        <v>12868</v>
      </c>
      <c r="Q315" s="1"/>
      <c r="R315" s="1"/>
      <c r="S315" s="1"/>
      <c r="T315" s="1"/>
      <c r="U315" s="1"/>
      <c r="V315" s="1"/>
      <c r="W315" s="1"/>
      <c r="X315" s="1"/>
      <c r="Y315" s="1"/>
      <c r="Z315" s="1"/>
      <c r="AA315" s="1">
        <f t="shared" si="17"/>
        <v>1</v>
      </c>
      <c r="AB315" s="1" t="str">
        <f t="shared" si="20"/>
        <v>R2 retained</v>
      </c>
      <c r="AC315" s="1">
        <v>1</v>
      </c>
      <c r="AD315" s="1" t="s">
        <v>12884</v>
      </c>
      <c r="AE315" s="1" t="s">
        <v>13713</v>
      </c>
      <c r="AF315" s="1" t="s">
        <v>13714</v>
      </c>
      <c r="AG315" s="1" t="s">
        <v>8668</v>
      </c>
      <c r="AH315" s="1" t="s">
        <v>6096</v>
      </c>
      <c r="AI315" s="1">
        <f t="shared" si="19"/>
        <v>1</v>
      </c>
      <c r="AJ315" s="5" t="s">
        <v>12898</v>
      </c>
      <c r="AK315" s="5" t="s">
        <v>12899</v>
      </c>
      <c r="AL315" s="7" t="s">
        <v>15077</v>
      </c>
    </row>
    <row r="316" spans="1:38" ht="36" customHeight="1">
      <c r="A316" s="1" t="s">
        <v>5745</v>
      </c>
      <c r="B316" s="1" t="s">
        <v>5586</v>
      </c>
      <c r="C316" s="1" t="s">
        <v>5587</v>
      </c>
      <c r="D316" s="1" t="s">
        <v>13619</v>
      </c>
      <c r="E316" s="1">
        <v>0</v>
      </c>
      <c r="F316" s="1"/>
      <c r="G316" s="1" t="s">
        <v>12859</v>
      </c>
      <c r="H316" s="1" t="s">
        <v>8663</v>
      </c>
      <c r="I316" s="1" t="s">
        <v>4747</v>
      </c>
      <c r="J316" s="1"/>
      <c r="K316" s="1"/>
      <c r="L316" s="1" t="s">
        <v>12860</v>
      </c>
      <c r="M316" s="1" t="s">
        <v>13715</v>
      </c>
      <c r="N316" s="1" t="s">
        <v>13716</v>
      </c>
      <c r="O316" s="1"/>
      <c r="P316" s="1" t="s">
        <v>12863</v>
      </c>
      <c r="Q316" s="1"/>
      <c r="R316" s="1"/>
      <c r="S316" s="1"/>
      <c r="T316" s="1"/>
      <c r="U316" s="1"/>
      <c r="V316" s="1"/>
      <c r="W316" s="1"/>
      <c r="X316" s="1"/>
      <c r="Y316" s="1"/>
      <c r="Z316" s="1"/>
      <c r="AA316" s="1">
        <f t="shared" si="17"/>
        <v>0</v>
      </c>
      <c r="AB316" s="1" t="str">
        <f t="shared" si="20"/>
        <v>R2 retained</v>
      </c>
      <c r="AC316" s="1"/>
      <c r="AD316" s="1"/>
      <c r="AE316" s="1"/>
      <c r="AF316" s="1"/>
      <c r="AG316" s="1"/>
      <c r="AH316" s="1"/>
      <c r="AI316" s="1">
        <f t="shared" si="19"/>
        <v>0</v>
      </c>
      <c r="AJ316" s="5"/>
      <c r="AK316" s="5"/>
      <c r="AL316" s="7" t="s">
        <v>15077</v>
      </c>
    </row>
    <row r="317" spans="1:38" ht="72" customHeight="1">
      <c r="A317" s="1" t="s">
        <v>5745</v>
      </c>
      <c r="B317" s="1" t="s">
        <v>5591</v>
      </c>
      <c r="C317" s="1" t="s">
        <v>5592</v>
      </c>
      <c r="D317" s="1" t="s">
        <v>13717</v>
      </c>
      <c r="E317" s="1">
        <v>0</v>
      </c>
      <c r="F317" s="1"/>
      <c r="G317" s="1" t="s">
        <v>12859</v>
      </c>
      <c r="H317" s="1" t="s">
        <v>8663</v>
      </c>
      <c r="I317" s="1" t="s">
        <v>4747</v>
      </c>
      <c r="J317" s="1"/>
      <c r="K317" s="1"/>
      <c r="L317" s="1" t="s">
        <v>12860</v>
      </c>
      <c r="M317" s="1" t="s">
        <v>13718</v>
      </c>
      <c r="N317" s="1" t="s">
        <v>13719</v>
      </c>
      <c r="O317" s="1"/>
      <c r="P317" s="1" t="s">
        <v>12863</v>
      </c>
      <c r="Q317" s="1">
        <v>0</v>
      </c>
      <c r="R317" s="1" t="s">
        <v>12904</v>
      </c>
      <c r="S317" s="1" t="s">
        <v>13720</v>
      </c>
      <c r="T317" s="1" t="s">
        <v>13721</v>
      </c>
      <c r="U317" s="1" t="s">
        <v>8668</v>
      </c>
      <c r="V317" s="1" t="s">
        <v>6096</v>
      </c>
      <c r="W317" s="1" t="s">
        <v>12907</v>
      </c>
      <c r="X317" s="1"/>
      <c r="Y317" s="1"/>
      <c r="Z317" s="1" t="s">
        <v>12908</v>
      </c>
      <c r="AA317" s="1">
        <f t="shared" si="17"/>
        <v>0</v>
      </c>
      <c r="AB317" s="1" t="str">
        <f t="shared" si="20"/>
        <v>R2 retained</v>
      </c>
      <c r="AC317" s="1">
        <v>0</v>
      </c>
      <c r="AD317" s="1" t="s">
        <v>12884</v>
      </c>
      <c r="AE317" s="1" t="s">
        <v>13722</v>
      </c>
      <c r="AF317" s="1" t="s">
        <v>13721</v>
      </c>
      <c r="AG317" s="1" t="s">
        <v>8668</v>
      </c>
      <c r="AH317" s="1" t="s">
        <v>6096</v>
      </c>
      <c r="AI317" s="1">
        <f t="shared" si="19"/>
        <v>1</v>
      </c>
      <c r="AJ317" s="5" t="s">
        <v>12898</v>
      </c>
      <c r="AK317" s="5" t="s">
        <v>12899</v>
      </c>
      <c r="AL317" s="7" t="s">
        <v>15077</v>
      </c>
    </row>
    <row r="318" spans="1:38" ht="36" customHeight="1">
      <c r="A318" s="1" t="s">
        <v>5745</v>
      </c>
      <c r="B318" s="1" t="s">
        <v>5596</v>
      </c>
      <c r="C318" s="1" t="s">
        <v>5597</v>
      </c>
      <c r="D318" s="1" t="s">
        <v>13723</v>
      </c>
      <c r="E318" s="1">
        <v>1</v>
      </c>
      <c r="F318" s="1"/>
      <c r="G318" s="1" t="s">
        <v>12859</v>
      </c>
      <c r="H318" s="1" t="s">
        <v>8663</v>
      </c>
      <c r="I318" s="1" t="s">
        <v>4788</v>
      </c>
      <c r="J318" s="1"/>
      <c r="K318" s="1"/>
      <c r="L318" s="1" t="s">
        <v>12860</v>
      </c>
      <c r="M318" s="1" t="s">
        <v>13724</v>
      </c>
      <c r="N318" s="1" t="s">
        <v>13725</v>
      </c>
      <c r="O318" s="1"/>
      <c r="P318" s="1" t="s">
        <v>12868</v>
      </c>
      <c r="Q318" s="1"/>
      <c r="R318" s="1"/>
      <c r="S318" s="1"/>
      <c r="T318" s="1"/>
      <c r="U318" s="1"/>
      <c r="V318" s="1"/>
      <c r="W318" s="1"/>
      <c r="X318" s="1"/>
      <c r="Y318" s="1"/>
      <c r="Z318" s="1"/>
      <c r="AA318" s="1">
        <f t="shared" si="17"/>
        <v>1</v>
      </c>
      <c r="AB318" s="1" t="str">
        <f t="shared" si="20"/>
        <v>R2 retained</v>
      </c>
      <c r="AC318" s="1"/>
      <c r="AD318" s="1"/>
      <c r="AE318" s="1"/>
      <c r="AF318" s="1"/>
      <c r="AG318" s="1"/>
      <c r="AH318" s="1"/>
      <c r="AI318" s="1">
        <f t="shared" si="19"/>
        <v>0</v>
      </c>
      <c r="AJ318" s="5"/>
      <c r="AK318" s="5"/>
      <c r="AL318" s="7" t="s">
        <v>15077</v>
      </c>
    </row>
    <row r="319" spans="1:38" ht="36" customHeight="1">
      <c r="A319" s="1" t="s">
        <v>5745</v>
      </c>
      <c r="B319" s="1" t="s">
        <v>5601</v>
      </c>
      <c r="C319" s="1" t="s">
        <v>5602</v>
      </c>
      <c r="D319" s="1" t="s">
        <v>8758</v>
      </c>
      <c r="E319" s="1">
        <v>2</v>
      </c>
      <c r="F319" s="1"/>
      <c r="G319" s="1" t="s">
        <v>12859</v>
      </c>
      <c r="H319" s="1" t="s">
        <v>8663</v>
      </c>
      <c r="I319" s="1" t="s">
        <v>4862</v>
      </c>
      <c r="J319" s="1"/>
      <c r="K319" s="1"/>
      <c r="L319" s="1" t="s">
        <v>12860</v>
      </c>
      <c r="M319" s="1" t="s">
        <v>8760</v>
      </c>
      <c r="N319" s="1" t="s">
        <v>13726</v>
      </c>
      <c r="O319" s="1"/>
      <c r="P319" s="1" t="s">
        <v>12868</v>
      </c>
      <c r="Q319" s="1"/>
      <c r="R319" s="1"/>
      <c r="S319" s="1"/>
      <c r="T319" s="1"/>
      <c r="U319" s="1"/>
      <c r="V319" s="1"/>
      <c r="W319" s="1"/>
      <c r="X319" s="1"/>
      <c r="Y319" s="1"/>
      <c r="Z319" s="1"/>
      <c r="AA319" s="1">
        <f t="shared" si="17"/>
        <v>2</v>
      </c>
      <c r="AB319" s="1" t="str">
        <f t="shared" si="20"/>
        <v>R2 retained</v>
      </c>
      <c r="AC319" s="1"/>
      <c r="AD319" s="1"/>
      <c r="AE319" s="1"/>
      <c r="AF319" s="1"/>
      <c r="AG319" s="1"/>
      <c r="AH319" s="1"/>
      <c r="AI319" s="1">
        <f t="shared" si="19"/>
        <v>0</v>
      </c>
      <c r="AJ319" s="5"/>
      <c r="AK319" s="5"/>
      <c r="AL319" s="7" t="s">
        <v>15077</v>
      </c>
    </row>
    <row r="320" spans="1:38" ht="36" customHeight="1">
      <c r="A320" s="1" t="s">
        <v>5745</v>
      </c>
      <c r="B320" s="1" t="s">
        <v>5606</v>
      </c>
      <c r="C320" s="1" t="s">
        <v>5607</v>
      </c>
      <c r="D320" s="1" t="s">
        <v>8762</v>
      </c>
      <c r="E320" s="1">
        <v>2</v>
      </c>
      <c r="F320" s="1"/>
      <c r="G320" s="1" t="s">
        <v>12859</v>
      </c>
      <c r="H320" s="1" t="s">
        <v>8663</v>
      </c>
      <c r="I320" s="1" t="s">
        <v>4862</v>
      </c>
      <c r="J320" s="1"/>
      <c r="K320" s="1"/>
      <c r="L320" s="1" t="s">
        <v>12860</v>
      </c>
      <c r="M320" s="1" t="s">
        <v>8764</v>
      </c>
      <c r="N320" s="1" t="s">
        <v>13727</v>
      </c>
      <c r="O320" s="1"/>
      <c r="P320" s="1" t="s">
        <v>12868</v>
      </c>
      <c r="Q320" s="1"/>
      <c r="R320" s="1"/>
      <c r="S320" s="1"/>
      <c r="T320" s="1"/>
      <c r="U320" s="1"/>
      <c r="V320" s="1"/>
      <c r="W320" s="1"/>
      <c r="X320" s="1"/>
      <c r="Y320" s="1"/>
      <c r="Z320" s="1"/>
      <c r="AA320" s="1">
        <f t="shared" si="17"/>
        <v>2</v>
      </c>
      <c r="AB320" s="1" t="str">
        <f t="shared" si="20"/>
        <v>R2 retained</v>
      </c>
      <c r="AC320" s="1"/>
      <c r="AD320" s="1"/>
      <c r="AE320" s="1"/>
      <c r="AF320" s="1"/>
      <c r="AG320" s="1"/>
      <c r="AH320" s="1"/>
      <c r="AI320" s="1">
        <f t="shared" si="19"/>
        <v>0</v>
      </c>
      <c r="AJ320" s="5"/>
      <c r="AK320" s="5"/>
      <c r="AL320" s="7" t="s">
        <v>15077</v>
      </c>
    </row>
    <row r="321" spans="1:38" ht="72" customHeight="1">
      <c r="A321" s="1" t="s">
        <v>5745</v>
      </c>
      <c r="B321" s="1" t="s">
        <v>5454</v>
      </c>
      <c r="C321" s="1" t="s">
        <v>5455</v>
      </c>
      <c r="D321" s="1" t="s">
        <v>4747</v>
      </c>
      <c r="E321" s="1">
        <v>1</v>
      </c>
      <c r="F321" s="1">
        <v>0</v>
      </c>
      <c r="G321" s="1" t="s">
        <v>4691</v>
      </c>
      <c r="H321" s="1" t="s">
        <v>8663</v>
      </c>
      <c r="I321" s="1" t="s">
        <v>4788</v>
      </c>
      <c r="J321" s="1"/>
      <c r="K321" s="1"/>
      <c r="L321" s="1" t="s">
        <v>12860</v>
      </c>
      <c r="M321" s="1" t="s">
        <v>8766</v>
      </c>
      <c r="N321" s="1" t="s">
        <v>13728</v>
      </c>
      <c r="O321" s="1" t="s">
        <v>13729</v>
      </c>
      <c r="P321" s="1" t="s">
        <v>12917</v>
      </c>
      <c r="Q321" s="1"/>
      <c r="R321" s="1"/>
      <c r="S321" s="1"/>
      <c r="T321" s="1"/>
      <c r="U321" s="1"/>
      <c r="V321" s="1"/>
      <c r="W321" s="1"/>
      <c r="X321" s="1"/>
      <c r="Y321" s="1" t="s">
        <v>5747</v>
      </c>
      <c r="Z321" s="1" t="s">
        <v>12918</v>
      </c>
      <c r="AA321" s="1">
        <f t="shared" si="17"/>
        <v>0</v>
      </c>
      <c r="AB321" s="1" t="str">
        <f t="shared" si="20"/>
        <v>Reviewer confirmed</v>
      </c>
      <c r="AC321" s="1">
        <v>0</v>
      </c>
      <c r="AD321" s="1" t="s">
        <v>12936</v>
      </c>
      <c r="AE321" s="1" t="s">
        <v>5747</v>
      </c>
      <c r="AF321" s="1" t="s">
        <v>5746</v>
      </c>
      <c r="AG321" s="1" t="s">
        <v>5748</v>
      </c>
      <c r="AH321" s="1" t="s">
        <v>5461</v>
      </c>
      <c r="AI321" s="1">
        <f t="shared" si="19"/>
        <v>1</v>
      </c>
      <c r="AJ321" s="5" t="s">
        <v>12898</v>
      </c>
      <c r="AK321" s="5" t="s">
        <v>12899</v>
      </c>
      <c r="AL321" s="7" t="s">
        <v>15077</v>
      </c>
    </row>
    <row r="322" spans="1:38" ht="36" customHeight="1">
      <c r="A322" s="1" t="s">
        <v>5079</v>
      </c>
      <c r="B322" s="1" t="s">
        <v>5537</v>
      </c>
      <c r="C322" s="1" t="s">
        <v>5538</v>
      </c>
      <c r="D322" s="1" t="s">
        <v>4747</v>
      </c>
      <c r="E322" s="1">
        <v>0</v>
      </c>
      <c r="F322" s="1"/>
      <c r="G322" s="1" t="s">
        <v>12859</v>
      </c>
      <c r="H322" s="1" t="s">
        <v>8781</v>
      </c>
      <c r="I322" s="1" t="s">
        <v>4747</v>
      </c>
      <c r="J322" s="1"/>
      <c r="K322" s="1"/>
      <c r="L322" s="1" t="s">
        <v>12860</v>
      </c>
      <c r="M322" s="1" t="s">
        <v>13730</v>
      </c>
      <c r="N322" s="1" t="s">
        <v>13731</v>
      </c>
      <c r="O322" s="1"/>
      <c r="P322" s="1" t="s">
        <v>12863</v>
      </c>
      <c r="Q322" s="1"/>
      <c r="R322" s="1"/>
      <c r="S322" s="1"/>
      <c r="T322" s="1"/>
      <c r="U322" s="1"/>
      <c r="V322" s="1"/>
      <c r="W322" s="1"/>
      <c r="X322" s="1"/>
      <c r="Y322" s="1"/>
      <c r="Z322" s="1"/>
      <c r="AA322" s="1">
        <f t="shared" ref="AA322:AA385" si="21">IF(OR(ISNUMBER(F322),F322="NA"),F322,IF(AD322="uncertain","",IF(OR(ISNUMBER(AC322),AC322="NA"),AC322,E322)))</f>
        <v>0</v>
      </c>
      <c r="AB322" s="1" t="str">
        <f t="shared" ref="AB322:AB353" si="22">IF(OR(ISNUMBER(F322),F322="NA"),"Reviewer confirmed",IF(AD322="uncertain","Unresolved under clarified rule",IF(AND(OR(ISNUMBER(AC322),AC322="NA"),AC322&lt;&gt;E322),"Analyst scope correction","R2 retained")))</f>
        <v>R2 retained</v>
      </c>
      <c r="AC322" s="1"/>
      <c r="AD322" s="1"/>
      <c r="AE322" s="1"/>
      <c r="AF322" s="1"/>
      <c r="AG322" s="1"/>
      <c r="AH322" s="1"/>
      <c r="AI322" s="1">
        <f t="shared" ref="AI322:AI385" si="23">IF(OR(R322&lt;&gt;"",AD322&lt;&gt;""),1,0)</f>
        <v>0</v>
      </c>
      <c r="AJ322" s="5"/>
      <c r="AK322" s="5"/>
      <c r="AL322" s="7" t="s">
        <v>15077</v>
      </c>
    </row>
    <row r="323" spans="1:38" ht="36" customHeight="1">
      <c r="A323" s="1" t="s">
        <v>5079</v>
      </c>
      <c r="B323" s="1" t="s">
        <v>5542</v>
      </c>
      <c r="C323" s="1" t="s">
        <v>5543</v>
      </c>
      <c r="D323" s="1" t="s">
        <v>4747</v>
      </c>
      <c r="E323" s="1">
        <v>0</v>
      </c>
      <c r="F323" s="1"/>
      <c r="G323" s="1" t="s">
        <v>12859</v>
      </c>
      <c r="H323" s="1" t="s">
        <v>8781</v>
      </c>
      <c r="I323" s="1" t="s">
        <v>4747</v>
      </c>
      <c r="J323" s="1"/>
      <c r="K323" s="1"/>
      <c r="L323" s="1" t="s">
        <v>12860</v>
      </c>
      <c r="M323" s="1" t="s">
        <v>13732</v>
      </c>
      <c r="N323" s="1" t="s">
        <v>13733</v>
      </c>
      <c r="O323" s="1"/>
      <c r="P323" s="1" t="s">
        <v>12863</v>
      </c>
      <c r="Q323" s="1"/>
      <c r="R323" s="1"/>
      <c r="S323" s="1"/>
      <c r="T323" s="1"/>
      <c r="U323" s="1"/>
      <c r="V323" s="1"/>
      <c r="W323" s="1"/>
      <c r="X323" s="1"/>
      <c r="Y323" s="1"/>
      <c r="Z323" s="1"/>
      <c r="AA323" s="1">
        <f t="shared" si="21"/>
        <v>0</v>
      </c>
      <c r="AB323" s="1" t="str">
        <f t="shared" si="22"/>
        <v>R2 retained</v>
      </c>
      <c r="AC323" s="1"/>
      <c r="AD323" s="1"/>
      <c r="AE323" s="1"/>
      <c r="AF323" s="1"/>
      <c r="AG323" s="1"/>
      <c r="AH323" s="1"/>
      <c r="AI323" s="1">
        <f t="shared" si="23"/>
        <v>0</v>
      </c>
      <c r="AJ323" s="5"/>
      <c r="AK323" s="5"/>
      <c r="AL323" s="7" t="s">
        <v>15077</v>
      </c>
    </row>
    <row r="324" spans="1:38" ht="36" customHeight="1">
      <c r="A324" s="1" t="s">
        <v>5079</v>
      </c>
      <c r="B324" s="1" t="s">
        <v>5547</v>
      </c>
      <c r="C324" s="1" t="s">
        <v>5548</v>
      </c>
      <c r="D324" s="1" t="s">
        <v>4747</v>
      </c>
      <c r="E324" s="1">
        <v>1</v>
      </c>
      <c r="F324" s="1"/>
      <c r="G324" s="1" t="s">
        <v>12859</v>
      </c>
      <c r="H324" s="1" t="s">
        <v>8781</v>
      </c>
      <c r="I324" s="1" t="s">
        <v>13734</v>
      </c>
      <c r="J324" s="1"/>
      <c r="K324" s="1"/>
      <c r="L324" s="1" t="s">
        <v>12860</v>
      </c>
      <c r="M324" s="1" t="s">
        <v>13735</v>
      </c>
      <c r="N324" s="1" t="s">
        <v>13736</v>
      </c>
      <c r="O324" s="1"/>
      <c r="P324" s="1" t="s">
        <v>12868</v>
      </c>
      <c r="Q324" s="1"/>
      <c r="R324" s="1"/>
      <c r="S324" s="1"/>
      <c r="T324" s="1"/>
      <c r="U324" s="1"/>
      <c r="V324" s="1"/>
      <c r="W324" s="1"/>
      <c r="X324" s="1"/>
      <c r="Y324" s="1"/>
      <c r="Z324" s="1"/>
      <c r="AA324" s="1">
        <f t="shared" si="21"/>
        <v>1</v>
      </c>
      <c r="AB324" s="1" t="str">
        <f t="shared" si="22"/>
        <v>R2 retained</v>
      </c>
      <c r="AC324" s="1"/>
      <c r="AD324" s="1"/>
      <c r="AE324" s="1"/>
      <c r="AF324" s="1"/>
      <c r="AG324" s="1"/>
      <c r="AH324" s="1"/>
      <c r="AI324" s="1">
        <f t="shared" si="23"/>
        <v>0</v>
      </c>
      <c r="AJ324" s="5"/>
      <c r="AK324" s="5"/>
      <c r="AL324" s="7" t="s">
        <v>15077</v>
      </c>
    </row>
    <row r="325" spans="1:38" ht="36" customHeight="1">
      <c r="A325" s="1" t="s">
        <v>5079</v>
      </c>
      <c r="B325" s="1" t="s">
        <v>5552</v>
      </c>
      <c r="C325" s="1" t="s">
        <v>5553</v>
      </c>
      <c r="D325" s="1" t="s">
        <v>13737</v>
      </c>
      <c r="E325" s="1">
        <v>1</v>
      </c>
      <c r="F325" s="1"/>
      <c r="G325" s="1" t="s">
        <v>12859</v>
      </c>
      <c r="H325" s="1" t="s">
        <v>8781</v>
      </c>
      <c r="I325" s="1" t="s">
        <v>5362</v>
      </c>
      <c r="J325" s="1"/>
      <c r="K325" s="1"/>
      <c r="L325" s="1" t="s">
        <v>12860</v>
      </c>
      <c r="M325" s="1" t="s">
        <v>13738</v>
      </c>
      <c r="N325" s="1" t="s">
        <v>13739</v>
      </c>
      <c r="O325" s="1"/>
      <c r="P325" s="1" t="s">
        <v>12868</v>
      </c>
      <c r="Q325" s="1"/>
      <c r="R325" s="1"/>
      <c r="S325" s="1"/>
      <c r="T325" s="1"/>
      <c r="U325" s="1"/>
      <c r="V325" s="1"/>
      <c r="W325" s="1"/>
      <c r="X325" s="1"/>
      <c r="Y325" s="1"/>
      <c r="Z325" s="1"/>
      <c r="AA325" s="1">
        <f t="shared" si="21"/>
        <v>1</v>
      </c>
      <c r="AB325" s="1" t="str">
        <f t="shared" si="22"/>
        <v>R2 retained</v>
      </c>
      <c r="AC325" s="1"/>
      <c r="AD325" s="1"/>
      <c r="AE325" s="1"/>
      <c r="AF325" s="1"/>
      <c r="AG325" s="1"/>
      <c r="AH325" s="1"/>
      <c r="AI325" s="1">
        <f t="shared" si="23"/>
        <v>0</v>
      </c>
      <c r="AJ325" s="5"/>
      <c r="AK325" s="5"/>
      <c r="AL325" s="7" t="s">
        <v>15077</v>
      </c>
    </row>
    <row r="326" spans="1:38" ht="36" customHeight="1">
      <c r="A326" s="1" t="s">
        <v>5079</v>
      </c>
      <c r="B326" s="1" t="s">
        <v>5557</v>
      </c>
      <c r="C326" s="1" t="s">
        <v>5558</v>
      </c>
      <c r="D326" s="1" t="s">
        <v>8821</v>
      </c>
      <c r="E326" s="1">
        <v>0</v>
      </c>
      <c r="F326" s="1"/>
      <c r="G326" s="1" t="s">
        <v>12859</v>
      </c>
      <c r="H326" s="1" t="s">
        <v>8781</v>
      </c>
      <c r="I326" s="1" t="s">
        <v>4747</v>
      </c>
      <c r="J326" s="1"/>
      <c r="K326" s="1"/>
      <c r="L326" s="1" t="s">
        <v>12860</v>
      </c>
      <c r="M326" s="1" t="s">
        <v>8823</v>
      </c>
      <c r="N326" s="1" t="s">
        <v>13740</v>
      </c>
      <c r="O326" s="1"/>
      <c r="P326" s="1" t="s">
        <v>12863</v>
      </c>
      <c r="Q326" s="1"/>
      <c r="R326" s="1"/>
      <c r="S326" s="1"/>
      <c r="T326" s="1"/>
      <c r="U326" s="1"/>
      <c r="V326" s="1"/>
      <c r="W326" s="1"/>
      <c r="X326" s="1"/>
      <c r="Y326" s="1"/>
      <c r="Z326" s="1"/>
      <c r="AA326" s="1">
        <f t="shared" si="21"/>
        <v>0</v>
      </c>
      <c r="AB326" s="1" t="str">
        <f t="shared" si="22"/>
        <v>R2 retained</v>
      </c>
      <c r="AC326" s="1"/>
      <c r="AD326" s="1"/>
      <c r="AE326" s="1"/>
      <c r="AF326" s="1"/>
      <c r="AG326" s="1"/>
      <c r="AH326" s="1"/>
      <c r="AI326" s="1">
        <f t="shared" si="23"/>
        <v>0</v>
      </c>
      <c r="AJ326" s="5"/>
      <c r="AK326" s="5"/>
      <c r="AL326" s="7" t="s">
        <v>15077</v>
      </c>
    </row>
    <row r="327" spans="1:38" ht="36" customHeight="1">
      <c r="A327" s="1" t="s">
        <v>5079</v>
      </c>
      <c r="B327" s="1" t="s">
        <v>5562</v>
      </c>
      <c r="C327" s="1" t="s">
        <v>5563</v>
      </c>
      <c r="D327" s="1" t="s">
        <v>8825</v>
      </c>
      <c r="E327" s="1">
        <v>2</v>
      </c>
      <c r="F327" s="1"/>
      <c r="G327" s="1" t="s">
        <v>12859</v>
      </c>
      <c r="H327" s="1" t="s">
        <v>8781</v>
      </c>
      <c r="I327" s="1" t="s">
        <v>4935</v>
      </c>
      <c r="J327" s="1"/>
      <c r="K327" s="1"/>
      <c r="L327" s="1" t="s">
        <v>12860</v>
      </c>
      <c r="M327" s="1" t="s">
        <v>8828</v>
      </c>
      <c r="N327" s="1" t="s">
        <v>13741</v>
      </c>
      <c r="O327" s="1"/>
      <c r="P327" s="1" t="s">
        <v>12868</v>
      </c>
      <c r="Q327" s="1"/>
      <c r="R327" s="1"/>
      <c r="S327" s="1"/>
      <c r="T327" s="1"/>
      <c r="U327" s="1"/>
      <c r="V327" s="1"/>
      <c r="W327" s="1"/>
      <c r="X327" s="1"/>
      <c r="Y327" s="1"/>
      <c r="Z327" s="1"/>
      <c r="AA327" s="1">
        <f t="shared" si="21"/>
        <v>2</v>
      </c>
      <c r="AB327" s="1" t="str">
        <f t="shared" si="22"/>
        <v>R2 retained</v>
      </c>
      <c r="AC327" s="1">
        <v>2</v>
      </c>
      <c r="AD327" s="1" t="s">
        <v>12884</v>
      </c>
      <c r="AE327" s="1" t="s">
        <v>13742</v>
      </c>
      <c r="AF327" s="1" t="s">
        <v>13743</v>
      </c>
      <c r="AG327" s="1" t="s">
        <v>8786</v>
      </c>
      <c r="AH327" s="1" t="s">
        <v>6096</v>
      </c>
      <c r="AI327" s="1">
        <f t="shared" si="23"/>
        <v>1</v>
      </c>
      <c r="AJ327" s="5"/>
      <c r="AK327" s="5"/>
      <c r="AL327" s="7" t="s">
        <v>15077</v>
      </c>
    </row>
    <row r="328" spans="1:38" ht="36" customHeight="1">
      <c r="A328" s="1" t="s">
        <v>5079</v>
      </c>
      <c r="B328" s="1" t="s">
        <v>5567</v>
      </c>
      <c r="C328" s="1" t="s">
        <v>5568</v>
      </c>
      <c r="D328" s="1" t="s">
        <v>13744</v>
      </c>
      <c r="E328" s="1">
        <v>2</v>
      </c>
      <c r="F328" s="1"/>
      <c r="G328" s="1" t="s">
        <v>12859</v>
      </c>
      <c r="H328" s="1" t="s">
        <v>8781</v>
      </c>
      <c r="I328" s="1" t="s">
        <v>13745</v>
      </c>
      <c r="J328" s="1"/>
      <c r="K328" s="1"/>
      <c r="L328" s="1" t="s">
        <v>12860</v>
      </c>
      <c r="M328" s="1" t="s">
        <v>13746</v>
      </c>
      <c r="N328" s="1" t="s">
        <v>13747</v>
      </c>
      <c r="O328" s="1"/>
      <c r="P328" s="1" t="s">
        <v>12868</v>
      </c>
      <c r="Q328" s="1"/>
      <c r="R328" s="1"/>
      <c r="S328" s="1"/>
      <c r="T328" s="1"/>
      <c r="U328" s="1"/>
      <c r="V328" s="1"/>
      <c r="W328" s="1"/>
      <c r="X328" s="1"/>
      <c r="Y328" s="1"/>
      <c r="Z328" s="1"/>
      <c r="AA328" s="1">
        <f t="shared" si="21"/>
        <v>2</v>
      </c>
      <c r="AB328" s="1" t="str">
        <f t="shared" si="22"/>
        <v>R2 retained</v>
      </c>
      <c r="AC328" s="1"/>
      <c r="AD328" s="1"/>
      <c r="AE328" s="1"/>
      <c r="AF328" s="1"/>
      <c r="AG328" s="1"/>
      <c r="AH328" s="1"/>
      <c r="AI328" s="1">
        <f t="shared" si="23"/>
        <v>0</v>
      </c>
      <c r="AJ328" s="5"/>
      <c r="AK328" s="5"/>
      <c r="AL328" s="7" t="s">
        <v>15077</v>
      </c>
    </row>
    <row r="329" spans="1:38" ht="36" customHeight="1">
      <c r="A329" s="1" t="s">
        <v>5079</v>
      </c>
      <c r="B329" s="1" t="s">
        <v>5572</v>
      </c>
      <c r="C329" s="1" t="s">
        <v>5573</v>
      </c>
      <c r="D329" s="1" t="s">
        <v>13748</v>
      </c>
      <c r="E329" s="1">
        <v>1</v>
      </c>
      <c r="F329" s="1"/>
      <c r="G329" s="1" t="s">
        <v>12859</v>
      </c>
      <c r="H329" s="1" t="s">
        <v>8781</v>
      </c>
      <c r="I329" s="1" t="s">
        <v>4959</v>
      </c>
      <c r="J329" s="1"/>
      <c r="K329" s="1"/>
      <c r="L329" s="1" t="s">
        <v>12860</v>
      </c>
      <c r="M329" s="1" t="s">
        <v>13749</v>
      </c>
      <c r="N329" s="1" t="s">
        <v>13750</v>
      </c>
      <c r="O329" s="1"/>
      <c r="P329" s="1" t="s">
        <v>12868</v>
      </c>
      <c r="Q329" s="1"/>
      <c r="R329" s="1"/>
      <c r="S329" s="1"/>
      <c r="T329" s="1"/>
      <c r="U329" s="1"/>
      <c r="V329" s="1"/>
      <c r="W329" s="1"/>
      <c r="X329" s="1"/>
      <c r="Y329" s="1"/>
      <c r="Z329" s="1"/>
      <c r="AA329" s="1">
        <f t="shared" si="21"/>
        <v>1</v>
      </c>
      <c r="AB329" s="1" t="str">
        <f t="shared" si="22"/>
        <v>R2 retained</v>
      </c>
      <c r="AC329" s="1"/>
      <c r="AD329" s="1"/>
      <c r="AE329" s="1"/>
      <c r="AF329" s="1"/>
      <c r="AG329" s="1"/>
      <c r="AH329" s="1"/>
      <c r="AI329" s="1">
        <f t="shared" si="23"/>
        <v>0</v>
      </c>
      <c r="AJ329" s="5"/>
      <c r="AK329" s="5"/>
      <c r="AL329" s="7" t="s">
        <v>15077</v>
      </c>
    </row>
    <row r="330" spans="1:38" ht="36" customHeight="1">
      <c r="A330" s="1" t="s">
        <v>5079</v>
      </c>
      <c r="B330" s="1" t="s">
        <v>5577</v>
      </c>
      <c r="C330" s="1" t="s">
        <v>5578</v>
      </c>
      <c r="D330" s="1" t="s">
        <v>13751</v>
      </c>
      <c r="E330" s="1">
        <v>2</v>
      </c>
      <c r="F330" s="1"/>
      <c r="G330" s="1" t="s">
        <v>12859</v>
      </c>
      <c r="H330" s="1" t="s">
        <v>8781</v>
      </c>
      <c r="I330" s="1" t="s">
        <v>4904</v>
      </c>
      <c r="J330" s="1"/>
      <c r="K330" s="1"/>
      <c r="L330" s="1" t="s">
        <v>12860</v>
      </c>
      <c r="M330" s="1" t="s">
        <v>13752</v>
      </c>
      <c r="N330" s="1" t="s">
        <v>13753</v>
      </c>
      <c r="O330" s="1"/>
      <c r="P330" s="1" t="s">
        <v>12868</v>
      </c>
      <c r="Q330" s="1"/>
      <c r="R330" s="1"/>
      <c r="S330" s="1"/>
      <c r="T330" s="1"/>
      <c r="U330" s="1"/>
      <c r="V330" s="1"/>
      <c r="W330" s="1"/>
      <c r="X330" s="1"/>
      <c r="Y330" s="1"/>
      <c r="Z330" s="1"/>
      <c r="AA330" s="1">
        <f t="shared" si="21"/>
        <v>2</v>
      </c>
      <c r="AB330" s="1" t="str">
        <f t="shared" si="22"/>
        <v>R2 retained</v>
      </c>
      <c r="AC330" s="1"/>
      <c r="AD330" s="1"/>
      <c r="AE330" s="1"/>
      <c r="AF330" s="1"/>
      <c r="AG330" s="1"/>
      <c r="AH330" s="1"/>
      <c r="AI330" s="1">
        <f t="shared" si="23"/>
        <v>0</v>
      </c>
      <c r="AJ330" s="5"/>
      <c r="AK330" s="5"/>
      <c r="AL330" s="7" t="s">
        <v>15077</v>
      </c>
    </row>
    <row r="331" spans="1:38" ht="36" customHeight="1">
      <c r="A331" s="1" t="s">
        <v>5079</v>
      </c>
      <c r="B331" s="1" t="s">
        <v>5582</v>
      </c>
      <c r="C331" s="1" t="s">
        <v>5583</v>
      </c>
      <c r="D331" s="1" t="s">
        <v>4747</v>
      </c>
      <c r="E331" s="1">
        <v>0</v>
      </c>
      <c r="F331" s="1"/>
      <c r="G331" s="1" t="s">
        <v>12859</v>
      </c>
      <c r="H331" s="1" t="s">
        <v>8781</v>
      </c>
      <c r="I331" s="1" t="s">
        <v>4747</v>
      </c>
      <c r="J331" s="1"/>
      <c r="K331" s="1"/>
      <c r="L331" s="1" t="s">
        <v>12860</v>
      </c>
      <c r="M331" s="1" t="s">
        <v>8879</v>
      </c>
      <c r="N331" s="1" t="s">
        <v>13754</v>
      </c>
      <c r="O331" s="1"/>
      <c r="P331" s="1" t="s">
        <v>12863</v>
      </c>
      <c r="Q331" s="1"/>
      <c r="R331" s="1"/>
      <c r="S331" s="1"/>
      <c r="T331" s="1"/>
      <c r="U331" s="1"/>
      <c r="V331" s="1"/>
      <c r="W331" s="1"/>
      <c r="X331" s="1"/>
      <c r="Y331" s="1"/>
      <c r="Z331" s="1"/>
      <c r="AA331" s="1">
        <f t="shared" si="21"/>
        <v>0</v>
      </c>
      <c r="AB331" s="1" t="str">
        <f t="shared" si="22"/>
        <v>R2 retained</v>
      </c>
      <c r="AC331" s="1">
        <v>0</v>
      </c>
      <c r="AD331" s="1" t="s">
        <v>12884</v>
      </c>
      <c r="AE331" s="1" t="s">
        <v>13755</v>
      </c>
      <c r="AF331" s="1" t="s">
        <v>13756</v>
      </c>
      <c r="AG331" s="1" t="s">
        <v>8786</v>
      </c>
      <c r="AH331" s="1" t="s">
        <v>6096</v>
      </c>
      <c r="AI331" s="1">
        <f t="shared" si="23"/>
        <v>1</v>
      </c>
      <c r="AJ331" s="5" t="s">
        <v>12898</v>
      </c>
      <c r="AK331" s="5" t="s">
        <v>12899</v>
      </c>
      <c r="AL331" s="7" t="s">
        <v>15077</v>
      </c>
    </row>
    <row r="332" spans="1:38" ht="36" customHeight="1">
      <c r="A332" s="1" t="s">
        <v>5079</v>
      </c>
      <c r="B332" s="1" t="s">
        <v>5586</v>
      </c>
      <c r="C332" s="1" t="s">
        <v>5587</v>
      </c>
      <c r="D332" s="1" t="s">
        <v>13619</v>
      </c>
      <c r="E332" s="1">
        <v>0</v>
      </c>
      <c r="F332" s="1"/>
      <c r="G332" s="1" t="s">
        <v>12859</v>
      </c>
      <c r="H332" s="1" t="s">
        <v>8781</v>
      </c>
      <c r="I332" s="1" t="s">
        <v>4747</v>
      </c>
      <c r="J332" s="1"/>
      <c r="K332" s="1"/>
      <c r="L332" s="1" t="s">
        <v>12860</v>
      </c>
      <c r="M332" s="1" t="s">
        <v>13757</v>
      </c>
      <c r="N332" s="1" t="s">
        <v>13758</v>
      </c>
      <c r="O332" s="1"/>
      <c r="P332" s="1" t="s">
        <v>12863</v>
      </c>
      <c r="Q332" s="1"/>
      <c r="R332" s="1"/>
      <c r="S332" s="1"/>
      <c r="T332" s="1"/>
      <c r="U332" s="1"/>
      <c r="V332" s="1"/>
      <c r="W332" s="1"/>
      <c r="X332" s="1"/>
      <c r="Y332" s="1"/>
      <c r="Z332" s="1"/>
      <c r="AA332" s="1">
        <f t="shared" si="21"/>
        <v>0</v>
      </c>
      <c r="AB332" s="1" t="str">
        <f t="shared" si="22"/>
        <v>R2 retained</v>
      </c>
      <c r="AC332" s="1"/>
      <c r="AD332" s="1"/>
      <c r="AE332" s="1"/>
      <c r="AF332" s="1"/>
      <c r="AG332" s="1"/>
      <c r="AH332" s="1"/>
      <c r="AI332" s="1">
        <f t="shared" si="23"/>
        <v>0</v>
      </c>
      <c r="AJ332" s="5"/>
      <c r="AK332" s="5"/>
      <c r="AL332" s="7" t="s">
        <v>15077</v>
      </c>
    </row>
    <row r="333" spans="1:38" ht="72" customHeight="1">
      <c r="A333" s="1" t="s">
        <v>5079</v>
      </c>
      <c r="B333" s="1" t="s">
        <v>5591</v>
      </c>
      <c r="C333" s="1" t="s">
        <v>5592</v>
      </c>
      <c r="D333" s="1" t="s">
        <v>4747</v>
      </c>
      <c r="E333" s="1">
        <v>0</v>
      </c>
      <c r="F333" s="1"/>
      <c r="G333" s="1" t="s">
        <v>12859</v>
      </c>
      <c r="H333" s="1" t="s">
        <v>8781</v>
      </c>
      <c r="I333" s="1" t="s">
        <v>4747</v>
      </c>
      <c r="J333" s="1"/>
      <c r="K333" s="1"/>
      <c r="L333" s="1" t="s">
        <v>12860</v>
      </c>
      <c r="M333" s="1" t="s">
        <v>13759</v>
      </c>
      <c r="N333" s="1" t="s">
        <v>13760</v>
      </c>
      <c r="O333" s="1"/>
      <c r="P333" s="1" t="s">
        <v>12863</v>
      </c>
      <c r="Q333" s="1">
        <v>0</v>
      </c>
      <c r="R333" s="1" t="s">
        <v>12904</v>
      </c>
      <c r="S333" s="1" t="s">
        <v>13761</v>
      </c>
      <c r="T333" s="1" t="s">
        <v>13762</v>
      </c>
      <c r="U333" s="1" t="s">
        <v>8786</v>
      </c>
      <c r="V333" s="1" t="s">
        <v>6096</v>
      </c>
      <c r="W333" s="1" t="s">
        <v>12907</v>
      </c>
      <c r="X333" s="1"/>
      <c r="Y333" s="1"/>
      <c r="Z333" s="1" t="s">
        <v>12908</v>
      </c>
      <c r="AA333" s="1">
        <f t="shared" si="21"/>
        <v>0</v>
      </c>
      <c r="AB333" s="1" t="str">
        <f t="shared" si="22"/>
        <v>R2 retained</v>
      </c>
      <c r="AC333" s="1">
        <v>0</v>
      </c>
      <c r="AD333" s="1" t="s">
        <v>12884</v>
      </c>
      <c r="AE333" s="1" t="s">
        <v>13761</v>
      </c>
      <c r="AF333" s="1" t="s">
        <v>13762</v>
      </c>
      <c r="AG333" s="1" t="s">
        <v>8786</v>
      </c>
      <c r="AH333" s="1" t="s">
        <v>6096</v>
      </c>
      <c r="AI333" s="1">
        <f t="shared" si="23"/>
        <v>1</v>
      </c>
      <c r="AJ333" s="5" t="s">
        <v>12898</v>
      </c>
      <c r="AK333" s="5" t="s">
        <v>12899</v>
      </c>
      <c r="AL333" s="7" t="s">
        <v>15077</v>
      </c>
    </row>
    <row r="334" spans="1:38" ht="36" customHeight="1">
      <c r="A334" s="1" t="s">
        <v>5079</v>
      </c>
      <c r="B334" s="1" t="s">
        <v>5596</v>
      </c>
      <c r="C334" s="1" t="s">
        <v>5597</v>
      </c>
      <c r="D334" s="1" t="s">
        <v>13763</v>
      </c>
      <c r="E334" s="1">
        <v>0</v>
      </c>
      <c r="F334" s="1"/>
      <c r="G334" s="1" t="s">
        <v>12859</v>
      </c>
      <c r="H334" s="1" t="s">
        <v>8781</v>
      </c>
      <c r="I334" s="1" t="s">
        <v>4747</v>
      </c>
      <c r="J334" s="1"/>
      <c r="K334" s="1"/>
      <c r="L334" s="1" t="s">
        <v>12860</v>
      </c>
      <c r="M334" s="1" t="s">
        <v>13764</v>
      </c>
      <c r="N334" s="1" t="s">
        <v>13765</v>
      </c>
      <c r="O334" s="1"/>
      <c r="P334" s="1" t="s">
        <v>12863</v>
      </c>
      <c r="Q334" s="1"/>
      <c r="R334" s="1"/>
      <c r="S334" s="1"/>
      <c r="T334" s="1"/>
      <c r="U334" s="1"/>
      <c r="V334" s="1"/>
      <c r="W334" s="1"/>
      <c r="X334" s="1"/>
      <c r="Y334" s="1"/>
      <c r="Z334" s="1"/>
      <c r="AA334" s="1">
        <f t="shared" si="21"/>
        <v>0</v>
      </c>
      <c r="AB334" s="1" t="str">
        <f t="shared" si="22"/>
        <v>R2 retained</v>
      </c>
      <c r="AC334" s="1"/>
      <c r="AD334" s="1"/>
      <c r="AE334" s="1"/>
      <c r="AF334" s="1"/>
      <c r="AG334" s="1"/>
      <c r="AH334" s="1"/>
      <c r="AI334" s="1">
        <f t="shared" si="23"/>
        <v>0</v>
      </c>
      <c r="AJ334" s="5"/>
      <c r="AK334" s="5"/>
      <c r="AL334" s="7" t="s">
        <v>15077</v>
      </c>
    </row>
    <row r="335" spans="1:38" ht="36" customHeight="1">
      <c r="A335" s="1" t="s">
        <v>5079</v>
      </c>
      <c r="B335" s="1" t="s">
        <v>5601</v>
      </c>
      <c r="C335" s="1" t="s">
        <v>5602</v>
      </c>
      <c r="D335" s="1" t="s">
        <v>8889</v>
      </c>
      <c r="E335" s="1">
        <v>1</v>
      </c>
      <c r="F335" s="1"/>
      <c r="G335" s="1" t="s">
        <v>12859</v>
      </c>
      <c r="H335" s="1" t="s">
        <v>8781</v>
      </c>
      <c r="I335" s="1" t="s">
        <v>13766</v>
      </c>
      <c r="J335" s="1"/>
      <c r="K335" s="1"/>
      <c r="L335" s="1" t="s">
        <v>12860</v>
      </c>
      <c r="M335" s="1" t="s">
        <v>8891</v>
      </c>
      <c r="N335" s="1" t="s">
        <v>13767</v>
      </c>
      <c r="O335" s="1"/>
      <c r="P335" s="1" t="s">
        <v>12868</v>
      </c>
      <c r="Q335" s="1"/>
      <c r="R335" s="1"/>
      <c r="S335" s="1"/>
      <c r="T335" s="1"/>
      <c r="U335" s="1"/>
      <c r="V335" s="1"/>
      <c r="W335" s="1"/>
      <c r="X335" s="1"/>
      <c r="Y335" s="1"/>
      <c r="Z335" s="1"/>
      <c r="AA335" s="1">
        <f t="shared" si="21"/>
        <v>1</v>
      </c>
      <c r="AB335" s="1" t="str">
        <f t="shared" si="22"/>
        <v>R2 retained</v>
      </c>
      <c r="AC335" s="1"/>
      <c r="AD335" s="1"/>
      <c r="AE335" s="1"/>
      <c r="AF335" s="1"/>
      <c r="AG335" s="1"/>
      <c r="AH335" s="1"/>
      <c r="AI335" s="1">
        <f t="shared" si="23"/>
        <v>0</v>
      </c>
      <c r="AJ335" s="5"/>
      <c r="AK335" s="5"/>
      <c r="AL335" s="7" t="s">
        <v>15077</v>
      </c>
    </row>
    <row r="336" spans="1:38" ht="36" customHeight="1">
      <c r="A336" s="1" t="s">
        <v>5079</v>
      </c>
      <c r="B336" s="1" t="s">
        <v>5606</v>
      </c>
      <c r="C336" s="1" t="s">
        <v>5607</v>
      </c>
      <c r="D336" s="1" t="s">
        <v>8893</v>
      </c>
      <c r="E336" s="1">
        <v>1</v>
      </c>
      <c r="F336" s="1"/>
      <c r="G336" s="1" t="s">
        <v>12859</v>
      </c>
      <c r="H336" s="1" t="s">
        <v>8781</v>
      </c>
      <c r="I336" s="1" t="s">
        <v>4959</v>
      </c>
      <c r="J336" s="1"/>
      <c r="K336" s="1"/>
      <c r="L336" s="1" t="s">
        <v>12860</v>
      </c>
      <c r="M336" s="1" t="s">
        <v>8894</v>
      </c>
      <c r="N336" s="1" t="s">
        <v>13768</v>
      </c>
      <c r="O336" s="1"/>
      <c r="P336" s="1" t="s">
        <v>12868</v>
      </c>
      <c r="Q336" s="1"/>
      <c r="R336" s="1"/>
      <c r="S336" s="1"/>
      <c r="T336" s="1"/>
      <c r="U336" s="1"/>
      <c r="V336" s="1"/>
      <c r="W336" s="1"/>
      <c r="X336" s="1"/>
      <c r="Y336" s="1"/>
      <c r="Z336" s="1"/>
      <c r="AA336" s="1">
        <f t="shared" si="21"/>
        <v>1</v>
      </c>
      <c r="AB336" s="1" t="str">
        <f t="shared" si="22"/>
        <v>R2 retained</v>
      </c>
      <c r="AC336" s="1"/>
      <c r="AD336" s="1"/>
      <c r="AE336" s="1"/>
      <c r="AF336" s="1"/>
      <c r="AG336" s="1"/>
      <c r="AH336" s="1"/>
      <c r="AI336" s="1">
        <f t="shared" si="23"/>
        <v>0</v>
      </c>
      <c r="AJ336" s="5"/>
      <c r="AK336" s="5"/>
      <c r="AL336" s="7" t="s">
        <v>15077</v>
      </c>
    </row>
    <row r="337" spans="1:38" ht="36" customHeight="1">
      <c r="A337" s="1" t="s">
        <v>5079</v>
      </c>
      <c r="B337" s="1" t="s">
        <v>5454</v>
      </c>
      <c r="C337" s="1" t="s">
        <v>5455</v>
      </c>
      <c r="D337" s="1" t="s">
        <v>4747</v>
      </c>
      <c r="E337" s="1">
        <v>0</v>
      </c>
      <c r="F337" s="1"/>
      <c r="G337" s="1" t="s">
        <v>12859</v>
      </c>
      <c r="H337" s="1" t="s">
        <v>8781</v>
      </c>
      <c r="I337" s="1" t="s">
        <v>4747</v>
      </c>
      <c r="J337" s="1"/>
      <c r="K337" s="1"/>
      <c r="L337" s="1" t="s">
        <v>12860</v>
      </c>
      <c r="M337" s="1" t="s">
        <v>8896</v>
      </c>
      <c r="N337" s="1" t="s">
        <v>13769</v>
      </c>
      <c r="O337" s="1"/>
      <c r="P337" s="1" t="s">
        <v>12863</v>
      </c>
      <c r="Q337" s="1"/>
      <c r="R337" s="1"/>
      <c r="S337" s="1"/>
      <c r="T337" s="1"/>
      <c r="U337" s="1"/>
      <c r="V337" s="1"/>
      <c r="W337" s="1"/>
      <c r="X337" s="1"/>
      <c r="Y337" s="1"/>
      <c r="Z337" s="1"/>
      <c r="AA337" s="1">
        <f t="shared" si="21"/>
        <v>0</v>
      </c>
      <c r="AB337" s="1" t="str">
        <f t="shared" si="22"/>
        <v>R2 retained</v>
      </c>
      <c r="AC337" s="1">
        <v>0</v>
      </c>
      <c r="AD337" s="1" t="s">
        <v>12884</v>
      </c>
      <c r="AE337" s="1" t="s">
        <v>13770</v>
      </c>
      <c r="AF337" s="1" t="s">
        <v>13771</v>
      </c>
      <c r="AG337" s="1" t="s">
        <v>8786</v>
      </c>
      <c r="AH337" s="1" t="s">
        <v>6096</v>
      </c>
      <c r="AI337" s="1">
        <f t="shared" si="23"/>
        <v>1</v>
      </c>
      <c r="AJ337" s="5" t="s">
        <v>12898</v>
      </c>
      <c r="AK337" s="5" t="s">
        <v>12899</v>
      </c>
      <c r="AL337" s="7" t="s">
        <v>15077</v>
      </c>
    </row>
    <row r="338" spans="1:38" ht="36" customHeight="1">
      <c r="A338" s="1" t="s">
        <v>5087</v>
      </c>
      <c r="B338" s="1" t="s">
        <v>5537</v>
      </c>
      <c r="C338" s="1" t="s">
        <v>5538</v>
      </c>
      <c r="D338" s="1" t="s">
        <v>4747</v>
      </c>
      <c r="E338" s="1">
        <v>0</v>
      </c>
      <c r="F338" s="1"/>
      <c r="G338" s="1" t="s">
        <v>12859</v>
      </c>
      <c r="H338" s="1" t="s">
        <v>8911</v>
      </c>
      <c r="I338" s="1" t="s">
        <v>4747</v>
      </c>
      <c r="J338" s="1"/>
      <c r="K338" s="1"/>
      <c r="L338" s="1" t="s">
        <v>12860</v>
      </c>
      <c r="M338" s="1" t="s">
        <v>13772</v>
      </c>
      <c r="N338" s="1" t="s">
        <v>13773</v>
      </c>
      <c r="O338" s="1"/>
      <c r="P338" s="1" t="s">
        <v>12863</v>
      </c>
      <c r="Q338" s="1"/>
      <c r="R338" s="1"/>
      <c r="S338" s="1"/>
      <c r="T338" s="1"/>
      <c r="U338" s="1"/>
      <c r="V338" s="1"/>
      <c r="W338" s="1"/>
      <c r="X338" s="1"/>
      <c r="Y338" s="1"/>
      <c r="Z338" s="1"/>
      <c r="AA338" s="1">
        <f t="shared" si="21"/>
        <v>0</v>
      </c>
      <c r="AB338" s="1" t="str">
        <f t="shared" si="22"/>
        <v>R2 retained</v>
      </c>
      <c r="AC338" s="1"/>
      <c r="AD338" s="1"/>
      <c r="AE338" s="1"/>
      <c r="AF338" s="1"/>
      <c r="AG338" s="1"/>
      <c r="AH338" s="1"/>
      <c r="AI338" s="1">
        <f t="shared" si="23"/>
        <v>0</v>
      </c>
      <c r="AJ338" s="5"/>
      <c r="AK338" s="5"/>
      <c r="AL338" s="7" t="s">
        <v>15077</v>
      </c>
    </row>
    <row r="339" spans="1:38" ht="36" customHeight="1">
      <c r="A339" s="1" t="s">
        <v>5087</v>
      </c>
      <c r="B339" s="1" t="s">
        <v>5542</v>
      </c>
      <c r="C339" s="1" t="s">
        <v>5543</v>
      </c>
      <c r="D339" s="1" t="s">
        <v>4747</v>
      </c>
      <c r="E339" s="1">
        <v>0</v>
      </c>
      <c r="F339" s="1"/>
      <c r="G339" s="1" t="s">
        <v>12859</v>
      </c>
      <c r="H339" s="1" t="s">
        <v>8911</v>
      </c>
      <c r="I339" s="1" t="s">
        <v>4747</v>
      </c>
      <c r="J339" s="1"/>
      <c r="K339" s="1"/>
      <c r="L339" s="1" t="s">
        <v>12860</v>
      </c>
      <c r="M339" s="1" t="s">
        <v>13774</v>
      </c>
      <c r="N339" s="1" t="s">
        <v>13775</v>
      </c>
      <c r="O339" s="1"/>
      <c r="P339" s="1" t="s">
        <v>12863</v>
      </c>
      <c r="Q339" s="1"/>
      <c r="R339" s="1"/>
      <c r="S339" s="1"/>
      <c r="T339" s="1"/>
      <c r="U339" s="1"/>
      <c r="V339" s="1"/>
      <c r="W339" s="1"/>
      <c r="X339" s="1"/>
      <c r="Y339" s="1"/>
      <c r="Z339" s="1"/>
      <c r="AA339" s="1">
        <f t="shared" si="21"/>
        <v>0</v>
      </c>
      <c r="AB339" s="1" t="str">
        <f t="shared" si="22"/>
        <v>R2 retained</v>
      </c>
      <c r="AC339" s="1"/>
      <c r="AD339" s="1"/>
      <c r="AE339" s="1"/>
      <c r="AF339" s="1"/>
      <c r="AG339" s="1"/>
      <c r="AH339" s="1"/>
      <c r="AI339" s="1">
        <f t="shared" si="23"/>
        <v>0</v>
      </c>
      <c r="AJ339" s="5"/>
      <c r="AK339" s="5"/>
      <c r="AL339" s="7" t="s">
        <v>15077</v>
      </c>
    </row>
    <row r="340" spans="1:38" ht="36" customHeight="1">
      <c r="A340" s="1" t="s">
        <v>5087</v>
      </c>
      <c r="B340" s="1" t="s">
        <v>5547</v>
      </c>
      <c r="C340" s="1" t="s">
        <v>5548</v>
      </c>
      <c r="D340" s="1" t="s">
        <v>4747</v>
      </c>
      <c r="E340" s="1">
        <v>1</v>
      </c>
      <c r="F340" s="1"/>
      <c r="G340" s="1" t="s">
        <v>12859</v>
      </c>
      <c r="H340" s="1" t="s">
        <v>8911</v>
      </c>
      <c r="I340" s="1" t="s">
        <v>4862</v>
      </c>
      <c r="J340" s="1"/>
      <c r="K340" s="1"/>
      <c r="L340" s="1" t="s">
        <v>12860</v>
      </c>
      <c r="M340" s="1" t="s">
        <v>13776</v>
      </c>
      <c r="N340" s="1" t="s">
        <v>13777</v>
      </c>
      <c r="O340" s="1"/>
      <c r="P340" s="1" t="s">
        <v>12868</v>
      </c>
      <c r="Q340" s="1"/>
      <c r="R340" s="1"/>
      <c r="S340" s="1"/>
      <c r="T340" s="1"/>
      <c r="U340" s="1"/>
      <c r="V340" s="1"/>
      <c r="W340" s="1"/>
      <c r="X340" s="1"/>
      <c r="Y340" s="1"/>
      <c r="Z340" s="1"/>
      <c r="AA340" s="1">
        <f t="shared" si="21"/>
        <v>1</v>
      </c>
      <c r="AB340" s="1" t="str">
        <f t="shared" si="22"/>
        <v>R2 retained</v>
      </c>
      <c r="AC340" s="1"/>
      <c r="AD340" s="1"/>
      <c r="AE340" s="1"/>
      <c r="AF340" s="1"/>
      <c r="AG340" s="1"/>
      <c r="AH340" s="1"/>
      <c r="AI340" s="1">
        <f t="shared" si="23"/>
        <v>0</v>
      </c>
      <c r="AJ340" s="5"/>
      <c r="AK340" s="5"/>
      <c r="AL340" s="7" t="s">
        <v>15077</v>
      </c>
    </row>
    <row r="341" spans="1:38" ht="36" customHeight="1">
      <c r="A341" s="1" t="s">
        <v>5087</v>
      </c>
      <c r="B341" s="1" t="s">
        <v>5552</v>
      </c>
      <c r="C341" s="1" t="s">
        <v>5553</v>
      </c>
      <c r="D341" s="1" t="s">
        <v>13778</v>
      </c>
      <c r="E341" s="1">
        <v>1</v>
      </c>
      <c r="F341" s="1"/>
      <c r="G341" s="1" t="s">
        <v>12859</v>
      </c>
      <c r="H341" s="1" t="s">
        <v>8911</v>
      </c>
      <c r="I341" s="1" t="s">
        <v>4788</v>
      </c>
      <c r="J341" s="1"/>
      <c r="K341" s="1"/>
      <c r="L341" s="1" t="s">
        <v>12860</v>
      </c>
      <c r="M341" s="1" t="s">
        <v>13779</v>
      </c>
      <c r="N341" s="1" t="s">
        <v>13780</v>
      </c>
      <c r="O341" s="1"/>
      <c r="P341" s="1" t="s">
        <v>12868</v>
      </c>
      <c r="Q341" s="1"/>
      <c r="R341" s="1"/>
      <c r="S341" s="1"/>
      <c r="T341" s="1"/>
      <c r="U341" s="1"/>
      <c r="V341" s="1"/>
      <c r="W341" s="1"/>
      <c r="X341" s="1"/>
      <c r="Y341" s="1"/>
      <c r="Z341" s="1"/>
      <c r="AA341" s="1">
        <f t="shared" si="21"/>
        <v>1</v>
      </c>
      <c r="AB341" s="1" t="str">
        <f t="shared" si="22"/>
        <v>R2 retained</v>
      </c>
      <c r="AC341" s="1"/>
      <c r="AD341" s="1"/>
      <c r="AE341" s="1"/>
      <c r="AF341" s="1"/>
      <c r="AG341" s="1"/>
      <c r="AH341" s="1"/>
      <c r="AI341" s="1">
        <f t="shared" si="23"/>
        <v>0</v>
      </c>
      <c r="AJ341" s="5"/>
      <c r="AK341" s="5"/>
      <c r="AL341" s="7" t="s">
        <v>15077</v>
      </c>
    </row>
    <row r="342" spans="1:38" ht="36" customHeight="1">
      <c r="A342" s="1" t="s">
        <v>5087</v>
      </c>
      <c r="B342" s="1" t="s">
        <v>5557</v>
      </c>
      <c r="C342" s="1" t="s">
        <v>5558</v>
      </c>
      <c r="D342" s="1" t="s">
        <v>8950</v>
      </c>
      <c r="E342" s="1">
        <v>2</v>
      </c>
      <c r="F342" s="1"/>
      <c r="G342" s="1" t="s">
        <v>12859</v>
      </c>
      <c r="H342" s="1" t="s">
        <v>8911</v>
      </c>
      <c r="I342" s="1" t="s">
        <v>4896</v>
      </c>
      <c r="J342" s="1"/>
      <c r="K342" s="1"/>
      <c r="L342" s="1" t="s">
        <v>12860</v>
      </c>
      <c r="M342" s="1" t="s">
        <v>8952</v>
      </c>
      <c r="N342" s="1" t="s">
        <v>13781</v>
      </c>
      <c r="O342" s="1"/>
      <c r="P342" s="1" t="s">
        <v>12868</v>
      </c>
      <c r="Q342" s="1"/>
      <c r="R342" s="1"/>
      <c r="S342" s="1"/>
      <c r="T342" s="1"/>
      <c r="U342" s="1"/>
      <c r="V342" s="1"/>
      <c r="W342" s="1"/>
      <c r="X342" s="1"/>
      <c r="Y342" s="1"/>
      <c r="Z342" s="1"/>
      <c r="AA342" s="1">
        <f t="shared" si="21"/>
        <v>2</v>
      </c>
      <c r="AB342" s="1" t="str">
        <f t="shared" si="22"/>
        <v>R2 retained</v>
      </c>
      <c r="AC342" s="1"/>
      <c r="AD342" s="1"/>
      <c r="AE342" s="1"/>
      <c r="AF342" s="1"/>
      <c r="AG342" s="1"/>
      <c r="AH342" s="1"/>
      <c r="AI342" s="1">
        <f t="shared" si="23"/>
        <v>0</v>
      </c>
      <c r="AJ342" s="5"/>
      <c r="AK342" s="5"/>
      <c r="AL342" s="7" t="s">
        <v>15077</v>
      </c>
    </row>
    <row r="343" spans="1:38" ht="36" customHeight="1">
      <c r="A343" s="1" t="s">
        <v>5087</v>
      </c>
      <c r="B343" s="1" t="s">
        <v>5562</v>
      </c>
      <c r="C343" s="1" t="s">
        <v>5563</v>
      </c>
      <c r="D343" s="1" t="s">
        <v>8954</v>
      </c>
      <c r="E343" s="1">
        <v>0</v>
      </c>
      <c r="F343" s="1"/>
      <c r="G343" s="1" t="s">
        <v>12859</v>
      </c>
      <c r="H343" s="1" t="s">
        <v>8911</v>
      </c>
      <c r="I343" s="1" t="s">
        <v>4747</v>
      </c>
      <c r="J343" s="1"/>
      <c r="K343" s="1"/>
      <c r="L343" s="1" t="s">
        <v>12860</v>
      </c>
      <c r="M343" s="1" t="s">
        <v>8956</v>
      </c>
      <c r="N343" s="1" t="s">
        <v>13782</v>
      </c>
      <c r="O343" s="1"/>
      <c r="P343" s="1" t="s">
        <v>12863</v>
      </c>
      <c r="Q343" s="1"/>
      <c r="R343" s="1"/>
      <c r="S343" s="1"/>
      <c r="T343" s="1"/>
      <c r="U343" s="1"/>
      <c r="V343" s="1"/>
      <c r="W343" s="1"/>
      <c r="X343" s="1"/>
      <c r="Y343" s="1"/>
      <c r="Z343" s="1"/>
      <c r="AA343" s="1">
        <f t="shared" si="21"/>
        <v>0</v>
      </c>
      <c r="AB343" s="1" t="str">
        <f t="shared" si="22"/>
        <v>R2 retained</v>
      </c>
      <c r="AC343" s="1">
        <v>0</v>
      </c>
      <c r="AD343" s="1" t="s">
        <v>12884</v>
      </c>
      <c r="AE343" s="1" t="s">
        <v>13783</v>
      </c>
      <c r="AF343" s="1" t="s">
        <v>13784</v>
      </c>
      <c r="AG343" s="1" t="s">
        <v>8916</v>
      </c>
      <c r="AH343" s="1" t="s">
        <v>6096</v>
      </c>
      <c r="AI343" s="1">
        <f t="shared" si="23"/>
        <v>1</v>
      </c>
      <c r="AJ343" s="5"/>
      <c r="AK343" s="5"/>
      <c r="AL343" s="7" t="s">
        <v>15077</v>
      </c>
    </row>
    <row r="344" spans="1:38" ht="36" customHeight="1">
      <c r="A344" s="1" t="s">
        <v>5087</v>
      </c>
      <c r="B344" s="1" t="s">
        <v>5567</v>
      </c>
      <c r="C344" s="1" t="s">
        <v>5568</v>
      </c>
      <c r="D344" s="1" t="s">
        <v>13785</v>
      </c>
      <c r="E344" s="1">
        <v>2</v>
      </c>
      <c r="F344" s="1"/>
      <c r="G344" s="1" t="s">
        <v>12859</v>
      </c>
      <c r="H344" s="1" t="s">
        <v>8911</v>
      </c>
      <c r="I344" s="1" t="s">
        <v>4717</v>
      </c>
      <c r="J344" s="1"/>
      <c r="K344" s="1"/>
      <c r="L344" s="1" t="s">
        <v>12860</v>
      </c>
      <c r="M344" s="1" t="s">
        <v>13786</v>
      </c>
      <c r="N344" s="1" t="s">
        <v>13787</v>
      </c>
      <c r="O344" s="1"/>
      <c r="P344" s="1" t="s">
        <v>12868</v>
      </c>
      <c r="Q344" s="1"/>
      <c r="R344" s="1"/>
      <c r="S344" s="1"/>
      <c r="T344" s="1"/>
      <c r="U344" s="1"/>
      <c r="V344" s="1"/>
      <c r="W344" s="1"/>
      <c r="X344" s="1"/>
      <c r="Y344" s="1"/>
      <c r="Z344" s="1"/>
      <c r="AA344" s="1">
        <f t="shared" si="21"/>
        <v>2</v>
      </c>
      <c r="AB344" s="1" t="str">
        <f t="shared" si="22"/>
        <v>R2 retained</v>
      </c>
      <c r="AC344" s="1"/>
      <c r="AD344" s="1"/>
      <c r="AE344" s="1"/>
      <c r="AF344" s="1"/>
      <c r="AG344" s="1"/>
      <c r="AH344" s="1"/>
      <c r="AI344" s="1">
        <f t="shared" si="23"/>
        <v>0</v>
      </c>
      <c r="AJ344" s="5"/>
      <c r="AK344" s="5"/>
      <c r="AL344" s="7" t="s">
        <v>15077</v>
      </c>
    </row>
    <row r="345" spans="1:38" ht="36" customHeight="1">
      <c r="A345" s="1" t="s">
        <v>5087</v>
      </c>
      <c r="B345" s="1" t="s">
        <v>5572</v>
      </c>
      <c r="C345" s="1" t="s">
        <v>5573</v>
      </c>
      <c r="D345" s="1" t="s">
        <v>13788</v>
      </c>
      <c r="E345" s="1">
        <v>2</v>
      </c>
      <c r="F345" s="1"/>
      <c r="G345" s="1" t="s">
        <v>12859</v>
      </c>
      <c r="H345" s="1" t="s">
        <v>8911</v>
      </c>
      <c r="I345" s="1" t="s">
        <v>4862</v>
      </c>
      <c r="J345" s="1"/>
      <c r="K345" s="1"/>
      <c r="L345" s="1" t="s">
        <v>12860</v>
      </c>
      <c r="M345" s="1" t="s">
        <v>13789</v>
      </c>
      <c r="N345" s="1" t="s">
        <v>13790</v>
      </c>
      <c r="O345" s="1"/>
      <c r="P345" s="1" t="s">
        <v>12868</v>
      </c>
      <c r="Q345" s="1"/>
      <c r="R345" s="1"/>
      <c r="S345" s="1"/>
      <c r="T345" s="1"/>
      <c r="U345" s="1"/>
      <c r="V345" s="1"/>
      <c r="W345" s="1"/>
      <c r="X345" s="1"/>
      <c r="Y345" s="1"/>
      <c r="Z345" s="1"/>
      <c r="AA345" s="1">
        <f t="shared" si="21"/>
        <v>2</v>
      </c>
      <c r="AB345" s="1" t="str">
        <f t="shared" si="22"/>
        <v>R2 retained</v>
      </c>
      <c r="AC345" s="1"/>
      <c r="AD345" s="1"/>
      <c r="AE345" s="1"/>
      <c r="AF345" s="1"/>
      <c r="AG345" s="1"/>
      <c r="AH345" s="1"/>
      <c r="AI345" s="1">
        <f t="shared" si="23"/>
        <v>0</v>
      </c>
      <c r="AJ345" s="5"/>
      <c r="AK345" s="5"/>
      <c r="AL345" s="7" t="s">
        <v>15077</v>
      </c>
    </row>
    <row r="346" spans="1:38" ht="36" customHeight="1">
      <c r="A346" s="1" t="s">
        <v>5087</v>
      </c>
      <c r="B346" s="1" t="s">
        <v>5577</v>
      </c>
      <c r="C346" s="1" t="s">
        <v>5578</v>
      </c>
      <c r="D346" s="1" t="s">
        <v>13791</v>
      </c>
      <c r="E346" s="1">
        <v>1</v>
      </c>
      <c r="F346" s="1"/>
      <c r="G346" s="1" t="s">
        <v>12859</v>
      </c>
      <c r="H346" s="1" t="s">
        <v>8911</v>
      </c>
      <c r="I346" s="1" t="s">
        <v>4862</v>
      </c>
      <c r="J346" s="1"/>
      <c r="K346" s="1"/>
      <c r="L346" s="1" t="s">
        <v>12860</v>
      </c>
      <c r="M346" s="1" t="s">
        <v>13792</v>
      </c>
      <c r="N346" s="1" t="s">
        <v>13793</v>
      </c>
      <c r="O346" s="1"/>
      <c r="P346" s="1" t="s">
        <v>12868</v>
      </c>
      <c r="Q346" s="1"/>
      <c r="R346" s="1"/>
      <c r="S346" s="1"/>
      <c r="T346" s="1"/>
      <c r="U346" s="1"/>
      <c r="V346" s="1"/>
      <c r="W346" s="1"/>
      <c r="X346" s="1"/>
      <c r="Y346" s="1"/>
      <c r="Z346" s="1"/>
      <c r="AA346" s="1">
        <f t="shared" si="21"/>
        <v>1</v>
      </c>
      <c r="AB346" s="1" t="str">
        <f t="shared" si="22"/>
        <v>R2 retained</v>
      </c>
      <c r="AC346" s="1"/>
      <c r="AD346" s="1"/>
      <c r="AE346" s="1"/>
      <c r="AF346" s="1"/>
      <c r="AG346" s="1"/>
      <c r="AH346" s="1"/>
      <c r="AI346" s="1">
        <f t="shared" si="23"/>
        <v>0</v>
      </c>
      <c r="AJ346" s="5"/>
      <c r="AK346" s="5"/>
      <c r="AL346" s="7" t="s">
        <v>15077</v>
      </c>
    </row>
    <row r="347" spans="1:38" ht="36" customHeight="1">
      <c r="A347" s="1" t="s">
        <v>5087</v>
      </c>
      <c r="B347" s="1" t="s">
        <v>5582</v>
      </c>
      <c r="C347" s="1" t="s">
        <v>5583</v>
      </c>
      <c r="D347" s="1" t="s">
        <v>4747</v>
      </c>
      <c r="E347" s="1">
        <v>0</v>
      </c>
      <c r="F347" s="1"/>
      <c r="G347" s="1" t="s">
        <v>12859</v>
      </c>
      <c r="H347" s="1" t="s">
        <v>8911</v>
      </c>
      <c r="I347" s="1" t="s">
        <v>4747</v>
      </c>
      <c r="J347" s="1"/>
      <c r="K347" s="1"/>
      <c r="L347" s="1" t="s">
        <v>12860</v>
      </c>
      <c r="M347" s="1" t="s">
        <v>8985</v>
      </c>
      <c r="N347" s="1" t="s">
        <v>13794</v>
      </c>
      <c r="O347" s="1"/>
      <c r="P347" s="1" t="s">
        <v>12863</v>
      </c>
      <c r="Q347" s="1"/>
      <c r="R347" s="1"/>
      <c r="S347" s="1"/>
      <c r="T347" s="1"/>
      <c r="U347" s="1"/>
      <c r="V347" s="1"/>
      <c r="W347" s="1"/>
      <c r="X347" s="1"/>
      <c r="Y347" s="1"/>
      <c r="Z347" s="1"/>
      <c r="AA347" s="1">
        <f t="shared" si="21"/>
        <v>0</v>
      </c>
      <c r="AB347" s="1" t="str">
        <f t="shared" si="22"/>
        <v>R2 retained</v>
      </c>
      <c r="AC347" s="1">
        <v>0</v>
      </c>
      <c r="AD347" s="1" t="s">
        <v>12884</v>
      </c>
      <c r="AE347" s="1" t="s">
        <v>13795</v>
      </c>
      <c r="AF347" s="1" t="s">
        <v>13796</v>
      </c>
      <c r="AG347" s="1" t="s">
        <v>8916</v>
      </c>
      <c r="AH347" s="1" t="s">
        <v>6096</v>
      </c>
      <c r="AI347" s="1">
        <f t="shared" si="23"/>
        <v>1</v>
      </c>
      <c r="AJ347" s="5" t="s">
        <v>12898</v>
      </c>
      <c r="AK347" s="5" t="s">
        <v>12899</v>
      </c>
      <c r="AL347" s="7" t="s">
        <v>15077</v>
      </c>
    </row>
    <row r="348" spans="1:38" ht="36" customHeight="1">
      <c r="A348" s="1" t="s">
        <v>5087</v>
      </c>
      <c r="B348" s="1" t="s">
        <v>5586</v>
      </c>
      <c r="C348" s="1" t="s">
        <v>5587</v>
      </c>
      <c r="D348" s="1" t="s">
        <v>13619</v>
      </c>
      <c r="E348" s="1">
        <v>0</v>
      </c>
      <c r="F348" s="1"/>
      <c r="G348" s="1" t="s">
        <v>12859</v>
      </c>
      <c r="H348" s="1" t="s">
        <v>8911</v>
      </c>
      <c r="I348" s="1" t="s">
        <v>4747</v>
      </c>
      <c r="J348" s="1"/>
      <c r="K348" s="1"/>
      <c r="L348" s="1" t="s">
        <v>12860</v>
      </c>
      <c r="M348" s="1" t="s">
        <v>13797</v>
      </c>
      <c r="N348" s="1" t="s">
        <v>13798</v>
      </c>
      <c r="O348" s="1"/>
      <c r="P348" s="1" t="s">
        <v>12863</v>
      </c>
      <c r="Q348" s="1"/>
      <c r="R348" s="1"/>
      <c r="S348" s="1"/>
      <c r="T348" s="1"/>
      <c r="U348" s="1"/>
      <c r="V348" s="1"/>
      <c r="W348" s="1"/>
      <c r="X348" s="1"/>
      <c r="Y348" s="1"/>
      <c r="Z348" s="1"/>
      <c r="AA348" s="1">
        <f t="shared" si="21"/>
        <v>0</v>
      </c>
      <c r="AB348" s="1" t="str">
        <f t="shared" si="22"/>
        <v>R2 retained</v>
      </c>
      <c r="AC348" s="1"/>
      <c r="AD348" s="1"/>
      <c r="AE348" s="1"/>
      <c r="AF348" s="1"/>
      <c r="AG348" s="1"/>
      <c r="AH348" s="1"/>
      <c r="AI348" s="1">
        <f t="shared" si="23"/>
        <v>0</v>
      </c>
      <c r="AJ348" s="5"/>
      <c r="AK348" s="5"/>
      <c r="AL348" s="7" t="s">
        <v>15077</v>
      </c>
    </row>
    <row r="349" spans="1:38" ht="60" customHeight="1">
      <c r="A349" s="1" t="s">
        <v>5087</v>
      </c>
      <c r="B349" s="1" t="s">
        <v>5591</v>
      </c>
      <c r="C349" s="1" t="s">
        <v>5592</v>
      </c>
      <c r="D349" s="1" t="s">
        <v>13799</v>
      </c>
      <c r="E349" s="1">
        <v>0</v>
      </c>
      <c r="F349" s="1"/>
      <c r="G349" s="1" t="s">
        <v>12859</v>
      </c>
      <c r="H349" s="1" t="s">
        <v>8911</v>
      </c>
      <c r="I349" s="1" t="s">
        <v>4747</v>
      </c>
      <c r="J349" s="1"/>
      <c r="K349" s="1"/>
      <c r="L349" s="1" t="s">
        <v>12860</v>
      </c>
      <c r="M349" s="1" t="s">
        <v>13800</v>
      </c>
      <c r="N349" s="1" t="s">
        <v>13801</v>
      </c>
      <c r="O349" s="1"/>
      <c r="P349" s="1" t="s">
        <v>12863</v>
      </c>
      <c r="Q349" s="1">
        <v>0</v>
      </c>
      <c r="R349" s="1" t="s">
        <v>12904</v>
      </c>
      <c r="S349" s="1" t="s">
        <v>13802</v>
      </c>
      <c r="T349" s="1" t="s">
        <v>13803</v>
      </c>
      <c r="U349" s="1" t="s">
        <v>8916</v>
      </c>
      <c r="V349" s="1" t="s">
        <v>6096</v>
      </c>
      <c r="W349" s="1" t="s">
        <v>12907</v>
      </c>
      <c r="X349" s="1"/>
      <c r="Y349" s="1"/>
      <c r="Z349" s="1" t="s">
        <v>12908</v>
      </c>
      <c r="AA349" s="1">
        <f t="shared" si="21"/>
        <v>0</v>
      </c>
      <c r="AB349" s="1" t="str">
        <f t="shared" si="22"/>
        <v>R2 retained</v>
      </c>
      <c r="AC349" s="1">
        <v>0</v>
      </c>
      <c r="AD349" s="1" t="s">
        <v>12884</v>
      </c>
      <c r="AE349" s="1" t="s">
        <v>13802</v>
      </c>
      <c r="AF349" s="1" t="s">
        <v>13803</v>
      </c>
      <c r="AG349" s="1" t="s">
        <v>8916</v>
      </c>
      <c r="AH349" s="1" t="s">
        <v>6096</v>
      </c>
      <c r="AI349" s="1">
        <f t="shared" si="23"/>
        <v>1</v>
      </c>
      <c r="AJ349" s="5" t="s">
        <v>12898</v>
      </c>
      <c r="AK349" s="5" t="s">
        <v>12899</v>
      </c>
      <c r="AL349" s="7" t="s">
        <v>15077</v>
      </c>
    </row>
    <row r="350" spans="1:38" ht="36" customHeight="1">
      <c r="A350" s="1" t="s">
        <v>5087</v>
      </c>
      <c r="B350" s="1" t="s">
        <v>5596</v>
      </c>
      <c r="C350" s="1" t="s">
        <v>5597</v>
      </c>
      <c r="D350" s="1" t="s">
        <v>13804</v>
      </c>
      <c r="E350" s="1">
        <v>0</v>
      </c>
      <c r="F350" s="1"/>
      <c r="G350" s="1" t="s">
        <v>12859</v>
      </c>
      <c r="H350" s="1" t="s">
        <v>8911</v>
      </c>
      <c r="I350" s="1" t="s">
        <v>4747</v>
      </c>
      <c r="J350" s="1"/>
      <c r="K350" s="1"/>
      <c r="L350" s="1" t="s">
        <v>12860</v>
      </c>
      <c r="M350" s="1" t="s">
        <v>13805</v>
      </c>
      <c r="N350" s="1" t="s">
        <v>13806</v>
      </c>
      <c r="O350" s="1"/>
      <c r="P350" s="1" t="s">
        <v>12863</v>
      </c>
      <c r="Q350" s="1"/>
      <c r="R350" s="1"/>
      <c r="S350" s="1"/>
      <c r="T350" s="1"/>
      <c r="U350" s="1"/>
      <c r="V350" s="1"/>
      <c r="W350" s="1"/>
      <c r="X350" s="1"/>
      <c r="Y350" s="1"/>
      <c r="Z350" s="1"/>
      <c r="AA350" s="1">
        <f t="shared" si="21"/>
        <v>0</v>
      </c>
      <c r="AB350" s="1" t="str">
        <f t="shared" si="22"/>
        <v>R2 retained</v>
      </c>
      <c r="AC350" s="1"/>
      <c r="AD350" s="1"/>
      <c r="AE350" s="1"/>
      <c r="AF350" s="1"/>
      <c r="AG350" s="1"/>
      <c r="AH350" s="1"/>
      <c r="AI350" s="1">
        <f t="shared" si="23"/>
        <v>0</v>
      </c>
      <c r="AJ350" s="5"/>
      <c r="AK350" s="5"/>
      <c r="AL350" s="7" t="s">
        <v>15077</v>
      </c>
    </row>
    <row r="351" spans="1:38" ht="36" customHeight="1">
      <c r="A351" s="1" t="s">
        <v>5087</v>
      </c>
      <c r="B351" s="1" t="s">
        <v>5601</v>
      </c>
      <c r="C351" s="1" t="s">
        <v>5602</v>
      </c>
      <c r="D351" s="1" t="s">
        <v>8996</v>
      </c>
      <c r="E351" s="1">
        <v>1</v>
      </c>
      <c r="F351" s="1"/>
      <c r="G351" s="1" t="s">
        <v>12859</v>
      </c>
      <c r="H351" s="1" t="s">
        <v>8911</v>
      </c>
      <c r="I351" s="1" t="s">
        <v>4896</v>
      </c>
      <c r="J351" s="1"/>
      <c r="K351" s="1"/>
      <c r="L351" s="1" t="s">
        <v>12860</v>
      </c>
      <c r="M351" s="1" t="s">
        <v>8998</v>
      </c>
      <c r="N351" s="1" t="s">
        <v>13807</v>
      </c>
      <c r="O351" s="1"/>
      <c r="P351" s="1" t="s">
        <v>12868</v>
      </c>
      <c r="Q351" s="1"/>
      <c r="R351" s="1"/>
      <c r="S351" s="1"/>
      <c r="T351" s="1"/>
      <c r="U351" s="1"/>
      <c r="V351" s="1"/>
      <c r="W351" s="1"/>
      <c r="X351" s="1"/>
      <c r="Y351" s="1"/>
      <c r="Z351" s="1"/>
      <c r="AA351" s="1">
        <f t="shared" si="21"/>
        <v>1</v>
      </c>
      <c r="AB351" s="1" t="str">
        <f t="shared" si="22"/>
        <v>R2 retained</v>
      </c>
      <c r="AC351" s="1"/>
      <c r="AD351" s="1"/>
      <c r="AE351" s="1"/>
      <c r="AF351" s="1"/>
      <c r="AG351" s="1"/>
      <c r="AH351" s="1"/>
      <c r="AI351" s="1">
        <f t="shared" si="23"/>
        <v>0</v>
      </c>
      <c r="AJ351" s="5"/>
      <c r="AK351" s="5"/>
      <c r="AL351" s="7" t="s">
        <v>15077</v>
      </c>
    </row>
    <row r="352" spans="1:38" ht="36" customHeight="1">
      <c r="A352" s="1" t="s">
        <v>5087</v>
      </c>
      <c r="B352" s="1" t="s">
        <v>5606</v>
      </c>
      <c r="C352" s="1" t="s">
        <v>5607</v>
      </c>
      <c r="D352" s="1" t="s">
        <v>9000</v>
      </c>
      <c r="E352" s="1">
        <v>2</v>
      </c>
      <c r="F352" s="1"/>
      <c r="G352" s="1" t="s">
        <v>12859</v>
      </c>
      <c r="H352" s="1" t="s">
        <v>8911</v>
      </c>
      <c r="I352" s="1" t="s">
        <v>4862</v>
      </c>
      <c r="J352" s="1"/>
      <c r="K352" s="1"/>
      <c r="L352" s="1" t="s">
        <v>12860</v>
      </c>
      <c r="M352" s="1" t="s">
        <v>9002</v>
      </c>
      <c r="N352" s="1" t="s">
        <v>13808</v>
      </c>
      <c r="O352" s="1"/>
      <c r="P352" s="1" t="s">
        <v>12868</v>
      </c>
      <c r="Q352" s="1"/>
      <c r="R352" s="1"/>
      <c r="S352" s="1"/>
      <c r="T352" s="1"/>
      <c r="U352" s="1"/>
      <c r="V352" s="1"/>
      <c r="W352" s="1"/>
      <c r="X352" s="1"/>
      <c r="Y352" s="1"/>
      <c r="Z352" s="1"/>
      <c r="AA352" s="1">
        <f t="shared" si="21"/>
        <v>2</v>
      </c>
      <c r="AB352" s="1" t="str">
        <f t="shared" si="22"/>
        <v>R2 retained</v>
      </c>
      <c r="AC352" s="1"/>
      <c r="AD352" s="1"/>
      <c r="AE352" s="1"/>
      <c r="AF352" s="1"/>
      <c r="AG352" s="1"/>
      <c r="AH352" s="1"/>
      <c r="AI352" s="1">
        <f t="shared" si="23"/>
        <v>0</v>
      </c>
      <c r="AJ352" s="5"/>
      <c r="AK352" s="5"/>
      <c r="AL352" s="7" t="s">
        <v>15077</v>
      </c>
    </row>
    <row r="353" spans="1:38" ht="96" customHeight="1">
      <c r="A353" s="1" t="s">
        <v>5087</v>
      </c>
      <c r="B353" s="1" t="s">
        <v>5454</v>
      </c>
      <c r="C353" s="1" t="s">
        <v>5455</v>
      </c>
      <c r="D353" s="1" t="s">
        <v>4747</v>
      </c>
      <c r="E353" s="1">
        <v>1</v>
      </c>
      <c r="F353" s="1">
        <v>0</v>
      </c>
      <c r="G353" s="1" t="s">
        <v>4691</v>
      </c>
      <c r="H353" s="1" t="s">
        <v>8911</v>
      </c>
      <c r="I353" s="1" t="s">
        <v>4862</v>
      </c>
      <c r="J353" s="1"/>
      <c r="K353" s="1"/>
      <c r="L353" s="1" t="s">
        <v>12860</v>
      </c>
      <c r="M353" s="1" t="s">
        <v>9005</v>
      </c>
      <c r="N353" s="1" t="s">
        <v>13809</v>
      </c>
      <c r="O353" s="1" t="s">
        <v>13810</v>
      </c>
      <c r="P353" s="1" t="s">
        <v>12917</v>
      </c>
      <c r="Q353" s="1"/>
      <c r="R353" s="1"/>
      <c r="S353" s="1"/>
      <c r="T353" s="1"/>
      <c r="U353" s="1"/>
      <c r="V353" s="1"/>
      <c r="W353" s="1"/>
      <c r="X353" s="1"/>
      <c r="Y353" s="1" t="s">
        <v>13679</v>
      </c>
      <c r="Z353" s="1" t="s">
        <v>12918</v>
      </c>
      <c r="AA353" s="1">
        <f t="shared" si="21"/>
        <v>0</v>
      </c>
      <c r="AB353" s="1" t="str">
        <f t="shared" si="22"/>
        <v>Reviewer confirmed</v>
      </c>
      <c r="AC353" s="1">
        <v>0</v>
      </c>
      <c r="AD353" s="1" t="s">
        <v>12936</v>
      </c>
      <c r="AE353" s="1" t="s">
        <v>13679</v>
      </c>
      <c r="AF353" s="1" t="s">
        <v>13680</v>
      </c>
      <c r="AG353" s="1" t="s">
        <v>13811</v>
      </c>
      <c r="AH353" s="1" t="s">
        <v>5461</v>
      </c>
      <c r="AI353" s="1">
        <f t="shared" si="23"/>
        <v>1</v>
      </c>
      <c r="AJ353" s="5" t="s">
        <v>12898</v>
      </c>
      <c r="AK353" s="5" t="s">
        <v>12899</v>
      </c>
      <c r="AL353" s="7" t="s">
        <v>15077</v>
      </c>
    </row>
    <row r="354" spans="1:38" ht="36" customHeight="1">
      <c r="A354" s="1" t="s">
        <v>5749</v>
      </c>
      <c r="B354" s="1" t="s">
        <v>5537</v>
      </c>
      <c r="C354" s="1" t="s">
        <v>5538</v>
      </c>
      <c r="D354" s="1" t="s">
        <v>4747</v>
      </c>
      <c r="E354" s="1">
        <v>0</v>
      </c>
      <c r="F354" s="1"/>
      <c r="G354" s="1" t="s">
        <v>12859</v>
      </c>
      <c r="H354" s="1" t="s">
        <v>9020</v>
      </c>
      <c r="I354" s="1" t="s">
        <v>4747</v>
      </c>
      <c r="J354" s="1"/>
      <c r="K354" s="1"/>
      <c r="L354" s="1" t="s">
        <v>12860</v>
      </c>
      <c r="M354" s="1" t="s">
        <v>13812</v>
      </c>
      <c r="N354" s="1" t="s">
        <v>13813</v>
      </c>
      <c r="O354" s="1"/>
      <c r="P354" s="1" t="s">
        <v>12863</v>
      </c>
      <c r="Q354" s="1"/>
      <c r="R354" s="1"/>
      <c r="S354" s="1"/>
      <c r="T354" s="1"/>
      <c r="U354" s="1"/>
      <c r="V354" s="1"/>
      <c r="W354" s="1"/>
      <c r="X354" s="1"/>
      <c r="Y354" s="1"/>
      <c r="Z354" s="1"/>
      <c r="AA354" s="1">
        <f t="shared" si="21"/>
        <v>0</v>
      </c>
      <c r="AB354" s="1" t="str">
        <f t="shared" ref="AB354:AB385" si="24">IF(OR(ISNUMBER(F354),F354="NA"),"Reviewer confirmed",IF(AD354="uncertain","Unresolved under clarified rule",IF(AND(OR(ISNUMBER(AC354),AC354="NA"),AC354&lt;&gt;E354),"Analyst scope correction","R2 retained")))</f>
        <v>R2 retained</v>
      </c>
      <c r="AC354" s="1"/>
      <c r="AD354" s="1"/>
      <c r="AE354" s="1"/>
      <c r="AF354" s="1"/>
      <c r="AG354" s="1"/>
      <c r="AH354" s="1"/>
      <c r="AI354" s="1">
        <f t="shared" si="23"/>
        <v>0</v>
      </c>
      <c r="AJ354" s="5"/>
      <c r="AK354" s="5"/>
      <c r="AL354" s="7" t="s">
        <v>15077</v>
      </c>
    </row>
    <row r="355" spans="1:38" ht="36" customHeight="1">
      <c r="A355" s="1" t="s">
        <v>5749</v>
      </c>
      <c r="B355" s="1" t="s">
        <v>5542</v>
      </c>
      <c r="C355" s="1" t="s">
        <v>5543</v>
      </c>
      <c r="D355" s="1" t="s">
        <v>4747</v>
      </c>
      <c r="E355" s="1">
        <v>0</v>
      </c>
      <c r="F355" s="1"/>
      <c r="G355" s="1" t="s">
        <v>12859</v>
      </c>
      <c r="H355" s="1" t="s">
        <v>9020</v>
      </c>
      <c r="I355" s="1" t="s">
        <v>4747</v>
      </c>
      <c r="J355" s="1"/>
      <c r="K355" s="1"/>
      <c r="L355" s="1" t="s">
        <v>12860</v>
      </c>
      <c r="M355" s="1" t="s">
        <v>13814</v>
      </c>
      <c r="N355" s="1" t="s">
        <v>13815</v>
      </c>
      <c r="O355" s="1"/>
      <c r="P355" s="1" t="s">
        <v>12863</v>
      </c>
      <c r="Q355" s="1"/>
      <c r="R355" s="1"/>
      <c r="S355" s="1"/>
      <c r="T355" s="1"/>
      <c r="U355" s="1"/>
      <c r="V355" s="1"/>
      <c r="W355" s="1"/>
      <c r="X355" s="1"/>
      <c r="Y355" s="1"/>
      <c r="Z355" s="1"/>
      <c r="AA355" s="1">
        <f t="shared" si="21"/>
        <v>0</v>
      </c>
      <c r="AB355" s="1" t="str">
        <f t="shared" si="24"/>
        <v>R2 retained</v>
      </c>
      <c r="AC355" s="1"/>
      <c r="AD355" s="1"/>
      <c r="AE355" s="1"/>
      <c r="AF355" s="1"/>
      <c r="AG355" s="1"/>
      <c r="AH355" s="1"/>
      <c r="AI355" s="1">
        <f t="shared" si="23"/>
        <v>0</v>
      </c>
      <c r="AJ355" s="5"/>
      <c r="AK355" s="5"/>
      <c r="AL355" s="7" t="s">
        <v>15077</v>
      </c>
    </row>
    <row r="356" spans="1:38" ht="36" customHeight="1">
      <c r="A356" s="1" t="s">
        <v>5749</v>
      </c>
      <c r="B356" s="1" t="s">
        <v>5547</v>
      </c>
      <c r="C356" s="1" t="s">
        <v>5548</v>
      </c>
      <c r="D356" s="1" t="s">
        <v>4747</v>
      </c>
      <c r="E356" s="1">
        <v>1</v>
      </c>
      <c r="F356" s="1"/>
      <c r="G356" s="1" t="s">
        <v>12859</v>
      </c>
      <c r="H356" s="1" t="s">
        <v>9020</v>
      </c>
      <c r="I356" s="1" t="s">
        <v>5253</v>
      </c>
      <c r="J356" s="1"/>
      <c r="K356" s="1"/>
      <c r="L356" s="1" t="s">
        <v>12860</v>
      </c>
      <c r="M356" s="1" t="s">
        <v>13816</v>
      </c>
      <c r="N356" s="1" t="s">
        <v>13817</v>
      </c>
      <c r="O356" s="1"/>
      <c r="P356" s="1" t="s">
        <v>12868</v>
      </c>
      <c r="Q356" s="1"/>
      <c r="R356" s="1"/>
      <c r="S356" s="1"/>
      <c r="T356" s="1"/>
      <c r="U356" s="1"/>
      <c r="V356" s="1"/>
      <c r="W356" s="1"/>
      <c r="X356" s="1"/>
      <c r="Y356" s="1"/>
      <c r="Z356" s="1"/>
      <c r="AA356" s="1">
        <f t="shared" si="21"/>
        <v>1</v>
      </c>
      <c r="AB356" s="1" t="str">
        <f t="shared" si="24"/>
        <v>R2 retained</v>
      </c>
      <c r="AC356" s="1"/>
      <c r="AD356" s="1"/>
      <c r="AE356" s="1"/>
      <c r="AF356" s="1"/>
      <c r="AG356" s="1"/>
      <c r="AH356" s="1"/>
      <c r="AI356" s="1">
        <f t="shared" si="23"/>
        <v>0</v>
      </c>
      <c r="AJ356" s="5"/>
      <c r="AK356" s="5"/>
      <c r="AL356" s="7" t="s">
        <v>15077</v>
      </c>
    </row>
    <row r="357" spans="1:38" ht="36" customHeight="1">
      <c r="A357" s="1" t="s">
        <v>5749</v>
      </c>
      <c r="B357" s="1" t="s">
        <v>5552</v>
      </c>
      <c r="C357" s="1" t="s">
        <v>5553</v>
      </c>
      <c r="D357" s="1" t="s">
        <v>12929</v>
      </c>
      <c r="E357" s="1">
        <v>0</v>
      </c>
      <c r="F357" s="1"/>
      <c r="G357" s="1" t="s">
        <v>12859</v>
      </c>
      <c r="H357" s="1" t="s">
        <v>9020</v>
      </c>
      <c r="I357" s="1" t="s">
        <v>4747</v>
      </c>
      <c r="J357" s="1"/>
      <c r="K357" s="1"/>
      <c r="L357" s="1" t="s">
        <v>12860</v>
      </c>
      <c r="M357" s="1" t="s">
        <v>13818</v>
      </c>
      <c r="N357" s="1" t="s">
        <v>13819</v>
      </c>
      <c r="O357" s="1"/>
      <c r="P357" s="1" t="s">
        <v>12863</v>
      </c>
      <c r="Q357" s="1"/>
      <c r="R357" s="1"/>
      <c r="S357" s="1"/>
      <c r="T357" s="1"/>
      <c r="U357" s="1"/>
      <c r="V357" s="1"/>
      <c r="W357" s="1"/>
      <c r="X357" s="1"/>
      <c r="Y357" s="1"/>
      <c r="Z357" s="1"/>
      <c r="AA357" s="1">
        <f t="shared" si="21"/>
        <v>0</v>
      </c>
      <c r="AB357" s="1" t="str">
        <f t="shared" si="24"/>
        <v>R2 retained</v>
      </c>
      <c r="AC357" s="1"/>
      <c r="AD357" s="1"/>
      <c r="AE357" s="1"/>
      <c r="AF357" s="1"/>
      <c r="AG357" s="1"/>
      <c r="AH357" s="1"/>
      <c r="AI357" s="1">
        <f t="shared" si="23"/>
        <v>0</v>
      </c>
      <c r="AJ357" s="5"/>
      <c r="AK357" s="5"/>
      <c r="AL357" s="7" t="s">
        <v>15077</v>
      </c>
    </row>
    <row r="358" spans="1:38" ht="36" customHeight="1">
      <c r="A358" s="1" t="s">
        <v>5749</v>
      </c>
      <c r="B358" s="1" t="s">
        <v>5557</v>
      </c>
      <c r="C358" s="1" t="s">
        <v>5558</v>
      </c>
      <c r="D358" s="1" t="s">
        <v>4747</v>
      </c>
      <c r="E358" s="1">
        <v>0</v>
      </c>
      <c r="F358" s="1"/>
      <c r="G358" s="1" t="s">
        <v>12859</v>
      </c>
      <c r="H358" s="1" t="s">
        <v>9020</v>
      </c>
      <c r="I358" s="1" t="s">
        <v>4747</v>
      </c>
      <c r="J358" s="1"/>
      <c r="K358" s="1"/>
      <c r="L358" s="1" t="s">
        <v>12860</v>
      </c>
      <c r="M358" s="1" t="s">
        <v>9060</v>
      </c>
      <c r="N358" s="1" t="s">
        <v>13820</v>
      </c>
      <c r="O358" s="1"/>
      <c r="P358" s="1" t="s">
        <v>12863</v>
      </c>
      <c r="Q358" s="1"/>
      <c r="R358" s="1"/>
      <c r="S358" s="1"/>
      <c r="T358" s="1"/>
      <c r="U358" s="1"/>
      <c r="V358" s="1"/>
      <c r="W358" s="1"/>
      <c r="X358" s="1"/>
      <c r="Y358" s="1"/>
      <c r="Z358" s="1"/>
      <c r="AA358" s="1">
        <f t="shared" si="21"/>
        <v>0</v>
      </c>
      <c r="AB358" s="1" t="str">
        <f t="shared" si="24"/>
        <v>R2 retained</v>
      </c>
      <c r="AC358" s="1"/>
      <c r="AD358" s="1"/>
      <c r="AE358" s="1"/>
      <c r="AF358" s="1"/>
      <c r="AG358" s="1"/>
      <c r="AH358" s="1"/>
      <c r="AI358" s="1">
        <f t="shared" si="23"/>
        <v>0</v>
      </c>
      <c r="AJ358" s="5"/>
      <c r="AK358" s="5"/>
      <c r="AL358" s="7" t="s">
        <v>15077</v>
      </c>
    </row>
    <row r="359" spans="1:38" ht="60" customHeight="1">
      <c r="A359" s="1" t="s">
        <v>5749</v>
      </c>
      <c r="B359" s="1" t="s">
        <v>5562</v>
      </c>
      <c r="C359" s="1" t="s">
        <v>5563</v>
      </c>
      <c r="D359" s="1" t="s">
        <v>4747</v>
      </c>
      <c r="E359" s="1">
        <v>0</v>
      </c>
      <c r="F359" s="1">
        <v>1</v>
      </c>
      <c r="G359" s="1" t="s">
        <v>4691</v>
      </c>
      <c r="H359" s="1" t="s">
        <v>9020</v>
      </c>
      <c r="I359" s="1" t="s">
        <v>4747</v>
      </c>
      <c r="J359" s="1"/>
      <c r="K359" s="1"/>
      <c r="L359" s="1" t="s">
        <v>12860</v>
      </c>
      <c r="M359" s="1" t="s">
        <v>9065</v>
      </c>
      <c r="N359" s="1" t="s">
        <v>13821</v>
      </c>
      <c r="O359" s="1" t="s">
        <v>13822</v>
      </c>
      <c r="P359" s="1" t="s">
        <v>12917</v>
      </c>
      <c r="Q359" s="1"/>
      <c r="R359" s="1"/>
      <c r="S359" s="1"/>
      <c r="T359" s="1"/>
      <c r="U359" s="1"/>
      <c r="V359" s="1"/>
      <c r="W359" s="1"/>
      <c r="X359" s="1"/>
      <c r="Y359" s="1" t="s">
        <v>5751</v>
      </c>
      <c r="Z359" s="1" t="s">
        <v>12918</v>
      </c>
      <c r="AA359" s="1">
        <f t="shared" si="21"/>
        <v>1</v>
      </c>
      <c r="AB359" s="1" t="str">
        <f t="shared" si="24"/>
        <v>Reviewer confirmed</v>
      </c>
      <c r="AC359" s="1">
        <v>1</v>
      </c>
      <c r="AD359" s="1" t="s">
        <v>12936</v>
      </c>
      <c r="AE359" s="1" t="s">
        <v>5751</v>
      </c>
      <c r="AF359" s="1" t="s">
        <v>5750</v>
      </c>
      <c r="AG359" s="1" t="s">
        <v>5752</v>
      </c>
      <c r="AH359" s="1" t="s">
        <v>5461</v>
      </c>
      <c r="AI359" s="1">
        <f t="shared" si="23"/>
        <v>1</v>
      </c>
      <c r="AJ359" s="5"/>
      <c r="AK359" s="5"/>
      <c r="AL359" s="7" t="s">
        <v>15077</v>
      </c>
    </row>
    <row r="360" spans="1:38" ht="36" customHeight="1">
      <c r="A360" s="1" t="s">
        <v>5749</v>
      </c>
      <c r="B360" s="1" t="s">
        <v>5567</v>
      </c>
      <c r="C360" s="1" t="s">
        <v>5568</v>
      </c>
      <c r="D360" s="1" t="s">
        <v>6452</v>
      </c>
      <c r="E360" s="1">
        <v>0</v>
      </c>
      <c r="F360" s="1"/>
      <c r="G360" s="1" t="s">
        <v>12859</v>
      </c>
      <c r="H360" s="1" t="s">
        <v>9020</v>
      </c>
      <c r="I360" s="1" t="s">
        <v>4747</v>
      </c>
      <c r="J360" s="1"/>
      <c r="K360" s="1"/>
      <c r="L360" s="1" t="s">
        <v>12860</v>
      </c>
      <c r="M360" s="1" t="s">
        <v>13823</v>
      </c>
      <c r="N360" s="1" t="s">
        <v>13824</v>
      </c>
      <c r="O360" s="1"/>
      <c r="P360" s="1" t="s">
        <v>12863</v>
      </c>
      <c r="Q360" s="1"/>
      <c r="R360" s="1"/>
      <c r="S360" s="1"/>
      <c r="T360" s="1"/>
      <c r="U360" s="1"/>
      <c r="V360" s="1"/>
      <c r="W360" s="1"/>
      <c r="X360" s="1"/>
      <c r="Y360" s="1"/>
      <c r="Z360" s="1"/>
      <c r="AA360" s="1">
        <f t="shared" si="21"/>
        <v>0</v>
      </c>
      <c r="AB360" s="1" t="str">
        <f t="shared" si="24"/>
        <v>R2 retained</v>
      </c>
      <c r="AC360" s="1"/>
      <c r="AD360" s="1"/>
      <c r="AE360" s="1"/>
      <c r="AF360" s="1"/>
      <c r="AG360" s="1"/>
      <c r="AH360" s="1"/>
      <c r="AI360" s="1">
        <f t="shared" si="23"/>
        <v>0</v>
      </c>
      <c r="AJ360" s="5"/>
      <c r="AK360" s="5"/>
      <c r="AL360" s="7" t="s">
        <v>15077</v>
      </c>
    </row>
    <row r="361" spans="1:38" ht="36" customHeight="1">
      <c r="A361" s="1" t="s">
        <v>5749</v>
      </c>
      <c r="B361" s="1" t="s">
        <v>5572</v>
      </c>
      <c r="C361" s="1" t="s">
        <v>5573</v>
      </c>
      <c r="D361" s="1" t="s">
        <v>4747</v>
      </c>
      <c r="E361" s="1">
        <v>0</v>
      </c>
      <c r="F361" s="1"/>
      <c r="G361" s="1" t="s">
        <v>12859</v>
      </c>
      <c r="H361" s="1" t="s">
        <v>9020</v>
      </c>
      <c r="I361" s="1" t="s">
        <v>4747</v>
      </c>
      <c r="J361" s="1"/>
      <c r="K361" s="1"/>
      <c r="L361" s="1" t="s">
        <v>12860</v>
      </c>
      <c r="M361" s="1" t="s">
        <v>13825</v>
      </c>
      <c r="N361" s="1" t="s">
        <v>13826</v>
      </c>
      <c r="O361" s="1"/>
      <c r="P361" s="1" t="s">
        <v>12863</v>
      </c>
      <c r="Q361" s="1"/>
      <c r="R361" s="1"/>
      <c r="S361" s="1"/>
      <c r="T361" s="1"/>
      <c r="U361" s="1"/>
      <c r="V361" s="1"/>
      <c r="W361" s="1"/>
      <c r="X361" s="1"/>
      <c r="Y361" s="1"/>
      <c r="Z361" s="1"/>
      <c r="AA361" s="1">
        <f t="shared" si="21"/>
        <v>0</v>
      </c>
      <c r="AB361" s="1" t="str">
        <f t="shared" si="24"/>
        <v>R2 retained</v>
      </c>
      <c r="AC361" s="1"/>
      <c r="AD361" s="1"/>
      <c r="AE361" s="1"/>
      <c r="AF361" s="1"/>
      <c r="AG361" s="1"/>
      <c r="AH361" s="1"/>
      <c r="AI361" s="1">
        <f t="shared" si="23"/>
        <v>0</v>
      </c>
      <c r="AJ361" s="5"/>
      <c r="AK361" s="5"/>
      <c r="AL361" s="7" t="s">
        <v>15077</v>
      </c>
    </row>
    <row r="362" spans="1:38" ht="36" customHeight="1">
      <c r="A362" s="1" t="s">
        <v>5749</v>
      </c>
      <c r="B362" s="1" t="s">
        <v>5577</v>
      </c>
      <c r="C362" s="1" t="s">
        <v>5578</v>
      </c>
      <c r="D362" s="1" t="s">
        <v>4747</v>
      </c>
      <c r="E362" s="1">
        <v>2</v>
      </c>
      <c r="F362" s="1"/>
      <c r="G362" s="1" t="s">
        <v>12859</v>
      </c>
      <c r="H362" s="1" t="s">
        <v>9020</v>
      </c>
      <c r="I362" s="1" t="s">
        <v>4896</v>
      </c>
      <c r="J362" s="1"/>
      <c r="K362" s="1"/>
      <c r="L362" s="1" t="s">
        <v>12860</v>
      </c>
      <c r="M362" s="1" t="s">
        <v>13827</v>
      </c>
      <c r="N362" s="1" t="s">
        <v>13828</v>
      </c>
      <c r="O362" s="1"/>
      <c r="P362" s="1" t="s">
        <v>12868</v>
      </c>
      <c r="Q362" s="1"/>
      <c r="R362" s="1"/>
      <c r="S362" s="1"/>
      <c r="T362" s="1"/>
      <c r="U362" s="1"/>
      <c r="V362" s="1"/>
      <c r="W362" s="1"/>
      <c r="X362" s="1"/>
      <c r="Y362" s="1"/>
      <c r="Z362" s="1"/>
      <c r="AA362" s="1">
        <f t="shared" si="21"/>
        <v>2</v>
      </c>
      <c r="AB362" s="1" t="str">
        <f t="shared" si="24"/>
        <v>R2 retained</v>
      </c>
      <c r="AC362" s="1"/>
      <c r="AD362" s="1"/>
      <c r="AE362" s="1"/>
      <c r="AF362" s="1"/>
      <c r="AG362" s="1"/>
      <c r="AH362" s="1"/>
      <c r="AI362" s="1">
        <f t="shared" si="23"/>
        <v>0</v>
      </c>
      <c r="AJ362" s="5"/>
      <c r="AK362" s="5"/>
      <c r="AL362" s="7" t="s">
        <v>15077</v>
      </c>
    </row>
    <row r="363" spans="1:38" ht="36" customHeight="1">
      <c r="A363" s="1" t="s">
        <v>5749</v>
      </c>
      <c r="B363" s="1" t="s">
        <v>5582</v>
      </c>
      <c r="C363" s="1" t="s">
        <v>5583</v>
      </c>
      <c r="D363" s="1" t="s">
        <v>4747</v>
      </c>
      <c r="E363" s="1">
        <v>0</v>
      </c>
      <c r="F363" s="1"/>
      <c r="G363" s="1" t="s">
        <v>12859</v>
      </c>
      <c r="H363" s="1" t="s">
        <v>9020</v>
      </c>
      <c r="I363" s="1" t="s">
        <v>4747</v>
      </c>
      <c r="J363" s="1"/>
      <c r="K363" s="1"/>
      <c r="L363" s="1" t="s">
        <v>12860</v>
      </c>
      <c r="M363" s="1" t="s">
        <v>9110</v>
      </c>
      <c r="N363" s="1" t="s">
        <v>13829</v>
      </c>
      <c r="O363" s="1"/>
      <c r="P363" s="1" t="s">
        <v>12863</v>
      </c>
      <c r="Q363" s="1"/>
      <c r="R363" s="1"/>
      <c r="S363" s="1"/>
      <c r="T363" s="1"/>
      <c r="U363" s="1"/>
      <c r="V363" s="1"/>
      <c r="W363" s="1"/>
      <c r="X363" s="1"/>
      <c r="Y363" s="1"/>
      <c r="Z363" s="1"/>
      <c r="AA363" s="1">
        <f t="shared" si="21"/>
        <v>0</v>
      </c>
      <c r="AB363" s="1" t="str">
        <f t="shared" si="24"/>
        <v>R2 retained</v>
      </c>
      <c r="AC363" s="1">
        <v>0</v>
      </c>
      <c r="AD363" s="1" t="s">
        <v>12884</v>
      </c>
      <c r="AE363" s="1" t="s">
        <v>13049</v>
      </c>
      <c r="AF363" s="1" t="s">
        <v>9020</v>
      </c>
      <c r="AG363" s="1" t="s">
        <v>9025</v>
      </c>
      <c r="AH363" s="1" t="s">
        <v>6096</v>
      </c>
      <c r="AI363" s="1">
        <f t="shared" si="23"/>
        <v>1</v>
      </c>
      <c r="AJ363" s="5" t="s">
        <v>12898</v>
      </c>
      <c r="AK363" s="5" t="s">
        <v>12899</v>
      </c>
      <c r="AL363" s="7" t="s">
        <v>15077</v>
      </c>
    </row>
    <row r="364" spans="1:38" ht="36" customHeight="1">
      <c r="A364" s="1" t="s">
        <v>5749</v>
      </c>
      <c r="B364" s="1" t="s">
        <v>5586</v>
      </c>
      <c r="C364" s="1" t="s">
        <v>5587</v>
      </c>
      <c r="D364" s="1" t="s">
        <v>4747</v>
      </c>
      <c r="E364" s="1">
        <v>2</v>
      </c>
      <c r="F364" s="1"/>
      <c r="G364" s="1" t="s">
        <v>12859</v>
      </c>
      <c r="H364" s="1" t="s">
        <v>9020</v>
      </c>
      <c r="I364" s="1" t="s">
        <v>4862</v>
      </c>
      <c r="J364" s="1"/>
      <c r="K364" s="1"/>
      <c r="L364" s="1" t="s">
        <v>12860</v>
      </c>
      <c r="M364" s="1" t="s">
        <v>13830</v>
      </c>
      <c r="N364" s="1" t="s">
        <v>13831</v>
      </c>
      <c r="O364" s="1"/>
      <c r="P364" s="1" t="s">
        <v>12868</v>
      </c>
      <c r="Q364" s="1"/>
      <c r="R364" s="1"/>
      <c r="S364" s="1"/>
      <c r="T364" s="1"/>
      <c r="U364" s="1"/>
      <c r="V364" s="1"/>
      <c r="W364" s="1"/>
      <c r="X364" s="1"/>
      <c r="Y364" s="1"/>
      <c r="Z364" s="1"/>
      <c r="AA364" s="1">
        <f t="shared" si="21"/>
        <v>2</v>
      </c>
      <c r="AB364" s="1" t="str">
        <f t="shared" si="24"/>
        <v>R2 retained</v>
      </c>
      <c r="AC364" s="1"/>
      <c r="AD364" s="1"/>
      <c r="AE364" s="1"/>
      <c r="AF364" s="1"/>
      <c r="AG364" s="1"/>
      <c r="AH364" s="1"/>
      <c r="AI364" s="1">
        <f t="shared" si="23"/>
        <v>0</v>
      </c>
      <c r="AJ364" s="5"/>
      <c r="AK364" s="5"/>
      <c r="AL364" s="7" t="s">
        <v>15077</v>
      </c>
    </row>
    <row r="365" spans="1:38" ht="96" customHeight="1">
      <c r="A365" s="1" t="s">
        <v>5749</v>
      </c>
      <c r="B365" s="1" t="s">
        <v>5591</v>
      </c>
      <c r="C365" s="1" t="s">
        <v>5592</v>
      </c>
      <c r="D365" s="1" t="s">
        <v>4747</v>
      </c>
      <c r="E365" s="1">
        <v>1</v>
      </c>
      <c r="F365" s="1">
        <v>0</v>
      </c>
      <c r="G365" s="1" t="s">
        <v>12873</v>
      </c>
      <c r="H365" s="1" t="s">
        <v>9020</v>
      </c>
      <c r="I365" s="1"/>
      <c r="J365" s="1"/>
      <c r="K365" s="1"/>
      <c r="L365" s="1" t="s">
        <v>12860</v>
      </c>
      <c r="M365" s="1" t="s">
        <v>13832</v>
      </c>
      <c r="N365" s="1" t="s">
        <v>13833</v>
      </c>
      <c r="O365" s="1" t="s">
        <v>13834</v>
      </c>
      <c r="P365" s="1" t="s">
        <v>12876</v>
      </c>
      <c r="Q365" s="1">
        <v>0</v>
      </c>
      <c r="R365" s="1" t="s">
        <v>12877</v>
      </c>
      <c r="S365" s="1" t="s">
        <v>13835</v>
      </c>
      <c r="T365" s="1" t="s">
        <v>13836</v>
      </c>
      <c r="U365" s="1" t="s">
        <v>9025</v>
      </c>
      <c r="V365" s="1" t="s">
        <v>6096</v>
      </c>
      <c r="W365" s="1" t="s">
        <v>12880</v>
      </c>
      <c r="X365" s="1"/>
      <c r="Y365" s="1" t="s">
        <v>13837</v>
      </c>
      <c r="Z365" s="1" t="s">
        <v>12883</v>
      </c>
      <c r="AA365" s="1">
        <f t="shared" si="21"/>
        <v>0</v>
      </c>
      <c r="AB365" s="1" t="str">
        <f t="shared" si="24"/>
        <v>Reviewer confirmed</v>
      </c>
      <c r="AC365" s="1">
        <v>0</v>
      </c>
      <c r="AD365" s="1" t="s">
        <v>12936</v>
      </c>
      <c r="AE365" s="1" t="s">
        <v>13838</v>
      </c>
      <c r="AF365" s="1" t="s">
        <v>13836</v>
      </c>
      <c r="AG365" s="1" t="s">
        <v>9025</v>
      </c>
      <c r="AH365" s="1" t="s">
        <v>6096</v>
      </c>
      <c r="AI365" s="1">
        <f t="shared" si="23"/>
        <v>1</v>
      </c>
      <c r="AJ365" s="5" t="s">
        <v>12898</v>
      </c>
      <c r="AK365" s="5" t="s">
        <v>12899</v>
      </c>
      <c r="AL365" s="7" t="s">
        <v>15077</v>
      </c>
    </row>
    <row r="366" spans="1:38" ht="36" customHeight="1">
      <c r="A366" s="1" t="s">
        <v>5749</v>
      </c>
      <c r="B366" s="1" t="s">
        <v>5596</v>
      </c>
      <c r="C366" s="1" t="s">
        <v>5597</v>
      </c>
      <c r="D366" s="1" t="s">
        <v>4747</v>
      </c>
      <c r="E366" s="1">
        <v>0</v>
      </c>
      <c r="F366" s="1"/>
      <c r="G366" s="1" t="s">
        <v>12859</v>
      </c>
      <c r="H366" s="1" t="s">
        <v>9020</v>
      </c>
      <c r="I366" s="1" t="s">
        <v>4747</v>
      </c>
      <c r="J366" s="1"/>
      <c r="K366" s="1"/>
      <c r="L366" s="1" t="s">
        <v>12860</v>
      </c>
      <c r="M366" s="1" t="s">
        <v>13839</v>
      </c>
      <c r="N366" s="1" t="s">
        <v>13840</v>
      </c>
      <c r="O366" s="1"/>
      <c r="P366" s="1" t="s">
        <v>12863</v>
      </c>
      <c r="Q366" s="1"/>
      <c r="R366" s="1"/>
      <c r="S366" s="1"/>
      <c r="T366" s="1"/>
      <c r="U366" s="1"/>
      <c r="V366" s="1"/>
      <c r="W366" s="1"/>
      <c r="X366" s="1"/>
      <c r="Y366" s="1"/>
      <c r="Z366" s="1"/>
      <c r="AA366" s="1">
        <f t="shared" si="21"/>
        <v>0</v>
      </c>
      <c r="AB366" s="1" t="str">
        <f t="shared" si="24"/>
        <v>R2 retained</v>
      </c>
      <c r="AC366" s="1"/>
      <c r="AD366" s="1"/>
      <c r="AE366" s="1"/>
      <c r="AF366" s="1"/>
      <c r="AG366" s="1"/>
      <c r="AH366" s="1"/>
      <c r="AI366" s="1">
        <f t="shared" si="23"/>
        <v>0</v>
      </c>
      <c r="AJ366" s="5"/>
      <c r="AK366" s="5"/>
      <c r="AL366" s="7" t="s">
        <v>15077</v>
      </c>
    </row>
    <row r="367" spans="1:38" ht="36" customHeight="1">
      <c r="A367" s="1" t="s">
        <v>5749</v>
      </c>
      <c r="B367" s="1" t="s">
        <v>5601</v>
      </c>
      <c r="C367" s="1" t="s">
        <v>5602</v>
      </c>
      <c r="D367" s="1" t="s">
        <v>4747</v>
      </c>
      <c r="E367" s="1">
        <v>1</v>
      </c>
      <c r="F367" s="1"/>
      <c r="G367" s="1" t="s">
        <v>12859</v>
      </c>
      <c r="H367" s="1" t="s">
        <v>9020</v>
      </c>
      <c r="I367" s="1"/>
      <c r="J367" s="1"/>
      <c r="K367" s="1"/>
      <c r="L367" s="1" t="s">
        <v>12860</v>
      </c>
      <c r="M367" s="1" t="s">
        <v>9129</v>
      </c>
      <c r="N367" s="1" t="s">
        <v>13841</v>
      </c>
      <c r="O367" s="1"/>
      <c r="P367" s="1" t="s">
        <v>12876</v>
      </c>
      <c r="Q367" s="1">
        <v>1</v>
      </c>
      <c r="R367" s="1" t="s">
        <v>12981</v>
      </c>
      <c r="S367" s="1" t="s">
        <v>13842</v>
      </c>
      <c r="T367" s="1" t="s">
        <v>13843</v>
      </c>
      <c r="U367" s="1" t="s">
        <v>9025</v>
      </c>
      <c r="V367" s="1" t="s">
        <v>6096</v>
      </c>
      <c r="W367" s="1"/>
      <c r="X367" s="1"/>
      <c r="Y367" s="1"/>
      <c r="Z367" s="1" t="s">
        <v>12908</v>
      </c>
      <c r="AA367" s="1">
        <f t="shared" si="21"/>
        <v>1</v>
      </c>
      <c r="AB367" s="1" t="str">
        <f t="shared" si="24"/>
        <v>R2 retained</v>
      </c>
      <c r="AC367" s="1"/>
      <c r="AD367" s="1"/>
      <c r="AE367" s="1"/>
      <c r="AF367" s="1"/>
      <c r="AG367" s="1"/>
      <c r="AH367" s="1"/>
      <c r="AI367" s="1">
        <f t="shared" si="23"/>
        <v>1</v>
      </c>
      <c r="AJ367" s="5"/>
      <c r="AK367" s="5"/>
      <c r="AL367" s="7" t="s">
        <v>15077</v>
      </c>
    </row>
    <row r="368" spans="1:38" ht="36" customHeight="1">
      <c r="A368" s="1" t="s">
        <v>5749</v>
      </c>
      <c r="B368" s="1" t="s">
        <v>5606</v>
      </c>
      <c r="C368" s="1" t="s">
        <v>5607</v>
      </c>
      <c r="D368" s="1" t="s">
        <v>6522</v>
      </c>
      <c r="E368" s="1">
        <v>0</v>
      </c>
      <c r="F368" s="1"/>
      <c r="G368" s="1" t="s">
        <v>12859</v>
      </c>
      <c r="H368" s="1" t="s">
        <v>9020</v>
      </c>
      <c r="I368" s="1" t="s">
        <v>4747</v>
      </c>
      <c r="J368" s="1"/>
      <c r="K368" s="1"/>
      <c r="L368" s="1" t="s">
        <v>12860</v>
      </c>
      <c r="M368" s="1" t="s">
        <v>9131</v>
      </c>
      <c r="N368" s="1" t="s">
        <v>13844</v>
      </c>
      <c r="O368" s="1"/>
      <c r="P368" s="1" t="s">
        <v>12863</v>
      </c>
      <c r="Q368" s="1"/>
      <c r="R368" s="1"/>
      <c r="S368" s="1"/>
      <c r="T368" s="1"/>
      <c r="U368" s="1"/>
      <c r="V368" s="1"/>
      <c r="W368" s="1"/>
      <c r="X368" s="1"/>
      <c r="Y368" s="1"/>
      <c r="Z368" s="1"/>
      <c r="AA368" s="1">
        <f t="shared" si="21"/>
        <v>0</v>
      </c>
      <c r="AB368" s="1" t="str">
        <f t="shared" si="24"/>
        <v>R2 retained</v>
      </c>
      <c r="AC368" s="1"/>
      <c r="AD368" s="1"/>
      <c r="AE368" s="1"/>
      <c r="AF368" s="1"/>
      <c r="AG368" s="1"/>
      <c r="AH368" s="1"/>
      <c r="AI368" s="1">
        <f t="shared" si="23"/>
        <v>0</v>
      </c>
      <c r="AJ368" s="5"/>
      <c r="AK368" s="5"/>
      <c r="AL368" s="7" t="s">
        <v>15077</v>
      </c>
    </row>
    <row r="369" spans="1:38" ht="72" customHeight="1">
      <c r="A369" s="1" t="s">
        <v>5749</v>
      </c>
      <c r="B369" s="1" t="s">
        <v>5454</v>
      </c>
      <c r="C369" s="1" t="s">
        <v>5455</v>
      </c>
      <c r="D369" s="1" t="s">
        <v>4747</v>
      </c>
      <c r="E369" s="1">
        <v>1</v>
      </c>
      <c r="F369" s="1">
        <v>0</v>
      </c>
      <c r="G369" s="1" t="s">
        <v>4691</v>
      </c>
      <c r="H369" s="1" t="s">
        <v>9020</v>
      </c>
      <c r="I369" s="1" t="s">
        <v>5253</v>
      </c>
      <c r="J369" s="1"/>
      <c r="K369" s="1"/>
      <c r="L369" s="1" t="s">
        <v>12860</v>
      </c>
      <c r="M369" s="1" t="s">
        <v>9134</v>
      </c>
      <c r="N369" s="1" t="s">
        <v>13845</v>
      </c>
      <c r="O369" s="1" t="s">
        <v>13846</v>
      </c>
      <c r="P369" s="1" t="s">
        <v>12917</v>
      </c>
      <c r="Q369" s="1"/>
      <c r="R369" s="1"/>
      <c r="S369" s="1"/>
      <c r="T369" s="1"/>
      <c r="U369" s="1"/>
      <c r="V369" s="1"/>
      <c r="W369" s="1"/>
      <c r="X369" s="1"/>
      <c r="Y369" s="1" t="s">
        <v>5754</v>
      </c>
      <c r="Z369" s="1" t="s">
        <v>12918</v>
      </c>
      <c r="AA369" s="1">
        <f t="shared" si="21"/>
        <v>0</v>
      </c>
      <c r="AB369" s="1" t="str">
        <f t="shared" si="24"/>
        <v>Reviewer confirmed</v>
      </c>
      <c r="AC369" s="1">
        <v>0</v>
      </c>
      <c r="AD369" s="1" t="s">
        <v>12936</v>
      </c>
      <c r="AE369" s="1" t="s">
        <v>5754</v>
      </c>
      <c r="AF369" s="1" t="s">
        <v>5753</v>
      </c>
      <c r="AG369" s="1" t="s">
        <v>5755</v>
      </c>
      <c r="AH369" s="1" t="s">
        <v>5461</v>
      </c>
      <c r="AI369" s="1">
        <f t="shared" si="23"/>
        <v>1</v>
      </c>
      <c r="AJ369" s="5" t="s">
        <v>12898</v>
      </c>
      <c r="AK369" s="5" t="s">
        <v>12899</v>
      </c>
      <c r="AL369" s="7" t="s">
        <v>15077</v>
      </c>
    </row>
    <row r="370" spans="1:38" ht="36" customHeight="1">
      <c r="A370" s="1" t="s">
        <v>5094</v>
      </c>
      <c r="B370" s="1" t="s">
        <v>5537</v>
      </c>
      <c r="C370" s="1" t="s">
        <v>5538</v>
      </c>
      <c r="D370" s="1" t="s">
        <v>4747</v>
      </c>
      <c r="E370" s="1">
        <v>0</v>
      </c>
      <c r="F370" s="1"/>
      <c r="G370" s="1" t="s">
        <v>12859</v>
      </c>
      <c r="H370" s="1" t="s">
        <v>9149</v>
      </c>
      <c r="I370" s="1" t="s">
        <v>4747</v>
      </c>
      <c r="J370" s="1"/>
      <c r="K370" s="1"/>
      <c r="L370" s="1" t="s">
        <v>12860</v>
      </c>
      <c r="M370" s="1" t="s">
        <v>13847</v>
      </c>
      <c r="N370" s="1" t="s">
        <v>13848</v>
      </c>
      <c r="O370" s="1"/>
      <c r="P370" s="1" t="s">
        <v>12863</v>
      </c>
      <c r="Q370" s="1"/>
      <c r="R370" s="1"/>
      <c r="S370" s="1"/>
      <c r="T370" s="1"/>
      <c r="U370" s="1"/>
      <c r="V370" s="1"/>
      <c r="W370" s="1"/>
      <c r="X370" s="1"/>
      <c r="Y370" s="1"/>
      <c r="Z370" s="1"/>
      <c r="AA370" s="1">
        <f t="shared" si="21"/>
        <v>0</v>
      </c>
      <c r="AB370" s="1" t="str">
        <f t="shared" si="24"/>
        <v>R2 retained</v>
      </c>
      <c r="AC370" s="1"/>
      <c r="AD370" s="1"/>
      <c r="AE370" s="1"/>
      <c r="AF370" s="1"/>
      <c r="AG370" s="1"/>
      <c r="AH370" s="1"/>
      <c r="AI370" s="1">
        <f t="shared" si="23"/>
        <v>0</v>
      </c>
      <c r="AJ370" s="5"/>
      <c r="AK370" s="5"/>
      <c r="AL370" s="7" t="s">
        <v>15077</v>
      </c>
    </row>
    <row r="371" spans="1:38" ht="36" customHeight="1">
      <c r="A371" s="1" t="s">
        <v>5094</v>
      </c>
      <c r="B371" s="1" t="s">
        <v>5542</v>
      </c>
      <c r="C371" s="1" t="s">
        <v>5543</v>
      </c>
      <c r="D371" s="1" t="s">
        <v>4747</v>
      </c>
      <c r="E371" s="1">
        <v>0</v>
      </c>
      <c r="F371" s="1"/>
      <c r="G371" s="1" t="s">
        <v>12859</v>
      </c>
      <c r="H371" s="1" t="s">
        <v>9149</v>
      </c>
      <c r="I371" s="1" t="s">
        <v>4747</v>
      </c>
      <c r="J371" s="1"/>
      <c r="K371" s="1"/>
      <c r="L371" s="1" t="s">
        <v>12860</v>
      </c>
      <c r="M371" s="1" t="s">
        <v>13849</v>
      </c>
      <c r="N371" s="1" t="s">
        <v>13850</v>
      </c>
      <c r="O371" s="1"/>
      <c r="P371" s="1" t="s">
        <v>12863</v>
      </c>
      <c r="Q371" s="1"/>
      <c r="R371" s="1"/>
      <c r="S371" s="1"/>
      <c r="T371" s="1"/>
      <c r="U371" s="1"/>
      <c r="V371" s="1"/>
      <c r="W371" s="1"/>
      <c r="X371" s="1"/>
      <c r="Y371" s="1"/>
      <c r="Z371" s="1"/>
      <c r="AA371" s="1">
        <f t="shared" si="21"/>
        <v>0</v>
      </c>
      <c r="AB371" s="1" t="str">
        <f t="shared" si="24"/>
        <v>R2 retained</v>
      </c>
      <c r="AC371" s="1"/>
      <c r="AD371" s="1"/>
      <c r="AE371" s="1"/>
      <c r="AF371" s="1"/>
      <c r="AG371" s="1"/>
      <c r="AH371" s="1"/>
      <c r="AI371" s="1">
        <f t="shared" si="23"/>
        <v>0</v>
      </c>
      <c r="AJ371" s="5"/>
      <c r="AK371" s="5"/>
      <c r="AL371" s="7" t="s">
        <v>15077</v>
      </c>
    </row>
    <row r="372" spans="1:38" ht="36" customHeight="1">
      <c r="A372" s="1" t="s">
        <v>5094</v>
      </c>
      <c r="B372" s="1" t="s">
        <v>5547</v>
      </c>
      <c r="C372" s="1" t="s">
        <v>5548</v>
      </c>
      <c r="D372" s="1" t="s">
        <v>4747</v>
      </c>
      <c r="E372" s="1">
        <v>1</v>
      </c>
      <c r="F372" s="1"/>
      <c r="G372" s="1" t="s">
        <v>12859</v>
      </c>
      <c r="H372" s="1" t="s">
        <v>9149</v>
      </c>
      <c r="I372" s="1" t="s">
        <v>5316</v>
      </c>
      <c r="J372" s="1"/>
      <c r="K372" s="1"/>
      <c r="L372" s="1" t="s">
        <v>12860</v>
      </c>
      <c r="M372" s="1" t="s">
        <v>13851</v>
      </c>
      <c r="N372" s="1" t="s">
        <v>13852</v>
      </c>
      <c r="O372" s="1"/>
      <c r="P372" s="1" t="s">
        <v>12868</v>
      </c>
      <c r="Q372" s="1"/>
      <c r="R372" s="1"/>
      <c r="S372" s="1"/>
      <c r="T372" s="1"/>
      <c r="U372" s="1"/>
      <c r="V372" s="1"/>
      <c r="W372" s="1"/>
      <c r="X372" s="1"/>
      <c r="Y372" s="1"/>
      <c r="Z372" s="1"/>
      <c r="AA372" s="1">
        <f t="shared" si="21"/>
        <v>1</v>
      </c>
      <c r="AB372" s="1" t="str">
        <f t="shared" si="24"/>
        <v>R2 retained</v>
      </c>
      <c r="AC372" s="1"/>
      <c r="AD372" s="1"/>
      <c r="AE372" s="1"/>
      <c r="AF372" s="1"/>
      <c r="AG372" s="1"/>
      <c r="AH372" s="1"/>
      <c r="AI372" s="1">
        <f t="shared" si="23"/>
        <v>0</v>
      </c>
      <c r="AJ372" s="5"/>
      <c r="AK372" s="5"/>
      <c r="AL372" s="7" t="s">
        <v>15077</v>
      </c>
    </row>
    <row r="373" spans="1:38" ht="36" customHeight="1">
      <c r="A373" s="1" t="s">
        <v>5094</v>
      </c>
      <c r="B373" s="1" t="s">
        <v>5552</v>
      </c>
      <c r="C373" s="1" t="s">
        <v>5553</v>
      </c>
      <c r="D373" s="1" t="s">
        <v>13853</v>
      </c>
      <c r="E373" s="1">
        <v>0</v>
      </c>
      <c r="F373" s="1"/>
      <c r="G373" s="1" t="s">
        <v>12859</v>
      </c>
      <c r="H373" s="1" t="s">
        <v>9149</v>
      </c>
      <c r="I373" s="1" t="s">
        <v>4747</v>
      </c>
      <c r="J373" s="1"/>
      <c r="K373" s="1" t="s">
        <v>5112</v>
      </c>
      <c r="L373" s="1" t="s">
        <v>12930</v>
      </c>
      <c r="M373" s="1" t="s">
        <v>13854</v>
      </c>
      <c r="N373" s="1" t="s">
        <v>13855</v>
      </c>
      <c r="O373" s="1" t="s">
        <v>9185</v>
      </c>
      <c r="P373" s="1" t="s">
        <v>12863</v>
      </c>
      <c r="Q373" s="1"/>
      <c r="R373" s="1"/>
      <c r="S373" s="1"/>
      <c r="T373" s="1"/>
      <c r="U373" s="1"/>
      <c r="V373" s="1"/>
      <c r="W373" s="1"/>
      <c r="X373" s="1"/>
      <c r="Y373" s="1"/>
      <c r="Z373" s="1"/>
      <c r="AA373" s="1">
        <f t="shared" si="21"/>
        <v>0</v>
      </c>
      <c r="AB373" s="1" t="str">
        <f t="shared" si="24"/>
        <v>R2 retained</v>
      </c>
      <c r="AC373" s="1"/>
      <c r="AD373" s="1"/>
      <c r="AE373" s="1"/>
      <c r="AF373" s="1"/>
      <c r="AG373" s="1"/>
      <c r="AH373" s="1"/>
      <c r="AI373" s="1">
        <f t="shared" si="23"/>
        <v>0</v>
      </c>
      <c r="AJ373" s="5"/>
      <c r="AK373" s="5"/>
      <c r="AL373" s="7" t="s">
        <v>15077</v>
      </c>
    </row>
    <row r="374" spans="1:38" ht="36" customHeight="1">
      <c r="A374" s="1" t="s">
        <v>5094</v>
      </c>
      <c r="B374" s="1" t="s">
        <v>5557</v>
      </c>
      <c r="C374" s="1" t="s">
        <v>5558</v>
      </c>
      <c r="D374" s="1" t="s">
        <v>9188</v>
      </c>
      <c r="E374" s="1">
        <v>0</v>
      </c>
      <c r="F374" s="1"/>
      <c r="G374" s="1" t="s">
        <v>12859</v>
      </c>
      <c r="H374" s="1" t="s">
        <v>9149</v>
      </c>
      <c r="I374" s="1" t="s">
        <v>4747</v>
      </c>
      <c r="J374" s="1"/>
      <c r="K374" s="1"/>
      <c r="L374" s="1" t="s">
        <v>12860</v>
      </c>
      <c r="M374" s="1" t="s">
        <v>9191</v>
      </c>
      <c r="N374" s="1" t="s">
        <v>13856</v>
      </c>
      <c r="O374" s="1"/>
      <c r="P374" s="1" t="s">
        <v>12863</v>
      </c>
      <c r="Q374" s="1"/>
      <c r="R374" s="1"/>
      <c r="S374" s="1"/>
      <c r="T374" s="1"/>
      <c r="U374" s="1"/>
      <c r="V374" s="1"/>
      <c r="W374" s="1"/>
      <c r="X374" s="1"/>
      <c r="Y374" s="1"/>
      <c r="Z374" s="1"/>
      <c r="AA374" s="1">
        <f t="shared" si="21"/>
        <v>0</v>
      </c>
      <c r="AB374" s="1" t="str">
        <f t="shared" si="24"/>
        <v>R2 retained</v>
      </c>
      <c r="AC374" s="1"/>
      <c r="AD374" s="1"/>
      <c r="AE374" s="1"/>
      <c r="AF374" s="1"/>
      <c r="AG374" s="1"/>
      <c r="AH374" s="1"/>
      <c r="AI374" s="1">
        <f t="shared" si="23"/>
        <v>0</v>
      </c>
      <c r="AJ374" s="5"/>
      <c r="AK374" s="5"/>
      <c r="AL374" s="7" t="s">
        <v>15077</v>
      </c>
    </row>
    <row r="375" spans="1:38" ht="72" customHeight="1">
      <c r="A375" s="1" t="s">
        <v>5094</v>
      </c>
      <c r="B375" s="1" t="s">
        <v>5562</v>
      </c>
      <c r="C375" s="1" t="s">
        <v>5563</v>
      </c>
      <c r="D375" s="1" t="s">
        <v>5756</v>
      </c>
      <c r="E375" s="1">
        <v>0</v>
      </c>
      <c r="F375" s="1">
        <v>2</v>
      </c>
      <c r="G375" s="1" t="s">
        <v>4691</v>
      </c>
      <c r="H375" s="1" t="s">
        <v>9149</v>
      </c>
      <c r="I375" s="1" t="s">
        <v>4747</v>
      </c>
      <c r="J375" s="1"/>
      <c r="K375" s="1"/>
      <c r="L375" s="1" t="s">
        <v>12860</v>
      </c>
      <c r="M375" s="1" t="s">
        <v>9196</v>
      </c>
      <c r="N375" s="1" t="s">
        <v>13857</v>
      </c>
      <c r="O375" s="1" t="s">
        <v>13858</v>
      </c>
      <c r="P375" s="1" t="s">
        <v>12917</v>
      </c>
      <c r="Q375" s="1"/>
      <c r="R375" s="1"/>
      <c r="S375" s="1"/>
      <c r="T375" s="1"/>
      <c r="U375" s="1"/>
      <c r="V375" s="1"/>
      <c r="W375" s="1"/>
      <c r="X375" s="1"/>
      <c r="Y375" s="1" t="s">
        <v>5758</v>
      </c>
      <c r="Z375" s="1" t="s">
        <v>12918</v>
      </c>
      <c r="AA375" s="1">
        <f t="shared" si="21"/>
        <v>2</v>
      </c>
      <c r="AB375" s="1" t="str">
        <f t="shared" si="24"/>
        <v>Reviewer confirmed</v>
      </c>
      <c r="AC375" s="1">
        <v>1</v>
      </c>
      <c r="AD375" s="1" t="s">
        <v>12936</v>
      </c>
      <c r="AE375" s="1" t="s">
        <v>5758</v>
      </c>
      <c r="AF375" s="1" t="s">
        <v>5757</v>
      </c>
      <c r="AG375" s="1" t="s">
        <v>5759</v>
      </c>
      <c r="AH375" s="1" t="s">
        <v>5461</v>
      </c>
      <c r="AI375" s="1">
        <f t="shared" si="23"/>
        <v>1</v>
      </c>
      <c r="AJ375" s="5"/>
      <c r="AK375" s="5"/>
      <c r="AL375" s="7" t="s">
        <v>15077</v>
      </c>
    </row>
    <row r="376" spans="1:38" ht="36" customHeight="1">
      <c r="A376" s="1" t="s">
        <v>5094</v>
      </c>
      <c r="B376" s="1" t="s">
        <v>5567</v>
      </c>
      <c r="C376" s="1" t="s">
        <v>5568</v>
      </c>
      <c r="D376" s="1" t="s">
        <v>13859</v>
      </c>
      <c r="E376" s="1">
        <v>0</v>
      </c>
      <c r="F376" s="1"/>
      <c r="G376" s="1" t="s">
        <v>12859</v>
      </c>
      <c r="H376" s="1" t="s">
        <v>9149</v>
      </c>
      <c r="I376" s="1" t="s">
        <v>4747</v>
      </c>
      <c r="J376" s="1"/>
      <c r="K376" s="1"/>
      <c r="L376" s="1" t="s">
        <v>12860</v>
      </c>
      <c r="M376" s="1" t="s">
        <v>13860</v>
      </c>
      <c r="N376" s="1" t="s">
        <v>13861</v>
      </c>
      <c r="O376" s="1"/>
      <c r="P376" s="1" t="s">
        <v>12863</v>
      </c>
      <c r="Q376" s="1"/>
      <c r="R376" s="1"/>
      <c r="S376" s="1"/>
      <c r="T376" s="1"/>
      <c r="U376" s="1"/>
      <c r="V376" s="1"/>
      <c r="W376" s="1"/>
      <c r="X376" s="1"/>
      <c r="Y376" s="1"/>
      <c r="Z376" s="1"/>
      <c r="AA376" s="1">
        <f t="shared" si="21"/>
        <v>0</v>
      </c>
      <c r="AB376" s="1" t="str">
        <f t="shared" si="24"/>
        <v>R2 retained</v>
      </c>
      <c r="AC376" s="1"/>
      <c r="AD376" s="1"/>
      <c r="AE376" s="1"/>
      <c r="AF376" s="1"/>
      <c r="AG376" s="1"/>
      <c r="AH376" s="1"/>
      <c r="AI376" s="1">
        <f t="shared" si="23"/>
        <v>0</v>
      </c>
      <c r="AJ376" s="5"/>
      <c r="AK376" s="5"/>
      <c r="AL376" s="7" t="s">
        <v>15077</v>
      </c>
    </row>
    <row r="377" spans="1:38" ht="36" customHeight="1">
      <c r="A377" s="1" t="s">
        <v>5094</v>
      </c>
      <c r="B377" s="1" t="s">
        <v>5572</v>
      </c>
      <c r="C377" s="1" t="s">
        <v>5573</v>
      </c>
      <c r="D377" s="1" t="s">
        <v>13862</v>
      </c>
      <c r="E377" s="1">
        <v>1</v>
      </c>
      <c r="F377" s="1"/>
      <c r="G377" s="1" t="s">
        <v>12859</v>
      </c>
      <c r="H377" s="1" t="s">
        <v>9149</v>
      </c>
      <c r="I377" s="1" t="s">
        <v>4904</v>
      </c>
      <c r="J377" s="1"/>
      <c r="K377" s="1"/>
      <c r="L377" s="1" t="s">
        <v>12860</v>
      </c>
      <c r="M377" s="1" t="s">
        <v>13863</v>
      </c>
      <c r="N377" s="1" t="s">
        <v>13864</v>
      </c>
      <c r="O377" s="1"/>
      <c r="P377" s="1" t="s">
        <v>12868</v>
      </c>
      <c r="Q377" s="1"/>
      <c r="R377" s="1"/>
      <c r="S377" s="1"/>
      <c r="T377" s="1"/>
      <c r="U377" s="1"/>
      <c r="V377" s="1"/>
      <c r="W377" s="1"/>
      <c r="X377" s="1"/>
      <c r="Y377" s="1"/>
      <c r="Z377" s="1"/>
      <c r="AA377" s="1">
        <f t="shared" si="21"/>
        <v>1</v>
      </c>
      <c r="AB377" s="1" t="str">
        <f t="shared" si="24"/>
        <v>R2 retained</v>
      </c>
      <c r="AC377" s="1"/>
      <c r="AD377" s="1"/>
      <c r="AE377" s="1"/>
      <c r="AF377" s="1"/>
      <c r="AG377" s="1"/>
      <c r="AH377" s="1"/>
      <c r="AI377" s="1">
        <f t="shared" si="23"/>
        <v>0</v>
      </c>
      <c r="AJ377" s="5"/>
      <c r="AK377" s="5"/>
      <c r="AL377" s="7" t="s">
        <v>15077</v>
      </c>
    </row>
    <row r="378" spans="1:38" ht="36" customHeight="1">
      <c r="A378" s="1" t="s">
        <v>5094</v>
      </c>
      <c r="B378" s="1" t="s">
        <v>5577</v>
      </c>
      <c r="C378" s="1" t="s">
        <v>5578</v>
      </c>
      <c r="D378" s="1" t="s">
        <v>13865</v>
      </c>
      <c r="E378" s="1">
        <v>2</v>
      </c>
      <c r="F378" s="1"/>
      <c r="G378" s="1" t="s">
        <v>12859</v>
      </c>
      <c r="H378" s="1" t="s">
        <v>9149</v>
      </c>
      <c r="I378" s="1" t="s">
        <v>13866</v>
      </c>
      <c r="J378" s="1"/>
      <c r="K378" s="1"/>
      <c r="L378" s="1" t="s">
        <v>12860</v>
      </c>
      <c r="M378" s="1" t="s">
        <v>13867</v>
      </c>
      <c r="N378" s="1" t="s">
        <v>13868</v>
      </c>
      <c r="O378" s="1"/>
      <c r="P378" s="1" t="s">
        <v>12868</v>
      </c>
      <c r="Q378" s="1"/>
      <c r="R378" s="1"/>
      <c r="S378" s="1"/>
      <c r="T378" s="1"/>
      <c r="U378" s="1"/>
      <c r="V378" s="1"/>
      <c r="W378" s="1"/>
      <c r="X378" s="1"/>
      <c r="Y378" s="1"/>
      <c r="Z378" s="1"/>
      <c r="AA378" s="1">
        <f t="shared" si="21"/>
        <v>2</v>
      </c>
      <c r="AB378" s="1" t="str">
        <f t="shared" si="24"/>
        <v>R2 retained</v>
      </c>
      <c r="AC378" s="1"/>
      <c r="AD378" s="1"/>
      <c r="AE378" s="1"/>
      <c r="AF378" s="1"/>
      <c r="AG378" s="1"/>
      <c r="AH378" s="1"/>
      <c r="AI378" s="1">
        <f t="shared" si="23"/>
        <v>0</v>
      </c>
      <c r="AJ378" s="5"/>
      <c r="AK378" s="5"/>
      <c r="AL378" s="7" t="s">
        <v>15077</v>
      </c>
    </row>
    <row r="379" spans="1:38" ht="36" customHeight="1">
      <c r="A379" s="1" t="s">
        <v>5094</v>
      </c>
      <c r="B379" s="1" t="s">
        <v>5582</v>
      </c>
      <c r="C379" s="1" t="s">
        <v>5583</v>
      </c>
      <c r="D379" s="1" t="s">
        <v>9251</v>
      </c>
      <c r="E379" s="1">
        <v>0</v>
      </c>
      <c r="F379" s="1"/>
      <c r="G379" s="1" t="s">
        <v>12859</v>
      </c>
      <c r="H379" s="1" t="s">
        <v>9149</v>
      </c>
      <c r="I379" s="1" t="s">
        <v>4747</v>
      </c>
      <c r="J379" s="1"/>
      <c r="K379" s="1"/>
      <c r="L379" s="1" t="s">
        <v>12860</v>
      </c>
      <c r="M379" s="1" t="s">
        <v>9253</v>
      </c>
      <c r="N379" s="1" t="s">
        <v>13869</v>
      </c>
      <c r="O379" s="1"/>
      <c r="P379" s="1" t="s">
        <v>12863</v>
      </c>
      <c r="Q379" s="1"/>
      <c r="R379" s="1"/>
      <c r="S379" s="1"/>
      <c r="T379" s="1"/>
      <c r="U379" s="1"/>
      <c r="V379" s="1"/>
      <c r="W379" s="1"/>
      <c r="X379" s="1"/>
      <c r="Y379" s="1"/>
      <c r="Z379" s="1"/>
      <c r="AA379" s="1">
        <f t="shared" si="21"/>
        <v>0</v>
      </c>
      <c r="AB379" s="1" t="str">
        <f t="shared" si="24"/>
        <v>R2 retained</v>
      </c>
      <c r="AC379" s="1">
        <v>0</v>
      </c>
      <c r="AD379" s="1" t="s">
        <v>12884</v>
      </c>
      <c r="AE379" s="1" t="s">
        <v>13870</v>
      </c>
      <c r="AF379" s="1" t="s">
        <v>13871</v>
      </c>
      <c r="AG379" s="1" t="s">
        <v>9154</v>
      </c>
      <c r="AH379" s="1" t="s">
        <v>6096</v>
      </c>
      <c r="AI379" s="1">
        <f t="shared" si="23"/>
        <v>1</v>
      </c>
      <c r="AJ379" s="5" t="s">
        <v>12898</v>
      </c>
      <c r="AK379" s="5" t="s">
        <v>12899</v>
      </c>
      <c r="AL379" s="7" t="s">
        <v>15077</v>
      </c>
    </row>
    <row r="380" spans="1:38" ht="36" customHeight="1">
      <c r="A380" s="1" t="s">
        <v>5094</v>
      </c>
      <c r="B380" s="1" t="s">
        <v>5586</v>
      </c>
      <c r="C380" s="1" t="s">
        <v>5587</v>
      </c>
      <c r="D380" s="1" t="s">
        <v>13872</v>
      </c>
      <c r="E380" s="1">
        <v>0</v>
      </c>
      <c r="F380" s="1"/>
      <c r="G380" s="1" t="s">
        <v>12859</v>
      </c>
      <c r="H380" s="1" t="s">
        <v>9149</v>
      </c>
      <c r="I380" s="1" t="s">
        <v>4747</v>
      </c>
      <c r="J380" s="1"/>
      <c r="K380" s="1"/>
      <c r="L380" s="1" t="s">
        <v>12860</v>
      </c>
      <c r="M380" s="1" t="s">
        <v>13873</v>
      </c>
      <c r="N380" s="1" t="s">
        <v>13874</v>
      </c>
      <c r="O380" s="1"/>
      <c r="P380" s="1" t="s">
        <v>12863</v>
      </c>
      <c r="Q380" s="1"/>
      <c r="R380" s="1"/>
      <c r="S380" s="1"/>
      <c r="T380" s="1"/>
      <c r="U380" s="1"/>
      <c r="V380" s="1"/>
      <c r="W380" s="1"/>
      <c r="X380" s="1"/>
      <c r="Y380" s="1"/>
      <c r="Z380" s="1"/>
      <c r="AA380" s="1">
        <f t="shared" si="21"/>
        <v>0</v>
      </c>
      <c r="AB380" s="1" t="str">
        <f t="shared" si="24"/>
        <v>R2 retained</v>
      </c>
      <c r="AC380" s="1"/>
      <c r="AD380" s="1"/>
      <c r="AE380" s="1"/>
      <c r="AF380" s="1"/>
      <c r="AG380" s="1"/>
      <c r="AH380" s="1"/>
      <c r="AI380" s="1">
        <f t="shared" si="23"/>
        <v>0</v>
      </c>
      <c r="AJ380" s="5"/>
      <c r="AK380" s="5"/>
      <c r="AL380" s="7" t="s">
        <v>15077</v>
      </c>
    </row>
    <row r="381" spans="1:38" ht="120" customHeight="1">
      <c r="A381" s="1" t="s">
        <v>5094</v>
      </c>
      <c r="B381" s="1" t="s">
        <v>5591</v>
      </c>
      <c r="C381" s="1" t="s">
        <v>5592</v>
      </c>
      <c r="D381" s="1" t="s">
        <v>13875</v>
      </c>
      <c r="E381" s="1">
        <v>1</v>
      </c>
      <c r="F381" s="1">
        <v>0</v>
      </c>
      <c r="G381" s="1" t="s">
        <v>12873</v>
      </c>
      <c r="H381" s="1" t="s">
        <v>9149</v>
      </c>
      <c r="I381" s="1"/>
      <c r="J381" s="1"/>
      <c r="K381" s="1"/>
      <c r="L381" s="1" t="s">
        <v>12860</v>
      </c>
      <c r="M381" s="1" t="s">
        <v>13876</v>
      </c>
      <c r="N381" s="1" t="s">
        <v>13877</v>
      </c>
      <c r="O381" s="1" t="s">
        <v>13878</v>
      </c>
      <c r="P381" s="1" t="s">
        <v>12876</v>
      </c>
      <c r="Q381" s="1">
        <v>0</v>
      </c>
      <c r="R381" s="1" t="s">
        <v>12877</v>
      </c>
      <c r="S381" s="1" t="s">
        <v>13879</v>
      </c>
      <c r="T381" s="1" t="s">
        <v>13880</v>
      </c>
      <c r="U381" s="1" t="s">
        <v>9154</v>
      </c>
      <c r="V381" s="1" t="s">
        <v>6096</v>
      </c>
      <c r="W381" s="1" t="s">
        <v>12880</v>
      </c>
      <c r="X381" s="1"/>
      <c r="Y381" s="1" t="s">
        <v>13881</v>
      </c>
      <c r="Z381" s="1" t="s">
        <v>12883</v>
      </c>
      <c r="AA381" s="1">
        <f t="shared" si="21"/>
        <v>0</v>
      </c>
      <c r="AB381" s="1" t="str">
        <f t="shared" si="24"/>
        <v>Reviewer confirmed</v>
      </c>
      <c r="AC381" s="1">
        <v>0</v>
      </c>
      <c r="AD381" s="1" t="s">
        <v>12936</v>
      </c>
      <c r="AE381" s="1" t="s">
        <v>13882</v>
      </c>
      <c r="AF381" s="1" t="s">
        <v>13880</v>
      </c>
      <c r="AG381" s="1" t="s">
        <v>9154</v>
      </c>
      <c r="AH381" s="1" t="s">
        <v>6096</v>
      </c>
      <c r="AI381" s="1">
        <f t="shared" si="23"/>
        <v>1</v>
      </c>
      <c r="AJ381" s="5" t="s">
        <v>12898</v>
      </c>
      <c r="AK381" s="5" t="s">
        <v>12899</v>
      </c>
      <c r="AL381" s="7" t="s">
        <v>15077</v>
      </c>
    </row>
    <row r="382" spans="1:38" ht="36" customHeight="1">
      <c r="A382" s="1" t="s">
        <v>5094</v>
      </c>
      <c r="B382" s="1" t="s">
        <v>5596</v>
      </c>
      <c r="C382" s="1" t="s">
        <v>5597</v>
      </c>
      <c r="D382" s="1" t="s">
        <v>4747</v>
      </c>
      <c r="E382" s="1">
        <v>0</v>
      </c>
      <c r="F382" s="1"/>
      <c r="G382" s="1" t="s">
        <v>12859</v>
      </c>
      <c r="H382" s="1" t="s">
        <v>9149</v>
      </c>
      <c r="I382" s="1" t="s">
        <v>4747</v>
      </c>
      <c r="J382" s="1"/>
      <c r="K382" s="1"/>
      <c r="L382" s="1" t="s">
        <v>12860</v>
      </c>
      <c r="M382" s="1" t="s">
        <v>13883</v>
      </c>
      <c r="N382" s="1" t="s">
        <v>13884</v>
      </c>
      <c r="O382" s="1"/>
      <c r="P382" s="1" t="s">
        <v>12863</v>
      </c>
      <c r="Q382" s="1"/>
      <c r="R382" s="1"/>
      <c r="S382" s="1"/>
      <c r="T382" s="1"/>
      <c r="U382" s="1"/>
      <c r="V382" s="1"/>
      <c r="W382" s="1"/>
      <c r="X382" s="1"/>
      <c r="Y382" s="1"/>
      <c r="Z382" s="1"/>
      <c r="AA382" s="1">
        <f t="shared" si="21"/>
        <v>0</v>
      </c>
      <c r="AB382" s="1" t="str">
        <f t="shared" si="24"/>
        <v>R2 retained</v>
      </c>
      <c r="AC382" s="1"/>
      <c r="AD382" s="1"/>
      <c r="AE382" s="1"/>
      <c r="AF382" s="1"/>
      <c r="AG382" s="1"/>
      <c r="AH382" s="1"/>
      <c r="AI382" s="1">
        <f t="shared" si="23"/>
        <v>0</v>
      </c>
      <c r="AJ382" s="5"/>
      <c r="AK382" s="5"/>
      <c r="AL382" s="7" t="s">
        <v>15077</v>
      </c>
    </row>
    <row r="383" spans="1:38" ht="36" customHeight="1">
      <c r="A383" s="1" t="s">
        <v>5094</v>
      </c>
      <c r="B383" s="1" t="s">
        <v>5601</v>
      </c>
      <c r="C383" s="1" t="s">
        <v>5602</v>
      </c>
      <c r="D383" s="1" t="s">
        <v>9275</v>
      </c>
      <c r="E383" s="1">
        <v>1</v>
      </c>
      <c r="F383" s="1"/>
      <c r="G383" s="1" t="s">
        <v>12859</v>
      </c>
      <c r="H383" s="1" t="s">
        <v>9149</v>
      </c>
      <c r="I383" s="1" t="s">
        <v>13885</v>
      </c>
      <c r="J383" s="1"/>
      <c r="K383" s="1"/>
      <c r="L383" s="1" t="s">
        <v>12860</v>
      </c>
      <c r="M383" s="1" t="s">
        <v>9277</v>
      </c>
      <c r="N383" s="1" t="s">
        <v>13886</v>
      </c>
      <c r="O383" s="1"/>
      <c r="P383" s="1" t="s">
        <v>12868</v>
      </c>
      <c r="Q383" s="1"/>
      <c r="R383" s="1"/>
      <c r="S383" s="1"/>
      <c r="T383" s="1"/>
      <c r="U383" s="1"/>
      <c r="V383" s="1"/>
      <c r="W383" s="1"/>
      <c r="X383" s="1"/>
      <c r="Y383" s="1"/>
      <c r="Z383" s="1"/>
      <c r="AA383" s="1">
        <f t="shared" si="21"/>
        <v>1</v>
      </c>
      <c r="AB383" s="1" t="str">
        <f t="shared" si="24"/>
        <v>R2 retained</v>
      </c>
      <c r="AC383" s="1"/>
      <c r="AD383" s="1"/>
      <c r="AE383" s="1"/>
      <c r="AF383" s="1"/>
      <c r="AG383" s="1"/>
      <c r="AH383" s="1"/>
      <c r="AI383" s="1">
        <f t="shared" si="23"/>
        <v>0</v>
      </c>
      <c r="AJ383" s="5"/>
      <c r="AK383" s="5"/>
      <c r="AL383" s="7" t="s">
        <v>15077</v>
      </c>
    </row>
    <row r="384" spans="1:38" ht="36" customHeight="1">
      <c r="A384" s="1" t="s">
        <v>5094</v>
      </c>
      <c r="B384" s="1" t="s">
        <v>5606</v>
      </c>
      <c r="C384" s="1" t="s">
        <v>5607</v>
      </c>
      <c r="D384" s="1" t="s">
        <v>9279</v>
      </c>
      <c r="E384" s="1">
        <v>0</v>
      </c>
      <c r="F384" s="1"/>
      <c r="G384" s="1" t="s">
        <v>12859</v>
      </c>
      <c r="H384" s="1" t="s">
        <v>9149</v>
      </c>
      <c r="I384" s="1" t="s">
        <v>4747</v>
      </c>
      <c r="J384" s="1"/>
      <c r="K384" s="1"/>
      <c r="L384" s="1" t="s">
        <v>12860</v>
      </c>
      <c r="M384" s="1" t="s">
        <v>9280</v>
      </c>
      <c r="N384" s="1" t="s">
        <v>13887</v>
      </c>
      <c r="O384" s="1"/>
      <c r="P384" s="1" t="s">
        <v>12863</v>
      </c>
      <c r="Q384" s="1"/>
      <c r="R384" s="1"/>
      <c r="S384" s="1"/>
      <c r="T384" s="1"/>
      <c r="U384" s="1"/>
      <c r="V384" s="1"/>
      <c r="W384" s="1"/>
      <c r="X384" s="1"/>
      <c r="Y384" s="1"/>
      <c r="Z384" s="1"/>
      <c r="AA384" s="1">
        <f t="shared" si="21"/>
        <v>0</v>
      </c>
      <c r="AB384" s="1" t="str">
        <f t="shared" si="24"/>
        <v>R2 retained</v>
      </c>
      <c r="AC384" s="1"/>
      <c r="AD384" s="1"/>
      <c r="AE384" s="1"/>
      <c r="AF384" s="1"/>
      <c r="AG384" s="1"/>
      <c r="AH384" s="1"/>
      <c r="AI384" s="1">
        <f t="shared" si="23"/>
        <v>0</v>
      </c>
      <c r="AJ384" s="5"/>
      <c r="AK384" s="5"/>
      <c r="AL384" s="7" t="s">
        <v>15077</v>
      </c>
    </row>
    <row r="385" spans="1:38" ht="72" customHeight="1">
      <c r="A385" s="1" t="s">
        <v>5094</v>
      </c>
      <c r="B385" s="1" t="s">
        <v>5454</v>
      </c>
      <c r="C385" s="1" t="s">
        <v>5455</v>
      </c>
      <c r="D385" s="1" t="s">
        <v>4747</v>
      </c>
      <c r="E385" s="1">
        <v>2</v>
      </c>
      <c r="F385" s="1">
        <v>1</v>
      </c>
      <c r="G385" s="1" t="s">
        <v>4691</v>
      </c>
      <c r="H385" s="1" t="s">
        <v>9149</v>
      </c>
      <c r="I385" s="1" t="s">
        <v>12676</v>
      </c>
      <c r="J385" s="1"/>
      <c r="K385" s="1"/>
      <c r="L385" s="1" t="s">
        <v>12860</v>
      </c>
      <c r="M385" s="1" t="s">
        <v>9283</v>
      </c>
      <c r="N385" s="1" t="s">
        <v>13888</v>
      </c>
      <c r="O385" s="1" t="s">
        <v>13889</v>
      </c>
      <c r="P385" s="1" t="s">
        <v>12917</v>
      </c>
      <c r="Q385" s="1"/>
      <c r="R385" s="1"/>
      <c r="S385" s="1"/>
      <c r="T385" s="1"/>
      <c r="U385" s="1"/>
      <c r="V385" s="1"/>
      <c r="W385" s="1"/>
      <c r="X385" s="1"/>
      <c r="Y385" s="1" t="s">
        <v>5675</v>
      </c>
      <c r="Z385" s="1" t="s">
        <v>12918</v>
      </c>
      <c r="AA385" s="1">
        <f t="shared" si="21"/>
        <v>1</v>
      </c>
      <c r="AB385" s="1" t="str">
        <f>IF(OR(ISNUMBER(F385),F385="NA"),"Reviewer confirmed","Analyst proposed resolution")</f>
        <v>Reviewer confirmed</v>
      </c>
      <c r="AC385" s="1">
        <v>1</v>
      </c>
      <c r="AD385" s="1" t="s">
        <v>12919</v>
      </c>
      <c r="AE385" s="1" t="s">
        <v>5675</v>
      </c>
      <c r="AF385" s="1" t="s">
        <v>5674</v>
      </c>
      <c r="AG385" s="1" t="s">
        <v>5676</v>
      </c>
      <c r="AH385" s="1" t="s">
        <v>5461</v>
      </c>
      <c r="AI385" s="1">
        <f t="shared" si="23"/>
        <v>1</v>
      </c>
      <c r="AJ385" s="5" t="s">
        <v>12898</v>
      </c>
      <c r="AK385" s="5" t="s">
        <v>12899</v>
      </c>
      <c r="AL385" s="7" t="s">
        <v>15077</v>
      </c>
    </row>
    <row r="386" spans="1:38" ht="108" customHeight="1">
      <c r="A386" s="1" t="s">
        <v>5116</v>
      </c>
      <c r="B386" s="1" t="s">
        <v>5537</v>
      </c>
      <c r="C386" s="1" t="s">
        <v>5538</v>
      </c>
      <c r="D386" s="1" t="s">
        <v>4747</v>
      </c>
      <c r="E386" s="1">
        <v>1</v>
      </c>
      <c r="F386" s="1">
        <v>2</v>
      </c>
      <c r="G386" s="1" t="s">
        <v>12873</v>
      </c>
      <c r="H386" s="1" t="s">
        <v>9298</v>
      </c>
      <c r="I386" s="1" t="s">
        <v>13890</v>
      </c>
      <c r="J386" s="1"/>
      <c r="K386" s="1"/>
      <c r="L386" s="1" t="s">
        <v>12860</v>
      </c>
      <c r="M386" s="1" t="s">
        <v>13891</v>
      </c>
      <c r="N386" s="1" t="s">
        <v>13892</v>
      </c>
      <c r="O386" s="1" t="s">
        <v>13893</v>
      </c>
      <c r="P386" s="1" t="s">
        <v>12868</v>
      </c>
      <c r="Q386" s="1">
        <v>2</v>
      </c>
      <c r="R386" s="1" t="s">
        <v>12877</v>
      </c>
      <c r="S386" s="1" t="s">
        <v>13894</v>
      </c>
      <c r="T386" s="1" t="s">
        <v>13895</v>
      </c>
      <c r="U386" s="1" t="s">
        <v>9303</v>
      </c>
      <c r="V386" s="1" t="s">
        <v>6096</v>
      </c>
      <c r="W386" s="1"/>
      <c r="X386" s="1"/>
      <c r="Y386" s="1" t="s">
        <v>13896</v>
      </c>
      <c r="Z386" s="1" t="s">
        <v>12883</v>
      </c>
      <c r="AA386" s="1">
        <f t="shared" ref="AA386:AA449" si="25">IF(OR(ISNUMBER(F386),F386="NA"),F386,IF(AD386="uncertain","",IF(OR(ISNUMBER(AC386),AC386="NA"),AC386,E386)))</f>
        <v>2</v>
      </c>
      <c r="AB386" s="1" t="str">
        <f t="shared" ref="AB386:AB449" si="26">IF(OR(ISNUMBER(F386),F386="NA"),"Reviewer confirmed",IF(AD386="uncertain","Unresolved under clarified rule",IF(AND(OR(ISNUMBER(AC386),AC386="NA"),AC386&lt;&gt;E386),"Analyst scope correction","R2 retained")))</f>
        <v>Reviewer confirmed</v>
      </c>
      <c r="AC386" s="1"/>
      <c r="AD386" s="1"/>
      <c r="AE386" s="1"/>
      <c r="AF386" s="1"/>
      <c r="AG386" s="1"/>
      <c r="AH386" s="1"/>
      <c r="AI386" s="1">
        <f t="shared" ref="AI386:AI449" si="27">IF(OR(R386&lt;&gt;"",AD386&lt;&gt;""),1,0)</f>
        <v>1</v>
      </c>
      <c r="AJ386" s="5"/>
      <c r="AK386" s="5"/>
      <c r="AL386" s="7" t="s">
        <v>15077</v>
      </c>
    </row>
    <row r="387" spans="1:38" ht="36" customHeight="1">
      <c r="A387" s="1" t="s">
        <v>5116</v>
      </c>
      <c r="B387" s="1" t="s">
        <v>5542</v>
      </c>
      <c r="C387" s="1" t="s">
        <v>5543</v>
      </c>
      <c r="D387" s="1" t="s">
        <v>4747</v>
      </c>
      <c r="E387" s="1">
        <v>0</v>
      </c>
      <c r="F387" s="1"/>
      <c r="G387" s="1" t="s">
        <v>12859</v>
      </c>
      <c r="H387" s="1" t="s">
        <v>9298</v>
      </c>
      <c r="I387" s="1" t="s">
        <v>4747</v>
      </c>
      <c r="J387" s="1"/>
      <c r="K387" s="1"/>
      <c r="L387" s="1" t="s">
        <v>12860</v>
      </c>
      <c r="M387" s="1" t="s">
        <v>13897</v>
      </c>
      <c r="N387" s="1" t="s">
        <v>13898</v>
      </c>
      <c r="O387" s="1"/>
      <c r="P387" s="1" t="s">
        <v>12863</v>
      </c>
      <c r="Q387" s="1"/>
      <c r="R387" s="1"/>
      <c r="S387" s="1"/>
      <c r="T387" s="1"/>
      <c r="U387" s="1"/>
      <c r="V387" s="1"/>
      <c r="W387" s="1"/>
      <c r="X387" s="1"/>
      <c r="Y387" s="1"/>
      <c r="Z387" s="1"/>
      <c r="AA387" s="1">
        <f t="shared" si="25"/>
        <v>0</v>
      </c>
      <c r="AB387" s="1" t="str">
        <f t="shared" si="26"/>
        <v>R2 retained</v>
      </c>
      <c r="AC387" s="1"/>
      <c r="AD387" s="1"/>
      <c r="AE387" s="1"/>
      <c r="AF387" s="1"/>
      <c r="AG387" s="1"/>
      <c r="AH387" s="1"/>
      <c r="AI387" s="1">
        <f t="shared" si="27"/>
        <v>0</v>
      </c>
      <c r="AJ387" s="5"/>
      <c r="AK387" s="5"/>
      <c r="AL387" s="7" t="s">
        <v>15077</v>
      </c>
    </row>
    <row r="388" spans="1:38" ht="36" customHeight="1">
      <c r="A388" s="1" t="s">
        <v>5116</v>
      </c>
      <c r="B388" s="1" t="s">
        <v>5547</v>
      </c>
      <c r="C388" s="1" t="s">
        <v>5548</v>
      </c>
      <c r="D388" s="1" t="s">
        <v>4747</v>
      </c>
      <c r="E388" s="1">
        <v>1</v>
      </c>
      <c r="F388" s="1"/>
      <c r="G388" s="1" t="s">
        <v>12859</v>
      </c>
      <c r="H388" s="1" t="s">
        <v>9298</v>
      </c>
      <c r="I388" s="1" t="s">
        <v>5215</v>
      </c>
      <c r="J388" s="1"/>
      <c r="K388" s="1"/>
      <c r="L388" s="1" t="s">
        <v>12860</v>
      </c>
      <c r="M388" s="1" t="s">
        <v>13899</v>
      </c>
      <c r="N388" s="1" t="s">
        <v>13900</v>
      </c>
      <c r="O388" s="1"/>
      <c r="P388" s="1" t="s">
        <v>12868</v>
      </c>
      <c r="Q388" s="1"/>
      <c r="R388" s="1"/>
      <c r="S388" s="1"/>
      <c r="T388" s="1"/>
      <c r="U388" s="1"/>
      <c r="V388" s="1"/>
      <c r="W388" s="1"/>
      <c r="X388" s="1"/>
      <c r="Y388" s="1"/>
      <c r="Z388" s="1"/>
      <c r="AA388" s="1">
        <f t="shared" si="25"/>
        <v>1</v>
      </c>
      <c r="AB388" s="1" t="str">
        <f t="shared" si="26"/>
        <v>R2 retained</v>
      </c>
      <c r="AC388" s="1"/>
      <c r="AD388" s="1"/>
      <c r="AE388" s="1"/>
      <c r="AF388" s="1"/>
      <c r="AG388" s="1"/>
      <c r="AH388" s="1"/>
      <c r="AI388" s="1">
        <f t="shared" si="27"/>
        <v>0</v>
      </c>
      <c r="AJ388" s="5"/>
      <c r="AK388" s="5"/>
      <c r="AL388" s="7" t="s">
        <v>15077</v>
      </c>
    </row>
    <row r="389" spans="1:38" ht="36" customHeight="1">
      <c r="A389" s="1" t="s">
        <v>5116</v>
      </c>
      <c r="B389" s="1" t="s">
        <v>5552</v>
      </c>
      <c r="C389" s="1" t="s">
        <v>5553</v>
      </c>
      <c r="D389" s="1" t="s">
        <v>13901</v>
      </c>
      <c r="E389" s="1">
        <v>1</v>
      </c>
      <c r="F389" s="1"/>
      <c r="G389" s="1" t="s">
        <v>12859</v>
      </c>
      <c r="H389" s="1" t="s">
        <v>9298</v>
      </c>
      <c r="I389" s="1"/>
      <c r="J389" s="1"/>
      <c r="K389" s="1"/>
      <c r="L389" s="1" t="s">
        <v>12860</v>
      </c>
      <c r="M389" s="1" t="s">
        <v>13902</v>
      </c>
      <c r="N389" s="1" t="s">
        <v>13903</v>
      </c>
      <c r="O389" s="1"/>
      <c r="P389" s="1" t="s">
        <v>12876</v>
      </c>
      <c r="Q389" s="1">
        <v>1</v>
      </c>
      <c r="R389" s="1" t="s">
        <v>12981</v>
      </c>
      <c r="S389" s="1" t="s">
        <v>13904</v>
      </c>
      <c r="T389" s="1" t="s">
        <v>13905</v>
      </c>
      <c r="U389" s="1" t="s">
        <v>9303</v>
      </c>
      <c r="V389" s="1" t="s">
        <v>6096</v>
      </c>
      <c r="W389" s="1"/>
      <c r="X389" s="1"/>
      <c r="Y389" s="1"/>
      <c r="Z389" s="1" t="s">
        <v>12908</v>
      </c>
      <c r="AA389" s="1">
        <f t="shared" si="25"/>
        <v>1</v>
      </c>
      <c r="AB389" s="1" t="str">
        <f t="shared" si="26"/>
        <v>R2 retained</v>
      </c>
      <c r="AC389" s="1"/>
      <c r="AD389" s="1"/>
      <c r="AE389" s="1"/>
      <c r="AF389" s="1"/>
      <c r="AG389" s="1"/>
      <c r="AH389" s="1"/>
      <c r="AI389" s="1">
        <f t="shared" si="27"/>
        <v>1</v>
      </c>
      <c r="AJ389" s="5"/>
      <c r="AK389" s="5"/>
      <c r="AL389" s="7" t="s">
        <v>15077</v>
      </c>
    </row>
    <row r="390" spans="1:38" ht="36" customHeight="1">
      <c r="A390" s="1" t="s">
        <v>5116</v>
      </c>
      <c r="B390" s="1" t="s">
        <v>5557</v>
      </c>
      <c r="C390" s="1" t="s">
        <v>5558</v>
      </c>
      <c r="D390" s="1" t="s">
        <v>9338</v>
      </c>
      <c r="E390" s="1">
        <v>2</v>
      </c>
      <c r="F390" s="1"/>
      <c r="G390" s="1" t="s">
        <v>12859</v>
      </c>
      <c r="H390" s="1" t="s">
        <v>9298</v>
      </c>
      <c r="I390" s="1" t="s">
        <v>4935</v>
      </c>
      <c r="J390" s="1"/>
      <c r="K390" s="1"/>
      <c r="L390" s="1" t="s">
        <v>12860</v>
      </c>
      <c r="M390" s="1" t="s">
        <v>9341</v>
      </c>
      <c r="N390" s="1" t="s">
        <v>13906</v>
      </c>
      <c r="O390" s="1"/>
      <c r="P390" s="1" t="s">
        <v>12868</v>
      </c>
      <c r="Q390" s="1"/>
      <c r="R390" s="1"/>
      <c r="S390" s="1"/>
      <c r="T390" s="1"/>
      <c r="U390" s="1"/>
      <c r="V390" s="1"/>
      <c r="W390" s="1"/>
      <c r="X390" s="1"/>
      <c r="Y390" s="1"/>
      <c r="Z390" s="1"/>
      <c r="AA390" s="1">
        <f t="shared" si="25"/>
        <v>2</v>
      </c>
      <c r="AB390" s="1" t="str">
        <f t="shared" si="26"/>
        <v>R2 retained</v>
      </c>
      <c r="AC390" s="1"/>
      <c r="AD390" s="1"/>
      <c r="AE390" s="1"/>
      <c r="AF390" s="1"/>
      <c r="AG390" s="1"/>
      <c r="AH390" s="1"/>
      <c r="AI390" s="1">
        <f t="shared" si="27"/>
        <v>0</v>
      </c>
      <c r="AJ390" s="5"/>
      <c r="AK390" s="5"/>
      <c r="AL390" s="7" t="s">
        <v>15077</v>
      </c>
    </row>
    <row r="391" spans="1:38" ht="36" customHeight="1">
      <c r="A391" s="1" t="s">
        <v>5116</v>
      </c>
      <c r="B391" s="1" t="s">
        <v>5562</v>
      </c>
      <c r="C391" s="1" t="s">
        <v>5563</v>
      </c>
      <c r="D391" s="1" t="s">
        <v>9343</v>
      </c>
      <c r="E391" s="1">
        <v>2</v>
      </c>
      <c r="F391" s="1"/>
      <c r="G391" s="1" t="s">
        <v>12859</v>
      </c>
      <c r="H391" s="1" t="s">
        <v>9298</v>
      </c>
      <c r="I391" s="1" t="s">
        <v>4862</v>
      </c>
      <c r="J391" s="1"/>
      <c r="K391" s="1"/>
      <c r="L391" s="1" t="s">
        <v>12860</v>
      </c>
      <c r="M391" s="1" t="s">
        <v>9346</v>
      </c>
      <c r="N391" s="1" t="s">
        <v>13907</v>
      </c>
      <c r="O391" s="1"/>
      <c r="P391" s="1" t="s">
        <v>12868</v>
      </c>
      <c r="Q391" s="1"/>
      <c r="R391" s="1"/>
      <c r="S391" s="1"/>
      <c r="T391" s="1"/>
      <c r="U391" s="1"/>
      <c r="V391" s="1"/>
      <c r="W391" s="1"/>
      <c r="X391" s="1"/>
      <c r="Y391" s="1"/>
      <c r="Z391" s="1"/>
      <c r="AA391" s="1">
        <f t="shared" si="25"/>
        <v>2</v>
      </c>
      <c r="AB391" s="1" t="str">
        <f t="shared" si="26"/>
        <v>R2 retained</v>
      </c>
      <c r="AC391" s="1">
        <v>2</v>
      </c>
      <c r="AD391" s="1" t="s">
        <v>12884</v>
      </c>
      <c r="AE391" s="1" t="s">
        <v>13908</v>
      </c>
      <c r="AF391" s="1" t="s">
        <v>13909</v>
      </c>
      <c r="AG391" s="1" t="s">
        <v>9303</v>
      </c>
      <c r="AH391" s="1" t="s">
        <v>6096</v>
      </c>
      <c r="AI391" s="1">
        <f t="shared" si="27"/>
        <v>1</v>
      </c>
      <c r="AJ391" s="5"/>
      <c r="AK391" s="5"/>
      <c r="AL391" s="7" t="s">
        <v>15077</v>
      </c>
    </row>
    <row r="392" spans="1:38" ht="84" customHeight="1">
      <c r="A392" s="1" t="s">
        <v>5116</v>
      </c>
      <c r="B392" s="1" t="s">
        <v>5567</v>
      </c>
      <c r="C392" s="1" t="s">
        <v>5568</v>
      </c>
      <c r="D392" s="1" t="s">
        <v>13910</v>
      </c>
      <c r="E392" s="1">
        <v>1</v>
      </c>
      <c r="F392" s="1">
        <v>2</v>
      </c>
      <c r="G392" s="1" t="s">
        <v>12873</v>
      </c>
      <c r="H392" s="1" t="s">
        <v>9298</v>
      </c>
      <c r="I392" s="1"/>
      <c r="J392" s="1"/>
      <c r="K392" s="1"/>
      <c r="L392" s="1" t="s">
        <v>12860</v>
      </c>
      <c r="M392" s="1" t="s">
        <v>13911</v>
      </c>
      <c r="N392" s="1" t="s">
        <v>13912</v>
      </c>
      <c r="O392" s="1" t="s">
        <v>13913</v>
      </c>
      <c r="P392" s="1" t="s">
        <v>12876</v>
      </c>
      <c r="Q392" s="1">
        <v>2</v>
      </c>
      <c r="R392" s="1" t="s">
        <v>12877</v>
      </c>
      <c r="S392" s="1" t="s">
        <v>13914</v>
      </c>
      <c r="T392" s="1" t="s">
        <v>13915</v>
      </c>
      <c r="U392" s="1" t="s">
        <v>9303</v>
      </c>
      <c r="V392" s="1" t="s">
        <v>6096</v>
      </c>
      <c r="W392" s="1"/>
      <c r="X392" s="1"/>
      <c r="Y392" s="1" t="s">
        <v>13916</v>
      </c>
      <c r="Z392" s="1" t="s">
        <v>12883</v>
      </c>
      <c r="AA392" s="1">
        <f t="shared" si="25"/>
        <v>2</v>
      </c>
      <c r="AB392" s="1" t="str">
        <f t="shared" si="26"/>
        <v>Reviewer confirmed</v>
      </c>
      <c r="AC392" s="1"/>
      <c r="AD392" s="1"/>
      <c r="AE392" s="1"/>
      <c r="AF392" s="1"/>
      <c r="AG392" s="1"/>
      <c r="AH392" s="1"/>
      <c r="AI392" s="1">
        <f t="shared" si="27"/>
        <v>1</v>
      </c>
      <c r="AJ392" s="5"/>
      <c r="AK392" s="5"/>
      <c r="AL392" s="7" t="s">
        <v>15077</v>
      </c>
    </row>
    <row r="393" spans="1:38" ht="36" customHeight="1">
      <c r="A393" s="1" t="s">
        <v>5116</v>
      </c>
      <c r="B393" s="1" t="s">
        <v>5572</v>
      </c>
      <c r="C393" s="1" t="s">
        <v>5573</v>
      </c>
      <c r="D393" s="1" t="s">
        <v>13917</v>
      </c>
      <c r="E393" s="1">
        <v>2</v>
      </c>
      <c r="F393" s="1"/>
      <c r="G393" s="1" t="s">
        <v>12859</v>
      </c>
      <c r="H393" s="1" t="s">
        <v>9298</v>
      </c>
      <c r="I393" s="1" t="s">
        <v>4896</v>
      </c>
      <c r="J393" s="1"/>
      <c r="K393" s="1"/>
      <c r="L393" s="1" t="s">
        <v>12860</v>
      </c>
      <c r="M393" s="1" t="s">
        <v>13918</v>
      </c>
      <c r="N393" s="1" t="s">
        <v>13919</v>
      </c>
      <c r="O393" s="1"/>
      <c r="P393" s="1" t="s">
        <v>12868</v>
      </c>
      <c r="Q393" s="1"/>
      <c r="R393" s="1"/>
      <c r="S393" s="1"/>
      <c r="T393" s="1"/>
      <c r="U393" s="1"/>
      <c r="V393" s="1"/>
      <c r="W393" s="1"/>
      <c r="X393" s="1"/>
      <c r="Y393" s="1"/>
      <c r="Z393" s="1"/>
      <c r="AA393" s="1">
        <f t="shared" si="25"/>
        <v>2</v>
      </c>
      <c r="AB393" s="1" t="str">
        <f t="shared" si="26"/>
        <v>R2 retained</v>
      </c>
      <c r="AC393" s="1"/>
      <c r="AD393" s="1"/>
      <c r="AE393" s="1"/>
      <c r="AF393" s="1"/>
      <c r="AG393" s="1"/>
      <c r="AH393" s="1"/>
      <c r="AI393" s="1">
        <f t="shared" si="27"/>
        <v>0</v>
      </c>
      <c r="AJ393" s="5"/>
      <c r="AK393" s="5"/>
      <c r="AL393" s="7" t="s">
        <v>15077</v>
      </c>
    </row>
    <row r="394" spans="1:38" ht="36" customHeight="1">
      <c r="A394" s="1" t="s">
        <v>5116</v>
      </c>
      <c r="B394" s="1" t="s">
        <v>5577</v>
      </c>
      <c r="C394" s="1" t="s">
        <v>5578</v>
      </c>
      <c r="D394" s="1" t="s">
        <v>13920</v>
      </c>
      <c r="E394" s="1">
        <v>2</v>
      </c>
      <c r="F394" s="1"/>
      <c r="G394" s="1" t="s">
        <v>12859</v>
      </c>
      <c r="H394" s="1" t="s">
        <v>9298</v>
      </c>
      <c r="I394" s="1" t="s">
        <v>4959</v>
      </c>
      <c r="J394" s="1"/>
      <c r="K394" s="1"/>
      <c r="L394" s="1" t="s">
        <v>12860</v>
      </c>
      <c r="M394" s="1" t="s">
        <v>13921</v>
      </c>
      <c r="N394" s="1" t="s">
        <v>13922</v>
      </c>
      <c r="O394" s="1"/>
      <c r="P394" s="1" t="s">
        <v>12868</v>
      </c>
      <c r="Q394" s="1"/>
      <c r="R394" s="1"/>
      <c r="S394" s="1"/>
      <c r="T394" s="1"/>
      <c r="U394" s="1"/>
      <c r="V394" s="1"/>
      <c r="W394" s="1"/>
      <c r="X394" s="1"/>
      <c r="Y394" s="1"/>
      <c r="Z394" s="1"/>
      <c r="AA394" s="1">
        <f t="shared" si="25"/>
        <v>2</v>
      </c>
      <c r="AB394" s="1" t="str">
        <f t="shared" si="26"/>
        <v>R2 retained</v>
      </c>
      <c r="AC394" s="1"/>
      <c r="AD394" s="1"/>
      <c r="AE394" s="1"/>
      <c r="AF394" s="1"/>
      <c r="AG394" s="1"/>
      <c r="AH394" s="1"/>
      <c r="AI394" s="1">
        <f t="shared" si="27"/>
        <v>0</v>
      </c>
      <c r="AJ394" s="5"/>
      <c r="AK394" s="5"/>
      <c r="AL394" s="7" t="s">
        <v>15077</v>
      </c>
    </row>
    <row r="395" spans="1:38" ht="108" customHeight="1">
      <c r="A395" s="1" t="s">
        <v>5116</v>
      </c>
      <c r="B395" s="1" t="s">
        <v>5582</v>
      </c>
      <c r="C395" s="1" t="s">
        <v>5583</v>
      </c>
      <c r="D395" s="1" t="s">
        <v>4747</v>
      </c>
      <c r="E395" s="1">
        <v>0</v>
      </c>
      <c r="F395" s="1">
        <v>2</v>
      </c>
      <c r="G395" s="1" t="s">
        <v>12873</v>
      </c>
      <c r="H395" s="1" t="s">
        <v>9298</v>
      </c>
      <c r="I395" s="1" t="s">
        <v>4747</v>
      </c>
      <c r="J395" s="1"/>
      <c r="K395" s="1"/>
      <c r="L395" s="1" t="s">
        <v>12860</v>
      </c>
      <c r="M395" s="1" t="s">
        <v>9392</v>
      </c>
      <c r="N395" s="1" t="s">
        <v>13923</v>
      </c>
      <c r="O395" s="1" t="s">
        <v>13924</v>
      </c>
      <c r="P395" s="1" t="s">
        <v>12863</v>
      </c>
      <c r="Q395" s="1">
        <v>2</v>
      </c>
      <c r="R395" s="1" t="s">
        <v>12877</v>
      </c>
      <c r="S395" s="1" t="s">
        <v>13925</v>
      </c>
      <c r="T395" s="1" t="s">
        <v>13926</v>
      </c>
      <c r="U395" s="1" t="s">
        <v>9303</v>
      </c>
      <c r="V395" s="1" t="s">
        <v>6096</v>
      </c>
      <c r="W395" s="1"/>
      <c r="X395" s="1"/>
      <c r="Y395" s="1" t="s">
        <v>13927</v>
      </c>
      <c r="Z395" s="1" t="s">
        <v>12883</v>
      </c>
      <c r="AA395" s="1">
        <f t="shared" si="25"/>
        <v>2</v>
      </c>
      <c r="AB395" s="1" t="str">
        <f t="shared" si="26"/>
        <v>Reviewer confirmed</v>
      </c>
      <c r="AC395" s="1">
        <v>2</v>
      </c>
      <c r="AD395" s="1" t="s">
        <v>12936</v>
      </c>
      <c r="AE395" s="1" t="s">
        <v>13928</v>
      </c>
      <c r="AF395" s="1" t="s">
        <v>13929</v>
      </c>
      <c r="AG395" s="1" t="s">
        <v>9303</v>
      </c>
      <c r="AH395" s="1" t="s">
        <v>6096</v>
      </c>
      <c r="AI395" s="1">
        <f t="shared" si="27"/>
        <v>1</v>
      </c>
      <c r="AJ395" s="5" t="s">
        <v>12898</v>
      </c>
      <c r="AK395" s="5" t="s">
        <v>12899</v>
      </c>
      <c r="AL395" s="7" t="s">
        <v>15077</v>
      </c>
    </row>
    <row r="396" spans="1:38" ht="36" customHeight="1">
      <c r="A396" s="1" t="s">
        <v>5116</v>
      </c>
      <c r="B396" s="1" t="s">
        <v>5586</v>
      </c>
      <c r="C396" s="1" t="s">
        <v>5587</v>
      </c>
      <c r="D396" s="1" t="s">
        <v>13930</v>
      </c>
      <c r="E396" s="1">
        <v>0</v>
      </c>
      <c r="F396" s="1"/>
      <c r="G396" s="1" t="s">
        <v>12859</v>
      </c>
      <c r="H396" s="1" t="s">
        <v>9298</v>
      </c>
      <c r="I396" s="1" t="s">
        <v>4747</v>
      </c>
      <c r="J396" s="1"/>
      <c r="K396" s="1"/>
      <c r="L396" s="1" t="s">
        <v>12860</v>
      </c>
      <c r="M396" s="1" t="s">
        <v>13931</v>
      </c>
      <c r="N396" s="1" t="s">
        <v>13932</v>
      </c>
      <c r="O396" s="1"/>
      <c r="P396" s="1" t="s">
        <v>12863</v>
      </c>
      <c r="Q396" s="1"/>
      <c r="R396" s="1"/>
      <c r="S396" s="1"/>
      <c r="T396" s="1"/>
      <c r="U396" s="1"/>
      <c r="V396" s="1"/>
      <c r="W396" s="1"/>
      <c r="X396" s="1"/>
      <c r="Y396" s="1"/>
      <c r="Z396" s="1"/>
      <c r="AA396" s="1">
        <f t="shared" si="25"/>
        <v>0</v>
      </c>
      <c r="AB396" s="1" t="str">
        <f t="shared" si="26"/>
        <v>R2 retained</v>
      </c>
      <c r="AC396" s="1"/>
      <c r="AD396" s="1"/>
      <c r="AE396" s="1"/>
      <c r="AF396" s="1"/>
      <c r="AG396" s="1"/>
      <c r="AH396" s="1"/>
      <c r="AI396" s="1">
        <f t="shared" si="27"/>
        <v>0</v>
      </c>
      <c r="AJ396" s="5"/>
      <c r="AK396" s="5"/>
      <c r="AL396" s="7" t="s">
        <v>15077</v>
      </c>
    </row>
    <row r="397" spans="1:38" ht="96" customHeight="1">
      <c r="A397" s="1" t="s">
        <v>5116</v>
      </c>
      <c r="B397" s="1" t="s">
        <v>5591</v>
      </c>
      <c r="C397" s="1" t="s">
        <v>5592</v>
      </c>
      <c r="D397" s="1" t="s">
        <v>13933</v>
      </c>
      <c r="E397" s="1">
        <v>1</v>
      </c>
      <c r="F397" s="1">
        <v>0</v>
      </c>
      <c r="G397" s="1" t="s">
        <v>12873</v>
      </c>
      <c r="H397" s="1" t="s">
        <v>9298</v>
      </c>
      <c r="I397" s="1" t="s">
        <v>4737</v>
      </c>
      <c r="J397" s="1"/>
      <c r="K397" s="1"/>
      <c r="L397" s="1" t="s">
        <v>12860</v>
      </c>
      <c r="M397" s="1" t="s">
        <v>13934</v>
      </c>
      <c r="N397" s="1" t="s">
        <v>13935</v>
      </c>
      <c r="O397" s="1" t="s">
        <v>13936</v>
      </c>
      <c r="P397" s="1" t="s">
        <v>12868</v>
      </c>
      <c r="Q397" s="1">
        <v>0</v>
      </c>
      <c r="R397" s="1" t="s">
        <v>12877</v>
      </c>
      <c r="S397" s="1" t="s">
        <v>13937</v>
      </c>
      <c r="T397" s="1" t="s">
        <v>13938</v>
      </c>
      <c r="U397" s="1" t="s">
        <v>9303</v>
      </c>
      <c r="V397" s="1" t="s">
        <v>6096</v>
      </c>
      <c r="W397" s="1" t="s">
        <v>12880</v>
      </c>
      <c r="X397" s="1"/>
      <c r="Y397" s="1" t="s">
        <v>13939</v>
      </c>
      <c r="Z397" s="1" t="s">
        <v>12883</v>
      </c>
      <c r="AA397" s="1">
        <f t="shared" si="25"/>
        <v>0</v>
      </c>
      <c r="AB397" s="1" t="str">
        <f t="shared" si="26"/>
        <v>Reviewer confirmed</v>
      </c>
      <c r="AC397" s="1">
        <v>0</v>
      </c>
      <c r="AD397" s="1" t="s">
        <v>12936</v>
      </c>
      <c r="AE397" s="1" t="s">
        <v>13940</v>
      </c>
      <c r="AF397" s="1" t="s">
        <v>13938</v>
      </c>
      <c r="AG397" s="1" t="s">
        <v>9303</v>
      </c>
      <c r="AH397" s="1" t="s">
        <v>6096</v>
      </c>
      <c r="AI397" s="1">
        <f t="shared" si="27"/>
        <v>1</v>
      </c>
      <c r="AJ397" s="5" t="s">
        <v>12898</v>
      </c>
      <c r="AK397" s="5" t="s">
        <v>12899</v>
      </c>
      <c r="AL397" s="7" t="s">
        <v>15077</v>
      </c>
    </row>
    <row r="398" spans="1:38" ht="36" customHeight="1">
      <c r="A398" s="1" t="s">
        <v>5116</v>
      </c>
      <c r="B398" s="1" t="s">
        <v>5596</v>
      </c>
      <c r="C398" s="1" t="s">
        <v>5597</v>
      </c>
      <c r="D398" s="1" t="s">
        <v>13941</v>
      </c>
      <c r="E398" s="1">
        <v>1</v>
      </c>
      <c r="F398" s="1"/>
      <c r="G398" s="1" t="s">
        <v>12859</v>
      </c>
      <c r="H398" s="1" t="s">
        <v>9298</v>
      </c>
      <c r="I398" s="1" t="s">
        <v>4959</v>
      </c>
      <c r="J398" s="1"/>
      <c r="K398" s="1"/>
      <c r="L398" s="1" t="s">
        <v>12860</v>
      </c>
      <c r="M398" s="1" t="s">
        <v>13942</v>
      </c>
      <c r="N398" s="1" t="s">
        <v>13943</v>
      </c>
      <c r="O398" s="1"/>
      <c r="P398" s="1" t="s">
        <v>12868</v>
      </c>
      <c r="Q398" s="1"/>
      <c r="R398" s="1"/>
      <c r="S398" s="1"/>
      <c r="T398" s="1"/>
      <c r="U398" s="1"/>
      <c r="V398" s="1"/>
      <c r="W398" s="1"/>
      <c r="X398" s="1"/>
      <c r="Y398" s="1"/>
      <c r="Z398" s="1"/>
      <c r="AA398" s="1">
        <f t="shared" si="25"/>
        <v>1</v>
      </c>
      <c r="AB398" s="1" t="str">
        <f t="shared" si="26"/>
        <v>R2 retained</v>
      </c>
      <c r="AC398" s="1"/>
      <c r="AD398" s="1"/>
      <c r="AE398" s="1"/>
      <c r="AF398" s="1"/>
      <c r="AG398" s="1"/>
      <c r="AH398" s="1"/>
      <c r="AI398" s="1">
        <f t="shared" si="27"/>
        <v>0</v>
      </c>
      <c r="AJ398" s="5"/>
      <c r="AK398" s="5"/>
      <c r="AL398" s="7" t="s">
        <v>15077</v>
      </c>
    </row>
    <row r="399" spans="1:38" ht="36" customHeight="1">
      <c r="A399" s="1" t="s">
        <v>5116</v>
      </c>
      <c r="B399" s="1" t="s">
        <v>5601</v>
      </c>
      <c r="C399" s="1" t="s">
        <v>5602</v>
      </c>
      <c r="D399" s="1" t="s">
        <v>9405</v>
      </c>
      <c r="E399" s="1">
        <v>1</v>
      </c>
      <c r="F399" s="1"/>
      <c r="G399" s="1" t="s">
        <v>12859</v>
      </c>
      <c r="H399" s="1" t="s">
        <v>9298</v>
      </c>
      <c r="I399" s="1" t="s">
        <v>4717</v>
      </c>
      <c r="J399" s="1"/>
      <c r="K399" s="1"/>
      <c r="L399" s="1" t="s">
        <v>12860</v>
      </c>
      <c r="M399" s="1" t="s">
        <v>9407</v>
      </c>
      <c r="N399" s="1" t="s">
        <v>13944</v>
      </c>
      <c r="O399" s="1"/>
      <c r="P399" s="1" t="s">
        <v>12868</v>
      </c>
      <c r="Q399" s="1"/>
      <c r="R399" s="1"/>
      <c r="S399" s="1"/>
      <c r="T399" s="1"/>
      <c r="U399" s="1"/>
      <c r="V399" s="1"/>
      <c r="W399" s="1"/>
      <c r="X399" s="1"/>
      <c r="Y399" s="1"/>
      <c r="Z399" s="1"/>
      <c r="AA399" s="1">
        <f t="shared" si="25"/>
        <v>1</v>
      </c>
      <c r="AB399" s="1" t="str">
        <f t="shared" si="26"/>
        <v>R2 retained</v>
      </c>
      <c r="AC399" s="1"/>
      <c r="AD399" s="1"/>
      <c r="AE399" s="1"/>
      <c r="AF399" s="1"/>
      <c r="AG399" s="1"/>
      <c r="AH399" s="1"/>
      <c r="AI399" s="1">
        <f t="shared" si="27"/>
        <v>0</v>
      </c>
      <c r="AJ399" s="5"/>
      <c r="AK399" s="5"/>
      <c r="AL399" s="7" t="s">
        <v>15077</v>
      </c>
    </row>
    <row r="400" spans="1:38" ht="36" customHeight="1">
      <c r="A400" s="1" t="s">
        <v>5116</v>
      </c>
      <c r="B400" s="1" t="s">
        <v>5606</v>
      </c>
      <c r="C400" s="1" t="s">
        <v>5607</v>
      </c>
      <c r="D400" s="1" t="s">
        <v>9409</v>
      </c>
      <c r="E400" s="1">
        <v>2</v>
      </c>
      <c r="F400" s="1"/>
      <c r="G400" s="1" t="s">
        <v>12859</v>
      </c>
      <c r="H400" s="1" t="s">
        <v>9298</v>
      </c>
      <c r="I400" s="1" t="s">
        <v>4959</v>
      </c>
      <c r="J400" s="1"/>
      <c r="K400" s="1"/>
      <c r="L400" s="1" t="s">
        <v>12860</v>
      </c>
      <c r="M400" s="1" t="s">
        <v>9411</v>
      </c>
      <c r="N400" s="1" t="s">
        <v>13945</v>
      </c>
      <c r="O400" s="1"/>
      <c r="P400" s="1" t="s">
        <v>12868</v>
      </c>
      <c r="Q400" s="1"/>
      <c r="R400" s="1"/>
      <c r="S400" s="1"/>
      <c r="T400" s="1"/>
      <c r="U400" s="1"/>
      <c r="V400" s="1"/>
      <c r="W400" s="1"/>
      <c r="X400" s="1"/>
      <c r="Y400" s="1"/>
      <c r="Z400" s="1"/>
      <c r="AA400" s="1">
        <f t="shared" si="25"/>
        <v>2</v>
      </c>
      <c r="AB400" s="1" t="str">
        <f t="shared" si="26"/>
        <v>R2 retained</v>
      </c>
      <c r="AC400" s="1"/>
      <c r="AD400" s="1"/>
      <c r="AE400" s="1"/>
      <c r="AF400" s="1"/>
      <c r="AG400" s="1"/>
      <c r="AH400" s="1"/>
      <c r="AI400" s="1">
        <f t="shared" si="27"/>
        <v>0</v>
      </c>
      <c r="AJ400" s="5"/>
      <c r="AK400" s="5"/>
      <c r="AL400" s="7" t="s">
        <v>15077</v>
      </c>
    </row>
    <row r="401" spans="1:38" ht="36" customHeight="1">
      <c r="A401" s="1" t="s">
        <v>5116</v>
      </c>
      <c r="B401" s="1" t="s">
        <v>5454</v>
      </c>
      <c r="C401" s="1" t="s">
        <v>5455</v>
      </c>
      <c r="D401" s="1" t="s">
        <v>4747</v>
      </c>
      <c r="E401" s="1">
        <v>0</v>
      </c>
      <c r="F401" s="1"/>
      <c r="G401" s="1" t="s">
        <v>12859</v>
      </c>
      <c r="H401" s="1" t="s">
        <v>9298</v>
      </c>
      <c r="I401" s="1" t="s">
        <v>4747</v>
      </c>
      <c r="J401" s="1"/>
      <c r="K401" s="1"/>
      <c r="L401" s="1" t="s">
        <v>12860</v>
      </c>
      <c r="M401" s="1" t="s">
        <v>9413</v>
      </c>
      <c r="N401" s="1" t="s">
        <v>13946</v>
      </c>
      <c r="O401" s="1"/>
      <c r="P401" s="1" t="s">
        <v>12863</v>
      </c>
      <c r="Q401" s="1"/>
      <c r="R401" s="1"/>
      <c r="S401" s="1"/>
      <c r="T401" s="1"/>
      <c r="U401" s="1"/>
      <c r="V401" s="1"/>
      <c r="W401" s="1"/>
      <c r="X401" s="1"/>
      <c r="Y401" s="1"/>
      <c r="Z401" s="1"/>
      <c r="AA401" s="1">
        <f t="shared" si="25"/>
        <v>0</v>
      </c>
      <c r="AB401" s="1" t="str">
        <f t="shared" si="26"/>
        <v>R2 retained</v>
      </c>
      <c r="AC401" s="1">
        <v>0</v>
      </c>
      <c r="AD401" s="1" t="s">
        <v>12884</v>
      </c>
      <c r="AE401" s="1" t="s">
        <v>13947</v>
      </c>
      <c r="AF401" s="1" t="s">
        <v>13948</v>
      </c>
      <c r="AG401" s="1" t="s">
        <v>9303</v>
      </c>
      <c r="AH401" s="1" t="s">
        <v>6096</v>
      </c>
      <c r="AI401" s="1">
        <f t="shared" si="27"/>
        <v>1</v>
      </c>
      <c r="AJ401" s="5" t="s">
        <v>12898</v>
      </c>
      <c r="AK401" s="5" t="s">
        <v>12899</v>
      </c>
      <c r="AL401" s="7" t="s">
        <v>15077</v>
      </c>
    </row>
    <row r="402" spans="1:38" ht="36" customHeight="1">
      <c r="A402" s="1" t="s">
        <v>5133</v>
      </c>
      <c r="B402" s="1" t="s">
        <v>5537</v>
      </c>
      <c r="C402" s="1" t="s">
        <v>5538</v>
      </c>
      <c r="D402" s="1" t="s">
        <v>4747</v>
      </c>
      <c r="E402" s="1">
        <v>0</v>
      </c>
      <c r="F402" s="1"/>
      <c r="G402" s="1" t="s">
        <v>12859</v>
      </c>
      <c r="H402" s="1" t="s">
        <v>9431</v>
      </c>
      <c r="I402" s="1" t="s">
        <v>4747</v>
      </c>
      <c r="J402" s="1"/>
      <c r="K402" s="1"/>
      <c r="L402" s="1" t="s">
        <v>12860</v>
      </c>
      <c r="M402" s="1" t="s">
        <v>13949</v>
      </c>
      <c r="N402" s="1" t="s">
        <v>13950</v>
      </c>
      <c r="O402" s="1"/>
      <c r="P402" s="1" t="s">
        <v>12863</v>
      </c>
      <c r="Q402" s="1"/>
      <c r="R402" s="1"/>
      <c r="S402" s="1"/>
      <c r="T402" s="1"/>
      <c r="U402" s="1"/>
      <c r="V402" s="1"/>
      <c r="W402" s="1"/>
      <c r="X402" s="1"/>
      <c r="Y402" s="1"/>
      <c r="Z402" s="1"/>
      <c r="AA402" s="1">
        <f t="shared" si="25"/>
        <v>0</v>
      </c>
      <c r="AB402" s="1" t="str">
        <f t="shared" si="26"/>
        <v>R2 retained</v>
      </c>
      <c r="AC402" s="1"/>
      <c r="AD402" s="1"/>
      <c r="AE402" s="1"/>
      <c r="AF402" s="1"/>
      <c r="AG402" s="1"/>
      <c r="AH402" s="1"/>
      <c r="AI402" s="1">
        <f t="shared" si="27"/>
        <v>0</v>
      </c>
      <c r="AJ402" s="5"/>
      <c r="AK402" s="5"/>
      <c r="AL402" s="7" t="s">
        <v>15077</v>
      </c>
    </row>
    <row r="403" spans="1:38" ht="36" customHeight="1">
      <c r="A403" s="1" t="s">
        <v>5133</v>
      </c>
      <c r="B403" s="1" t="s">
        <v>5542</v>
      </c>
      <c r="C403" s="1" t="s">
        <v>5543</v>
      </c>
      <c r="D403" s="1" t="s">
        <v>4747</v>
      </c>
      <c r="E403" s="1">
        <v>0</v>
      </c>
      <c r="F403" s="1"/>
      <c r="G403" s="1" t="s">
        <v>12859</v>
      </c>
      <c r="H403" s="1" t="s">
        <v>9431</v>
      </c>
      <c r="I403" s="1" t="s">
        <v>4747</v>
      </c>
      <c r="J403" s="1"/>
      <c r="K403" s="1"/>
      <c r="L403" s="1" t="s">
        <v>12860</v>
      </c>
      <c r="M403" s="1" t="s">
        <v>13951</v>
      </c>
      <c r="N403" s="1" t="s">
        <v>13952</v>
      </c>
      <c r="O403" s="1"/>
      <c r="P403" s="1" t="s">
        <v>12863</v>
      </c>
      <c r="Q403" s="1"/>
      <c r="R403" s="1"/>
      <c r="S403" s="1"/>
      <c r="T403" s="1"/>
      <c r="U403" s="1"/>
      <c r="V403" s="1"/>
      <c r="W403" s="1"/>
      <c r="X403" s="1"/>
      <c r="Y403" s="1"/>
      <c r="Z403" s="1"/>
      <c r="AA403" s="1">
        <f t="shared" si="25"/>
        <v>0</v>
      </c>
      <c r="AB403" s="1" t="str">
        <f t="shared" si="26"/>
        <v>R2 retained</v>
      </c>
      <c r="AC403" s="1"/>
      <c r="AD403" s="1"/>
      <c r="AE403" s="1"/>
      <c r="AF403" s="1"/>
      <c r="AG403" s="1"/>
      <c r="AH403" s="1"/>
      <c r="AI403" s="1">
        <f t="shared" si="27"/>
        <v>0</v>
      </c>
      <c r="AJ403" s="5"/>
      <c r="AK403" s="5"/>
      <c r="AL403" s="7" t="s">
        <v>15077</v>
      </c>
    </row>
    <row r="404" spans="1:38" ht="36" customHeight="1">
      <c r="A404" s="1" t="s">
        <v>5133</v>
      </c>
      <c r="B404" s="1" t="s">
        <v>5547</v>
      </c>
      <c r="C404" s="1" t="s">
        <v>5548</v>
      </c>
      <c r="D404" s="1" t="s">
        <v>4747</v>
      </c>
      <c r="E404" s="1">
        <v>1</v>
      </c>
      <c r="F404" s="1"/>
      <c r="G404" s="1" t="s">
        <v>12859</v>
      </c>
      <c r="H404" s="1" t="s">
        <v>9431</v>
      </c>
      <c r="I404" s="1" t="s">
        <v>13953</v>
      </c>
      <c r="J404" s="1"/>
      <c r="K404" s="1"/>
      <c r="L404" s="1" t="s">
        <v>12860</v>
      </c>
      <c r="M404" s="1" t="s">
        <v>13954</v>
      </c>
      <c r="N404" s="1" t="s">
        <v>13955</v>
      </c>
      <c r="O404" s="1"/>
      <c r="P404" s="1" t="s">
        <v>12868</v>
      </c>
      <c r="Q404" s="1"/>
      <c r="R404" s="1"/>
      <c r="S404" s="1"/>
      <c r="T404" s="1"/>
      <c r="U404" s="1"/>
      <c r="V404" s="1"/>
      <c r="W404" s="1"/>
      <c r="X404" s="1"/>
      <c r="Y404" s="1"/>
      <c r="Z404" s="1"/>
      <c r="AA404" s="1">
        <f t="shared" si="25"/>
        <v>1</v>
      </c>
      <c r="AB404" s="1" t="str">
        <f t="shared" si="26"/>
        <v>R2 retained</v>
      </c>
      <c r="AC404" s="1"/>
      <c r="AD404" s="1"/>
      <c r="AE404" s="1"/>
      <c r="AF404" s="1"/>
      <c r="AG404" s="1"/>
      <c r="AH404" s="1"/>
      <c r="AI404" s="1">
        <f t="shared" si="27"/>
        <v>0</v>
      </c>
      <c r="AJ404" s="5"/>
      <c r="AK404" s="5"/>
      <c r="AL404" s="7" t="s">
        <v>15077</v>
      </c>
    </row>
    <row r="405" spans="1:38" ht="36" customHeight="1">
      <c r="A405" s="1" t="s">
        <v>5133</v>
      </c>
      <c r="B405" s="1" t="s">
        <v>5552</v>
      </c>
      <c r="C405" s="1" t="s">
        <v>5553</v>
      </c>
      <c r="D405" s="1" t="s">
        <v>12929</v>
      </c>
      <c r="E405" s="1">
        <v>0</v>
      </c>
      <c r="F405" s="1"/>
      <c r="G405" s="1" t="s">
        <v>12859</v>
      </c>
      <c r="H405" s="1" t="s">
        <v>9431</v>
      </c>
      <c r="I405" s="1" t="s">
        <v>4747</v>
      </c>
      <c r="J405" s="1"/>
      <c r="K405" s="1" t="s">
        <v>5151</v>
      </c>
      <c r="L405" s="1" t="s">
        <v>12930</v>
      </c>
      <c r="M405" s="1" t="s">
        <v>13956</v>
      </c>
      <c r="N405" s="1" t="s">
        <v>13957</v>
      </c>
      <c r="O405" s="1" t="s">
        <v>9469</v>
      </c>
      <c r="P405" s="1" t="s">
        <v>12863</v>
      </c>
      <c r="Q405" s="1"/>
      <c r="R405" s="1"/>
      <c r="S405" s="1"/>
      <c r="T405" s="1"/>
      <c r="U405" s="1"/>
      <c r="V405" s="1"/>
      <c r="W405" s="1"/>
      <c r="X405" s="1"/>
      <c r="Y405" s="1"/>
      <c r="Z405" s="1"/>
      <c r="AA405" s="1">
        <f t="shared" si="25"/>
        <v>0</v>
      </c>
      <c r="AB405" s="1" t="str">
        <f t="shared" si="26"/>
        <v>R2 retained</v>
      </c>
      <c r="AC405" s="1"/>
      <c r="AD405" s="1"/>
      <c r="AE405" s="1"/>
      <c r="AF405" s="1"/>
      <c r="AG405" s="1"/>
      <c r="AH405" s="1"/>
      <c r="AI405" s="1">
        <f t="shared" si="27"/>
        <v>0</v>
      </c>
      <c r="AJ405" s="5"/>
      <c r="AK405" s="5"/>
      <c r="AL405" s="7" t="s">
        <v>15077</v>
      </c>
    </row>
    <row r="406" spans="1:38" ht="36" customHeight="1">
      <c r="A406" s="1" t="s">
        <v>5133</v>
      </c>
      <c r="B406" s="1" t="s">
        <v>5557</v>
      </c>
      <c r="C406" s="1" t="s">
        <v>5558</v>
      </c>
      <c r="D406" s="1" t="s">
        <v>9472</v>
      </c>
      <c r="E406" s="1">
        <v>0</v>
      </c>
      <c r="F406" s="1"/>
      <c r="G406" s="1" t="s">
        <v>12859</v>
      </c>
      <c r="H406" s="1" t="s">
        <v>9431</v>
      </c>
      <c r="I406" s="1" t="s">
        <v>4747</v>
      </c>
      <c r="J406" s="1"/>
      <c r="K406" s="1"/>
      <c r="L406" s="1" t="s">
        <v>12860</v>
      </c>
      <c r="M406" s="1" t="s">
        <v>9474</v>
      </c>
      <c r="N406" s="1" t="s">
        <v>13958</v>
      </c>
      <c r="O406" s="1"/>
      <c r="P406" s="1" t="s">
        <v>12863</v>
      </c>
      <c r="Q406" s="1"/>
      <c r="R406" s="1"/>
      <c r="S406" s="1"/>
      <c r="T406" s="1"/>
      <c r="U406" s="1"/>
      <c r="V406" s="1"/>
      <c r="W406" s="1"/>
      <c r="X406" s="1"/>
      <c r="Y406" s="1"/>
      <c r="Z406" s="1"/>
      <c r="AA406" s="1">
        <f t="shared" si="25"/>
        <v>0</v>
      </c>
      <c r="AB406" s="1" t="str">
        <f t="shared" si="26"/>
        <v>R2 retained</v>
      </c>
      <c r="AC406" s="1"/>
      <c r="AD406" s="1"/>
      <c r="AE406" s="1"/>
      <c r="AF406" s="1"/>
      <c r="AG406" s="1"/>
      <c r="AH406" s="1"/>
      <c r="AI406" s="1">
        <f t="shared" si="27"/>
        <v>0</v>
      </c>
      <c r="AJ406" s="5"/>
      <c r="AK406" s="5"/>
      <c r="AL406" s="7" t="s">
        <v>15077</v>
      </c>
    </row>
    <row r="407" spans="1:38" ht="72" customHeight="1">
      <c r="A407" s="1" t="s">
        <v>5133</v>
      </c>
      <c r="B407" s="1" t="s">
        <v>5562</v>
      </c>
      <c r="C407" s="1" t="s">
        <v>5563</v>
      </c>
      <c r="D407" s="1" t="s">
        <v>5760</v>
      </c>
      <c r="E407" s="1">
        <v>0</v>
      </c>
      <c r="F407" s="1">
        <v>1</v>
      </c>
      <c r="G407" s="1" t="s">
        <v>4691</v>
      </c>
      <c r="H407" s="1" t="s">
        <v>9431</v>
      </c>
      <c r="I407" s="1" t="s">
        <v>4747</v>
      </c>
      <c r="J407" s="1"/>
      <c r="K407" s="1"/>
      <c r="L407" s="1" t="s">
        <v>12860</v>
      </c>
      <c r="M407" s="1" t="s">
        <v>9479</v>
      </c>
      <c r="N407" s="1" t="s">
        <v>13959</v>
      </c>
      <c r="O407" s="1" t="s">
        <v>13960</v>
      </c>
      <c r="P407" s="1" t="s">
        <v>12917</v>
      </c>
      <c r="Q407" s="1"/>
      <c r="R407" s="1"/>
      <c r="S407" s="1"/>
      <c r="T407" s="1"/>
      <c r="U407" s="1"/>
      <c r="V407" s="1"/>
      <c r="W407" s="1"/>
      <c r="X407" s="1"/>
      <c r="Y407" s="1" t="s">
        <v>5762</v>
      </c>
      <c r="Z407" s="1" t="s">
        <v>12918</v>
      </c>
      <c r="AA407" s="1">
        <f t="shared" si="25"/>
        <v>1</v>
      </c>
      <c r="AB407" s="1" t="str">
        <f t="shared" si="26"/>
        <v>Reviewer confirmed</v>
      </c>
      <c r="AC407" s="1">
        <v>1</v>
      </c>
      <c r="AD407" s="1" t="s">
        <v>12936</v>
      </c>
      <c r="AE407" s="1" t="s">
        <v>5762</v>
      </c>
      <c r="AF407" s="1" t="s">
        <v>5761</v>
      </c>
      <c r="AG407" s="1" t="s">
        <v>5763</v>
      </c>
      <c r="AH407" s="1" t="s">
        <v>5461</v>
      </c>
      <c r="AI407" s="1">
        <f t="shared" si="27"/>
        <v>1</v>
      </c>
      <c r="AJ407" s="5"/>
      <c r="AK407" s="5"/>
      <c r="AL407" s="7" t="s">
        <v>15077</v>
      </c>
    </row>
    <row r="408" spans="1:38" ht="36" customHeight="1">
      <c r="A408" s="1" t="s">
        <v>5133</v>
      </c>
      <c r="B408" s="1" t="s">
        <v>5567</v>
      </c>
      <c r="C408" s="1" t="s">
        <v>5568</v>
      </c>
      <c r="D408" s="1" t="s">
        <v>13961</v>
      </c>
      <c r="E408" s="1">
        <v>0</v>
      </c>
      <c r="F408" s="1"/>
      <c r="G408" s="1" t="s">
        <v>12859</v>
      </c>
      <c r="H408" s="1" t="s">
        <v>9431</v>
      </c>
      <c r="I408" s="1" t="s">
        <v>4747</v>
      </c>
      <c r="J408" s="1"/>
      <c r="K408" s="1"/>
      <c r="L408" s="1" t="s">
        <v>12860</v>
      </c>
      <c r="M408" s="1" t="s">
        <v>13962</v>
      </c>
      <c r="N408" s="1" t="s">
        <v>13963</v>
      </c>
      <c r="O408" s="1"/>
      <c r="P408" s="1" t="s">
        <v>12863</v>
      </c>
      <c r="Q408" s="1"/>
      <c r="R408" s="1"/>
      <c r="S408" s="1"/>
      <c r="T408" s="1"/>
      <c r="U408" s="1"/>
      <c r="V408" s="1"/>
      <c r="W408" s="1"/>
      <c r="X408" s="1"/>
      <c r="Y408" s="1"/>
      <c r="Z408" s="1"/>
      <c r="AA408" s="1">
        <f t="shared" si="25"/>
        <v>0</v>
      </c>
      <c r="AB408" s="1" t="str">
        <f t="shared" si="26"/>
        <v>R2 retained</v>
      </c>
      <c r="AC408" s="1"/>
      <c r="AD408" s="1"/>
      <c r="AE408" s="1"/>
      <c r="AF408" s="1"/>
      <c r="AG408" s="1"/>
      <c r="AH408" s="1"/>
      <c r="AI408" s="1">
        <f t="shared" si="27"/>
        <v>0</v>
      </c>
      <c r="AJ408" s="5"/>
      <c r="AK408" s="5"/>
      <c r="AL408" s="7" t="s">
        <v>15077</v>
      </c>
    </row>
    <row r="409" spans="1:38" ht="36" customHeight="1">
      <c r="A409" s="1" t="s">
        <v>5133</v>
      </c>
      <c r="B409" s="1" t="s">
        <v>5572</v>
      </c>
      <c r="C409" s="1" t="s">
        <v>5573</v>
      </c>
      <c r="D409" s="1" t="s">
        <v>4747</v>
      </c>
      <c r="E409" s="1">
        <v>0</v>
      </c>
      <c r="F409" s="1"/>
      <c r="G409" s="1" t="s">
        <v>12859</v>
      </c>
      <c r="H409" s="1" t="s">
        <v>9431</v>
      </c>
      <c r="I409" s="1" t="s">
        <v>4747</v>
      </c>
      <c r="J409" s="1"/>
      <c r="K409" s="1"/>
      <c r="L409" s="1" t="s">
        <v>12860</v>
      </c>
      <c r="M409" s="1" t="s">
        <v>13964</v>
      </c>
      <c r="N409" s="1" t="s">
        <v>13965</v>
      </c>
      <c r="O409" s="1"/>
      <c r="P409" s="1" t="s">
        <v>12863</v>
      </c>
      <c r="Q409" s="1"/>
      <c r="R409" s="1"/>
      <c r="S409" s="1"/>
      <c r="T409" s="1"/>
      <c r="U409" s="1"/>
      <c r="V409" s="1"/>
      <c r="W409" s="1"/>
      <c r="X409" s="1"/>
      <c r="Y409" s="1"/>
      <c r="Z409" s="1"/>
      <c r="AA409" s="1">
        <f t="shared" si="25"/>
        <v>0</v>
      </c>
      <c r="AB409" s="1" t="str">
        <f t="shared" si="26"/>
        <v>R2 retained</v>
      </c>
      <c r="AC409" s="1"/>
      <c r="AD409" s="1"/>
      <c r="AE409" s="1"/>
      <c r="AF409" s="1"/>
      <c r="AG409" s="1"/>
      <c r="AH409" s="1"/>
      <c r="AI409" s="1">
        <f t="shared" si="27"/>
        <v>0</v>
      </c>
      <c r="AJ409" s="5"/>
      <c r="AK409" s="5"/>
      <c r="AL409" s="7" t="s">
        <v>15077</v>
      </c>
    </row>
    <row r="410" spans="1:38" ht="36" customHeight="1">
      <c r="A410" s="1" t="s">
        <v>5133</v>
      </c>
      <c r="B410" s="1" t="s">
        <v>5577</v>
      </c>
      <c r="C410" s="1" t="s">
        <v>5578</v>
      </c>
      <c r="D410" s="1" t="s">
        <v>13966</v>
      </c>
      <c r="E410" s="1">
        <v>2</v>
      </c>
      <c r="F410" s="1"/>
      <c r="G410" s="1" t="s">
        <v>12859</v>
      </c>
      <c r="H410" s="1" t="s">
        <v>9431</v>
      </c>
      <c r="I410" s="1" t="s">
        <v>4886</v>
      </c>
      <c r="J410" s="1"/>
      <c r="K410" s="1"/>
      <c r="L410" s="1" t="s">
        <v>12860</v>
      </c>
      <c r="M410" s="1" t="s">
        <v>13967</v>
      </c>
      <c r="N410" s="1" t="s">
        <v>13968</v>
      </c>
      <c r="O410" s="1"/>
      <c r="P410" s="1" t="s">
        <v>12868</v>
      </c>
      <c r="Q410" s="1"/>
      <c r="R410" s="1"/>
      <c r="S410" s="1"/>
      <c r="T410" s="1"/>
      <c r="U410" s="1"/>
      <c r="V410" s="1"/>
      <c r="W410" s="1"/>
      <c r="X410" s="1"/>
      <c r="Y410" s="1"/>
      <c r="Z410" s="1"/>
      <c r="AA410" s="1">
        <f t="shared" si="25"/>
        <v>2</v>
      </c>
      <c r="AB410" s="1" t="str">
        <f t="shared" si="26"/>
        <v>R2 retained</v>
      </c>
      <c r="AC410" s="1"/>
      <c r="AD410" s="1"/>
      <c r="AE410" s="1"/>
      <c r="AF410" s="1"/>
      <c r="AG410" s="1"/>
      <c r="AH410" s="1"/>
      <c r="AI410" s="1">
        <f t="shared" si="27"/>
        <v>0</v>
      </c>
      <c r="AJ410" s="5"/>
      <c r="AK410" s="5"/>
      <c r="AL410" s="7" t="s">
        <v>15077</v>
      </c>
    </row>
    <row r="411" spans="1:38" ht="36" customHeight="1">
      <c r="A411" s="1" t="s">
        <v>5133</v>
      </c>
      <c r="B411" s="1" t="s">
        <v>5582</v>
      </c>
      <c r="C411" s="1" t="s">
        <v>5583</v>
      </c>
      <c r="D411" s="1" t="s">
        <v>4747</v>
      </c>
      <c r="E411" s="1">
        <v>0</v>
      </c>
      <c r="F411" s="1"/>
      <c r="G411" s="1" t="s">
        <v>12859</v>
      </c>
      <c r="H411" s="1" t="s">
        <v>9431</v>
      </c>
      <c r="I411" s="1" t="s">
        <v>4747</v>
      </c>
      <c r="J411" s="1"/>
      <c r="K411" s="1"/>
      <c r="L411" s="1" t="s">
        <v>12860</v>
      </c>
      <c r="M411" s="1" t="s">
        <v>9528</v>
      </c>
      <c r="N411" s="1" t="s">
        <v>13969</v>
      </c>
      <c r="O411" s="1"/>
      <c r="P411" s="1" t="s">
        <v>12863</v>
      </c>
      <c r="Q411" s="1"/>
      <c r="R411" s="1"/>
      <c r="S411" s="1"/>
      <c r="T411" s="1"/>
      <c r="U411" s="1"/>
      <c r="V411" s="1"/>
      <c r="W411" s="1"/>
      <c r="X411" s="1"/>
      <c r="Y411" s="1"/>
      <c r="Z411" s="1"/>
      <c r="AA411" s="1">
        <f t="shared" si="25"/>
        <v>0</v>
      </c>
      <c r="AB411" s="1" t="str">
        <f t="shared" si="26"/>
        <v>R2 retained</v>
      </c>
      <c r="AC411" s="1">
        <v>0</v>
      </c>
      <c r="AD411" s="1" t="s">
        <v>12884</v>
      </c>
      <c r="AE411" s="1" t="s">
        <v>13049</v>
      </c>
      <c r="AF411" s="1" t="s">
        <v>9431</v>
      </c>
      <c r="AG411" s="1" t="s">
        <v>9436</v>
      </c>
      <c r="AH411" s="1" t="s">
        <v>6096</v>
      </c>
      <c r="AI411" s="1">
        <f t="shared" si="27"/>
        <v>1</v>
      </c>
      <c r="AJ411" s="5" t="s">
        <v>12898</v>
      </c>
      <c r="AK411" s="5" t="s">
        <v>12899</v>
      </c>
      <c r="AL411" s="7" t="s">
        <v>15077</v>
      </c>
    </row>
    <row r="412" spans="1:38" ht="36" customHeight="1">
      <c r="A412" s="1" t="s">
        <v>5133</v>
      </c>
      <c r="B412" s="1" t="s">
        <v>5586</v>
      </c>
      <c r="C412" s="1" t="s">
        <v>5587</v>
      </c>
      <c r="D412" s="1" t="s">
        <v>13970</v>
      </c>
      <c r="E412" s="1">
        <v>0</v>
      </c>
      <c r="F412" s="1"/>
      <c r="G412" s="1" t="s">
        <v>12859</v>
      </c>
      <c r="H412" s="1" t="s">
        <v>9431</v>
      </c>
      <c r="I412" s="1" t="s">
        <v>4747</v>
      </c>
      <c r="J412" s="1"/>
      <c r="K412" s="1"/>
      <c r="L412" s="1" t="s">
        <v>12860</v>
      </c>
      <c r="M412" s="1" t="s">
        <v>13971</v>
      </c>
      <c r="N412" s="1" t="s">
        <v>13972</v>
      </c>
      <c r="O412" s="1"/>
      <c r="P412" s="1" t="s">
        <v>12863</v>
      </c>
      <c r="Q412" s="1"/>
      <c r="R412" s="1"/>
      <c r="S412" s="1"/>
      <c r="T412" s="1"/>
      <c r="U412" s="1"/>
      <c r="V412" s="1"/>
      <c r="W412" s="1"/>
      <c r="X412" s="1"/>
      <c r="Y412" s="1"/>
      <c r="Z412" s="1"/>
      <c r="AA412" s="1">
        <f t="shared" si="25"/>
        <v>0</v>
      </c>
      <c r="AB412" s="1" t="str">
        <f t="shared" si="26"/>
        <v>R2 retained</v>
      </c>
      <c r="AC412" s="1"/>
      <c r="AD412" s="1"/>
      <c r="AE412" s="1"/>
      <c r="AF412" s="1"/>
      <c r="AG412" s="1"/>
      <c r="AH412" s="1"/>
      <c r="AI412" s="1">
        <f t="shared" si="27"/>
        <v>0</v>
      </c>
      <c r="AJ412" s="5"/>
      <c r="AK412" s="5"/>
      <c r="AL412" s="7" t="s">
        <v>15077</v>
      </c>
    </row>
    <row r="413" spans="1:38" ht="96" customHeight="1">
      <c r="A413" s="1" t="s">
        <v>5133</v>
      </c>
      <c r="B413" s="1" t="s">
        <v>5591</v>
      </c>
      <c r="C413" s="1" t="s">
        <v>5592</v>
      </c>
      <c r="D413" s="1" t="s">
        <v>13973</v>
      </c>
      <c r="E413" s="1">
        <v>1</v>
      </c>
      <c r="F413" s="1">
        <v>0</v>
      </c>
      <c r="G413" s="1" t="s">
        <v>12873</v>
      </c>
      <c r="H413" s="1" t="s">
        <v>9431</v>
      </c>
      <c r="I413" s="1"/>
      <c r="J413" s="1"/>
      <c r="K413" s="1"/>
      <c r="L413" s="1" t="s">
        <v>12860</v>
      </c>
      <c r="M413" s="1" t="s">
        <v>13974</v>
      </c>
      <c r="N413" s="1" t="s">
        <v>13975</v>
      </c>
      <c r="O413" s="1" t="s">
        <v>13976</v>
      </c>
      <c r="P413" s="1" t="s">
        <v>12876</v>
      </c>
      <c r="Q413" s="1">
        <v>0</v>
      </c>
      <c r="R413" s="1" t="s">
        <v>12877</v>
      </c>
      <c r="S413" s="1" t="s">
        <v>13977</v>
      </c>
      <c r="T413" s="1" t="s">
        <v>13978</v>
      </c>
      <c r="U413" s="1" t="s">
        <v>13979</v>
      </c>
      <c r="V413" s="1" t="s">
        <v>6096</v>
      </c>
      <c r="W413" s="1" t="s">
        <v>12880</v>
      </c>
      <c r="X413" s="1"/>
      <c r="Y413" s="1" t="s">
        <v>13980</v>
      </c>
      <c r="Z413" s="1" t="s">
        <v>12883</v>
      </c>
      <c r="AA413" s="1">
        <f t="shared" si="25"/>
        <v>0</v>
      </c>
      <c r="AB413" s="1" t="str">
        <f t="shared" si="26"/>
        <v>Reviewer confirmed</v>
      </c>
      <c r="AC413" s="1">
        <v>0</v>
      </c>
      <c r="AD413" s="1" t="s">
        <v>12936</v>
      </c>
      <c r="AE413" s="1" t="s">
        <v>13981</v>
      </c>
      <c r="AF413" s="1" t="s">
        <v>13978</v>
      </c>
      <c r="AG413" s="1" t="s">
        <v>9436</v>
      </c>
      <c r="AH413" s="1" t="s">
        <v>6096</v>
      </c>
      <c r="AI413" s="1">
        <f t="shared" si="27"/>
        <v>1</v>
      </c>
      <c r="AJ413" s="5" t="s">
        <v>12898</v>
      </c>
      <c r="AK413" s="5" t="s">
        <v>12899</v>
      </c>
      <c r="AL413" s="7" t="s">
        <v>15077</v>
      </c>
    </row>
    <row r="414" spans="1:38" ht="36" customHeight="1">
      <c r="A414" s="1" t="s">
        <v>5133</v>
      </c>
      <c r="B414" s="1" t="s">
        <v>5596</v>
      </c>
      <c r="C414" s="1" t="s">
        <v>5597</v>
      </c>
      <c r="D414" s="1" t="s">
        <v>4747</v>
      </c>
      <c r="E414" s="1">
        <v>0</v>
      </c>
      <c r="F414" s="1"/>
      <c r="G414" s="1" t="s">
        <v>12859</v>
      </c>
      <c r="H414" s="1" t="s">
        <v>9431</v>
      </c>
      <c r="I414" s="1" t="s">
        <v>4747</v>
      </c>
      <c r="J414" s="1"/>
      <c r="K414" s="1"/>
      <c r="L414" s="1" t="s">
        <v>12860</v>
      </c>
      <c r="M414" s="1" t="s">
        <v>13982</v>
      </c>
      <c r="N414" s="1" t="s">
        <v>13983</v>
      </c>
      <c r="O414" s="1"/>
      <c r="P414" s="1" t="s">
        <v>12863</v>
      </c>
      <c r="Q414" s="1"/>
      <c r="R414" s="1"/>
      <c r="S414" s="1"/>
      <c r="T414" s="1"/>
      <c r="U414" s="1"/>
      <c r="V414" s="1"/>
      <c r="W414" s="1"/>
      <c r="X414" s="1"/>
      <c r="Y414" s="1"/>
      <c r="Z414" s="1"/>
      <c r="AA414" s="1">
        <f t="shared" si="25"/>
        <v>0</v>
      </c>
      <c r="AB414" s="1" t="str">
        <f t="shared" si="26"/>
        <v>R2 retained</v>
      </c>
      <c r="AC414" s="1"/>
      <c r="AD414" s="1"/>
      <c r="AE414" s="1"/>
      <c r="AF414" s="1"/>
      <c r="AG414" s="1"/>
      <c r="AH414" s="1"/>
      <c r="AI414" s="1">
        <f t="shared" si="27"/>
        <v>0</v>
      </c>
      <c r="AJ414" s="5"/>
      <c r="AK414" s="5"/>
      <c r="AL414" s="7" t="s">
        <v>15077</v>
      </c>
    </row>
    <row r="415" spans="1:38" ht="48" customHeight="1">
      <c r="A415" s="1" t="s">
        <v>5133</v>
      </c>
      <c r="B415" s="1" t="s">
        <v>5601</v>
      </c>
      <c r="C415" s="1" t="s">
        <v>5602</v>
      </c>
      <c r="D415" s="1" t="s">
        <v>9542</v>
      </c>
      <c r="E415" s="1">
        <v>1</v>
      </c>
      <c r="F415" s="1"/>
      <c r="G415" s="1" t="s">
        <v>12859</v>
      </c>
      <c r="H415" s="1" t="s">
        <v>9431</v>
      </c>
      <c r="I415" s="1"/>
      <c r="J415" s="1"/>
      <c r="K415" s="1"/>
      <c r="L415" s="1" t="s">
        <v>12860</v>
      </c>
      <c r="M415" s="1" t="s">
        <v>9543</v>
      </c>
      <c r="N415" s="1" t="s">
        <v>13984</v>
      </c>
      <c r="O415" s="1"/>
      <c r="P415" s="1" t="s">
        <v>12876</v>
      </c>
      <c r="Q415" s="1">
        <v>1</v>
      </c>
      <c r="R415" s="1" t="s">
        <v>12981</v>
      </c>
      <c r="S415" s="1" t="s">
        <v>13985</v>
      </c>
      <c r="T415" s="1" t="s">
        <v>13986</v>
      </c>
      <c r="U415" s="1" t="s">
        <v>9436</v>
      </c>
      <c r="V415" s="1" t="s">
        <v>6096</v>
      </c>
      <c r="W415" s="1"/>
      <c r="X415" s="1"/>
      <c r="Y415" s="1"/>
      <c r="Z415" s="1" t="s">
        <v>12908</v>
      </c>
      <c r="AA415" s="1">
        <f t="shared" si="25"/>
        <v>1</v>
      </c>
      <c r="AB415" s="1" t="str">
        <f t="shared" si="26"/>
        <v>R2 retained</v>
      </c>
      <c r="AC415" s="1"/>
      <c r="AD415" s="1"/>
      <c r="AE415" s="1"/>
      <c r="AF415" s="1"/>
      <c r="AG415" s="1"/>
      <c r="AH415" s="1"/>
      <c r="AI415" s="1">
        <f t="shared" si="27"/>
        <v>1</v>
      </c>
      <c r="AJ415" s="5"/>
      <c r="AK415" s="5"/>
      <c r="AL415" s="7" t="s">
        <v>15077</v>
      </c>
    </row>
    <row r="416" spans="1:38" ht="36" customHeight="1">
      <c r="A416" s="1" t="s">
        <v>5133</v>
      </c>
      <c r="B416" s="1" t="s">
        <v>5606</v>
      </c>
      <c r="C416" s="1" t="s">
        <v>5607</v>
      </c>
      <c r="D416" s="1" t="s">
        <v>9545</v>
      </c>
      <c r="E416" s="1">
        <v>2</v>
      </c>
      <c r="F416" s="1"/>
      <c r="G416" s="1" t="s">
        <v>12859</v>
      </c>
      <c r="H416" s="1" t="s">
        <v>9431</v>
      </c>
      <c r="I416" s="1" t="s">
        <v>13987</v>
      </c>
      <c r="J416" s="1"/>
      <c r="K416" s="1"/>
      <c r="L416" s="1" t="s">
        <v>12860</v>
      </c>
      <c r="M416" s="1" t="s">
        <v>9547</v>
      </c>
      <c r="N416" s="1" t="s">
        <v>13988</v>
      </c>
      <c r="O416" s="1"/>
      <c r="P416" s="1" t="s">
        <v>12868</v>
      </c>
      <c r="Q416" s="1"/>
      <c r="R416" s="1"/>
      <c r="S416" s="1"/>
      <c r="T416" s="1"/>
      <c r="U416" s="1"/>
      <c r="V416" s="1"/>
      <c r="W416" s="1"/>
      <c r="X416" s="1"/>
      <c r="Y416" s="1"/>
      <c r="Z416" s="1"/>
      <c r="AA416" s="1">
        <f t="shared" si="25"/>
        <v>2</v>
      </c>
      <c r="AB416" s="1" t="str">
        <f t="shared" si="26"/>
        <v>R2 retained</v>
      </c>
      <c r="AC416" s="1"/>
      <c r="AD416" s="1"/>
      <c r="AE416" s="1"/>
      <c r="AF416" s="1"/>
      <c r="AG416" s="1"/>
      <c r="AH416" s="1"/>
      <c r="AI416" s="1">
        <f t="shared" si="27"/>
        <v>0</v>
      </c>
      <c r="AJ416" s="5"/>
      <c r="AK416" s="5"/>
      <c r="AL416" s="7" t="s">
        <v>15077</v>
      </c>
    </row>
    <row r="417" spans="1:38" ht="36" customHeight="1">
      <c r="A417" s="1" t="s">
        <v>5133</v>
      </c>
      <c r="B417" s="1" t="s">
        <v>5454</v>
      </c>
      <c r="C417" s="1" t="s">
        <v>5455</v>
      </c>
      <c r="D417" s="1" t="s">
        <v>4747</v>
      </c>
      <c r="E417" s="1">
        <v>1</v>
      </c>
      <c r="F417" s="1"/>
      <c r="G417" s="1" t="s">
        <v>12859</v>
      </c>
      <c r="H417" s="1" t="s">
        <v>9431</v>
      </c>
      <c r="I417" s="1" t="s">
        <v>4764</v>
      </c>
      <c r="J417" s="1"/>
      <c r="K417" s="1"/>
      <c r="L417" s="1" t="s">
        <v>12860</v>
      </c>
      <c r="M417" s="1" t="s">
        <v>9550</v>
      </c>
      <c r="N417" s="1" t="s">
        <v>13989</v>
      </c>
      <c r="O417" s="1"/>
      <c r="P417" s="1" t="s">
        <v>12868</v>
      </c>
      <c r="Q417" s="1"/>
      <c r="R417" s="1"/>
      <c r="S417" s="1"/>
      <c r="T417" s="1"/>
      <c r="U417" s="1"/>
      <c r="V417" s="1"/>
      <c r="W417" s="1"/>
      <c r="X417" s="1"/>
      <c r="Y417" s="1"/>
      <c r="Z417" s="1"/>
      <c r="AA417" s="1">
        <f t="shared" si="25"/>
        <v>1</v>
      </c>
      <c r="AB417" s="1" t="str">
        <f t="shared" si="26"/>
        <v>R2 retained</v>
      </c>
      <c r="AC417" s="1">
        <v>1</v>
      </c>
      <c r="AD417" s="1" t="s">
        <v>12884</v>
      </c>
      <c r="AE417" s="1" t="s">
        <v>13236</v>
      </c>
      <c r="AF417" s="1" t="s">
        <v>13356</v>
      </c>
      <c r="AG417" s="1" t="s">
        <v>9436</v>
      </c>
      <c r="AH417" s="1" t="s">
        <v>6096</v>
      </c>
      <c r="AI417" s="1">
        <f t="shared" si="27"/>
        <v>1</v>
      </c>
      <c r="AJ417" s="5" t="s">
        <v>12898</v>
      </c>
      <c r="AK417" s="5" t="s">
        <v>12899</v>
      </c>
      <c r="AL417" s="7" t="s">
        <v>15077</v>
      </c>
    </row>
    <row r="418" spans="1:38" ht="36" customHeight="1">
      <c r="A418" s="1" t="s">
        <v>5162</v>
      </c>
      <c r="B418" s="1" t="s">
        <v>5537</v>
      </c>
      <c r="C418" s="1" t="s">
        <v>5538</v>
      </c>
      <c r="D418" s="1" t="s">
        <v>4747</v>
      </c>
      <c r="E418" s="1">
        <v>0</v>
      </c>
      <c r="F418" s="1"/>
      <c r="G418" s="1" t="s">
        <v>12859</v>
      </c>
      <c r="H418" s="1" t="s">
        <v>9565</v>
      </c>
      <c r="I418" s="1" t="s">
        <v>4747</v>
      </c>
      <c r="J418" s="1"/>
      <c r="K418" s="1"/>
      <c r="L418" s="1" t="s">
        <v>12860</v>
      </c>
      <c r="M418" s="1" t="s">
        <v>13990</v>
      </c>
      <c r="N418" s="1" t="s">
        <v>13991</v>
      </c>
      <c r="O418" s="1"/>
      <c r="P418" s="1" t="s">
        <v>12863</v>
      </c>
      <c r="Q418" s="1"/>
      <c r="R418" s="1"/>
      <c r="S418" s="1"/>
      <c r="T418" s="1"/>
      <c r="U418" s="1"/>
      <c r="V418" s="1"/>
      <c r="W418" s="1"/>
      <c r="X418" s="1"/>
      <c r="Y418" s="1"/>
      <c r="Z418" s="1"/>
      <c r="AA418" s="1">
        <f t="shared" si="25"/>
        <v>0</v>
      </c>
      <c r="AB418" s="1" t="str">
        <f t="shared" si="26"/>
        <v>R2 retained</v>
      </c>
      <c r="AC418" s="1"/>
      <c r="AD418" s="1"/>
      <c r="AE418" s="1"/>
      <c r="AF418" s="1"/>
      <c r="AG418" s="1"/>
      <c r="AH418" s="1"/>
      <c r="AI418" s="1">
        <f t="shared" si="27"/>
        <v>0</v>
      </c>
      <c r="AJ418" s="5"/>
      <c r="AK418" s="5"/>
      <c r="AL418" s="7" t="s">
        <v>15077</v>
      </c>
    </row>
    <row r="419" spans="1:38" ht="36" customHeight="1">
      <c r="A419" s="1" t="s">
        <v>5162</v>
      </c>
      <c r="B419" s="1" t="s">
        <v>5542</v>
      </c>
      <c r="C419" s="1" t="s">
        <v>5543</v>
      </c>
      <c r="D419" s="1" t="s">
        <v>4747</v>
      </c>
      <c r="E419" s="1">
        <v>0</v>
      </c>
      <c r="F419" s="1"/>
      <c r="G419" s="1" t="s">
        <v>12859</v>
      </c>
      <c r="H419" s="1" t="s">
        <v>9565</v>
      </c>
      <c r="I419" s="1" t="s">
        <v>4747</v>
      </c>
      <c r="J419" s="1"/>
      <c r="K419" s="1"/>
      <c r="L419" s="1" t="s">
        <v>12860</v>
      </c>
      <c r="M419" s="1" t="s">
        <v>13992</v>
      </c>
      <c r="N419" s="1" t="s">
        <v>13993</v>
      </c>
      <c r="O419" s="1"/>
      <c r="P419" s="1" t="s">
        <v>12863</v>
      </c>
      <c r="Q419" s="1"/>
      <c r="R419" s="1"/>
      <c r="S419" s="1"/>
      <c r="T419" s="1"/>
      <c r="U419" s="1"/>
      <c r="V419" s="1"/>
      <c r="W419" s="1"/>
      <c r="X419" s="1"/>
      <c r="Y419" s="1"/>
      <c r="Z419" s="1"/>
      <c r="AA419" s="1">
        <f t="shared" si="25"/>
        <v>0</v>
      </c>
      <c r="AB419" s="1" t="str">
        <f t="shared" si="26"/>
        <v>R2 retained</v>
      </c>
      <c r="AC419" s="1"/>
      <c r="AD419" s="1"/>
      <c r="AE419" s="1"/>
      <c r="AF419" s="1"/>
      <c r="AG419" s="1"/>
      <c r="AH419" s="1"/>
      <c r="AI419" s="1">
        <f t="shared" si="27"/>
        <v>0</v>
      </c>
      <c r="AJ419" s="5"/>
      <c r="AK419" s="5"/>
      <c r="AL419" s="7" t="s">
        <v>15077</v>
      </c>
    </row>
    <row r="420" spans="1:38" ht="36" customHeight="1">
      <c r="A420" s="1" t="s">
        <v>5162</v>
      </c>
      <c r="B420" s="1" t="s">
        <v>5547</v>
      </c>
      <c r="C420" s="1" t="s">
        <v>5548</v>
      </c>
      <c r="D420" s="1" t="s">
        <v>4747</v>
      </c>
      <c r="E420" s="1">
        <v>1</v>
      </c>
      <c r="F420" s="1"/>
      <c r="G420" s="1" t="s">
        <v>12859</v>
      </c>
      <c r="H420" s="1" t="s">
        <v>9565</v>
      </c>
      <c r="I420" s="1" t="s">
        <v>4788</v>
      </c>
      <c r="J420" s="1"/>
      <c r="K420" s="1"/>
      <c r="L420" s="1" t="s">
        <v>12860</v>
      </c>
      <c r="M420" s="1" t="s">
        <v>13994</v>
      </c>
      <c r="N420" s="1" t="s">
        <v>13995</v>
      </c>
      <c r="O420" s="1"/>
      <c r="P420" s="1" t="s">
        <v>12868</v>
      </c>
      <c r="Q420" s="1"/>
      <c r="R420" s="1"/>
      <c r="S420" s="1"/>
      <c r="T420" s="1"/>
      <c r="U420" s="1"/>
      <c r="V420" s="1"/>
      <c r="W420" s="1"/>
      <c r="X420" s="1"/>
      <c r="Y420" s="1"/>
      <c r="Z420" s="1"/>
      <c r="AA420" s="1">
        <f t="shared" si="25"/>
        <v>1</v>
      </c>
      <c r="AB420" s="1" t="str">
        <f t="shared" si="26"/>
        <v>R2 retained</v>
      </c>
      <c r="AC420" s="1"/>
      <c r="AD420" s="1"/>
      <c r="AE420" s="1"/>
      <c r="AF420" s="1"/>
      <c r="AG420" s="1"/>
      <c r="AH420" s="1"/>
      <c r="AI420" s="1">
        <f t="shared" si="27"/>
        <v>0</v>
      </c>
      <c r="AJ420" s="5"/>
      <c r="AK420" s="5"/>
      <c r="AL420" s="7" t="s">
        <v>15077</v>
      </c>
    </row>
    <row r="421" spans="1:38" ht="36" customHeight="1">
      <c r="A421" s="1" t="s">
        <v>5162</v>
      </c>
      <c r="B421" s="1" t="s">
        <v>5552</v>
      </c>
      <c r="C421" s="1" t="s">
        <v>5553</v>
      </c>
      <c r="D421" s="1" t="s">
        <v>12929</v>
      </c>
      <c r="E421" s="1">
        <v>0</v>
      </c>
      <c r="F421" s="1"/>
      <c r="G421" s="1" t="s">
        <v>12859</v>
      </c>
      <c r="H421" s="1" t="s">
        <v>9565</v>
      </c>
      <c r="I421" s="1" t="s">
        <v>4747</v>
      </c>
      <c r="J421" s="1"/>
      <c r="K421" s="1" t="s">
        <v>5180</v>
      </c>
      <c r="L421" s="1" t="s">
        <v>12930</v>
      </c>
      <c r="M421" s="1" t="s">
        <v>13996</v>
      </c>
      <c r="N421" s="1" t="s">
        <v>13997</v>
      </c>
      <c r="O421" s="1" t="s">
        <v>9602</v>
      </c>
      <c r="P421" s="1" t="s">
        <v>12863</v>
      </c>
      <c r="Q421" s="1"/>
      <c r="R421" s="1"/>
      <c r="S421" s="1"/>
      <c r="T421" s="1"/>
      <c r="U421" s="1"/>
      <c r="V421" s="1"/>
      <c r="W421" s="1"/>
      <c r="X421" s="1"/>
      <c r="Y421" s="1"/>
      <c r="Z421" s="1"/>
      <c r="AA421" s="1">
        <f t="shared" si="25"/>
        <v>0</v>
      </c>
      <c r="AB421" s="1" t="str">
        <f t="shared" si="26"/>
        <v>R2 retained</v>
      </c>
      <c r="AC421" s="1"/>
      <c r="AD421" s="1"/>
      <c r="AE421" s="1"/>
      <c r="AF421" s="1"/>
      <c r="AG421" s="1"/>
      <c r="AH421" s="1"/>
      <c r="AI421" s="1">
        <f t="shared" si="27"/>
        <v>0</v>
      </c>
      <c r="AJ421" s="5"/>
      <c r="AK421" s="5"/>
      <c r="AL421" s="7" t="s">
        <v>15077</v>
      </c>
    </row>
    <row r="422" spans="1:38" ht="36" customHeight="1">
      <c r="A422" s="1" t="s">
        <v>5162</v>
      </c>
      <c r="B422" s="1" t="s">
        <v>5557</v>
      </c>
      <c r="C422" s="1" t="s">
        <v>5558</v>
      </c>
      <c r="D422" s="1" t="s">
        <v>9605</v>
      </c>
      <c r="E422" s="1">
        <v>0</v>
      </c>
      <c r="F422" s="1"/>
      <c r="G422" s="1" t="s">
        <v>12859</v>
      </c>
      <c r="H422" s="1" t="s">
        <v>9565</v>
      </c>
      <c r="I422" s="1" t="s">
        <v>4747</v>
      </c>
      <c r="J422" s="1"/>
      <c r="K422" s="1"/>
      <c r="L422" s="1" t="s">
        <v>12860</v>
      </c>
      <c r="M422" s="1" t="s">
        <v>9608</v>
      </c>
      <c r="N422" s="1" t="s">
        <v>13998</v>
      </c>
      <c r="O422" s="1"/>
      <c r="P422" s="1" t="s">
        <v>12863</v>
      </c>
      <c r="Q422" s="1"/>
      <c r="R422" s="1"/>
      <c r="S422" s="1"/>
      <c r="T422" s="1"/>
      <c r="U422" s="1"/>
      <c r="V422" s="1"/>
      <c r="W422" s="1"/>
      <c r="X422" s="1"/>
      <c r="Y422" s="1"/>
      <c r="Z422" s="1"/>
      <c r="AA422" s="1">
        <f t="shared" si="25"/>
        <v>0</v>
      </c>
      <c r="AB422" s="1" t="str">
        <f t="shared" si="26"/>
        <v>R2 retained</v>
      </c>
      <c r="AC422" s="1"/>
      <c r="AD422" s="1"/>
      <c r="AE422" s="1"/>
      <c r="AF422" s="1"/>
      <c r="AG422" s="1"/>
      <c r="AH422" s="1"/>
      <c r="AI422" s="1">
        <f t="shared" si="27"/>
        <v>0</v>
      </c>
      <c r="AJ422" s="5"/>
      <c r="AK422" s="5"/>
      <c r="AL422" s="7" t="s">
        <v>15077</v>
      </c>
    </row>
    <row r="423" spans="1:38" ht="60" customHeight="1">
      <c r="A423" s="1" t="s">
        <v>5162</v>
      </c>
      <c r="B423" s="1" t="s">
        <v>5562</v>
      </c>
      <c r="C423" s="1" t="s">
        <v>5563</v>
      </c>
      <c r="D423" s="1" t="s">
        <v>5764</v>
      </c>
      <c r="E423" s="1">
        <v>0</v>
      </c>
      <c r="F423" s="1">
        <v>1</v>
      </c>
      <c r="G423" s="1" t="s">
        <v>4691</v>
      </c>
      <c r="H423" s="1" t="s">
        <v>9565</v>
      </c>
      <c r="I423" s="1" t="s">
        <v>4747</v>
      </c>
      <c r="J423" s="1"/>
      <c r="K423" s="1"/>
      <c r="L423" s="1" t="s">
        <v>12860</v>
      </c>
      <c r="M423" s="1" t="s">
        <v>9613</v>
      </c>
      <c r="N423" s="1" t="s">
        <v>13999</v>
      </c>
      <c r="O423" s="1" t="s">
        <v>14000</v>
      </c>
      <c r="P423" s="1" t="s">
        <v>12917</v>
      </c>
      <c r="Q423" s="1"/>
      <c r="R423" s="1"/>
      <c r="S423" s="1"/>
      <c r="T423" s="1"/>
      <c r="U423" s="1"/>
      <c r="V423" s="1"/>
      <c r="W423" s="1"/>
      <c r="X423" s="1"/>
      <c r="Y423" s="1" t="s">
        <v>5766</v>
      </c>
      <c r="Z423" s="1" t="s">
        <v>12918</v>
      </c>
      <c r="AA423" s="1">
        <f t="shared" si="25"/>
        <v>1</v>
      </c>
      <c r="AB423" s="1" t="str">
        <f t="shared" si="26"/>
        <v>Reviewer confirmed</v>
      </c>
      <c r="AC423" s="1">
        <v>1</v>
      </c>
      <c r="AD423" s="1" t="s">
        <v>12936</v>
      </c>
      <c r="AE423" s="1" t="s">
        <v>5766</v>
      </c>
      <c r="AF423" s="1" t="s">
        <v>5765</v>
      </c>
      <c r="AG423" s="1" t="s">
        <v>5767</v>
      </c>
      <c r="AH423" s="1" t="s">
        <v>5461</v>
      </c>
      <c r="AI423" s="1">
        <f t="shared" si="27"/>
        <v>1</v>
      </c>
      <c r="AJ423" s="5"/>
      <c r="AK423" s="5"/>
      <c r="AL423" s="7" t="s">
        <v>15077</v>
      </c>
    </row>
    <row r="424" spans="1:38" ht="36" customHeight="1">
      <c r="A424" s="1" t="s">
        <v>5162</v>
      </c>
      <c r="B424" s="1" t="s">
        <v>5567</v>
      </c>
      <c r="C424" s="1" t="s">
        <v>5568</v>
      </c>
      <c r="D424" s="1" t="s">
        <v>9617</v>
      </c>
      <c r="E424" s="1">
        <v>0</v>
      </c>
      <c r="F424" s="1"/>
      <c r="G424" s="1" t="s">
        <v>12859</v>
      </c>
      <c r="H424" s="1" t="s">
        <v>9565</v>
      </c>
      <c r="I424" s="1" t="s">
        <v>4747</v>
      </c>
      <c r="J424" s="1"/>
      <c r="K424" s="1"/>
      <c r="L424" s="1" t="s">
        <v>12860</v>
      </c>
      <c r="M424" s="1" t="s">
        <v>14001</v>
      </c>
      <c r="N424" s="1" t="s">
        <v>14002</v>
      </c>
      <c r="O424" s="1"/>
      <c r="P424" s="1" t="s">
        <v>12863</v>
      </c>
      <c r="Q424" s="1"/>
      <c r="R424" s="1"/>
      <c r="S424" s="1"/>
      <c r="T424" s="1"/>
      <c r="U424" s="1"/>
      <c r="V424" s="1"/>
      <c r="W424" s="1"/>
      <c r="X424" s="1"/>
      <c r="Y424" s="1"/>
      <c r="Z424" s="1"/>
      <c r="AA424" s="1">
        <f t="shared" si="25"/>
        <v>0</v>
      </c>
      <c r="AB424" s="1" t="str">
        <f t="shared" si="26"/>
        <v>R2 retained</v>
      </c>
      <c r="AC424" s="1"/>
      <c r="AD424" s="1"/>
      <c r="AE424" s="1"/>
      <c r="AF424" s="1"/>
      <c r="AG424" s="1"/>
      <c r="AH424" s="1"/>
      <c r="AI424" s="1">
        <f t="shared" si="27"/>
        <v>0</v>
      </c>
      <c r="AJ424" s="5"/>
      <c r="AK424" s="5"/>
      <c r="AL424" s="7" t="s">
        <v>15077</v>
      </c>
    </row>
    <row r="425" spans="1:38" ht="36" customHeight="1">
      <c r="A425" s="1" t="s">
        <v>5162</v>
      </c>
      <c r="B425" s="1" t="s">
        <v>5572</v>
      </c>
      <c r="C425" s="1" t="s">
        <v>5573</v>
      </c>
      <c r="D425" s="1" t="s">
        <v>4747</v>
      </c>
      <c r="E425" s="1">
        <v>0</v>
      </c>
      <c r="F425" s="1"/>
      <c r="G425" s="1" t="s">
        <v>12859</v>
      </c>
      <c r="H425" s="1" t="s">
        <v>9565</v>
      </c>
      <c r="I425" s="1" t="s">
        <v>4747</v>
      </c>
      <c r="J425" s="1"/>
      <c r="K425" s="1"/>
      <c r="L425" s="1" t="s">
        <v>12860</v>
      </c>
      <c r="M425" s="1" t="s">
        <v>14003</v>
      </c>
      <c r="N425" s="1" t="s">
        <v>14004</v>
      </c>
      <c r="O425" s="1"/>
      <c r="P425" s="1" t="s">
        <v>12863</v>
      </c>
      <c r="Q425" s="1"/>
      <c r="R425" s="1"/>
      <c r="S425" s="1"/>
      <c r="T425" s="1"/>
      <c r="U425" s="1"/>
      <c r="V425" s="1"/>
      <c r="W425" s="1"/>
      <c r="X425" s="1"/>
      <c r="Y425" s="1"/>
      <c r="Z425" s="1"/>
      <c r="AA425" s="1">
        <f t="shared" si="25"/>
        <v>0</v>
      </c>
      <c r="AB425" s="1" t="str">
        <f t="shared" si="26"/>
        <v>R2 retained</v>
      </c>
      <c r="AC425" s="1"/>
      <c r="AD425" s="1"/>
      <c r="AE425" s="1"/>
      <c r="AF425" s="1"/>
      <c r="AG425" s="1"/>
      <c r="AH425" s="1"/>
      <c r="AI425" s="1">
        <f t="shared" si="27"/>
        <v>0</v>
      </c>
      <c r="AJ425" s="5"/>
      <c r="AK425" s="5"/>
      <c r="AL425" s="7" t="s">
        <v>15077</v>
      </c>
    </row>
    <row r="426" spans="1:38" ht="36" customHeight="1">
      <c r="A426" s="1" t="s">
        <v>5162</v>
      </c>
      <c r="B426" s="1" t="s">
        <v>5577</v>
      </c>
      <c r="C426" s="1" t="s">
        <v>5578</v>
      </c>
      <c r="D426" s="1" t="s">
        <v>14005</v>
      </c>
      <c r="E426" s="1">
        <v>2</v>
      </c>
      <c r="F426" s="1"/>
      <c r="G426" s="1" t="s">
        <v>12859</v>
      </c>
      <c r="H426" s="1" t="s">
        <v>9565</v>
      </c>
      <c r="I426" s="1" t="s">
        <v>14006</v>
      </c>
      <c r="J426" s="1"/>
      <c r="K426" s="1"/>
      <c r="L426" s="1" t="s">
        <v>12860</v>
      </c>
      <c r="M426" s="1" t="s">
        <v>14007</v>
      </c>
      <c r="N426" s="1" t="s">
        <v>14008</v>
      </c>
      <c r="O426" s="1"/>
      <c r="P426" s="1" t="s">
        <v>12868</v>
      </c>
      <c r="Q426" s="1"/>
      <c r="R426" s="1"/>
      <c r="S426" s="1"/>
      <c r="T426" s="1"/>
      <c r="U426" s="1"/>
      <c r="V426" s="1"/>
      <c r="W426" s="1"/>
      <c r="X426" s="1"/>
      <c r="Y426" s="1"/>
      <c r="Z426" s="1"/>
      <c r="AA426" s="1">
        <f t="shared" si="25"/>
        <v>2</v>
      </c>
      <c r="AB426" s="1" t="str">
        <f t="shared" si="26"/>
        <v>R2 retained</v>
      </c>
      <c r="AC426" s="1"/>
      <c r="AD426" s="1"/>
      <c r="AE426" s="1"/>
      <c r="AF426" s="1"/>
      <c r="AG426" s="1"/>
      <c r="AH426" s="1"/>
      <c r="AI426" s="1">
        <f t="shared" si="27"/>
        <v>0</v>
      </c>
      <c r="AJ426" s="5"/>
      <c r="AK426" s="5"/>
      <c r="AL426" s="7" t="s">
        <v>15077</v>
      </c>
    </row>
    <row r="427" spans="1:38" ht="36" customHeight="1">
      <c r="A427" s="1" t="s">
        <v>5162</v>
      </c>
      <c r="B427" s="1" t="s">
        <v>5582</v>
      </c>
      <c r="C427" s="1" t="s">
        <v>5583</v>
      </c>
      <c r="D427" s="1" t="s">
        <v>9660</v>
      </c>
      <c r="E427" s="1">
        <v>0</v>
      </c>
      <c r="F427" s="1"/>
      <c r="G427" s="1" t="s">
        <v>12859</v>
      </c>
      <c r="H427" s="1" t="s">
        <v>9565</v>
      </c>
      <c r="I427" s="1" t="s">
        <v>4747</v>
      </c>
      <c r="J427" s="1"/>
      <c r="K427" s="1"/>
      <c r="L427" s="1" t="s">
        <v>12860</v>
      </c>
      <c r="M427" s="1" t="s">
        <v>9662</v>
      </c>
      <c r="N427" s="1" t="s">
        <v>14009</v>
      </c>
      <c r="O427" s="1"/>
      <c r="P427" s="1" t="s">
        <v>12863</v>
      </c>
      <c r="Q427" s="1"/>
      <c r="R427" s="1"/>
      <c r="S427" s="1"/>
      <c r="T427" s="1"/>
      <c r="U427" s="1"/>
      <c r="V427" s="1"/>
      <c r="W427" s="1"/>
      <c r="X427" s="1"/>
      <c r="Y427" s="1"/>
      <c r="Z427" s="1"/>
      <c r="AA427" s="1">
        <f t="shared" si="25"/>
        <v>0</v>
      </c>
      <c r="AB427" s="1" t="str">
        <f t="shared" si="26"/>
        <v>R2 retained</v>
      </c>
      <c r="AC427" s="1">
        <v>0</v>
      </c>
      <c r="AD427" s="1" t="s">
        <v>12884</v>
      </c>
      <c r="AE427" s="1" t="s">
        <v>13049</v>
      </c>
      <c r="AF427" s="1" t="s">
        <v>9565</v>
      </c>
      <c r="AG427" s="1" t="s">
        <v>9570</v>
      </c>
      <c r="AH427" s="1" t="s">
        <v>6096</v>
      </c>
      <c r="AI427" s="1">
        <f t="shared" si="27"/>
        <v>1</v>
      </c>
      <c r="AJ427" s="5" t="s">
        <v>12898</v>
      </c>
      <c r="AK427" s="5" t="s">
        <v>12899</v>
      </c>
      <c r="AL427" s="7" t="s">
        <v>15077</v>
      </c>
    </row>
    <row r="428" spans="1:38" ht="60" customHeight="1">
      <c r="A428" s="1" t="s">
        <v>5162</v>
      </c>
      <c r="B428" s="1" t="s">
        <v>5586</v>
      </c>
      <c r="C428" s="1" t="s">
        <v>5587</v>
      </c>
      <c r="D428" s="1" t="s">
        <v>14010</v>
      </c>
      <c r="E428" s="1">
        <v>1</v>
      </c>
      <c r="F428" s="1"/>
      <c r="G428" s="1" t="s">
        <v>12859</v>
      </c>
      <c r="H428" s="1" t="s">
        <v>9565</v>
      </c>
      <c r="I428" s="1"/>
      <c r="J428" s="1"/>
      <c r="K428" s="1"/>
      <c r="L428" s="1" t="s">
        <v>12860</v>
      </c>
      <c r="M428" s="1" t="s">
        <v>14011</v>
      </c>
      <c r="N428" s="1" t="s">
        <v>14012</v>
      </c>
      <c r="O428" s="1"/>
      <c r="P428" s="1" t="s">
        <v>12876</v>
      </c>
      <c r="Q428" s="1">
        <v>1</v>
      </c>
      <c r="R428" s="1" t="s">
        <v>12981</v>
      </c>
      <c r="S428" s="1" t="s">
        <v>14013</v>
      </c>
      <c r="T428" s="1" t="s">
        <v>14014</v>
      </c>
      <c r="U428" s="1" t="s">
        <v>9643</v>
      </c>
      <c r="V428" s="1" t="s">
        <v>6096</v>
      </c>
      <c r="W428" s="1"/>
      <c r="X428" s="1"/>
      <c r="Y428" s="1"/>
      <c r="Z428" s="1" t="s">
        <v>12908</v>
      </c>
      <c r="AA428" s="1">
        <f t="shared" si="25"/>
        <v>1</v>
      </c>
      <c r="AB428" s="1" t="str">
        <f t="shared" si="26"/>
        <v>R2 retained</v>
      </c>
      <c r="AC428" s="1"/>
      <c r="AD428" s="1"/>
      <c r="AE428" s="1"/>
      <c r="AF428" s="1"/>
      <c r="AG428" s="1"/>
      <c r="AH428" s="1"/>
      <c r="AI428" s="1">
        <f t="shared" si="27"/>
        <v>1</v>
      </c>
      <c r="AJ428" s="5"/>
      <c r="AK428" s="5"/>
      <c r="AL428" s="7" t="s">
        <v>15077</v>
      </c>
    </row>
    <row r="429" spans="1:38" ht="120" customHeight="1">
      <c r="A429" s="1" t="s">
        <v>5162</v>
      </c>
      <c r="B429" s="1" t="s">
        <v>5591</v>
      </c>
      <c r="C429" s="1" t="s">
        <v>5592</v>
      </c>
      <c r="D429" s="1" t="s">
        <v>14015</v>
      </c>
      <c r="E429" s="1">
        <v>1</v>
      </c>
      <c r="F429" s="1">
        <v>0</v>
      </c>
      <c r="G429" s="1" t="s">
        <v>12873</v>
      </c>
      <c r="H429" s="1" t="s">
        <v>9565</v>
      </c>
      <c r="I429" s="1"/>
      <c r="J429" s="1"/>
      <c r="K429" s="1"/>
      <c r="L429" s="1" t="s">
        <v>12860</v>
      </c>
      <c r="M429" s="1" t="s">
        <v>14016</v>
      </c>
      <c r="N429" s="1" t="s">
        <v>14017</v>
      </c>
      <c r="O429" s="1" t="s">
        <v>14018</v>
      </c>
      <c r="P429" s="1" t="s">
        <v>12876</v>
      </c>
      <c r="Q429" s="1">
        <v>0</v>
      </c>
      <c r="R429" s="1" t="s">
        <v>12877</v>
      </c>
      <c r="S429" s="1" t="s">
        <v>14019</v>
      </c>
      <c r="T429" s="1" t="s">
        <v>14020</v>
      </c>
      <c r="U429" s="1" t="s">
        <v>9643</v>
      </c>
      <c r="V429" s="1" t="s">
        <v>6096</v>
      </c>
      <c r="W429" s="1" t="s">
        <v>12880</v>
      </c>
      <c r="X429" s="1"/>
      <c r="Y429" s="1" t="s">
        <v>14021</v>
      </c>
      <c r="Z429" s="1" t="s">
        <v>12883</v>
      </c>
      <c r="AA429" s="1">
        <f t="shared" si="25"/>
        <v>0</v>
      </c>
      <c r="AB429" s="1" t="str">
        <f t="shared" si="26"/>
        <v>Reviewer confirmed</v>
      </c>
      <c r="AC429" s="1">
        <v>0</v>
      </c>
      <c r="AD429" s="1" t="s">
        <v>12936</v>
      </c>
      <c r="AE429" s="1" t="s">
        <v>14022</v>
      </c>
      <c r="AF429" s="1" t="s">
        <v>14020</v>
      </c>
      <c r="AG429" s="1" t="s">
        <v>9570</v>
      </c>
      <c r="AH429" s="1" t="s">
        <v>6096</v>
      </c>
      <c r="AI429" s="1">
        <f t="shared" si="27"/>
        <v>1</v>
      </c>
      <c r="AJ429" s="5" t="s">
        <v>12898</v>
      </c>
      <c r="AK429" s="5" t="s">
        <v>12899</v>
      </c>
      <c r="AL429" s="7" t="s">
        <v>15077</v>
      </c>
    </row>
    <row r="430" spans="1:38" ht="36" customHeight="1">
      <c r="A430" s="1" t="s">
        <v>5162</v>
      </c>
      <c r="B430" s="1" t="s">
        <v>5596</v>
      </c>
      <c r="C430" s="1" t="s">
        <v>5597</v>
      </c>
      <c r="D430" s="1" t="s">
        <v>4747</v>
      </c>
      <c r="E430" s="1">
        <v>0</v>
      </c>
      <c r="F430" s="1"/>
      <c r="G430" s="1" t="s">
        <v>12859</v>
      </c>
      <c r="H430" s="1" t="s">
        <v>9565</v>
      </c>
      <c r="I430" s="1" t="s">
        <v>4747</v>
      </c>
      <c r="J430" s="1"/>
      <c r="K430" s="1"/>
      <c r="L430" s="1" t="s">
        <v>12860</v>
      </c>
      <c r="M430" s="1" t="s">
        <v>14023</v>
      </c>
      <c r="N430" s="1" t="s">
        <v>14024</v>
      </c>
      <c r="O430" s="1"/>
      <c r="P430" s="1" t="s">
        <v>12863</v>
      </c>
      <c r="Q430" s="1"/>
      <c r="R430" s="1"/>
      <c r="S430" s="1"/>
      <c r="T430" s="1"/>
      <c r="U430" s="1"/>
      <c r="V430" s="1"/>
      <c r="W430" s="1"/>
      <c r="X430" s="1"/>
      <c r="Y430" s="1"/>
      <c r="Z430" s="1"/>
      <c r="AA430" s="1">
        <f t="shared" si="25"/>
        <v>0</v>
      </c>
      <c r="AB430" s="1" t="str">
        <f t="shared" si="26"/>
        <v>R2 retained</v>
      </c>
      <c r="AC430" s="1"/>
      <c r="AD430" s="1"/>
      <c r="AE430" s="1"/>
      <c r="AF430" s="1"/>
      <c r="AG430" s="1"/>
      <c r="AH430" s="1"/>
      <c r="AI430" s="1">
        <f t="shared" si="27"/>
        <v>0</v>
      </c>
      <c r="AJ430" s="5"/>
      <c r="AK430" s="5"/>
      <c r="AL430" s="7" t="s">
        <v>15077</v>
      </c>
    </row>
    <row r="431" spans="1:38" ht="36" customHeight="1">
      <c r="A431" s="1" t="s">
        <v>5162</v>
      </c>
      <c r="B431" s="1" t="s">
        <v>5601</v>
      </c>
      <c r="C431" s="1" t="s">
        <v>5602</v>
      </c>
      <c r="D431" s="1" t="s">
        <v>9686</v>
      </c>
      <c r="E431" s="1">
        <v>1</v>
      </c>
      <c r="F431" s="1"/>
      <c r="G431" s="1" t="s">
        <v>12859</v>
      </c>
      <c r="H431" s="1" t="s">
        <v>9565</v>
      </c>
      <c r="I431" s="1"/>
      <c r="J431" s="1"/>
      <c r="K431" s="1"/>
      <c r="L431" s="1" t="s">
        <v>12860</v>
      </c>
      <c r="M431" s="1" t="s">
        <v>9687</v>
      </c>
      <c r="N431" s="1" t="s">
        <v>14025</v>
      </c>
      <c r="O431" s="1"/>
      <c r="P431" s="1" t="s">
        <v>12876</v>
      </c>
      <c r="Q431" s="1">
        <v>1</v>
      </c>
      <c r="R431" s="1" t="s">
        <v>12981</v>
      </c>
      <c r="S431" s="1" t="s">
        <v>14026</v>
      </c>
      <c r="T431" s="1" t="s">
        <v>14027</v>
      </c>
      <c r="U431" s="1" t="s">
        <v>9570</v>
      </c>
      <c r="V431" s="1" t="s">
        <v>6096</v>
      </c>
      <c r="W431" s="1"/>
      <c r="X431" s="1"/>
      <c r="Y431" s="1"/>
      <c r="Z431" s="1" t="s">
        <v>12908</v>
      </c>
      <c r="AA431" s="1">
        <f t="shared" si="25"/>
        <v>1</v>
      </c>
      <c r="AB431" s="1" t="str">
        <f t="shared" si="26"/>
        <v>R2 retained</v>
      </c>
      <c r="AC431" s="1"/>
      <c r="AD431" s="1"/>
      <c r="AE431" s="1"/>
      <c r="AF431" s="1"/>
      <c r="AG431" s="1"/>
      <c r="AH431" s="1"/>
      <c r="AI431" s="1">
        <f t="shared" si="27"/>
        <v>1</v>
      </c>
      <c r="AJ431" s="5"/>
      <c r="AK431" s="5"/>
      <c r="AL431" s="7" t="s">
        <v>15077</v>
      </c>
    </row>
    <row r="432" spans="1:38" ht="36" customHeight="1">
      <c r="A432" s="1" t="s">
        <v>5162</v>
      </c>
      <c r="B432" s="1" t="s">
        <v>5606</v>
      </c>
      <c r="C432" s="1" t="s">
        <v>5607</v>
      </c>
      <c r="D432" s="1" t="s">
        <v>4747</v>
      </c>
      <c r="E432" s="1">
        <v>0</v>
      </c>
      <c r="F432" s="1"/>
      <c r="G432" s="1" t="s">
        <v>12859</v>
      </c>
      <c r="H432" s="1" t="s">
        <v>9565</v>
      </c>
      <c r="I432" s="1" t="s">
        <v>4747</v>
      </c>
      <c r="J432" s="1"/>
      <c r="K432" s="1"/>
      <c r="L432" s="1" t="s">
        <v>12860</v>
      </c>
      <c r="M432" s="1" t="s">
        <v>9689</v>
      </c>
      <c r="N432" s="1" t="s">
        <v>14028</v>
      </c>
      <c r="O432" s="1"/>
      <c r="P432" s="1" t="s">
        <v>12863</v>
      </c>
      <c r="Q432" s="1"/>
      <c r="R432" s="1"/>
      <c r="S432" s="1"/>
      <c r="T432" s="1"/>
      <c r="U432" s="1"/>
      <c r="V432" s="1"/>
      <c r="W432" s="1"/>
      <c r="X432" s="1"/>
      <c r="Y432" s="1"/>
      <c r="Z432" s="1"/>
      <c r="AA432" s="1">
        <f t="shared" si="25"/>
        <v>0</v>
      </c>
      <c r="AB432" s="1" t="str">
        <f t="shared" si="26"/>
        <v>R2 retained</v>
      </c>
      <c r="AC432" s="1"/>
      <c r="AD432" s="1"/>
      <c r="AE432" s="1"/>
      <c r="AF432" s="1"/>
      <c r="AG432" s="1"/>
      <c r="AH432" s="1"/>
      <c r="AI432" s="1">
        <f t="shared" si="27"/>
        <v>0</v>
      </c>
      <c r="AJ432" s="5"/>
      <c r="AK432" s="5"/>
      <c r="AL432" s="7" t="s">
        <v>15077</v>
      </c>
    </row>
    <row r="433" spans="1:38" ht="36" customHeight="1">
      <c r="A433" s="1" t="s">
        <v>5162</v>
      </c>
      <c r="B433" s="1" t="s">
        <v>5454</v>
      </c>
      <c r="C433" s="1" t="s">
        <v>5455</v>
      </c>
      <c r="D433" s="1" t="s">
        <v>9691</v>
      </c>
      <c r="E433" s="1">
        <v>1</v>
      </c>
      <c r="F433" s="1"/>
      <c r="G433" s="1" t="s">
        <v>12859</v>
      </c>
      <c r="H433" s="1" t="s">
        <v>9565</v>
      </c>
      <c r="I433" s="1" t="s">
        <v>12676</v>
      </c>
      <c r="J433" s="1"/>
      <c r="K433" s="1"/>
      <c r="L433" s="1" t="s">
        <v>12860</v>
      </c>
      <c r="M433" s="1" t="s">
        <v>9693</v>
      </c>
      <c r="N433" s="1" t="s">
        <v>14029</v>
      </c>
      <c r="O433" s="1"/>
      <c r="P433" s="1" t="s">
        <v>12868</v>
      </c>
      <c r="Q433" s="1"/>
      <c r="R433" s="1"/>
      <c r="S433" s="1"/>
      <c r="T433" s="1"/>
      <c r="U433" s="1"/>
      <c r="V433" s="1"/>
      <c r="W433" s="1"/>
      <c r="X433" s="1"/>
      <c r="Y433" s="1"/>
      <c r="Z433" s="1"/>
      <c r="AA433" s="1">
        <f t="shared" si="25"/>
        <v>1</v>
      </c>
      <c r="AB433" s="1" t="str">
        <f t="shared" si="26"/>
        <v>R2 retained</v>
      </c>
      <c r="AC433" s="1">
        <v>1</v>
      </c>
      <c r="AD433" s="1" t="s">
        <v>12884</v>
      </c>
      <c r="AE433" s="1" t="s">
        <v>14030</v>
      </c>
      <c r="AF433" s="1" t="s">
        <v>14031</v>
      </c>
      <c r="AG433" s="1" t="s">
        <v>9570</v>
      </c>
      <c r="AH433" s="1" t="s">
        <v>6096</v>
      </c>
      <c r="AI433" s="1">
        <f t="shared" si="27"/>
        <v>1</v>
      </c>
      <c r="AJ433" s="5" t="s">
        <v>12898</v>
      </c>
      <c r="AK433" s="5" t="s">
        <v>12899</v>
      </c>
      <c r="AL433" s="7" t="s">
        <v>15077</v>
      </c>
    </row>
    <row r="434" spans="1:38" ht="36" customHeight="1">
      <c r="A434" s="1" t="s">
        <v>5184</v>
      </c>
      <c r="B434" s="1" t="s">
        <v>5537</v>
      </c>
      <c r="C434" s="1" t="s">
        <v>5538</v>
      </c>
      <c r="D434" s="1" t="s">
        <v>4747</v>
      </c>
      <c r="E434" s="1">
        <v>0</v>
      </c>
      <c r="F434" s="1"/>
      <c r="G434" s="1" t="s">
        <v>12859</v>
      </c>
      <c r="H434" s="1" t="s">
        <v>9708</v>
      </c>
      <c r="I434" s="1" t="s">
        <v>4747</v>
      </c>
      <c r="J434" s="1"/>
      <c r="K434" s="1"/>
      <c r="L434" s="1" t="s">
        <v>12860</v>
      </c>
      <c r="M434" s="1" t="s">
        <v>14032</v>
      </c>
      <c r="N434" s="1" t="s">
        <v>14033</v>
      </c>
      <c r="O434" s="1"/>
      <c r="P434" s="1" t="s">
        <v>12863</v>
      </c>
      <c r="Q434" s="1"/>
      <c r="R434" s="1"/>
      <c r="S434" s="1"/>
      <c r="T434" s="1"/>
      <c r="U434" s="1"/>
      <c r="V434" s="1"/>
      <c r="W434" s="1"/>
      <c r="X434" s="1"/>
      <c r="Y434" s="1"/>
      <c r="Z434" s="1"/>
      <c r="AA434" s="1">
        <f t="shared" si="25"/>
        <v>0</v>
      </c>
      <c r="AB434" s="1" t="str">
        <f t="shared" si="26"/>
        <v>R2 retained</v>
      </c>
      <c r="AC434" s="1"/>
      <c r="AD434" s="1"/>
      <c r="AE434" s="1"/>
      <c r="AF434" s="1"/>
      <c r="AG434" s="1"/>
      <c r="AH434" s="1"/>
      <c r="AI434" s="1">
        <f t="shared" si="27"/>
        <v>0</v>
      </c>
      <c r="AJ434" s="5"/>
      <c r="AK434" s="5"/>
      <c r="AL434" s="7" t="s">
        <v>15077</v>
      </c>
    </row>
    <row r="435" spans="1:38" ht="36" customHeight="1">
      <c r="A435" s="1" t="s">
        <v>5184</v>
      </c>
      <c r="B435" s="1" t="s">
        <v>5542</v>
      </c>
      <c r="C435" s="1" t="s">
        <v>5543</v>
      </c>
      <c r="D435" s="1" t="s">
        <v>4747</v>
      </c>
      <c r="E435" s="1">
        <v>0</v>
      </c>
      <c r="F435" s="1"/>
      <c r="G435" s="1" t="s">
        <v>12859</v>
      </c>
      <c r="H435" s="1" t="s">
        <v>9708</v>
      </c>
      <c r="I435" s="1" t="s">
        <v>4747</v>
      </c>
      <c r="J435" s="1"/>
      <c r="K435" s="1"/>
      <c r="L435" s="1" t="s">
        <v>12860</v>
      </c>
      <c r="M435" s="1" t="s">
        <v>14034</v>
      </c>
      <c r="N435" s="1" t="s">
        <v>14035</v>
      </c>
      <c r="O435" s="1"/>
      <c r="P435" s="1" t="s">
        <v>12863</v>
      </c>
      <c r="Q435" s="1"/>
      <c r="R435" s="1"/>
      <c r="S435" s="1"/>
      <c r="T435" s="1"/>
      <c r="U435" s="1"/>
      <c r="V435" s="1"/>
      <c r="W435" s="1"/>
      <c r="X435" s="1"/>
      <c r="Y435" s="1"/>
      <c r="Z435" s="1"/>
      <c r="AA435" s="1">
        <f t="shared" si="25"/>
        <v>0</v>
      </c>
      <c r="AB435" s="1" t="str">
        <f t="shared" si="26"/>
        <v>R2 retained</v>
      </c>
      <c r="AC435" s="1"/>
      <c r="AD435" s="1"/>
      <c r="AE435" s="1"/>
      <c r="AF435" s="1"/>
      <c r="AG435" s="1"/>
      <c r="AH435" s="1"/>
      <c r="AI435" s="1">
        <f t="shared" si="27"/>
        <v>0</v>
      </c>
      <c r="AJ435" s="5"/>
      <c r="AK435" s="5"/>
      <c r="AL435" s="7" t="s">
        <v>15077</v>
      </c>
    </row>
    <row r="436" spans="1:38" ht="36" customHeight="1">
      <c r="A436" s="1" t="s">
        <v>5184</v>
      </c>
      <c r="B436" s="1" t="s">
        <v>5547</v>
      </c>
      <c r="C436" s="1" t="s">
        <v>5548</v>
      </c>
      <c r="D436" s="1" t="s">
        <v>4747</v>
      </c>
      <c r="E436" s="1">
        <v>1</v>
      </c>
      <c r="F436" s="1"/>
      <c r="G436" s="1" t="s">
        <v>12859</v>
      </c>
      <c r="H436" s="1" t="s">
        <v>9708</v>
      </c>
      <c r="I436" s="1" t="s">
        <v>13638</v>
      </c>
      <c r="J436" s="1"/>
      <c r="K436" s="1"/>
      <c r="L436" s="1" t="s">
        <v>12860</v>
      </c>
      <c r="M436" s="1" t="s">
        <v>14036</v>
      </c>
      <c r="N436" s="1" t="s">
        <v>14037</v>
      </c>
      <c r="O436" s="1"/>
      <c r="P436" s="1" t="s">
        <v>12868</v>
      </c>
      <c r="Q436" s="1"/>
      <c r="R436" s="1"/>
      <c r="S436" s="1"/>
      <c r="T436" s="1"/>
      <c r="U436" s="1"/>
      <c r="V436" s="1"/>
      <c r="W436" s="1"/>
      <c r="X436" s="1"/>
      <c r="Y436" s="1"/>
      <c r="Z436" s="1"/>
      <c r="AA436" s="1">
        <f t="shared" si="25"/>
        <v>1</v>
      </c>
      <c r="AB436" s="1" t="str">
        <f t="shared" si="26"/>
        <v>R2 retained</v>
      </c>
      <c r="AC436" s="1"/>
      <c r="AD436" s="1"/>
      <c r="AE436" s="1"/>
      <c r="AF436" s="1"/>
      <c r="AG436" s="1"/>
      <c r="AH436" s="1"/>
      <c r="AI436" s="1">
        <f t="shared" si="27"/>
        <v>0</v>
      </c>
      <c r="AJ436" s="5"/>
      <c r="AK436" s="5"/>
      <c r="AL436" s="7" t="s">
        <v>15077</v>
      </c>
    </row>
    <row r="437" spans="1:38" ht="36" customHeight="1">
      <c r="A437" s="1" t="s">
        <v>5184</v>
      </c>
      <c r="B437" s="1" t="s">
        <v>5552</v>
      </c>
      <c r="C437" s="1" t="s">
        <v>5553</v>
      </c>
      <c r="D437" s="1" t="s">
        <v>14038</v>
      </c>
      <c r="E437" s="1">
        <v>0</v>
      </c>
      <c r="F437" s="1"/>
      <c r="G437" s="1" t="s">
        <v>12859</v>
      </c>
      <c r="H437" s="1" t="s">
        <v>9708</v>
      </c>
      <c r="I437" s="1" t="s">
        <v>4747</v>
      </c>
      <c r="J437" s="1"/>
      <c r="K437" s="1" t="s">
        <v>5210</v>
      </c>
      <c r="L437" s="1" t="s">
        <v>12930</v>
      </c>
      <c r="M437" s="1" t="s">
        <v>14039</v>
      </c>
      <c r="N437" s="1" t="s">
        <v>14040</v>
      </c>
      <c r="O437" s="1" t="s">
        <v>9746</v>
      </c>
      <c r="P437" s="1" t="s">
        <v>12863</v>
      </c>
      <c r="Q437" s="1"/>
      <c r="R437" s="1"/>
      <c r="S437" s="1"/>
      <c r="T437" s="1"/>
      <c r="U437" s="1"/>
      <c r="V437" s="1"/>
      <c r="W437" s="1"/>
      <c r="X437" s="1"/>
      <c r="Y437" s="1"/>
      <c r="Z437" s="1"/>
      <c r="AA437" s="1">
        <f t="shared" si="25"/>
        <v>0</v>
      </c>
      <c r="AB437" s="1" t="str">
        <f t="shared" si="26"/>
        <v>R2 retained</v>
      </c>
      <c r="AC437" s="1"/>
      <c r="AD437" s="1"/>
      <c r="AE437" s="1"/>
      <c r="AF437" s="1"/>
      <c r="AG437" s="1"/>
      <c r="AH437" s="1"/>
      <c r="AI437" s="1">
        <f t="shared" si="27"/>
        <v>0</v>
      </c>
      <c r="AJ437" s="5"/>
      <c r="AK437" s="5"/>
      <c r="AL437" s="7" t="s">
        <v>15077</v>
      </c>
    </row>
    <row r="438" spans="1:38" ht="36" customHeight="1">
      <c r="A438" s="1" t="s">
        <v>5184</v>
      </c>
      <c r="B438" s="1" t="s">
        <v>5557</v>
      </c>
      <c r="C438" s="1" t="s">
        <v>5558</v>
      </c>
      <c r="D438" s="1" t="s">
        <v>9749</v>
      </c>
      <c r="E438" s="1">
        <v>0</v>
      </c>
      <c r="F438" s="1"/>
      <c r="G438" s="1" t="s">
        <v>12859</v>
      </c>
      <c r="H438" s="1" t="s">
        <v>9708</v>
      </c>
      <c r="I438" s="1" t="s">
        <v>4747</v>
      </c>
      <c r="J438" s="1"/>
      <c r="K438" s="1"/>
      <c r="L438" s="1" t="s">
        <v>12860</v>
      </c>
      <c r="M438" s="1" t="s">
        <v>9751</v>
      </c>
      <c r="N438" s="1" t="s">
        <v>14041</v>
      </c>
      <c r="O438" s="1"/>
      <c r="P438" s="1" t="s">
        <v>12863</v>
      </c>
      <c r="Q438" s="1"/>
      <c r="R438" s="1"/>
      <c r="S438" s="1"/>
      <c r="T438" s="1"/>
      <c r="U438" s="1"/>
      <c r="V438" s="1"/>
      <c r="W438" s="1"/>
      <c r="X438" s="1"/>
      <c r="Y438" s="1"/>
      <c r="Z438" s="1"/>
      <c r="AA438" s="1">
        <f t="shared" si="25"/>
        <v>0</v>
      </c>
      <c r="AB438" s="1" t="str">
        <f t="shared" si="26"/>
        <v>R2 retained</v>
      </c>
      <c r="AC438" s="1"/>
      <c r="AD438" s="1"/>
      <c r="AE438" s="1"/>
      <c r="AF438" s="1"/>
      <c r="AG438" s="1"/>
      <c r="AH438" s="1"/>
      <c r="AI438" s="1">
        <f t="shared" si="27"/>
        <v>0</v>
      </c>
      <c r="AJ438" s="5"/>
      <c r="AK438" s="5"/>
      <c r="AL438" s="7" t="s">
        <v>15077</v>
      </c>
    </row>
    <row r="439" spans="1:38" ht="84" customHeight="1">
      <c r="A439" s="1" t="s">
        <v>5184</v>
      </c>
      <c r="B439" s="1" t="s">
        <v>5562</v>
      </c>
      <c r="C439" s="1" t="s">
        <v>5563</v>
      </c>
      <c r="D439" s="1" t="s">
        <v>5768</v>
      </c>
      <c r="E439" s="1">
        <v>0</v>
      </c>
      <c r="F439" s="1">
        <v>2</v>
      </c>
      <c r="G439" s="1" t="s">
        <v>4691</v>
      </c>
      <c r="H439" s="1" t="s">
        <v>9708</v>
      </c>
      <c r="I439" s="1" t="s">
        <v>4747</v>
      </c>
      <c r="J439" s="1"/>
      <c r="K439" s="1"/>
      <c r="L439" s="1" t="s">
        <v>12860</v>
      </c>
      <c r="M439" s="1" t="s">
        <v>9757</v>
      </c>
      <c r="N439" s="1" t="s">
        <v>14042</v>
      </c>
      <c r="O439" s="1" t="s">
        <v>14043</v>
      </c>
      <c r="P439" s="1" t="s">
        <v>12917</v>
      </c>
      <c r="Q439" s="1"/>
      <c r="R439" s="1"/>
      <c r="S439" s="1"/>
      <c r="T439" s="1"/>
      <c r="U439" s="1"/>
      <c r="V439" s="1"/>
      <c r="W439" s="1"/>
      <c r="X439" s="1"/>
      <c r="Y439" s="1" t="s">
        <v>5770</v>
      </c>
      <c r="Z439" s="1" t="s">
        <v>12918</v>
      </c>
      <c r="AA439" s="1">
        <f t="shared" si="25"/>
        <v>2</v>
      </c>
      <c r="AB439" s="1" t="str">
        <f t="shared" si="26"/>
        <v>Reviewer confirmed</v>
      </c>
      <c r="AC439" s="1">
        <v>1</v>
      </c>
      <c r="AD439" s="1" t="s">
        <v>12936</v>
      </c>
      <c r="AE439" s="1" t="s">
        <v>5770</v>
      </c>
      <c r="AF439" s="1" t="s">
        <v>5769</v>
      </c>
      <c r="AG439" s="1" t="s">
        <v>5771</v>
      </c>
      <c r="AH439" s="1" t="s">
        <v>5461</v>
      </c>
      <c r="AI439" s="1">
        <f t="shared" si="27"/>
        <v>1</v>
      </c>
      <c r="AJ439" s="5"/>
      <c r="AK439" s="5"/>
      <c r="AL439" s="7" t="s">
        <v>15077</v>
      </c>
    </row>
    <row r="440" spans="1:38" ht="36" customHeight="1">
      <c r="A440" s="1" t="s">
        <v>5184</v>
      </c>
      <c r="B440" s="1" t="s">
        <v>5567</v>
      </c>
      <c r="C440" s="1" t="s">
        <v>5568</v>
      </c>
      <c r="D440" s="1" t="s">
        <v>5214</v>
      </c>
      <c r="E440" s="1">
        <v>0</v>
      </c>
      <c r="F440" s="1"/>
      <c r="G440" s="1" t="s">
        <v>12859</v>
      </c>
      <c r="H440" s="1" t="s">
        <v>9708</v>
      </c>
      <c r="I440" s="1" t="s">
        <v>4747</v>
      </c>
      <c r="J440" s="1"/>
      <c r="K440" s="1"/>
      <c r="L440" s="1" t="s">
        <v>12860</v>
      </c>
      <c r="M440" s="1" t="s">
        <v>14044</v>
      </c>
      <c r="N440" s="1" t="s">
        <v>14045</v>
      </c>
      <c r="O440" s="1"/>
      <c r="P440" s="1" t="s">
        <v>12863</v>
      </c>
      <c r="Q440" s="1"/>
      <c r="R440" s="1"/>
      <c r="S440" s="1"/>
      <c r="T440" s="1"/>
      <c r="U440" s="1"/>
      <c r="V440" s="1"/>
      <c r="W440" s="1"/>
      <c r="X440" s="1"/>
      <c r="Y440" s="1"/>
      <c r="Z440" s="1"/>
      <c r="AA440" s="1">
        <f t="shared" si="25"/>
        <v>0</v>
      </c>
      <c r="AB440" s="1" t="str">
        <f t="shared" si="26"/>
        <v>R2 retained</v>
      </c>
      <c r="AC440" s="1"/>
      <c r="AD440" s="1"/>
      <c r="AE440" s="1"/>
      <c r="AF440" s="1"/>
      <c r="AG440" s="1"/>
      <c r="AH440" s="1"/>
      <c r="AI440" s="1">
        <f t="shared" si="27"/>
        <v>0</v>
      </c>
      <c r="AJ440" s="5"/>
      <c r="AK440" s="5"/>
      <c r="AL440" s="7" t="s">
        <v>15077</v>
      </c>
    </row>
    <row r="441" spans="1:38" ht="36" customHeight="1">
      <c r="A441" s="1" t="s">
        <v>5184</v>
      </c>
      <c r="B441" s="1" t="s">
        <v>5572</v>
      </c>
      <c r="C441" s="1" t="s">
        <v>5573</v>
      </c>
      <c r="D441" s="1" t="s">
        <v>14046</v>
      </c>
      <c r="E441" s="1">
        <v>1</v>
      </c>
      <c r="F441" s="1"/>
      <c r="G441" s="1" t="s">
        <v>12859</v>
      </c>
      <c r="H441" s="1" t="s">
        <v>9708</v>
      </c>
      <c r="I441" s="1" t="s">
        <v>4717</v>
      </c>
      <c r="J441" s="1"/>
      <c r="K441" s="1"/>
      <c r="L441" s="1" t="s">
        <v>12860</v>
      </c>
      <c r="M441" s="1" t="s">
        <v>14047</v>
      </c>
      <c r="N441" s="1" t="s">
        <v>14048</v>
      </c>
      <c r="O441" s="1"/>
      <c r="P441" s="1" t="s">
        <v>12868</v>
      </c>
      <c r="Q441" s="1"/>
      <c r="R441" s="1"/>
      <c r="S441" s="1"/>
      <c r="T441" s="1"/>
      <c r="U441" s="1"/>
      <c r="V441" s="1"/>
      <c r="W441" s="1"/>
      <c r="X441" s="1"/>
      <c r="Y441" s="1"/>
      <c r="Z441" s="1"/>
      <c r="AA441" s="1">
        <f t="shared" si="25"/>
        <v>1</v>
      </c>
      <c r="AB441" s="1" t="str">
        <f t="shared" si="26"/>
        <v>R2 retained</v>
      </c>
      <c r="AC441" s="1"/>
      <c r="AD441" s="1"/>
      <c r="AE441" s="1"/>
      <c r="AF441" s="1"/>
      <c r="AG441" s="1"/>
      <c r="AH441" s="1"/>
      <c r="AI441" s="1">
        <f t="shared" si="27"/>
        <v>0</v>
      </c>
      <c r="AJ441" s="5"/>
      <c r="AK441" s="5"/>
      <c r="AL441" s="7" t="s">
        <v>15077</v>
      </c>
    </row>
    <row r="442" spans="1:38" ht="36" customHeight="1">
      <c r="A442" s="1" t="s">
        <v>5184</v>
      </c>
      <c r="B442" s="1" t="s">
        <v>5577</v>
      </c>
      <c r="C442" s="1" t="s">
        <v>5578</v>
      </c>
      <c r="D442" s="1" t="s">
        <v>14049</v>
      </c>
      <c r="E442" s="1">
        <v>2</v>
      </c>
      <c r="F442" s="1"/>
      <c r="G442" s="1" t="s">
        <v>12859</v>
      </c>
      <c r="H442" s="1" t="s">
        <v>9708</v>
      </c>
      <c r="I442" s="1" t="s">
        <v>4862</v>
      </c>
      <c r="J442" s="1"/>
      <c r="K442" s="1"/>
      <c r="L442" s="1" t="s">
        <v>12860</v>
      </c>
      <c r="M442" s="1" t="s">
        <v>14050</v>
      </c>
      <c r="N442" s="1" t="s">
        <v>14051</v>
      </c>
      <c r="O442" s="1"/>
      <c r="P442" s="1" t="s">
        <v>12868</v>
      </c>
      <c r="Q442" s="1"/>
      <c r="R442" s="1"/>
      <c r="S442" s="1"/>
      <c r="T442" s="1"/>
      <c r="U442" s="1"/>
      <c r="V442" s="1"/>
      <c r="W442" s="1"/>
      <c r="X442" s="1"/>
      <c r="Y442" s="1"/>
      <c r="Z442" s="1"/>
      <c r="AA442" s="1">
        <f t="shared" si="25"/>
        <v>2</v>
      </c>
      <c r="AB442" s="1" t="str">
        <f t="shared" si="26"/>
        <v>R2 retained</v>
      </c>
      <c r="AC442" s="1"/>
      <c r="AD442" s="1"/>
      <c r="AE442" s="1"/>
      <c r="AF442" s="1"/>
      <c r="AG442" s="1"/>
      <c r="AH442" s="1"/>
      <c r="AI442" s="1">
        <f t="shared" si="27"/>
        <v>0</v>
      </c>
      <c r="AJ442" s="5"/>
      <c r="AK442" s="5"/>
      <c r="AL442" s="7" t="s">
        <v>15077</v>
      </c>
    </row>
    <row r="443" spans="1:38" ht="36" customHeight="1">
      <c r="A443" s="1" t="s">
        <v>5184</v>
      </c>
      <c r="B443" s="1" t="s">
        <v>5582</v>
      </c>
      <c r="C443" s="1" t="s">
        <v>5583</v>
      </c>
      <c r="D443" s="1" t="s">
        <v>9815</v>
      </c>
      <c r="E443" s="1">
        <v>0</v>
      </c>
      <c r="F443" s="1"/>
      <c r="G443" s="1" t="s">
        <v>12859</v>
      </c>
      <c r="H443" s="1" t="s">
        <v>9708</v>
      </c>
      <c r="I443" s="1" t="s">
        <v>4747</v>
      </c>
      <c r="J443" s="1"/>
      <c r="K443" s="1"/>
      <c r="L443" s="1" t="s">
        <v>12860</v>
      </c>
      <c r="M443" s="1" t="s">
        <v>9817</v>
      </c>
      <c r="N443" s="1" t="s">
        <v>14052</v>
      </c>
      <c r="O443" s="1"/>
      <c r="P443" s="1" t="s">
        <v>12863</v>
      </c>
      <c r="Q443" s="1"/>
      <c r="R443" s="1"/>
      <c r="S443" s="1"/>
      <c r="T443" s="1"/>
      <c r="U443" s="1"/>
      <c r="V443" s="1"/>
      <c r="W443" s="1"/>
      <c r="X443" s="1"/>
      <c r="Y443" s="1"/>
      <c r="Z443" s="1"/>
      <c r="AA443" s="1">
        <f t="shared" si="25"/>
        <v>0</v>
      </c>
      <c r="AB443" s="1" t="str">
        <f t="shared" si="26"/>
        <v>R2 retained</v>
      </c>
      <c r="AC443" s="1">
        <v>0</v>
      </c>
      <c r="AD443" s="1" t="s">
        <v>12884</v>
      </c>
      <c r="AE443" s="1" t="s">
        <v>14053</v>
      </c>
      <c r="AF443" s="1" t="s">
        <v>14054</v>
      </c>
      <c r="AG443" s="1" t="s">
        <v>9713</v>
      </c>
      <c r="AH443" s="1" t="s">
        <v>6096</v>
      </c>
      <c r="AI443" s="1">
        <f t="shared" si="27"/>
        <v>1</v>
      </c>
      <c r="AJ443" s="5" t="s">
        <v>12898</v>
      </c>
      <c r="AK443" s="5" t="s">
        <v>12899</v>
      </c>
      <c r="AL443" s="7" t="s">
        <v>15077</v>
      </c>
    </row>
    <row r="444" spans="1:38" ht="36" customHeight="1">
      <c r="A444" s="1" t="s">
        <v>5184</v>
      </c>
      <c r="B444" s="1" t="s">
        <v>5586</v>
      </c>
      <c r="C444" s="1" t="s">
        <v>5587</v>
      </c>
      <c r="D444" s="1" t="s">
        <v>13970</v>
      </c>
      <c r="E444" s="1">
        <v>0</v>
      </c>
      <c r="F444" s="1"/>
      <c r="G444" s="1" t="s">
        <v>12859</v>
      </c>
      <c r="H444" s="1" t="s">
        <v>9708</v>
      </c>
      <c r="I444" s="1" t="s">
        <v>4747</v>
      </c>
      <c r="J444" s="1"/>
      <c r="K444" s="1"/>
      <c r="L444" s="1" t="s">
        <v>12860</v>
      </c>
      <c r="M444" s="1" t="s">
        <v>14055</v>
      </c>
      <c r="N444" s="1" t="s">
        <v>14056</v>
      </c>
      <c r="O444" s="1"/>
      <c r="P444" s="1" t="s">
        <v>12863</v>
      </c>
      <c r="Q444" s="1"/>
      <c r="R444" s="1"/>
      <c r="S444" s="1"/>
      <c r="T444" s="1"/>
      <c r="U444" s="1"/>
      <c r="V444" s="1"/>
      <c r="W444" s="1"/>
      <c r="X444" s="1"/>
      <c r="Y444" s="1"/>
      <c r="Z444" s="1"/>
      <c r="AA444" s="1">
        <f t="shared" si="25"/>
        <v>0</v>
      </c>
      <c r="AB444" s="1" t="str">
        <f t="shared" si="26"/>
        <v>R2 retained</v>
      </c>
      <c r="AC444" s="1"/>
      <c r="AD444" s="1"/>
      <c r="AE444" s="1"/>
      <c r="AF444" s="1"/>
      <c r="AG444" s="1"/>
      <c r="AH444" s="1"/>
      <c r="AI444" s="1">
        <f t="shared" si="27"/>
        <v>0</v>
      </c>
      <c r="AJ444" s="5"/>
      <c r="AK444" s="5"/>
      <c r="AL444" s="7" t="s">
        <v>15077</v>
      </c>
    </row>
    <row r="445" spans="1:38" ht="96" customHeight="1">
      <c r="A445" s="1" t="s">
        <v>5184</v>
      </c>
      <c r="B445" s="1" t="s">
        <v>5591</v>
      </c>
      <c r="C445" s="1" t="s">
        <v>5592</v>
      </c>
      <c r="D445" s="1" t="s">
        <v>14057</v>
      </c>
      <c r="E445" s="1">
        <v>1</v>
      </c>
      <c r="F445" s="1">
        <v>0</v>
      </c>
      <c r="G445" s="1" t="s">
        <v>12873</v>
      </c>
      <c r="H445" s="1" t="s">
        <v>9708</v>
      </c>
      <c r="I445" s="1" t="s">
        <v>4737</v>
      </c>
      <c r="J445" s="1"/>
      <c r="K445" s="1"/>
      <c r="L445" s="1" t="s">
        <v>12860</v>
      </c>
      <c r="M445" s="1" t="s">
        <v>14058</v>
      </c>
      <c r="N445" s="1" t="s">
        <v>14059</v>
      </c>
      <c r="O445" s="1" t="s">
        <v>14060</v>
      </c>
      <c r="P445" s="1" t="s">
        <v>12868</v>
      </c>
      <c r="Q445" s="1">
        <v>0</v>
      </c>
      <c r="R445" s="1" t="s">
        <v>12877</v>
      </c>
      <c r="S445" s="1" t="s">
        <v>14061</v>
      </c>
      <c r="T445" s="1" t="s">
        <v>14062</v>
      </c>
      <c r="U445" s="1" t="s">
        <v>9779</v>
      </c>
      <c r="V445" s="1" t="s">
        <v>6096</v>
      </c>
      <c r="W445" s="1" t="s">
        <v>12880</v>
      </c>
      <c r="X445" s="1"/>
      <c r="Y445" s="1" t="s">
        <v>14063</v>
      </c>
      <c r="Z445" s="1" t="s">
        <v>12883</v>
      </c>
      <c r="AA445" s="1">
        <f t="shared" si="25"/>
        <v>0</v>
      </c>
      <c r="AB445" s="1" t="str">
        <f t="shared" si="26"/>
        <v>Reviewer confirmed</v>
      </c>
      <c r="AC445" s="1">
        <v>0</v>
      </c>
      <c r="AD445" s="1" t="s">
        <v>12936</v>
      </c>
      <c r="AE445" s="1" t="s">
        <v>14064</v>
      </c>
      <c r="AF445" s="1" t="s">
        <v>14062</v>
      </c>
      <c r="AG445" s="1" t="s">
        <v>9713</v>
      </c>
      <c r="AH445" s="1" t="s">
        <v>6096</v>
      </c>
      <c r="AI445" s="1">
        <f t="shared" si="27"/>
        <v>1</v>
      </c>
      <c r="AJ445" s="5" t="s">
        <v>12898</v>
      </c>
      <c r="AK445" s="5" t="s">
        <v>12899</v>
      </c>
      <c r="AL445" s="7" t="s">
        <v>15077</v>
      </c>
    </row>
    <row r="446" spans="1:38" ht="36" customHeight="1">
      <c r="A446" s="1" t="s">
        <v>5184</v>
      </c>
      <c r="B446" s="1" t="s">
        <v>5596</v>
      </c>
      <c r="C446" s="1" t="s">
        <v>5597</v>
      </c>
      <c r="D446" s="1" t="s">
        <v>4747</v>
      </c>
      <c r="E446" s="1">
        <v>0</v>
      </c>
      <c r="F446" s="1"/>
      <c r="G446" s="1" t="s">
        <v>12859</v>
      </c>
      <c r="H446" s="1" t="s">
        <v>9708</v>
      </c>
      <c r="I446" s="1" t="s">
        <v>4747</v>
      </c>
      <c r="J446" s="1"/>
      <c r="K446" s="1"/>
      <c r="L446" s="1" t="s">
        <v>12860</v>
      </c>
      <c r="M446" s="1" t="s">
        <v>14065</v>
      </c>
      <c r="N446" s="1" t="s">
        <v>14066</v>
      </c>
      <c r="O446" s="1"/>
      <c r="P446" s="1" t="s">
        <v>12863</v>
      </c>
      <c r="Q446" s="1"/>
      <c r="R446" s="1"/>
      <c r="S446" s="1"/>
      <c r="T446" s="1"/>
      <c r="U446" s="1"/>
      <c r="V446" s="1"/>
      <c r="W446" s="1"/>
      <c r="X446" s="1"/>
      <c r="Y446" s="1"/>
      <c r="Z446" s="1"/>
      <c r="AA446" s="1">
        <f t="shared" si="25"/>
        <v>0</v>
      </c>
      <c r="AB446" s="1" t="str">
        <f t="shared" si="26"/>
        <v>R2 retained</v>
      </c>
      <c r="AC446" s="1"/>
      <c r="AD446" s="1"/>
      <c r="AE446" s="1"/>
      <c r="AF446" s="1"/>
      <c r="AG446" s="1"/>
      <c r="AH446" s="1"/>
      <c r="AI446" s="1">
        <f t="shared" si="27"/>
        <v>0</v>
      </c>
      <c r="AJ446" s="5"/>
      <c r="AK446" s="5"/>
      <c r="AL446" s="7" t="s">
        <v>15077</v>
      </c>
    </row>
    <row r="447" spans="1:38" ht="36" customHeight="1">
      <c r="A447" s="1" t="s">
        <v>5184</v>
      </c>
      <c r="B447" s="1" t="s">
        <v>5601</v>
      </c>
      <c r="C447" s="1" t="s">
        <v>5602</v>
      </c>
      <c r="D447" s="1" t="s">
        <v>9838</v>
      </c>
      <c r="E447" s="1">
        <v>1</v>
      </c>
      <c r="F447" s="1"/>
      <c r="G447" s="1" t="s">
        <v>12859</v>
      </c>
      <c r="H447" s="1" t="s">
        <v>9708</v>
      </c>
      <c r="I447" s="1" t="s">
        <v>14067</v>
      </c>
      <c r="J447" s="1"/>
      <c r="K447" s="1"/>
      <c r="L447" s="1" t="s">
        <v>12860</v>
      </c>
      <c r="M447" s="1" t="s">
        <v>9840</v>
      </c>
      <c r="N447" s="1" t="s">
        <v>14068</v>
      </c>
      <c r="O447" s="1"/>
      <c r="P447" s="1" t="s">
        <v>12868</v>
      </c>
      <c r="Q447" s="1"/>
      <c r="R447" s="1"/>
      <c r="S447" s="1"/>
      <c r="T447" s="1"/>
      <c r="U447" s="1"/>
      <c r="V447" s="1"/>
      <c r="W447" s="1"/>
      <c r="X447" s="1"/>
      <c r="Y447" s="1"/>
      <c r="Z447" s="1"/>
      <c r="AA447" s="1">
        <f t="shared" si="25"/>
        <v>1</v>
      </c>
      <c r="AB447" s="1" t="str">
        <f t="shared" si="26"/>
        <v>R2 retained</v>
      </c>
      <c r="AC447" s="1"/>
      <c r="AD447" s="1"/>
      <c r="AE447" s="1"/>
      <c r="AF447" s="1"/>
      <c r="AG447" s="1"/>
      <c r="AH447" s="1"/>
      <c r="AI447" s="1">
        <f t="shared" si="27"/>
        <v>0</v>
      </c>
      <c r="AJ447" s="5"/>
      <c r="AK447" s="5"/>
      <c r="AL447" s="7" t="s">
        <v>15077</v>
      </c>
    </row>
    <row r="448" spans="1:38" ht="36" customHeight="1">
      <c r="A448" s="1" t="s">
        <v>5184</v>
      </c>
      <c r="B448" s="1" t="s">
        <v>5606</v>
      </c>
      <c r="C448" s="1" t="s">
        <v>5607</v>
      </c>
      <c r="D448" s="1" t="s">
        <v>9842</v>
      </c>
      <c r="E448" s="1">
        <v>2</v>
      </c>
      <c r="F448" s="1"/>
      <c r="G448" s="1" t="s">
        <v>12859</v>
      </c>
      <c r="H448" s="1" t="s">
        <v>9708</v>
      </c>
      <c r="I448" s="1" t="s">
        <v>4862</v>
      </c>
      <c r="J448" s="1"/>
      <c r="K448" s="1"/>
      <c r="L448" s="1" t="s">
        <v>12860</v>
      </c>
      <c r="M448" s="1" t="s">
        <v>9844</v>
      </c>
      <c r="N448" s="1" t="s">
        <v>14069</v>
      </c>
      <c r="O448" s="1"/>
      <c r="P448" s="1" t="s">
        <v>12868</v>
      </c>
      <c r="Q448" s="1"/>
      <c r="R448" s="1"/>
      <c r="S448" s="1"/>
      <c r="T448" s="1"/>
      <c r="U448" s="1"/>
      <c r="V448" s="1"/>
      <c r="W448" s="1"/>
      <c r="X448" s="1"/>
      <c r="Y448" s="1"/>
      <c r="Z448" s="1"/>
      <c r="AA448" s="1">
        <f t="shared" si="25"/>
        <v>2</v>
      </c>
      <c r="AB448" s="1" t="str">
        <f t="shared" si="26"/>
        <v>R2 retained</v>
      </c>
      <c r="AC448" s="1"/>
      <c r="AD448" s="1"/>
      <c r="AE448" s="1"/>
      <c r="AF448" s="1"/>
      <c r="AG448" s="1"/>
      <c r="AH448" s="1"/>
      <c r="AI448" s="1">
        <f t="shared" si="27"/>
        <v>0</v>
      </c>
      <c r="AJ448" s="5"/>
      <c r="AK448" s="5"/>
      <c r="AL448" s="7" t="s">
        <v>15077</v>
      </c>
    </row>
    <row r="449" spans="1:38" ht="36" customHeight="1">
      <c r="A449" s="1" t="s">
        <v>5184</v>
      </c>
      <c r="B449" s="1" t="s">
        <v>5454</v>
      </c>
      <c r="C449" s="1" t="s">
        <v>5455</v>
      </c>
      <c r="D449" s="1" t="s">
        <v>4747</v>
      </c>
      <c r="E449" s="1">
        <v>0</v>
      </c>
      <c r="F449" s="1"/>
      <c r="G449" s="1" t="s">
        <v>12859</v>
      </c>
      <c r="H449" s="1" t="s">
        <v>9708</v>
      </c>
      <c r="I449" s="1" t="s">
        <v>4747</v>
      </c>
      <c r="J449" s="1"/>
      <c r="K449" s="1"/>
      <c r="L449" s="1" t="s">
        <v>12860</v>
      </c>
      <c r="M449" s="1" t="s">
        <v>9847</v>
      </c>
      <c r="N449" s="1" t="s">
        <v>14070</v>
      </c>
      <c r="O449" s="1"/>
      <c r="P449" s="1" t="s">
        <v>12863</v>
      </c>
      <c r="Q449" s="1"/>
      <c r="R449" s="1"/>
      <c r="S449" s="1"/>
      <c r="T449" s="1"/>
      <c r="U449" s="1"/>
      <c r="V449" s="1"/>
      <c r="W449" s="1"/>
      <c r="X449" s="1"/>
      <c r="Y449" s="1"/>
      <c r="Z449" s="1"/>
      <c r="AA449" s="1">
        <f t="shared" si="25"/>
        <v>0</v>
      </c>
      <c r="AB449" s="1" t="str">
        <f t="shared" si="26"/>
        <v>R2 retained</v>
      </c>
      <c r="AC449" s="1">
        <v>0</v>
      </c>
      <c r="AD449" s="1" t="s">
        <v>12884</v>
      </c>
      <c r="AE449" s="1" t="s">
        <v>14071</v>
      </c>
      <c r="AF449" s="1" t="s">
        <v>13316</v>
      </c>
      <c r="AG449" s="1" t="s">
        <v>9713</v>
      </c>
      <c r="AH449" s="1" t="s">
        <v>6096</v>
      </c>
      <c r="AI449" s="1">
        <f t="shared" si="27"/>
        <v>1</v>
      </c>
      <c r="AJ449" s="5" t="s">
        <v>12898</v>
      </c>
      <c r="AK449" s="5" t="s">
        <v>12899</v>
      </c>
      <c r="AL449" s="7" t="s">
        <v>15077</v>
      </c>
    </row>
    <row r="450" spans="1:38" ht="36" customHeight="1">
      <c r="A450" s="1" t="s">
        <v>5222</v>
      </c>
      <c r="B450" s="1" t="s">
        <v>5537</v>
      </c>
      <c r="C450" s="1" t="s">
        <v>5538</v>
      </c>
      <c r="D450" s="1" t="s">
        <v>4747</v>
      </c>
      <c r="E450" s="1">
        <v>0</v>
      </c>
      <c r="F450" s="1"/>
      <c r="G450" s="1" t="s">
        <v>12859</v>
      </c>
      <c r="H450" s="1" t="s">
        <v>9862</v>
      </c>
      <c r="I450" s="1" t="s">
        <v>4747</v>
      </c>
      <c r="J450" s="1"/>
      <c r="K450" s="1"/>
      <c r="L450" s="1" t="s">
        <v>12860</v>
      </c>
      <c r="M450" s="1" t="s">
        <v>14072</v>
      </c>
      <c r="N450" s="1" t="s">
        <v>14073</v>
      </c>
      <c r="O450" s="1"/>
      <c r="P450" s="1" t="s">
        <v>12863</v>
      </c>
      <c r="Q450" s="1"/>
      <c r="R450" s="1"/>
      <c r="S450" s="1"/>
      <c r="T450" s="1"/>
      <c r="U450" s="1"/>
      <c r="V450" s="1"/>
      <c r="W450" s="1"/>
      <c r="X450" s="1"/>
      <c r="Y450" s="1"/>
      <c r="Z450" s="1"/>
      <c r="AA450" s="1">
        <f t="shared" ref="AA450:AA513" si="28">IF(OR(ISNUMBER(F450),F450="NA"),F450,IF(AD450="uncertain","",IF(OR(ISNUMBER(AC450),AC450="NA"),AC450,E450)))</f>
        <v>0</v>
      </c>
      <c r="AB450" s="1" t="str">
        <f t="shared" ref="AB450:AB513" si="29">IF(OR(ISNUMBER(F450),F450="NA"),"Reviewer confirmed",IF(AD450="uncertain","Unresolved under clarified rule",IF(AND(OR(ISNUMBER(AC450),AC450="NA"),AC450&lt;&gt;E450),"Analyst scope correction","R2 retained")))</f>
        <v>R2 retained</v>
      </c>
      <c r="AC450" s="1"/>
      <c r="AD450" s="1"/>
      <c r="AE450" s="1"/>
      <c r="AF450" s="1"/>
      <c r="AG450" s="1"/>
      <c r="AH450" s="1"/>
      <c r="AI450" s="1">
        <f t="shared" ref="AI450:AI513" si="30">IF(OR(R450&lt;&gt;"",AD450&lt;&gt;""),1,0)</f>
        <v>0</v>
      </c>
      <c r="AJ450" s="5"/>
      <c r="AK450" s="5"/>
      <c r="AL450" s="7" t="s">
        <v>15077</v>
      </c>
    </row>
    <row r="451" spans="1:38" ht="36" customHeight="1">
      <c r="A451" s="1" t="s">
        <v>5222</v>
      </c>
      <c r="B451" s="1" t="s">
        <v>5542</v>
      </c>
      <c r="C451" s="1" t="s">
        <v>5543</v>
      </c>
      <c r="D451" s="1" t="s">
        <v>4747</v>
      </c>
      <c r="E451" s="1">
        <v>0</v>
      </c>
      <c r="F451" s="1"/>
      <c r="G451" s="1" t="s">
        <v>12859</v>
      </c>
      <c r="H451" s="1" t="s">
        <v>9862</v>
      </c>
      <c r="I451" s="1" t="s">
        <v>4747</v>
      </c>
      <c r="J451" s="1"/>
      <c r="K451" s="1"/>
      <c r="L451" s="1" t="s">
        <v>12860</v>
      </c>
      <c r="M451" s="1" t="s">
        <v>14074</v>
      </c>
      <c r="N451" s="1" t="s">
        <v>14075</v>
      </c>
      <c r="O451" s="1"/>
      <c r="P451" s="1" t="s">
        <v>12863</v>
      </c>
      <c r="Q451" s="1"/>
      <c r="R451" s="1"/>
      <c r="S451" s="1"/>
      <c r="T451" s="1"/>
      <c r="U451" s="1"/>
      <c r="V451" s="1"/>
      <c r="W451" s="1"/>
      <c r="X451" s="1"/>
      <c r="Y451" s="1"/>
      <c r="Z451" s="1"/>
      <c r="AA451" s="1">
        <f t="shared" si="28"/>
        <v>0</v>
      </c>
      <c r="AB451" s="1" t="str">
        <f t="shared" si="29"/>
        <v>R2 retained</v>
      </c>
      <c r="AC451" s="1"/>
      <c r="AD451" s="1"/>
      <c r="AE451" s="1"/>
      <c r="AF451" s="1"/>
      <c r="AG451" s="1"/>
      <c r="AH451" s="1"/>
      <c r="AI451" s="1">
        <f t="shared" si="30"/>
        <v>0</v>
      </c>
      <c r="AJ451" s="5"/>
      <c r="AK451" s="5"/>
      <c r="AL451" s="7" t="s">
        <v>15077</v>
      </c>
    </row>
    <row r="452" spans="1:38" ht="36" customHeight="1">
      <c r="A452" s="1" t="s">
        <v>5222</v>
      </c>
      <c r="B452" s="1" t="s">
        <v>5547</v>
      </c>
      <c r="C452" s="1" t="s">
        <v>5548</v>
      </c>
      <c r="D452" s="1" t="s">
        <v>4747</v>
      </c>
      <c r="E452" s="1">
        <v>1</v>
      </c>
      <c r="F452" s="1"/>
      <c r="G452" s="1" t="s">
        <v>12859</v>
      </c>
      <c r="H452" s="1" t="s">
        <v>9862</v>
      </c>
      <c r="I452" s="1" t="s">
        <v>14076</v>
      </c>
      <c r="J452" s="1"/>
      <c r="K452" s="1"/>
      <c r="L452" s="1" t="s">
        <v>12860</v>
      </c>
      <c r="M452" s="1" t="s">
        <v>14077</v>
      </c>
      <c r="N452" s="1" t="s">
        <v>14078</v>
      </c>
      <c r="O452" s="1"/>
      <c r="P452" s="1" t="s">
        <v>12868</v>
      </c>
      <c r="Q452" s="1"/>
      <c r="R452" s="1"/>
      <c r="S452" s="1"/>
      <c r="T452" s="1"/>
      <c r="U452" s="1"/>
      <c r="V452" s="1"/>
      <c r="W452" s="1"/>
      <c r="X452" s="1"/>
      <c r="Y452" s="1"/>
      <c r="Z452" s="1"/>
      <c r="AA452" s="1">
        <f t="shared" si="28"/>
        <v>1</v>
      </c>
      <c r="AB452" s="1" t="str">
        <f t="shared" si="29"/>
        <v>R2 retained</v>
      </c>
      <c r="AC452" s="1"/>
      <c r="AD452" s="1"/>
      <c r="AE452" s="1"/>
      <c r="AF452" s="1"/>
      <c r="AG452" s="1"/>
      <c r="AH452" s="1"/>
      <c r="AI452" s="1">
        <f t="shared" si="30"/>
        <v>0</v>
      </c>
      <c r="AJ452" s="5"/>
      <c r="AK452" s="5"/>
      <c r="AL452" s="7" t="s">
        <v>15077</v>
      </c>
    </row>
    <row r="453" spans="1:38" ht="36" customHeight="1">
      <c r="A453" s="1" t="s">
        <v>5222</v>
      </c>
      <c r="B453" s="1" t="s">
        <v>5552</v>
      </c>
      <c r="C453" s="1" t="s">
        <v>5553</v>
      </c>
      <c r="D453" s="1" t="s">
        <v>12929</v>
      </c>
      <c r="E453" s="1">
        <v>0</v>
      </c>
      <c r="F453" s="1"/>
      <c r="G453" s="1" t="s">
        <v>12859</v>
      </c>
      <c r="H453" s="1" t="s">
        <v>9862</v>
      </c>
      <c r="I453" s="1" t="s">
        <v>4747</v>
      </c>
      <c r="J453" s="1"/>
      <c r="K453" s="1" t="s">
        <v>5247</v>
      </c>
      <c r="L453" s="1" t="s">
        <v>12930</v>
      </c>
      <c r="M453" s="1" t="s">
        <v>14079</v>
      </c>
      <c r="N453" s="1" t="s">
        <v>14080</v>
      </c>
      <c r="O453" s="1" t="s">
        <v>9897</v>
      </c>
      <c r="P453" s="1" t="s">
        <v>12863</v>
      </c>
      <c r="Q453" s="1"/>
      <c r="R453" s="1"/>
      <c r="S453" s="1"/>
      <c r="T453" s="1"/>
      <c r="U453" s="1"/>
      <c r="V453" s="1"/>
      <c r="W453" s="1"/>
      <c r="X453" s="1"/>
      <c r="Y453" s="1"/>
      <c r="Z453" s="1"/>
      <c r="AA453" s="1">
        <f t="shared" si="28"/>
        <v>0</v>
      </c>
      <c r="AB453" s="1" t="str">
        <f t="shared" si="29"/>
        <v>R2 retained</v>
      </c>
      <c r="AC453" s="1"/>
      <c r="AD453" s="1"/>
      <c r="AE453" s="1"/>
      <c r="AF453" s="1"/>
      <c r="AG453" s="1"/>
      <c r="AH453" s="1"/>
      <c r="AI453" s="1">
        <f t="shared" si="30"/>
        <v>0</v>
      </c>
      <c r="AJ453" s="5"/>
      <c r="AK453" s="5"/>
      <c r="AL453" s="7" t="s">
        <v>15077</v>
      </c>
    </row>
    <row r="454" spans="1:38" ht="36" customHeight="1">
      <c r="A454" s="1" t="s">
        <v>5222</v>
      </c>
      <c r="B454" s="1" t="s">
        <v>5557</v>
      </c>
      <c r="C454" s="1" t="s">
        <v>5558</v>
      </c>
      <c r="D454" s="1" t="s">
        <v>9899</v>
      </c>
      <c r="E454" s="1">
        <v>0</v>
      </c>
      <c r="F454" s="1"/>
      <c r="G454" s="1" t="s">
        <v>12859</v>
      </c>
      <c r="H454" s="1" t="s">
        <v>9862</v>
      </c>
      <c r="I454" s="1" t="s">
        <v>4747</v>
      </c>
      <c r="J454" s="1"/>
      <c r="K454" s="1"/>
      <c r="L454" s="1" t="s">
        <v>12860</v>
      </c>
      <c r="M454" s="1" t="s">
        <v>9901</v>
      </c>
      <c r="N454" s="1" t="s">
        <v>14081</v>
      </c>
      <c r="O454" s="1"/>
      <c r="P454" s="1" t="s">
        <v>12863</v>
      </c>
      <c r="Q454" s="1"/>
      <c r="R454" s="1"/>
      <c r="S454" s="1"/>
      <c r="T454" s="1"/>
      <c r="U454" s="1"/>
      <c r="V454" s="1"/>
      <c r="W454" s="1"/>
      <c r="X454" s="1"/>
      <c r="Y454" s="1"/>
      <c r="Z454" s="1"/>
      <c r="AA454" s="1">
        <f t="shared" si="28"/>
        <v>0</v>
      </c>
      <c r="AB454" s="1" t="str">
        <f t="shared" si="29"/>
        <v>R2 retained</v>
      </c>
      <c r="AC454" s="1"/>
      <c r="AD454" s="1"/>
      <c r="AE454" s="1"/>
      <c r="AF454" s="1"/>
      <c r="AG454" s="1"/>
      <c r="AH454" s="1"/>
      <c r="AI454" s="1">
        <f t="shared" si="30"/>
        <v>0</v>
      </c>
      <c r="AJ454" s="5"/>
      <c r="AK454" s="5"/>
      <c r="AL454" s="7" t="s">
        <v>15077</v>
      </c>
    </row>
    <row r="455" spans="1:38" ht="60" customHeight="1">
      <c r="A455" s="1" t="s">
        <v>5222</v>
      </c>
      <c r="B455" s="1" t="s">
        <v>5562</v>
      </c>
      <c r="C455" s="1" t="s">
        <v>5563</v>
      </c>
      <c r="D455" s="1" t="s">
        <v>5772</v>
      </c>
      <c r="E455" s="1">
        <v>0</v>
      </c>
      <c r="F455" s="1">
        <v>1</v>
      </c>
      <c r="G455" s="1" t="s">
        <v>4691</v>
      </c>
      <c r="H455" s="1" t="s">
        <v>9862</v>
      </c>
      <c r="I455" s="1" t="s">
        <v>4747</v>
      </c>
      <c r="J455" s="1"/>
      <c r="K455" s="1"/>
      <c r="L455" s="1" t="s">
        <v>12860</v>
      </c>
      <c r="M455" s="1" t="s">
        <v>9905</v>
      </c>
      <c r="N455" s="1" t="s">
        <v>14082</v>
      </c>
      <c r="O455" s="1" t="s">
        <v>14083</v>
      </c>
      <c r="P455" s="1" t="s">
        <v>12917</v>
      </c>
      <c r="Q455" s="1"/>
      <c r="R455" s="1"/>
      <c r="S455" s="1"/>
      <c r="T455" s="1"/>
      <c r="U455" s="1"/>
      <c r="V455" s="1"/>
      <c r="W455" s="1"/>
      <c r="X455" s="1"/>
      <c r="Y455" s="1" t="s">
        <v>5774</v>
      </c>
      <c r="Z455" s="1" t="s">
        <v>12918</v>
      </c>
      <c r="AA455" s="1">
        <f t="shared" si="28"/>
        <v>1</v>
      </c>
      <c r="AB455" s="1" t="str">
        <f t="shared" si="29"/>
        <v>Reviewer confirmed</v>
      </c>
      <c r="AC455" s="1">
        <v>1</v>
      </c>
      <c r="AD455" s="1" t="s">
        <v>12936</v>
      </c>
      <c r="AE455" s="1" t="s">
        <v>5774</v>
      </c>
      <c r="AF455" s="1" t="s">
        <v>5773</v>
      </c>
      <c r="AG455" s="1" t="s">
        <v>5775</v>
      </c>
      <c r="AH455" s="1" t="s">
        <v>5461</v>
      </c>
      <c r="AI455" s="1">
        <f t="shared" si="30"/>
        <v>1</v>
      </c>
      <c r="AJ455" s="5"/>
      <c r="AK455" s="5"/>
      <c r="AL455" s="7" t="s">
        <v>15077</v>
      </c>
    </row>
    <row r="456" spans="1:38" ht="36" customHeight="1">
      <c r="A456" s="1" t="s">
        <v>5222</v>
      </c>
      <c r="B456" s="1" t="s">
        <v>5567</v>
      </c>
      <c r="C456" s="1" t="s">
        <v>5568</v>
      </c>
      <c r="D456" s="1" t="s">
        <v>9909</v>
      </c>
      <c r="E456" s="1">
        <v>0</v>
      </c>
      <c r="F456" s="1"/>
      <c r="G456" s="1" t="s">
        <v>12859</v>
      </c>
      <c r="H456" s="1" t="s">
        <v>9862</v>
      </c>
      <c r="I456" s="1" t="s">
        <v>4747</v>
      </c>
      <c r="J456" s="1"/>
      <c r="K456" s="1"/>
      <c r="L456" s="1" t="s">
        <v>12860</v>
      </c>
      <c r="M456" s="1" t="s">
        <v>14084</v>
      </c>
      <c r="N456" s="1" t="s">
        <v>14085</v>
      </c>
      <c r="O456" s="1"/>
      <c r="P456" s="1" t="s">
        <v>12863</v>
      </c>
      <c r="Q456" s="1"/>
      <c r="R456" s="1"/>
      <c r="S456" s="1"/>
      <c r="T456" s="1"/>
      <c r="U456" s="1"/>
      <c r="V456" s="1"/>
      <c r="W456" s="1"/>
      <c r="X456" s="1"/>
      <c r="Y456" s="1"/>
      <c r="Z456" s="1"/>
      <c r="AA456" s="1">
        <f t="shared" si="28"/>
        <v>0</v>
      </c>
      <c r="AB456" s="1" t="str">
        <f t="shared" si="29"/>
        <v>R2 retained</v>
      </c>
      <c r="AC456" s="1"/>
      <c r="AD456" s="1"/>
      <c r="AE456" s="1"/>
      <c r="AF456" s="1"/>
      <c r="AG456" s="1"/>
      <c r="AH456" s="1"/>
      <c r="AI456" s="1">
        <f t="shared" si="30"/>
        <v>0</v>
      </c>
      <c r="AJ456" s="5"/>
      <c r="AK456" s="5"/>
      <c r="AL456" s="7" t="s">
        <v>15077</v>
      </c>
    </row>
    <row r="457" spans="1:38" ht="36" customHeight="1">
      <c r="A457" s="1" t="s">
        <v>5222</v>
      </c>
      <c r="B457" s="1" t="s">
        <v>5572</v>
      </c>
      <c r="C457" s="1" t="s">
        <v>5573</v>
      </c>
      <c r="D457" s="1" t="s">
        <v>14086</v>
      </c>
      <c r="E457" s="1">
        <v>0</v>
      </c>
      <c r="F457" s="1"/>
      <c r="G457" s="1" t="s">
        <v>12859</v>
      </c>
      <c r="H457" s="1" t="s">
        <v>9862</v>
      </c>
      <c r="I457" s="1" t="s">
        <v>4747</v>
      </c>
      <c r="J457" s="1"/>
      <c r="K457" s="1"/>
      <c r="L457" s="1" t="s">
        <v>12860</v>
      </c>
      <c r="M457" s="1" t="s">
        <v>14087</v>
      </c>
      <c r="N457" s="1" t="s">
        <v>14088</v>
      </c>
      <c r="O457" s="1"/>
      <c r="P457" s="1" t="s">
        <v>12863</v>
      </c>
      <c r="Q457" s="1"/>
      <c r="R457" s="1"/>
      <c r="S457" s="1"/>
      <c r="T457" s="1"/>
      <c r="U457" s="1"/>
      <c r="V457" s="1"/>
      <c r="W457" s="1"/>
      <c r="X457" s="1"/>
      <c r="Y457" s="1"/>
      <c r="Z457" s="1"/>
      <c r="AA457" s="1">
        <f t="shared" si="28"/>
        <v>0</v>
      </c>
      <c r="AB457" s="1" t="str">
        <f t="shared" si="29"/>
        <v>R2 retained</v>
      </c>
      <c r="AC457" s="1"/>
      <c r="AD457" s="1"/>
      <c r="AE457" s="1"/>
      <c r="AF457" s="1"/>
      <c r="AG457" s="1"/>
      <c r="AH457" s="1"/>
      <c r="AI457" s="1">
        <f t="shared" si="30"/>
        <v>0</v>
      </c>
      <c r="AJ457" s="5"/>
      <c r="AK457" s="5"/>
      <c r="AL457" s="7" t="s">
        <v>15077</v>
      </c>
    </row>
    <row r="458" spans="1:38" ht="36" customHeight="1">
      <c r="A458" s="1" t="s">
        <v>5222</v>
      </c>
      <c r="B458" s="1" t="s">
        <v>5577</v>
      </c>
      <c r="C458" s="1" t="s">
        <v>5578</v>
      </c>
      <c r="D458" s="1" t="s">
        <v>14089</v>
      </c>
      <c r="E458" s="1">
        <v>2</v>
      </c>
      <c r="F458" s="1"/>
      <c r="G458" s="1" t="s">
        <v>12859</v>
      </c>
      <c r="H458" s="1" t="s">
        <v>9862</v>
      </c>
      <c r="I458" s="1" t="s">
        <v>14090</v>
      </c>
      <c r="J458" s="1"/>
      <c r="K458" s="1"/>
      <c r="L458" s="1" t="s">
        <v>12860</v>
      </c>
      <c r="M458" s="1" t="s">
        <v>14091</v>
      </c>
      <c r="N458" s="1" t="s">
        <v>14092</v>
      </c>
      <c r="O458" s="1"/>
      <c r="P458" s="1" t="s">
        <v>12868</v>
      </c>
      <c r="Q458" s="1"/>
      <c r="R458" s="1"/>
      <c r="S458" s="1"/>
      <c r="T458" s="1"/>
      <c r="U458" s="1"/>
      <c r="V458" s="1"/>
      <c r="W458" s="1"/>
      <c r="X458" s="1"/>
      <c r="Y458" s="1"/>
      <c r="Z458" s="1"/>
      <c r="AA458" s="1">
        <f t="shared" si="28"/>
        <v>2</v>
      </c>
      <c r="AB458" s="1" t="str">
        <f t="shared" si="29"/>
        <v>R2 retained</v>
      </c>
      <c r="AC458" s="1"/>
      <c r="AD458" s="1"/>
      <c r="AE458" s="1"/>
      <c r="AF458" s="1"/>
      <c r="AG458" s="1"/>
      <c r="AH458" s="1"/>
      <c r="AI458" s="1">
        <f t="shared" si="30"/>
        <v>0</v>
      </c>
      <c r="AJ458" s="5"/>
      <c r="AK458" s="5"/>
      <c r="AL458" s="7" t="s">
        <v>15077</v>
      </c>
    </row>
    <row r="459" spans="1:38" ht="36" customHeight="1">
      <c r="A459" s="1" t="s">
        <v>5222</v>
      </c>
      <c r="B459" s="1" t="s">
        <v>5582</v>
      </c>
      <c r="C459" s="1" t="s">
        <v>5583</v>
      </c>
      <c r="D459" s="1" t="s">
        <v>9955</v>
      </c>
      <c r="E459" s="1">
        <v>0</v>
      </c>
      <c r="F459" s="1"/>
      <c r="G459" s="1" t="s">
        <v>12859</v>
      </c>
      <c r="H459" s="1" t="s">
        <v>9862</v>
      </c>
      <c r="I459" s="1" t="s">
        <v>4747</v>
      </c>
      <c r="J459" s="1"/>
      <c r="K459" s="1"/>
      <c r="L459" s="1" t="s">
        <v>12860</v>
      </c>
      <c r="M459" s="1" t="s">
        <v>9957</v>
      </c>
      <c r="N459" s="1" t="s">
        <v>14093</v>
      </c>
      <c r="O459" s="1"/>
      <c r="P459" s="1" t="s">
        <v>12863</v>
      </c>
      <c r="Q459" s="1"/>
      <c r="R459" s="1"/>
      <c r="S459" s="1"/>
      <c r="T459" s="1"/>
      <c r="U459" s="1"/>
      <c r="V459" s="1"/>
      <c r="W459" s="1"/>
      <c r="X459" s="1"/>
      <c r="Y459" s="1"/>
      <c r="Z459" s="1"/>
      <c r="AA459" s="1">
        <f t="shared" si="28"/>
        <v>0</v>
      </c>
      <c r="AB459" s="1" t="str">
        <f t="shared" si="29"/>
        <v>R2 retained</v>
      </c>
      <c r="AC459" s="1">
        <v>0</v>
      </c>
      <c r="AD459" s="1" t="s">
        <v>12884</v>
      </c>
      <c r="AE459" s="1" t="s">
        <v>14094</v>
      </c>
      <c r="AF459" s="1" t="s">
        <v>14095</v>
      </c>
      <c r="AG459" s="1" t="s">
        <v>9867</v>
      </c>
      <c r="AH459" s="1" t="s">
        <v>6096</v>
      </c>
      <c r="AI459" s="1">
        <f t="shared" si="30"/>
        <v>1</v>
      </c>
      <c r="AJ459" s="5" t="s">
        <v>12898</v>
      </c>
      <c r="AK459" s="5" t="s">
        <v>12899</v>
      </c>
      <c r="AL459" s="7" t="s">
        <v>15077</v>
      </c>
    </row>
    <row r="460" spans="1:38" ht="36" customHeight="1">
      <c r="A460" s="1" t="s">
        <v>5222</v>
      </c>
      <c r="B460" s="1" t="s">
        <v>5586</v>
      </c>
      <c r="C460" s="1" t="s">
        <v>5587</v>
      </c>
      <c r="D460" s="1" t="s">
        <v>14096</v>
      </c>
      <c r="E460" s="1">
        <v>0</v>
      </c>
      <c r="F460" s="1"/>
      <c r="G460" s="1" t="s">
        <v>12859</v>
      </c>
      <c r="H460" s="1" t="s">
        <v>9862</v>
      </c>
      <c r="I460" s="1" t="s">
        <v>4747</v>
      </c>
      <c r="J460" s="1"/>
      <c r="K460" s="1"/>
      <c r="L460" s="1" t="s">
        <v>12860</v>
      </c>
      <c r="M460" s="1" t="s">
        <v>14097</v>
      </c>
      <c r="N460" s="1" t="s">
        <v>14098</v>
      </c>
      <c r="O460" s="1"/>
      <c r="P460" s="1" t="s">
        <v>12863</v>
      </c>
      <c r="Q460" s="1"/>
      <c r="R460" s="1"/>
      <c r="S460" s="1"/>
      <c r="T460" s="1"/>
      <c r="U460" s="1"/>
      <c r="V460" s="1"/>
      <c r="W460" s="1"/>
      <c r="X460" s="1"/>
      <c r="Y460" s="1"/>
      <c r="Z460" s="1"/>
      <c r="AA460" s="1">
        <f t="shared" si="28"/>
        <v>0</v>
      </c>
      <c r="AB460" s="1" t="str">
        <f t="shared" si="29"/>
        <v>R2 retained</v>
      </c>
      <c r="AC460" s="1"/>
      <c r="AD460" s="1"/>
      <c r="AE460" s="1"/>
      <c r="AF460" s="1"/>
      <c r="AG460" s="1"/>
      <c r="AH460" s="1"/>
      <c r="AI460" s="1">
        <f t="shared" si="30"/>
        <v>0</v>
      </c>
      <c r="AJ460" s="5"/>
      <c r="AK460" s="5"/>
      <c r="AL460" s="7" t="s">
        <v>15077</v>
      </c>
    </row>
    <row r="461" spans="1:38" ht="96" customHeight="1">
      <c r="A461" s="1" t="s">
        <v>5222</v>
      </c>
      <c r="B461" s="1" t="s">
        <v>5591</v>
      </c>
      <c r="C461" s="1" t="s">
        <v>5592</v>
      </c>
      <c r="D461" s="1" t="s">
        <v>14099</v>
      </c>
      <c r="E461" s="1">
        <v>1</v>
      </c>
      <c r="F461" s="1">
        <v>0</v>
      </c>
      <c r="G461" s="1" t="s">
        <v>12873</v>
      </c>
      <c r="H461" s="1" t="s">
        <v>9862</v>
      </c>
      <c r="I461" s="1"/>
      <c r="J461" s="1"/>
      <c r="K461" s="1"/>
      <c r="L461" s="1" t="s">
        <v>12860</v>
      </c>
      <c r="M461" s="1" t="s">
        <v>14100</v>
      </c>
      <c r="N461" s="1" t="s">
        <v>14101</v>
      </c>
      <c r="O461" s="1" t="s">
        <v>14102</v>
      </c>
      <c r="P461" s="1" t="s">
        <v>12876</v>
      </c>
      <c r="Q461" s="1">
        <v>0</v>
      </c>
      <c r="R461" s="1" t="s">
        <v>12877</v>
      </c>
      <c r="S461" s="1" t="s">
        <v>14103</v>
      </c>
      <c r="T461" s="1" t="s">
        <v>14104</v>
      </c>
      <c r="U461" s="1" t="s">
        <v>9867</v>
      </c>
      <c r="V461" s="1" t="s">
        <v>6096</v>
      </c>
      <c r="W461" s="1" t="s">
        <v>12880</v>
      </c>
      <c r="X461" s="1"/>
      <c r="Y461" s="1" t="s">
        <v>14105</v>
      </c>
      <c r="Z461" s="1" t="s">
        <v>12883</v>
      </c>
      <c r="AA461" s="1">
        <f t="shared" si="28"/>
        <v>0</v>
      </c>
      <c r="AB461" s="1" t="str">
        <f t="shared" si="29"/>
        <v>Reviewer confirmed</v>
      </c>
      <c r="AC461" s="1">
        <v>0</v>
      </c>
      <c r="AD461" s="1" t="s">
        <v>12936</v>
      </c>
      <c r="AE461" s="1" t="s">
        <v>14106</v>
      </c>
      <c r="AF461" s="1" t="s">
        <v>14104</v>
      </c>
      <c r="AG461" s="1" t="s">
        <v>9867</v>
      </c>
      <c r="AH461" s="1" t="s">
        <v>6096</v>
      </c>
      <c r="AI461" s="1">
        <f t="shared" si="30"/>
        <v>1</v>
      </c>
      <c r="AJ461" s="5" t="s">
        <v>12898</v>
      </c>
      <c r="AK461" s="5" t="s">
        <v>12899</v>
      </c>
      <c r="AL461" s="7" t="s">
        <v>15077</v>
      </c>
    </row>
    <row r="462" spans="1:38" ht="36" customHeight="1">
      <c r="A462" s="1" t="s">
        <v>5222</v>
      </c>
      <c r="B462" s="1" t="s">
        <v>5596</v>
      </c>
      <c r="C462" s="1" t="s">
        <v>5597</v>
      </c>
      <c r="D462" s="1" t="s">
        <v>4747</v>
      </c>
      <c r="E462" s="1">
        <v>0</v>
      </c>
      <c r="F462" s="1"/>
      <c r="G462" s="1" t="s">
        <v>12859</v>
      </c>
      <c r="H462" s="1" t="s">
        <v>9862</v>
      </c>
      <c r="I462" s="1" t="s">
        <v>4747</v>
      </c>
      <c r="J462" s="1"/>
      <c r="K462" s="1"/>
      <c r="L462" s="1" t="s">
        <v>12860</v>
      </c>
      <c r="M462" s="1" t="s">
        <v>14107</v>
      </c>
      <c r="N462" s="1" t="s">
        <v>14108</v>
      </c>
      <c r="O462" s="1"/>
      <c r="P462" s="1" t="s">
        <v>12863</v>
      </c>
      <c r="Q462" s="1"/>
      <c r="R462" s="1"/>
      <c r="S462" s="1"/>
      <c r="T462" s="1"/>
      <c r="U462" s="1"/>
      <c r="V462" s="1"/>
      <c r="W462" s="1"/>
      <c r="X462" s="1"/>
      <c r="Y462" s="1"/>
      <c r="Z462" s="1"/>
      <c r="AA462" s="1">
        <f t="shared" si="28"/>
        <v>0</v>
      </c>
      <c r="AB462" s="1" t="str">
        <f t="shared" si="29"/>
        <v>R2 retained</v>
      </c>
      <c r="AC462" s="1"/>
      <c r="AD462" s="1"/>
      <c r="AE462" s="1"/>
      <c r="AF462" s="1"/>
      <c r="AG462" s="1"/>
      <c r="AH462" s="1"/>
      <c r="AI462" s="1">
        <f t="shared" si="30"/>
        <v>0</v>
      </c>
      <c r="AJ462" s="5"/>
      <c r="AK462" s="5"/>
      <c r="AL462" s="7" t="s">
        <v>15077</v>
      </c>
    </row>
    <row r="463" spans="1:38" ht="36" customHeight="1">
      <c r="A463" s="1" t="s">
        <v>5222</v>
      </c>
      <c r="B463" s="1" t="s">
        <v>5601</v>
      </c>
      <c r="C463" s="1" t="s">
        <v>5602</v>
      </c>
      <c r="D463" s="1" t="s">
        <v>9971</v>
      </c>
      <c r="E463" s="1">
        <v>1</v>
      </c>
      <c r="F463" s="1"/>
      <c r="G463" s="1" t="s">
        <v>12859</v>
      </c>
      <c r="H463" s="1" t="s">
        <v>9862</v>
      </c>
      <c r="I463" s="1" t="s">
        <v>4904</v>
      </c>
      <c r="J463" s="1"/>
      <c r="K463" s="1"/>
      <c r="L463" s="1" t="s">
        <v>12860</v>
      </c>
      <c r="M463" s="1" t="s">
        <v>9973</v>
      </c>
      <c r="N463" s="1" t="s">
        <v>14109</v>
      </c>
      <c r="O463" s="1"/>
      <c r="P463" s="1" t="s">
        <v>12868</v>
      </c>
      <c r="Q463" s="1"/>
      <c r="R463" s="1"/>
      <c r="S463" s="1"/>
      <c r="T463" s="1"/>
      <c r="U463" s="1"/>
      <c r="V463" s="1"/>
      <c r="W463" s="1"/>
      <c r="X463" s="1"/>
      <c r="Y463" s="1"/>
      <c r="Z463" s="1"/>
      <c r="AA463" s="1">
        <f t="shared" si="28"/>
        <v>1</v>
      </c>
      <c r="AB463" s="1" t="str">
        <f t="shared" si="29"/>
        <v>R2 retained</v>
      </c>
      <c r="AC463" s="1"/>
      <c r="AD463" s="1"/>
      <c r="AE463" s="1"/>
      <c r="AF463" s="1"/>
      <c r="AG463" s="1"/>
      <c r="AH463" s="1"/>
      <c r="AI463" s="1">
        <f t="shared" si="30"/>
        <v>0</v>
      </c>
      <c r="AJ463" s="5"/>
      <c r="AK463" s="5"/>
      <c r="AL463" s="7" t="s">
        <v>15077</v>
      </c>
    </row>
    <row r="464" spans="1:38" ht="36" customHeight="1">
      <c r="A464" s="1" t="s">
        <v>5222</v>
      </c>
      <c r="B464" s="1" t="s">
        <v>5606</v>
      </c>
      <c r="C464" s="1" t="s">
        <v>5607</v>
      </c>
      <c r="D464" s="1" t="s">
        <v>9975</v>
      </c>
      <c r="E464" s="1">
        <v>2</v>
      </c>
      <c r="F464" s="1"/>
      <c r="G464" s="1" t="s">
        <v>12859</v>
      </c>
      <c r="H464" s="1" t="s">
        <v>9862</v>
      </c>
      <c r="I464" s="1" t="s">
        <v>14090</v>
      </c>
      <c r="J464" s="1"/>
      <c r="K464" s="1"/>
      <c r="L464" s="1" t="s">
        <v>12860</v>
      </c>
      <c r="M464" s="1" t="s">
        <v>9977</v>
      </c>
      <c r="N464" s="1" t="s">
        <v>14110</v>
      </c>
      <c r="O464" s="1"/>
      <c r="P464" s="1" t="s">
        <v>12868</v>
      </c>
      <c r="Q464" s="1"/>
      <c r="R464" s="1"/>
      <c r="S464" s="1"/>
      <c r="T464" s="1"/>
      <c r="U464" s="1"/>
      <c r="V464" s="1"/>
      <c r="W464" s="1"/>
      <c r="X464" s="1"/>
      <c r="Y464" s="1"/>
      <c r="Z464" s="1"/>
      <c r="AA464" s="1">
        <f t="shared" si="28"/>
        <v>2</v>
      </c>
      <c r="AB464" s="1" t="str">
        <f t="shared" si="29"/>
        <v>R2 retained</v>
      </c>
      <c r="AC464" s="1"/>
      <c r="AD464" s="1"/>
      <c r="AE464" s="1"/>
      <c r="AF464" s="1"/>
      <c r="AG464" s="1"/>
      <c r="AH464" s="1"/>
      <c r="AI464" s="1">
        <f t="shared" si="30"/>
        <v>0</v>
      </c>
      <c r="AJ464" s="5"/>
      <c r="AK464" s="5"/>
      <c r="AL464" s="7" t="s">
        <v>15077</v>
      </c>
    </row>
    <row r="465" spans="1:38" ht="36" customHeight="1">
      <c r="A465" s="1" t="s">
        <v>5222</v>
      </c>
      <c r="B465" s="1" t="s">
        <v>5454</v>
      </c>
      <c r="C465" s="1" t="s">
        <v>5455</v>
      </c>
      <c r="D465" s="1" t="s">
        <v>4747</v>
      </c>
      <c r="E465" s="1">
        <v>1</v>
      </c>
      <c r="F465" s="1"/>
      <c r="G465" s="1" t="s">
        <v>12859</v>
      </c>
      <c r="H465" s="1" t="s">
        <v>9862</v>
      </c>
      <c r="I465" s="1" t="s">
        <v>14111</v>
      </c>
      <c r="J465" s="1"/>
      <c r="K465" s="1"/>
      <c r="L465" s="1" t="s">
        <v>12860</v>
      </c>
      <c r="M465" s="1" t="s">
        <v>9980</v>
      </c>
      <c r="N465" s="1" t="s">
        <v>14112</v>
      </c>
      <c r="O465" s="1"/>
      <c r="P465" s="1" t="s">
        <v>12868</v>
      </c>
      <c r="Q465" s="1"/>
      <c r="R465" s="1"/>
      <c r="S465" s="1"/>
      <c r="T465" s="1"/>
      <c r="U465" s="1"/>
      <c r="V465" s="1"/>
      <c r="W465" s="1"/>
      <c r="X465" s="1"/>
      <c r="Y465" s="1"/>
      <c r="Z465" s="1"/>
      <c r="AA465" s="1">
        <f t="shared" si="28"/>
        <v>1</v>
      </c>
      <c r="AB465" s="1" t="str">
        <f t="shared" si="29"/>
        <v>R2 retained</v>
      </c>
      <c r="AC465" s="1">
        <v>1</v>
      </c>
      <c r="AD465" s="1" t="s">
        <v>12884</v>
      </c>
      <c r="AE465" s="1" t="s">
        <v>14113</v>
      </c>
      <c r="AF465" s="1" t="s">
        <v>14114</v>
      </c>
      <c r="AG465" s="1" t="s">
        <v>9867</v>
      </c>
      <c r="AH465" s="1" t="s">
        <v>6096</v>
      </c>
      <c r="AI465" s="1">
        <f t="shared" si="30"/>
        <v>1</v>
      </c>
      <c r="AJ465" s="5" t="s">
        <v>12898</v>
      </c>
      <c r="AK465" s="5" t="s">
        <v>12899</v>
      </c>
      <c r="AL465" s="7" t="s">
        <v>15077</v>
      </c>
    </row>
    <row r="466" spans="1:38" ht="36" customHeight="1">
      <c r="A466" s="1" t="s">
        <v>5776</v>
      </c>
      <c r="B466" s="1" t="s">
        <v>5537</v>
      </c>
      <c r="C466" s="1" t="s">
        <v>5538</v>
      </c>
      <c r="D466" s="1" t="s">
        <v>14115</v>
      </c>
      <c r="E466" s="1">
        <v>0</v>
      </c>
      <c r="F466" s="1"/>
      <c r="G466" s="1" t="s">
        <v>12859</v>
      </c>
      <c r="H466" s="1" t="s">
        <v>9995</v>
      </c>
      <c r="I466" s="1" t="s">
        <v>4747</v>
      </c>
      <c r="J466" s="1"/>
      <c r="K466" s="1"/>
      <c r="L466" s="1" t="s">
        <v>12860</v>
      </c>
      <c r="M466" s="1" t="s">
        <v>14116</v>
      </c>
      <c r="N466" s="1" t="s">
        <v>14117</v>
      </c>
      <c r="O466" s="1"/>
      <c r="P466" s="1" t="s">
        <v>12863</v>
      </c>
      <c r="Q466" s="1"/>
      <c r="R466" s="1"/>
      <c r="S466" s="1"/>
      <c r="T466" s="1"/>
      <c r="U466" s="1"/>
      <c r="V466" s="1"/>
      <c r="W466" s="1"/>
      <c r="X466" s="1"/>
      <c r="Y466" s="1"/>
      <c r="Z466" s="1"/>
      <c r="AA466" s="1">
        <f t="shared" si="28"/>
        <v>0</v>
      </c>
      <c r="AB466" s="1" t="str">
        <f t="shared" si="29"/>
        <v>R2 retained</v>
      </c>
      <c r="AC466" s="1"/>
      <c r="AD466" s="1"/>
      <c r="AE466" s="1"/>
      <c r="AF466" s="1"/>
      <c r="AG466" s="1"/>
      <c r="AH466" s="1"/>
      <c r="AI466" s="1">
        <f t="shared" si="30"/>
        <v>0</v>
      </c>
      <c r="AJ466" s="5"/>
      <c r="AK466" s="5"/>
      <c r="AL466" s="7" t="s">
        <v>15077</v>
      </c>
    </row>
    <row r="467" spans="1:38" ht="36" customHeight="1">
      <c r="A467" s="1" t="s">
        <v>5776</v>
      </c>
      <c r="B467" s="1" t="s">
        <v>5542</v>
      </c>
      <c r="C467" s="1" t="s">
        <v>5543</v>
      </c>
      <c r="D467" s="1" t="s">
        <v>4747</v>
      </c>
      <c r="E467" s="1">
        <v>0</v>
      </c>
      <c r="F467" s="1"/>
      <c r="G467" s="1" t="s">
        <v>12859</v>
      </c>
      <c r="H467" s="1" t="s">
        <v>9995</v>
      </c>
      <c r="I467" s="1" t="s">
        <v>4747</v>
      </c>
      <c r="J467" s="1"/>
      <c r="K467" s="1"/>
      <c r="L467" s="1" t="s">
        <v>12860</v>
      </c>
      <c r="M467" s="1" t="s">
        <v>14118</v>
      </c>
      <c r="N467" s="1" t="s">
        <v>14119</v>
      </c>
      <c r="O467" s="1"/>
      <c r="P467" s="1" t="s">
        <v>12863</v>
      </c>
      <c r="Q467" s="1"/>
      <c r="R467" s="1"/>
      <c r="S467" s="1"/>
      <c r="T467" s="1"/>
      <c r="U467" s="1"/>
      <c r="V467" s="1"/>
      <c r="W467" s="1"/>
      <c r="X467" s="1"/>
      <c r="Y467" s="1"/>
      <c r="Z467" s="1"/>
      <c r="AA467" s="1">
        <f t="shared" si="28"/>
        <v>0</v>
      </c>
      <c r="AB467" s="1" t="str">
        <f t="shared" si="29"/>
        <v>R2 retained</v>
      </c>
      <c r="AC467" s="1"/>
      <c r="AD467" s="1"/>
      <c r="AE467" s="1"/>
      <c r="AF467" s="1"/>
      <c r="AG467" s="1"/>
      <c r="AH467" s="1"/>
      <c r="AI467" s="1">
        <f t="shared" si="30"/>
        <v>0</v>
      </c>
      <c r="AJ467" s="5"/>
      <c r="AK467" s="5"/>
      <c r="AL467" s="7" t="s">
        <v>15077</v>
      </c>
    </row>
    <row r="468" spans="1:38" ht="36" customHeight="1">
      <c r="A468" s="1" t="s">
        <v>5776</v>
      </c>
      <c r="B468" s="1" t="s">
        <v>5547</v>
      </c>
      <c r="C468" s="1" t="s">
        <v>5548</v>
      </c>
      <c r="D468" s="1" t="s">
        <v>14120</v>
      </c>
      <c r="E468" s="1">
        <v>1</v>
      </c>
      <c r="F468" s="1"/>
      <c r="G468" s="1" t="s">
        <v>12859</v>
      </c>
      <c r="H468" s="1" t="s">
        <v>9995</v>
      </c>
      <c r="I468" s="1" t="s">
        <v>4862</v>
      </c>
      <c r="J468" s="1"/>
      <c r="K468" s="1"/>
      <c r="L468" s="1" t="s">
        <v>12860</v>
      </c>
      <c r="M468" s="1" t="s">
        <v>14121</v>
      </c>
      <c r="N468" s="1" t="s">
        <v>14122</v>
      </c>
      <c r="O468" s="1"/>
      <c r="P468" s="1" t="s">
        <v>12868</v>
      </c>
      <c r="Q468" s="1"/>
      <c r="R468" s="1"/>
      <c r="S468" s="1"/>
      <c r="T468" s="1"/>
      <c r="U468" s="1"/>
      <c r="V468" s="1"/>
      <c r="W468" s="1"/>
      <c r="X468" s="1"/>
      <c r="Y468" s="1"/>
      <c r="Z468" s="1"/>
      <c r="AA468" s="1">
        <f t="shared" si="28"/>
        <v>1</v>
      </c>
      <c r="AB468" s="1" t="str">
        <f t="shared" si="29"/>
        <v>R2 retained</v>
      </c>
      <c r="AC468" s="1"/>
      <c r="AD468" s="1"/>
      <c r="AE468" s="1"/>
      <c r="AF468" s="1"/>
      <c r="AG468" s="1"/>
      <c r="AH468" s="1"/>
      <c r="AI468" s="1">
        <f t="shared" si="30"/>
        <v>0</v>
      </c>
      <c r="AJ468" s="5"/>
      <c r="AK468" s="5"/>
      <c r="AL468" s="7" t="s">
        <v>15077</v>
      </c>
    </row>
    <row r="469" spans="1:38" ht="36" customHeight="1">
      <c r="A469" s="1" t="s">
        <v>5776</v>
      </c>
      <c r="B469" s="1" t="s">
        <v>5552</v>
      </c>
      <c r="C469" s="1" t="s">
        <v>5553</v>
      </c>
      <c r="D469" s="1" t="s">
        <v>14123</v>
      </c>
      <c r="E469" s="1">
        <v>2</v>
      </c>
      <c r="F469" s="1"/>
      <c r="G469" s="1" t="s">
        <v>12859</v>
      </c>
      <c r="H469" s="1" t="s">
        <v>9995</v>
      </c>
      <c r="I469" s="1" t="s">
        <v>4862</v>
      </c>
      <c r="J469" s="1"/>
      <c r="K469" s="1"/>
      <c r="L469" s="1" t="s">
        <v>12860</v>
      </c>
      <c r="M469" s="1" t="s">
        <v>14124</v>
      </c>
      <c r="N469" s="1" t="s">
        <v>14125</v>
      </c>
      <c r="O469" s="1"/>
      <c r="P469" s="1" t="s">
        <v>12868</v>
      </c>
      <c r="Q469" s="1"/>
      <c r="R469" s="1"/>
      <c r="S469" s="1"/>
      <c r="T469" s="1"/>
      <c r="U469" s="1"/>
      <c r="V469" s="1"/>
      <c r="W469" s="1"/>
      <c r="X469" s="1"/>
      <c r="Y469" s="1"/>
      <c r="Z469" s="1"/>
      <c r="AA469" s="1">
        <f t="shared" si="28"/>
        <v>2</v>
      </c>
      <c r="AB469" s="1" t="str">
        <f t="shared" si="29"/>
        <v>R2 retained</v>
      </c>
      <c r="AC469" s="1"/>
      <c r="AD469" s="1"/>
      <c r="AE469" s="1"/>
      <c r="AF469" s="1"/>
      <c r="AG469" s="1"/>
      <c r="AH469" s="1"/>
      <c r="AI469" s="1">
        <f t="shared" si="30"/>
        <v>0</v>
      </c>
      <c r="AJ469" s="5"/>
      <c r="AK469" s="5"/>
      <c r="AL469" s="7" t="s">
        <v>15077</v>
      </c>
    </row>
    <row r="470" spans="1:38" ht="36" customHeight="1">
      <c r="A470" s="1" t="s">
        <v>5776</v>
      </c>
      <c r="B470" s="1" t="s">
        <v>5557</v>
      </c>
      <c r="C470" s="1" t="s">
        <v>5558</v>
      </c>
      <c r="D470" s="1" t="s">
        <v>10035</v>
      </c>
      <c r="E470" s="1">
        <v>0</v>
      </c>
      <c r="F470" s="1"/>
      <c r="G470" s="1" t="s">
        <v>12859</v>
      </c>
      <c r="H470" s="1" t="s">
        <v>9995</v>
      </c>
      <c r="I470" s="1" t="s">
        <v>4747</v>
      </c>
      <c r="J470" s="1"/>
      <c r="K470" s="1"/>
      <c r="L470" s="1" t="s">
        <v>12860</v>
      </c>
      <c r="M470" s="1" t="s">
        <v>10037</v>
      </c>
      <c r="N470" s="1" t="s">
        <v>14126</v>
      </c>
      <c r="O470" s="1"/>
      <c r="P470" s="1" t="s">
        <v>12863</v>
      </c>
      <c r="Q470" s="1"/>
      <c r="R470" s="1"/>
      <c r="S470" s="1"/>
      <c r="T470" s="1"/>
      <c r="U470" s="1"/>
      <c r="V470" s="1"/>
      <c r="W470" s="1"/>
      <c r="X470" s="1"/>
      <c r="Y470" s="1"/>
      <c r="Z470" s="1"/>
      <c r="AA470" s="1">
        <f t="shared" si="28"/>
        <v>0</v>
      </c>
      <c r="AB470" s="1" t="str">
        <f t="shared" si="29"/>
        <v>R2 retained</v>
      </c>
      <c r="AC470" s="1"/>
      <c r="AD470" s="1"/>
      <c r="AE470" s="1"/>
      <c r="AF470" s="1"/>
      <c r="AG470" s="1"/>
      <c r="AH470" s="1"/>
      <c r="AI470" s="1">
        <f t="shared" si="30"/>
        <v>0</v>
      </c>
      <c r="AJ470" s="5"/>
      <c r="AK470" s="5"/>
      <c r="AL470" s="7" t="s">
        <v>15077</v>
      </c>
    </row>
    <row r="471" spans="1:38" ht="36" customHeight="1">
      <c r="A471" s="1" t="s">
        <v>5776</v>
      </c>
      <c r="B471" s="1" t="s">
        <v>5562</v>
      </c>
      <c r="C471" s="1" t="s">
        <v>5563</v>
      </c>
      <c r="D471" s="1" t="s">
        <v>10039</v>
      </c>
      <c r="E471" s="1">
        <v>2</v>
      </c>
      <c r="F471" s="1"/>
      <c r="G471" s="1" t="s">
        <v>12859</v>
      </c>
      <c r="H471" s="1" t="s">
        <v>9995</v>
      </c>
      <c r="I471" s="1" t="s">
        <v>4862</v>
      </c>
      <c r="J471" s="1"/>
      <c r="K471" s="1"/>
      <c r="L471" s="1" t="s">
        <v>12860</v>
      </c>
      <c r="M471" s="1" t="s">
        <v>10042</v>
      </c>
      <c r="N471" s="1" t="s">
        <v>14127</v>
      </c>
      <c r="O471" s="1"/>
      <c r="P471" s="1" t="s">
        <v>12868</v>
      </c>
      <c r="Q471" s="1"/>
      <c r="R471" s="1"/>
      <c r="S471" s="1"/>
      <c r="T471" s="1"/>
      <c r="U471" s="1"/>
      <c r="V471" s="1"/>
      <c r="W471" s="1"/>
      <c r="X471" s="1"/>
      <c r="Y471" s="1"/>
      <c r="Z471" s="1"/>
      <c r="AA471" s="1">
        <f t="shared" si="28"/>
        <v>2</v>
      </c>
      <c r="AB471" s="1" t="str">
        <f t="shared" si="29"/>
        <v>R2 retained</v>
      </c>
      <c r="AC471" s="1">
        <v>2</v>
      </c>
      <c r="AD471" s="1" t="s">
        <v>12884</v>
      </c>
      <c r="AE471" s="1" t="s">
        <v>14128</v>
      </c>
      <c r="AF471" s="1" t="s">
        <v>14129</v>
      </c>
      <c r="AG471" s="1" t="s">
        <v>10000</v>
      </c>
      <c r="AH471" s="1" t="s">
        <v>6096</v>
      </c>
      <c r="AI471" s="1">
        <f t="shared" si="30"/>
        <v>1</v>
      </c>
      <c r="AJ471" s="5"/>
      <c r="AK471" s="5"/>
      <c r="AL471" s="7" t="s">
        <v>15077</v>
      </c>
    </row>
    <row r="472" spans="1:38" ht="36" customHeight="1">
      <c r="A472" s="1" t="s">
        <v>5776</v>
      </c>
      <c r="B472" s="1" t="s">
        <v>5567</v>
      </c>
      <c r="C472" s="1" t="s">
        <v>5568</v>
      </c>
      <c r="D472" s="1" t="s">
        <v>13703</v>
      </c>
      <c r="E472" s="1">
        <v>2</v>
      </c>
      <c r="F472" s="1"/>
      <c r="G472" s="1" t="s">
        <v>12859</v>
      </c>
      <c r="H472" s="1" t="s">
        <v>9995</v>
      </c>
      <c r="I472" s="1" t="s">
        <v>4959</v>
      </c>
      <c r="J472" s="1"/>
      <c r="K472" s="1"/>
      <c r="L472" s="1" t="s">
        <v>12860</v>
      </c>
      <c r="M472" s="1" t="s">
        <v>14130</v>
      </c>
      <c r="N472" s="1" t="s">
        <v>14131</v>
      </c>
      <c r="O472" s="1"/>
      <c r="P472" s="1" t="s">
        <v>12868</v>
      </c>
      <c r="Q472" s="1"/>
      <c r="R472" s="1"/>
      <c r="S472" s="1"/>
      <c r="T472" s="1"/>
      <c r="U472" s="1"/>
      <c r="V472" s="1"/>
      <c r="W472" s="1"/>
      <c r="X472" s="1"/>
      <c r="Y472" s="1"/>
      <c r="Z472" s="1"/>
      <c r="AA472" s="1">
        <f t="shared" si="28"/>
        <v>2</v>
      </c>
      <c r="AB472" s="1" t="str">
        <f t="shared" si="29"/>
        <v>R2 retained</v>
      </c>
      <c r="AC472" s="1"/>
      <c r="AD472" s="1"/>
      <c r="AE472" s="1"/>
      <c r="AF472" s="1"/>
      <c r="AG472" s="1"/>
      <c r="AH472" s="1"/>
      <c r="AI472" s="1">
        <f t="shared" si="30"/>
        <v>0</v>
      </c>
      <c r="AJ472" s="5"/>
      <c r="AK472" s="5"/>
      <c r="AL472" s="7" t="s">
        <v>15077</v>
      </c>
    </row>
    <row r="473" spans="1:38" ht="36" customHeight="1">
      <c r="A473" s="1" t="s">
        <v>5776</v>
      </c>
      <c r="B473" s="1" t="s">
        <v>5572</v>
      </c>
      <c r="C473" s="1" t="s">
        <v>5573</v>
      </c>
      <c r="D473" s="1" t="s">
        <v>14132</v>
      </c>
      <c r="E473" s="1">
        <v>1</v>
      </c>
      <c r="F473" s="1"/>
      <c r="G473" s="1" t="s">
        <v>12859</v>
      </c>
      <c r="H473" s="1" t="s">
        <v>9995</v>
      </c>
      <c r="I473" s="1" t="s">
        <v>5316</v>
      </c>
      <c r="J473" s="1"/>
      <c r="K473" s="1"/>
      <c r="L473" s="1" t="s">
        <v>12860</v>
      </c>
      <c r="M473" s="1" t="s">
        <v>14133</v>
      </c>
      <c r="N473" s="1" t="s">
        <v>14134</v>
      </c>
      <c r="O473" s="1"/>
      <c r="P473" s="1" t="s">
        <v>12868</v>
      </c>
      <c r="Q473" s="1"/>
      <c r="R473" s="1"/>
      <c r="S473" s="1"/>
      <c r="T473" s="1"/>
      <c r="U473" s="1"/>
      <c r="V473" s="1"/>
      <c r="W473" s="1"/>
      <c r="X473" s="1"/>
      <c r="Y473" s="1"/>
      <c r="Z473" s="1"/>
      <c r="AA473" s="1">
        <f t="shared" si="28"/>
        <v>1</v>
      </c>
      <c r="AB473" s="1" t="str">
        <f t="shared" si="29"/>
        <v>R2 retained</v>
      </c>
      <c r="AC473" s="1"/>
      <c r="AD473" s="1"/>
      <c r="AE473" s="1"/>
      <c r="AF473" s="1"/>
      <c r="AG473" s="1"/>
      <c r="AH473" s="1"/>
      <c r="AI473" s="1">
        <f t="shared" si="30"/>
        <v>0</v>
      </c>
      <c r="AJ473" s="5"/>
      <c r="AK473" s="5"/>
      <c r="AL473" s="7" t="s">
        <v>15077</v>
      </c>
    </row>
    <row r="474" spans="1:38" ht="36" customHeight="1">
      <c r="A474" s="1" t="s">
        <v>5776</v>
      </c>
      <c r="B474" s="1" t="s">
        <v>5577</v>
      </c>
      <c r="C474" s="1" t="s">
        <v>5578</v>
      </c>
      <c r="D474" s="1" t="s">
        <v>14135</v>
      </c>
      <c r="E474" s="1">
        <v>2</v>
      </c>
      <c r="F474" s="1"/>
      <c r="G474" s="1" t="s">
        <v>12859</v>
      </c>
      <c r="H474" s="1" t="s">
        <v>9995</v>
      </c>
      <c r="I474" s="1" t="s">
        <v>4862</v>
      </c>
      <c r="J474" s="1"/>
      <c r="K474" s="1"/>
      <c r="L474" s="1" t="s">
        <v>12860</v>
      </c>
      <c r="M474" s="1" t="s">
        <v>14136</v>
      </c>
      <c r="N474" s="1" t="s">
        <v>14137</v>
      </c>
      <c r="O474" s="1"/>
      <c r="P474" s="1" t="s">
        <v>12868</v>
      </c>
      <c r="Q474" s="1"/>
      <c r="R474" s="1"/>
      <c r="S474" s="1"/>
      <c r="T474" s="1"/>
      <c r="U474" s="1"/>
      <c r="V474" s="1"/>
      <c r="W474" s="1"/>
      <c r="X474" s="1"/>
      <c r="Y474" s="1"/>
      <c r="Z474" s="1"/>
      <c r="AA474" s="1">
        <f t="shared" si="28"/>
        <v>2</v>
      </c>
      <c r="AB474" s="1" t="str">
        <f t="shared" si="29"/>
        <v>R2 retained</v>
      </c>
      <c r="AC474" s="1"/>
      <c r="AD474" s="1"/>
      <c r="AE474" s="1"/>
      <c r="AF474" s="1"/>
      <c r="AG474" s="1"/>
      <c r="AH474" s="1"/>
      <c r="AI474" s="1">
        <f t="shared" si="30"/>
        <v>0</v>
      </c>
      <c r="AJ474" s="5"/>
      <c r="AK474" s="5"/>
      <c r="AL474" s="7" t="s">
        <v>15077</v>
      </c>
    </row>
    <row r="475" spans="1:38" ht="36" customHeight="1">
      <c r="A475" s="1" t="s">
        <v>5776</v>
      </c>
      <c r="B475" s="1" t="s">
        <v>5582</v>
      </c>
      <c r="C475" s="1" t="s">
        <v>5583</v>
      </c>
      <c r="D475" s="1" t="s">
        <v>10092</v>
      </c>
      <c r="E475" s="1">
        <v>0</v>
      </c>
      <c r="F475" s="1"/>
      <c r="G475" s="1" t="s">
        <v>12859</v>
      </c>
      <c r="H475" s="1" t="s">
        <v>9995</v>
      </c>
      <c r="I475" s="1" t="s">
        <v>4747</v>
      </c>
      <c r="J475" s="1"/>
      <c r="K475" s="1"/>
      <c r="L475" s="1" t="s">
        <v>12860</v>
      </c>
      <c r="M475" s="1" t="s">
        <v>10094</v>
      </c>
      <c r="N475" s="1" t="s">
        <v>14138</v>
      </c>
      <c r="O475" s="1"/>
      <c r="P475" s="1" t="s">
        <v>12863</v>
      </c>
      <c r="Q475" s="1"/>
      <c r="R475" s="1"/>
      <c r="S475" s="1"/>
      <c r="T475" s="1"/>
      <c r="U475" s="1"/>
      <c r="V475" s="1"/>
      <c r="W475" s="1"/>
      <c r="X475" s="1"/>
      <c r="Y475" s="1"/>
      <c r="Z475" s="1"/>
      <c r="AA475" s="1">
        <f t="shared" si="28"/>
        <v>0</v>
      </c>
      <c r="AB475" s="1" t="str">
        <f t="shared" si="29"/>
        <v>R2 retained</v>
      </c>
      <c r="AC475" s="1">
        <v>0</v>
      </c>
      <c r="AD475" s="1" t="s">
        <v>12884</v>
      </c>
      <c r="AE475" s="1" t="s">
        <v>14139</v>
      </c>
      <c r="AF475" s="1" t="s">
        <v>14140</v>
      </c>
      <c r="AG475" s="1" t="s">
        <v>10000</v>
      </c>
      <c r="AH475" s="1" t="s">
        <v>6096</v>
      </c>
      <c r="AI475" s="1">
        <f t="shared" si="30"/>
        <v>1</v>
      </c>
      <c r="AJ475" s="5" t="s">
        <v>12898</v>
      </c>
      <c r="AK475" s="5" t="s">
        <v>12899</v>
      </c>
      <c r="AL475" s="7" t="s">
        <v>15077</v>
      </c>
    </row>
    <row r="476" spans="1:38" ht="36" customHeight="1">
      <c r="A476" s="1" t="s">
        <v>5776</v>
      </c>
      <c r="B476" s="1" t="s">
        <v>5586</v>
      </c>
      <c r="C476" s="1" t="s">
        <v>5587</v>
      </c>
      <c r="D476" s="1" t="s">
        <v>13619</v>
      </c>
      <c r="E476" s="1">
        <v>0</v>
      </c>
      <c r="F476" s="1"/>
      <c r="G476" s="1" t="s">
        <v>12859</v>
      </c>
      <c r="H476" s="1" t="s">
        <v>9995</v>
      </c>
      <c r="I476" s="1" t="s">
        <v>4747</v>
      </c>
      <c r="J476" s="1"/>
      <c r="K476" s="1"/>
      <c r="L476" s="1" t="s">
        <v>12860</v>
      </c>
      <c r="M476" s="1" t="s">
        <v>14141</v>
      </c>
      <c r="N476" s="1" t="s">
        <v>14142</v>
      </c>
      <c r="O476" s="1"/>
      <c r="P476" s="1" t="s">
        <v>12863</v>
      </c>
      <c r="Q476" s="1"/>
      <c r="R476" s="1"/>
      <c r="S476" s="1"/>
      <c r="T476" s="1"/>
      <c r="U476" s="1"/>
      <c r="V476" s="1"/>
      <c r="W476" s="1"/>
      <c r="X476" s="1"/>
      <c r="Y476" s="1"/>
      <c r="Z476" s="1"/>
      <c r="AA476" s="1">
        <f t="shared" si="28"/>
        <v>0</v>
      </c>
      <c r="AB476" s="1" t="str">
        <f t="shared" si="29"/>
        <v>R2 retained</v>
      </c>
      <c r="AC476" s="1"/>
      <c r="AD476" s="1"/>
      <c r="AE476" s="1"/>
      <c r="AF476" s="1"/>
      <c r="AG476" s="1"/>
      <c r="AH476" s="1"/>
      <c r="AI476" s="1">
        <f t="shared" si="30"/>
        <v>0</v>
      </c>
      <c r="AJ476" s="5"/>
      <c r="AK476" s="5"/>
      <c r="AL476" s="7" t="s">
        <v>15077</v>
      </c>
    </row>
    <row r="477" spans="1:38" ht="84" customHeight="1">
      <c r="A477" s="1" t="s">
        <v>5776</v>
      </c>
      <c r="B477" s="1" t="s">
        <v>5591</v>
      </c>
      <c r="C477" s="1" t="s">
        <v>5592</v>
      </c>
      <c r="D477" s="1" t="s">
        <v>14143</v>
      </c>
      <c r="E477" s="1">
        <v>0</v>
      </c>
      <c r="F477" s="1"/>
      <c r="G477" s="1" t="s">
        <v>12859</v>
      </c>
      <c r="H477" s="1" t="s">
        <v>9995</v>
      </c>
      <c r="I477" s="1" t="s">
        <v>4747</v>
      </c>
      <c r="J477" s="1"/>
      <c r="K477" s="1"/>
      <c r="L477" s="1" t="s">
        <v>12860</v>
      </c>
      <c r="M477" s="1" t="s">
        <v>14144</v>
      </c>
      <c r="N477" s="1" t="s">
        <v>14145</v>
      </c>
      <c r="O477" s="1"/>
      <c r="P477" s="1" t="s">
        <v>12863</v>
      </c>
      <c r="Q477" s="1">
        <v>0</v>
      </c>
      <c r="R477" s="1" t="s">
        <v>12904</v>
      </c>
      <c r="S477" s="1" t="s">
        <v>14146</v>
      </c>
      <c r="T477" s="1" t="s">
        <v>14147</v>
      </c>
      <c r="U477" s="1" t="s">
        <v>10000</v>
      </c>
      <c r="V477" s="1" t="s">
        <v>6096</v>
      </c>
      <c r="W477" s="1" t="s">
        <v>12907</v>
      </c>
      <c r="X477" s="1"/>
      <c r="Y477" s="1"/>
      <c r="Z477" s="1" t="s">
        <v>12908</v>
      </c>
      <c r="AA477" s="1">
        <f t="shared" si="28"/>
        <v>0</v>
      </c>
      <c r="AB477" s="1" t="str">
        <f t="shared" si="29"/>
        <v>R2 retained</v>
      </c>
      <c r="AC477" s="1">
        <v>0</v>
      </c>
      <c r="AD477" s="1" t="s">
        <v>12884</v>
      </c>
      <c r="AE477" s="1" t="s">
        <v>14148</v>
      </c>
      <c r="AF477" s="1" t="s">
        <v>14147</v>
      </c>
      <c r="AG477" s="1" t="s">
        <v>10000</v>
      </c>
      <c r="AH477" s="1" t="s">
        <v>6096</v>
      </c>
      <c r="AI477" s="1">
        <f t="shared" si="30"/>
        <v>1</v>
      </c>
      <c r="AJ477" s="5" t="s">
        <v>12898</v>
      </c>
      <c r="AK477" s="5" t="s">
        <v>12899</v>
      </c>
      <c r="AL477" s="7" t="s">
        <v>15077</v>
      </c>
    </row>
    <row r="478" spans="1:38" ht="36" customHeight="1">
      <c r="A478" s="1" t="s">
        <v>5776</v>
      </c>
      <c r="B478" s="1" t="s">
        <v>5596</v>
      </c>
      <c r="C478" s="1" t="s">
        <v>5597</v>
      </c>
      <c r="D478" s="1" t="s">
        <v>14149</v>
      </c>
      <c r="E478" s="1">
        <v>1</v>
      </c>
      <c r="F478" s="1"/>
      <c r="G478" s="1" t="s">
        <v>12859</v>
      </c>
      <c r="H478" s="1" t="s">
        <v>9995</v>
      </c>
      <c r="I478" s="1" t="s">
        <v>4959</v>
      </c>
      <c r="J478" s="1"/>
      <c r="K478" s="1"/>
      <c r="L478" s="1" t="s">
        <v>12860</v>
      </c>
      <c r="M478" s="1" t="s">
        <v>14150</v>
      </c>
      <c r="N478" s="1" t="s">
        <v>14151</v>
      </c>
      <c r="O478" s="1"/>
      <c r="P478" s="1" t="s">
        <v>12868</v>
      </c>
      <c r="Q478" s="1"/>
      <c r="R478" s="1"/>
      <c r="S478" s="1"/>
      <c r="T478" s="1"/>
      <c r="U478" s="1"/>
      <c r="V478" s="1"/>
      <c r="W478" s="1"/>
      <c r="X478" s="1"/>
      <c r="Y478" s="1"/>
      <c r="Z478" s="1"/>
      <c r="AA478" s="1">
        <f t="shared" si="28"/>
        <v>1</v>
      </c>
      <c r="AB478" s="1" t="str">
        <f t="shared" si="29"/>
        <v>R2 retained</v>
      </c>
      <c r="AC478" s="1"/>
      <c r="AD478" s="1"/>
      <c r="AE478" s="1"/>
      <c r="AF478" s="1"/>
      <c r="AG478" s="1"/>
      <c r="AH478" s="1"/>
      <c r="AI478" s="1">
        <f t="shared" si="30"/>
        <v>0</v>
      </c>
      <c r="AJ478" s="5"/>
      <c r="AK478" s="5"/>
      <c r="AL478" s="7" t="s">
        <v>15077</v>
      </c>
    </row>
    <row r="479" spans="1:38" ht="36" customHeight="1">
      <c r="A479" s="1" t="s">
        <v>5776</v>
      </c>
      <c r="B479" s="1" t="s">
        <v>5601</v>
      </c>
      <c r="C479" s="1" t="s">
        <v>5602</v>
      </c>
      <c r="D479" s="1" t="s">
        <v>10107</v>
      </c>
      <c r="E479" s="1">
        <v>1</v>
      </c>
      <c r="F479" s="1"/>
      <c r="G479" s="1" t="s">
        <v>12859</v>
      </c>
      <c r="H479" s="1" t="s">
        <v>9995</v>
      </c>
      <c r="I479" s="1" t="s">
        <v>4862</v>
      </c>
      <c r="J479" s="1"/>
      <c r="K479" s="1"/>
      <c r="L479" s="1" t="s">
        <v>12860</v>
      </c>
      <c r="M479" s="1" t="s">
        <v>10109</v>
      </c>
      <c r="N479" s="1" t="s">
        <v>14152</v>
      </c>
      <c r="O479" s="1"/>
      <c r="P479" s="1" t="s">
        <v>12868</v>
      </c>
      <c r="Q479" s="1"/>
      <c r="R479" s="1"/>
      <c r="S479" s="1"/>
      <c r="T479" s="1"/>
      <c r="U479" s="1"/>
      <c r="V479" s="1"/>
      <c r="W479" s="1"/>
      <c r="X479" s="1"/>
      <c r="Y479" s="1"/>
      <c r="Z479" s="1"/>
      <c r="AA479" s="1">
        <f t="shared" si="28"/>
        <v>1</v>
      </c>
      <c r="AB479" s="1" t="str">
        <f t="shared" si="29"/>
        <v>R2 retained</v>
      </c>
      <c r="AC479" s="1"/>
      <c r="AD479" s="1"/>
      <c r="AE479" s="1"/>
      <c r="AF479" s="1"/>
      <c r="AG479" s="1"/>
      <c r="AH479" s="1"/>
      <c r="AI479" s="1">
        <f t="shared" si="30"/>
        <v>0</v>
      </c>
      <c r="AJ479" s="5"/>
      <c r="AK479" s="5"/>
      <c r="AL479" s="7" t="s">
        <v>15077</v>
      </c>
    </row>
    <row r="480" spans="1:38" ht="36" customHeight="1">
      <c r="A480" s="1" t="s">
        <v>5776</v>
      </c>
      <c r="B480" s="1" t="s">
        <v>5606</v>
      </c>
      <c r="C480" s="1" t="s">
        <v>5607</v>
      </c>
      <c r="D480" s="1" t="s">
        <v>10111</v>
      </c>
      <c r="E480" s="1">
        <v>1</v>
      </c>
      <c r="F480" s="1"/>
      <c r="G480" s="1" t="s">
        <v>12859</v>
      </c>
      <c r="H480" s="1" t="s">
        <v>9995</v>
      </c>
      <c r="I480" s="1" t="s">
        <v>4737</v>
      </c>
      <c r="J480" s="1"/>
      <c r="K480" s="1"/>
      <c r="L480" s="1" t="s">
        <v>12860</v>
      </c>
      <c r="M480" s="1" t="s">
        <v>10112</v>
      </c>
      <c r="N480" s="1" t="s">
        <v>14153</v>
      </c>
      <c r="O480" s="1"/>
      <c r="P480" s="1" t="s">
        <v>12868</v>
      </c>
      <c r="Q480" s="1"/>
      <c r="R480" s="1"/>
      <c r="S480" s="1"/>
      <c r="T480" s="1"/>
      <c r="U480" s="1"/>
      <c r="V480" s="1"/>
      <c r="W480" s="1"/>
      <c r="X480" s="1"/>
      <c r="Y480" s="1"/>
      <c r="Z480" s="1"/>
      <c r="AA480" s="1">
        <f t="shared" si="28"/>
        <v>1</v>
      </c>
      <c r="AB480" s="1" t="str">
        <f t="shared" si="29"/>
        <v>R2 retained</v>
      </c>
      <c r="AC480" s="1"/>
      <c r="AD480" s="1"/>
      <c r="AE480" s="1"/>
      <c r="AF480" s="1"/>
      <c r="AG480" s="1"/>
      <c r="AH480" s="1"/>
      <c r="AI480" s="1">
        <f t="shared" si="30"/>
        <v>0</v>
      </c>
      <c r="AJ480" s="5"/>
      <c r="AK480" s="5"/>
      <c r="AL480" s="7" t="s">
        <v>15077</v>
      </c>
    </row>
    <row r="481" spans="1:38" ht="60" customHeight="1">
      <c r="A481" s="1" t="s">
        <v>5776</v>
      </c>
      <c r="B481" s="1" t="s">
        <v>5454</v>
      </c>
      <c r="C481" s="1" t="s">
        <v>5455</v>
      </c>
      <c r="D481" s="1" t="s">
        <v>5777</v>
      </c>
      <c r="E481" s="1">
        <v>1</v>
      </c>
      <c r="F481" s="1">
        <v>0</v>
      </c>
      <c r="G481" s="1" t="s">
        <v>4691</v>
      </c>
      <c r="H481" s="1" t="s">
        <v>9995</v>
      </c>
      <c r="I481" s="1" t="s">
        <v>13885</v>
      </c>
      <c r="J481" s="1"/>
      <c r="K481" s="1"/>
      <c r="L481" s="1" t="s">
        <v>12860</v>
      </c>
      <c r="M481" s="1" t="s">
        <v>10115</v>
      </c>
      <c r="N481" s="1" t="s">
        <v>14154</v>
      </c>
      <c r="O481" s="1" t="s">
        <v>14155</v>
      </c>
      <c r="P481" s="1" t="s">
        <v>12917</v>
      </c>
      <c r="Q481" s="1"/>
      <c r="R481" s="1"/>
      <c r="S481" s="1"/>
      <c r="T481" s="1"/>
      <c r="U481" s="1"/>
      <c r="V481" s="1"/>
      <c r="W481" s="1"/>
      <c r="X481" s="1"/>
      <c r="Y481" s="1" t="s">
        <v>5779</v>
      </c>
      <c r="Z481" s="1" t="s">
        <v>12918</v>
      </c>
      <c r="AA481" s="1">
        <f t="shared" si="28"/>
        <v>0</v>
      </c>
      <c r="AB481" s="1" t="str">
        <f t="shared" si="29"/>
        <v>Reviewer confirmed</v>
      </c>
      <c r="AC481" s="1">
        <v>0</v>
      </c>
      <c r="AD481" s="1" t="s">
        <v>12936</v>
      </c>
      <c r="AE481" s="1" t="s">
        <v>5779</v>
      </c>
      <c r="AF481" s="1" t="s">
        <v>5778</v>
      </c>
      <c r="AG481" s="1" t="s">
        <v>5780</v>
      </c>
      <c r="AH481" s="1" t="s">
        <v>5461</v>
      </c>
      <c r="AI481" s="1">
        <f t="shared" si="30"/>
        <v>1</v>
      </c>
      <c r="AJ481" s="5" t="s">
        <v>12898</v>
      </c>
      <c r="AK481" s="5" t="s">
        <v>12899</v>
      </c>
      <c r="AL481" s="7" t="s">
        <v>15077</v>
      </c>
    </row>
    <row r="482" spans="1:38" ht="36" customHeight="1">
      <c r="A482" s="1" t="s">
        <v>5251</v>
      </c>
      <c r="B482" s="1" t="s">
        <v>5537</v>
      </c>
      <c r="C482" s="1" t="s">
        <v>5538</v>
      </c>
      <c r="D482" s="1" t="s">
        <v>14156</v>
      </c>
      <c r="E482" s="1">
        <v>0</v>
      </c>
      <c r="F482" s="1"/>
      <c r="G482" s="1" t="s">
        <v>12859</v>
      </c>
      <c r="H482" s="1" t="s">
        <v>10131</v>
      </c>
      <c r="I482" s="1" t="s">
        <v>4747</v>
      </c>
      <c r="J482" s="1"/>
      <c r="K482" s="1"/>
      <c r="L482" s="1" t="s">
        <v>12860</v>
      </c>
      <c r="M482" s="1" t="s">
        <v>14157</v>
      </c>
      <c r="N482" s="1" t="s">
        <v>14158</v>
      </c>
      <c r="O482" s="1"/>
      <c r="P482" s="1" t="s">
        <v>12863</v>
      </c>
      <c r="Q482" s="1"/>
      <c r="R482" s="1"/>
      <c r="S482" s="1"/>
      <c r="T482" s="1"/>
      <c r="U482" s="1"/>
      <c r="V482" s="1"/>
      <c r="W482" s="1"/>
      <c r="X482" s="1"/>
      <c r="Y482" s="1"/>
      <c r="Z482" s="1"/>
      <c r="AA482" s="1">
        <f t="shared" si="28"/>
        <v>0</v>
      </c>
      <c r="AB482" s="1" t="str">
        <f t="shared" si="29"/>
        <v>R2 retained</v>
      </c>
      <c r="AC482" s="1"/>
      <c r="AD482" s="1"/>
      <c r="AE482" s="1"/>
      <c r="AF482" s="1"/>
      <c r="AG482" s="1"/>
      <c r="AH482" s="1"/>
      <c r="AI482" s="1">
        <f t="shared" si="30"/>
        <v>0</v>
      </c>
      <c r="AJ482" s="5"/>
      <c r="AK482" s="5"/>
      <c r="AL482" s="7" t="s">
        <v>15077</v>
      </c>
    </row>
    <row r="483" spans="1:38" ht="36" customHeight="1">
      <c r="A483" s="1" t="s">
        <v>5251</v>
      </c>
      <c r="B483" s="1" t="s">
        <v>5542</v>
      </c>
      <c r="C483" s="1" t="s">
        <v>5543</v>
      </c>
      <c r="D483" s="1" t="s">
        <v>4747</v>
      </c>
      <c r="E483" s="1">
        <v>0</v>
      </c>
      <c r="F483" s="1"/>
      <c r="G483" s="1" t="s">
        <v>12859</v>
      </c>
      <c r="H483" s="1" t="s">
        <v>10131</v>
      </c>
      <c r="I483" s="1" t="s">
        <v>4747</v>
      </c>
      <c r="J483" s="1"/>
      <c r="K483" s="1"/>
      <c r="L483" s="1" t="s">
        <v>12860</v>
      </c>
      <c r="M483" s="1" t="s">
        <v>14159</v>
      </c>
      <c r="N483" s="1" t="s">
        <v>14160</v>
      </c>
      <c r="O483" s="1"/>
      <c r="P483" s="1" t="s">
        <v>12863</v>
      </c>
      <c r="Q483" s="1"/>
      <c r="R483" s="1"/>
      <c r="S483" s="1"/>
      <c r="T483" s="1"/>
      <c r="U483" s="1"/>
      <c r="V483" s="1"/>
      <c r="W483" s="1"/>
      <c r="X483" s="1"/>
      <c r="Y483" s="1"/>
      <c r="Z483" s="1"/>
      <c r="AA483" s="1">
        <f t="shared" si="28"/>
        <v>0</v>
      </c>
      <c r="AB483" s="1" t="str">
        <f t="shared" si="29"/>
        <v>R2 retained</v>
      </c>
      <c r="AC483" s="1"/>
      <c r="AD483" s="1"/>
      <c r="AE483" s="1"/>
      <c r="AF483" s="1"/>
      <c r="AG483" s="1"/>
      <c r="AH483" s="1"/>
      <c r="AI483" s="1">
        <f t="shared" si="30"/>
        <v>0</v>
      </c>
      <c r="AJ483" s="5"/>
      <c r="AK483" s="5"/>
      <c r="AL483" s="7" t="s">
        <v>15077</v>
      </c>
    </row>
    <row r="484" spans="1:38" ht="36" customHeight="1">
      <c r="A484" s="1" t="s">
        <v>5251</v>
      </c>
      <c r="B484" s="1" t="s">
        <v>5547</v>
      </c>
      <c r="C484" s="1" t="s">
        <v>5548</v>
      </c>
      <c r="D484" s="1" t="s">
        <v>14161</v>
      </c>
      <c r="E484" s="1">
        <v>1</v>
      </c>
      <c r="F484" s="1"/>
      <c r="G484" s="1" t="s">
        <v>12859</v>
      </c>
      <c r="H484" s="1" t="s">
        <v>10131</v>
      </c>
      <c r="I484" s="1" t="s">
        <v>4717</v>
      </c>
      <c r="J484" s="1"/>
      <c r="K484" s="1"/>
      <c r="L484" s="1" t="s">
        <v>12860</v>
      </c>
      <c r="M484" s="1" t="s">
        <v>14162</v>
      </c>
      <c r="N484" s="1" t="s">
        <v>14163</v>
      </c>
      <c r="O484" s="1"/>
      <c r="P484" s="1" t="s">
        <v>12868</v>
      </c>
      <c r="Q484" s="1"/>
      <c r="R484" s="1"/>
      <c r="S484" s="1"/>
      <c r="T484" s="1"/>
      <c r="U484" s="1"/>
      <c r="V484" s="1"/>
      <c r="W484" s="1"/>
      <c r="X484" s="1"/>
      <c r="Y484" s="1"/>
      <c r="Z484" s="1"/>
      <c r="AA484" s="1">
        <f t="shared" si="28"/>
        <v>1</v>
      </c>
      <c r="AB484" s="1" t="str">
        <f t="shared" si="29"/>
        <v>R2 retained</v>
      </c>
      <c r="AC484" s="1"/>
      <c r="AD484" s="1"/>
      <c r="AE484" s="1"/>
      <c r="AF484" s="1"/>
      <c r="AG484" s="1"/>
      <c r="AH484" s="1"/>
      <c r="AI484" s="1">
        <f t="shared" si="30"/>
        <v>0</v>
      </c>
      <c r="AJ484" s="5"/>
      <c r="AK484" s="5"/>
      <c r="AL484" s="7" t="s">
        <v>15077</v>
      </c>
    </row>
    <row r="485" spans="1:38" ht="36" customHeight="1">
      <c r="A485" s="1" t="s">
        <v>5251</v>
      </c>
      <c r="B485" s="1" t="s">
        <v>5552</v>
      </c>
      <c r="C485" s="1" t="s">
        <v>5553</v>
      </c>
      <c r="D485" s="1" t="s">
        <v>14164</v>
      </c>
      <c r="E485" s="1">
        <v>1</v>
      </c>
      <c r="F485" s="1"/>
      <c r="G485" s="1" t="s">
        <v>12859</v>
      </c>
      <c r="H485" s="1" t="s">
        <v>10131</v>
      </c>
      <c r="I485" s="1" t="s">
        <v>5253</v>
      </c>
      <c r="J485" s="1"/>
      <c r="K485" s="1"/>
      <c r="L485" s="1" t="s">
        <v>12860</v>
      </c>
      <c r="M485" s="1" t="s">
        <v>14165</v>
      </c>
      <c r="N485" s="1" t="s">
        <v>14166</v>
      </c>
      <c r="O485" s="1"/>
      <c r="P485" s="1" t="s">
        <v>12868</v>
      </c>
      <c r="Q485" s="1"/>
      <c r="R485" s="1"/>
      <c r="S485" s="1"/>
      <c r="T485" s="1"/>
      <c r="U485" s="1"/>
      <c r="V485" s="1"/>
      <c r="W485" s="1"/>
      <c r="X485" s="1"/>
      <c r="Y485" s="1"/>
      <c r="Z485" s="1"/>
      <c r="AA485" s="1">
        <f t="shared" si="28"/>
        <v>1</v>
      </c>
      <c r="AB485" s="1" t="str">
        <f t="shared" si="29"/>
        <v>R2 retained</v>
      </c>
      <c r="AC485" s="1"/>
      <c r="AD485" s="1"/>
      <c r="AE485" s="1"/>
      <c r="AF485" s="1"/>
      <c r="AG485" s="1"/>
      <c r="AH485" s="1"/>
      <c r="AI485" s="1">
        <f t="shared" si="30"/>
        <v>0</v>
      </c>
      <c r="AJ485" s="5"/>
      <c r="AK485" s="5"/>
      <c r="AL485" s="7" t="s">
        <v>15077</v>
      </c>
    </row>
    <row r="486" spans="1:38" ht="36" customHeight="1">
      <c r="A486" s="1" t="s">
        <v>5251</v>
      </c>
      <c r="B486" s="1" t="s">
        <v>5557</v>
      </c>
      <c r="C486" s="1" t="s">
        <v>5558</v>
      </c>
      <c r="D486" s="1" t="s">
        <v>10173</v>
      </c>
      <c r="E486" s="1">
        <v>2</v>
      </c>
      <c r="F486" s="1"/>
      <c r="G486" s="1" t="s">
        <v>12859</v>
      </c>
      <c r="H486" s="1" t="s">
        <v>10131</v>
      </c>
      <c r="I486" s="1" t="s">
        <v>4862</v>
      </c>
      <c r="J486" s="1"/>
      <c r="K486" s="1"/>
      <c r="L486" s="1" t="s">
        <v>12860</v>
      </c>
      <c r="M486" s="1" t="s">
        <v>10176</v>
      </c>
      <c r="N486" s="1" t="s">
        <v>14167</v>
      </c>
      <c r="O486" s="1"/>
      <c r="P486" s="1" t="s">
        <v>12868</v>
      </c>
      <c r="Q486" s="1"/>
      <c r="R486" s="1"/>
      <c r="S486" s="1"/>
      <c r="T486" s="1"/>
      <c r="U486" s="1"/>
      <c r="V486" s="1"/>
      <c r="W486" s="1"/>
      <c r="X486" s="1"/>
      <c r="Y486" s="1"/>
      <c r="Z486" s="1"/>
      <c r="AA486" s="1">
        <f t="shared" si="28"/>
        <v>2</v>
      </c>
      <c r="AB486" s="1" t="str">
        <f t="shared" si="29"/>
        <v>R2 retained</v>
      </c>
      <c r="AC486" s="1"/>
      <c r="AD486" s="1"/>
      <c r="AE486" s="1"/>
      <c r="AF486" s="1"/>
      <c r="AG486" s="1"/>
      <c r="AH486" s="1"/>
      <c r="AI486" s="1">
        <f t="shared" si="30"/>
        <v>0</v>
      </c>
      <c r="AJ486" s="5"/>
      <c r="AK486" s="5"/>
      <c r="AL486" s="7" t="s">
        <v>15077</v>
      </c>
    </row>
    <row r="487" spans="1:38" ht="36" customHeight="1">
      <c r="A487" s="1" t="s">
        <v>5251</v>
      </c>
      <c r="B487" s="1" t="s">
        <v>5562</v>
      </c>
      <c r="C487" s="1" t="s">
        <v>5563</v>
      </c>
      <c r="D487" s="1" t="s">
        <v>10178</v>
      </c>
      <c r="E487" s="1">
        <v>1</v>
      </c>
      <c r="F487" s="1"/>
      <c r="G487" s="1" t="s">
        <v>12859</v>
      </c>
      <c r="H487" s="1" t="s">
        <v>10131</v>
      </c>
      <c r="I487" s="1" t="s">
        <v>4737</v>
      </c>
      <c r="J487" s="1"/>
      <c r="K487" s="1"/>
      <c r="L487" s="1" t="s">
        <v>12860</v>
      </c>
      <c r="M487" s="1" t="s">
        <v>10181</v>
      </c>
      <c r="N487" s="1" t="s">
        <v>14168</v>
      </c>
      <c r="O487" s="1"/>
      <c r="P487" s="1" t="s">
        <v>12868</v>
      </c>
      <c r="Q487" s="1"/>
      <c r="R487" s="1"/>
      <c r="S487" s="1"/>
      <c r="T487" s="1"/>
      <c r="U487" s="1"/>
      <c r="V487" s="1"/>
      <c r="W487" s="1"/>
      <c r="X487" s="1"/>
      <c r="Y487" s="1"/>
      <c r="Z487" s="1"/>
      <c r="AA487" s="1">
        <f t="shared" si="28"/>
        <v>1</v>
      </c>
      <c r="AB487" s="1" t="str">
        <f t="shared" si="29"/>
        <v>R2 retained</v>
      </c>
      <c r="AC487" s="1">
        <v>1</v>
      </c>
      <c r="AD487" s="1" t="s">
        <v>12884</v>
      </c>
      <c r="AE487" s="1" t="s">
        <v>14169</v>
      </c>
      <c r="AF487" s="1" t="s">
        <v>14170</v>
      </c>
      <c r="AG487" s="1" t="s">
        <v>10138</v>
      </c>
      <c r="AH487" s="1" t="s">
        <v>6096</v>
      </c>
      <c r="AI487" s="1">
        <f t="shared" si="30"/>
        <v>1</v>
      </c>
      <c r="AJ487" s="5"/>
      <c r="AK487" s="5"/>
      <c r="AL487" s="7" t="s">
        <v>15077</v>
      </c>
    </row>
    <row r="488" spans="1:38" ht="36" customHeight="1">
      <c r="A488" s="1" t="s">
        <v>5251</v>
      </c>
      <c r="B488" s="1" t="s">
        <v>5567</v>
      </c>
      <c r="C488" s="1" t="s">
        <v>5568</v>
      </c>
      <c r="D488" s="1" t="s">
        <v>14171</v>
      </c>
      <c r="E488" s="1">
        <v>1</v>
      </c>
      <c r="F488" s="1"/>
      <c r="G488" s="1" t="s">
        <v>12859</v>
      </c>
      <c r="H488" s="1" t="s">
        <v>10131</v>
      </c>
      <c r="I488" s="1" t="s">
        <v>11803</v>
      </c>
      <c r="J488" s="1"/>
      <c r="K488" s="1"/>
      <c r="L488" s="1" t="s">
        <v>12860</v>
      </c>
      <c r="M488" s="1" t="s">
        <v>14172</v>
      </c>
      <c r="N488" s="1" t="s">
        <v>14173</v>
      </c>
      <c r="O488" s="1"/>
      <c r="P488" s="1" t="s">
        <v>12868</v>
      </c>
      <c r="Q488" s="1"/>
      <c r="R488" s="1"/>
      <c r="S488" s="1"/>
      <c r="T488" s="1"/>
      <c r="U488" s="1"/>
      <c r="V488" s="1"/>
      <c r="W488" s="1"/>
      <c r="X488" s="1"/>
      <c r="Y488" s="1"/>
      <c r="Z488" s="1"/>
      <c r="AA488" s="1">
        <f t="shared" si="28"/>
        <v>1</v>
      </c>
      <c r="AB488" s="1" t="str">
        <f t="shared" si="29"/>
        <v>R2 retained</v>
      </c>
      <c r="AC488" s="1"/>
      <c r="AD488" s="1"/>
      <c r="AE488" s="1"/>
      <c r="AF488" s="1"/>
      <c r="AG488" s="1"/>
      <c r="AH488" s="1"/>
      <c r="AI488" s="1">
        <f t="shared" si="30"/>
        <v>0</v>
      </c>
      <c r="AJ488" s="5"/>
      <c r="AK488" s="5"/>
      <c r="AL488" s="7" t="s">
        <v>15077</v>
      </c>
    </row>
    <row r="489" spans="1:38" ht="36" customHeight="1">
      <c r="A489" s="1" t="s">
        <v>5251</v>
      </c>
      <c r="B489" s="1" t="s">
        <v>5572</v>
      </c>
      <c r="C489" s="1" t="s">
        <v>5573</v>
      </c>
      <c r="D489" s="1" t="s">
        <v>14174</v>
      </c>
      <c r="E489" s="1">
        <v>2</v>
      </c>
      <c r="F489" s="1"/>
      <c r="G489" s="1" t="s">
        <v>12859</v>
      </c>
      <c r="H489" s="1" t="s">
        <v>10131</v>
      </c>
      <c r="I489" s="1" t="s">
        <v>4737</v>
      </c>
      <c r="J489" s="1"/>
      <c r="K489" s="1"/>
      <c r="L489" s="1" t="s">
        <v>12860</v>
      </c>
      <c r="M489" s="1" t="s">
        <v>14175</v>
      </c>
      <c r="N489" s="1" t="s">
        <v>14176</v>
      </c>
      <c r="O489" s="1"/>
      <c r="P489" s="1" t="s">
        <v>12868</v>
      </c>
      <c r="Q489" s="1"/>
      <c r="R489" s="1"/>
      <c r="S489" s="1"/>
      <c r="T489" s="1"/>
      <c r="U489" s="1"/>
      <c r="V489" s="1"/>
      <c r="W489" s="1"/>
      <c r="X489" s="1"/>
      <c r="Y489" s="1"/>
      <c r="Z489" s="1"/>
      <c r="AA489" s="1">
        <f t="shared" si="28"/>
        <v>2</v>
      </c>
      <c r="AB489" s="1" t="str">
        <f t="shared" si="29"/>
        <v>R2 retained</v>
      </c>
      <c r="AC489" s="1"/>
      <c r="AD489" s="1"/>
      <c r="AE489" s="1"/>
      <c r="AF489" s="1"/>
      <c r="AG489" s="1"/>
      <c r="AH489" s="1"/>
      <c r="AI489" s="1">
        <f t="shared" si="30"/>
        <v>0</v>
      </c>
      <c r="AJ489" s="5"/>
      <c r="AK489" s="5"/>
      <c r="AL489" s="7" t="s">
        <v>15077</v>
      </c>
    </row>
    <row r="490" spans="1:38" ht="36" customHeight="1">
      <c r="A490" s="1" t="s">
        <v>5251</v>
      </c>
      <c r="B490" s="1" t="s">
        <v>5577</v>
      </c>
      <c r="C490" s="1" t="s">
        <v>5578</v>
      </c>
      <c r="D490" s="1" t="s">
        <v>14177</v>
      </c>
      <c r="E490" s="1">
        <v>2</v>
      </c>
      <c r="F490" s="1"/>
      <c r="G490" s="1" t="s">
        <v>12859</v>
      </c>
      <c r="H490" s="1" t="s">
        <v>10131</v>
      </c>
      <c r="I490" s="1" t="s">
        <v>4896</v>
      </c>
      <c r="J490" s="1"/>
      <c r="K490" s="1"/>
      <c r="L490" s="1" t="s">
        <v>12860</v>
      </c>
      <c r="M490" s="1" t="s">
        <v>14178</v>
      </c>
      <c r="N490" s="1" t="s">
        <v>14179</v>
      </c>
      <c r="O490" s="1"/>
      <c r="P490" s="1" t="s">
        <v>12868</v>
      </c>
      <c r="Q490" s="1"/>
      <c r="R490" s="1"/>
      <c r="S490" s="1"/>
      <c r="T490" s="1"/>
      <c r="U490" s="1"/>
      <c r="V490" s="1"/>
      <c r="W490" s="1"/>
      <c r="X490" s="1"/>
      <c r="Y490" s="1"/>
      <c r="Z490" s="1"/>
      <c r="AA490" s="1">
        <f t="shared" si="28"/>
        <v>2</v>
      </c>
      <c r="AB490" s="1" t="str">
        <f t="shared" si="29"/>
        <v>R2 retained</v>
      </c>
      <c r="AC490" s="1"/>
      <c r="AD490" s="1"/>
      <c r="AE490" s="1"/>
      <c r="AF490" s="1"/>
      <c r="AG490" s="1"/>
      <c r="AH490" s="1"/>
      <c r="AI490" s="1">
        <f t="shared" si="30"/>
        <v>0</v>
      </c>
      <c r="AJ490" s="5"/>
      <c r="AK490" s="5"/>
      <c r="AL490" s="7" t="s">
        <v>15077</v>
      </c>
    </row>
    <row r="491" spans="1:38" ht="36" customHeight="1">
      <c r="A491" s="1" t="s">
        <v>5251</v>
      </c>
      <c r="B491" s="1" t="s">
        <v>5582</v>
      </c>
      <c r="C491" s="1" t="s">
        <v>5583</v>
      </c>
      <c r="D491" s="1" t="s">
        <v>10232</v>
      </c>
      <c r="E491" s="1">
        <v>0</v>
      </c>
      <c r="F491" s="1"/>
      <c r="G491" s="1" t="s">
        <v>12859</v>
      </c>
      <c r="H491" s="1" t="s">
        <v>10131</v>
      </c>
      <c r="I491" s="1" t="s">
        <v>4747</v>
      </c>
      <c r="J491" s="1"/>
      <c r="K491" s="1"/>
      <c r="L491" s="1" t="s">
        <v>12860</v>
      </c>
      <c r="M491" s="1" t="s">
        <v>10234</v>
      </c>
      <c r="N491" s="1" t="s">
        <v>14180</v>
      </c>
      <c r="O491" s="1"/>
      <c r="P491" s="1" t="s">
        <v>12863</v>
      </c>
      <c r="Q491" s="1"/>
      <c r="R491" s="1"/>
      <c r="S491" s="1"/>
      <c r="T491" s="1"/>
      <c r="U491" s="1"/>
      <c r="V491" s="1"/>
      <c r="W491" s="1"/>
      <c r="X491" s="1"/>
      <c r="Y491" s="1"/>
      <c r="Z491" s="1"/>
      <c r="AA491" s="1">
        <f t="shared" si="28"/>
        <v>0</v>
      </c>
      <c r="AB491" s="1" t="str">
        <f t="shared" si="29"/>
        <v>R2 retained</v>
      </c>
      <c r="AC491" s="1">
        <v>0</v>
      </c>
      <c r="AD491" s="1" t="s">
        <v>12884</v>
      </c>
      <c r="AE491" s="1" t="s">
        <v>14181</v>
      </c>
      <c r="AF491" s="1" t="s">
        <v>14182</v>
      </c>
      <c r="AG491" s="1" t="s">
        <v>10138</v>
      </c>
      <c r="AH491" s="1" t="s">
        <v>6096</v>
      </c>
      <c r="AI491" s="1">
        <f t="shared" si="30"/>
        <v>1</v>
      </c>
      <c r="AJ491" s="5" t="s">
        <v>12898</v>
      </c>
      <c r="AK491" s="5" t="s">
        <v>12899</v>
      </c>
      <c r="AL491" s="7" t="s">
        <v>15077</v>
      </c>
    </row>
    <row r="492" spans="1:38" ht="36" customHeight="1">
      <c r="A492" s="1" t="s">
        <v>5251</v>
      </c>
      <c r="B492" s="1" t="s">
        <v>5586</v>
      </c>
      <c r="C492" s="1" t="s">
        <v>5587</v>
      </c>
      <c r="D492" s="1" t="s">
        <v>14183</v>
      </c>
      <c r="E492" s="1">
        <v>0</v>
      </c>
      <c r="F492" s="1"/>
      <c r="G492" s="1" t="s">
        <v>12859</v>
      </c>
      <c r="H492" s="1" t="s">
        <v>10131</v>
      </c>
      <c r="I492" s="1" t="s">
        <v>4747</v>
      </c>
      <c r="J492" s="1"/>
      <c r="K492" s="1"/>
      <c r="L492" s="1" t="s">
        <v>12860</v>
      </c>
      <c r="M492" s="1" t="s">
        <v>14184</v>
      </c>
      <c r="N492" s="1" t="s">
        <v>14185</v>
      </c>
      <c r="O492" s="1"/>
      <c r="P492" s="1" t="s">
        <v>12863</v>
      </c>
      <c r="Q492" s="1"/>
      <c r="R492" s="1"/>
      <c r="S492" s="1"/>
      <c r="T492" s="1"/>
      <c r="U492" s="1"/>
      <c r="V492" s="1"/>
      <c r="W492" s="1"/>
      <c r="X492" s="1"/>
      <c r="Y492" s="1"/>
      <c r="Z492" s="1"/>
      <c r="AA492" s="1">
        <f t="shared" si="28"/>
        <v>0</v>
      </c>
      <c r="AB492" s="1" t="str">
        <f t="shared" si="29"/>
        <v>R2 retained</v>
      </c>
      <c r="AC492" s="1"/>
      <c r="AD492" s="1"/>
      <c r="AE492" s="1"/>
      <c r="AF492" s="1"/>
      <c r="AG492" s="1"/>
      <c r="AH492" s="1"/>
      <c r="AI492" s="1">
        <f t="shared" si="30"/>
        <v>0</v>
      </c>
      <c r="AJ492" s="5"/>
      <c r="AK492" s="5"/>
      <c r="AL492" s="7" t="s">
        <v>15077</v>
      </c>
    </row>
    <row r="493" spans="1:38" ht="84" customHeight="1">
      <c r="A493" s="1" t="s">
        <v>5251</v>
      </c>
      <c r="B493" s="1" t="s">
        <v>5591</v>
      </c>
      <c r="C493" s="1" t="s">
        <v>5592</v>
      </c>
      <c r="D493" s="1" t="s">
        <v>14186</v>
      </c>
      <c r="E493" s="1">
        <v>0</v>
      </c>
      <c r="F493" s="1"/>
      <c r="G493" s="1" t="s">
        <v>12859</v>
      </c>
      <c r="H493" s="1" t="s">
        <v>10131</v>
      </c>
      <c r="I493" s="1" t="s">
        <v>4747</v>
      </c>
      <c r="J493" s="1"/>
      <c r="K493" s="1"/>
      <c r="L493" s="1" t="s">
        <v>12860</v>
      </c>
      <c r="M493" s="1" t="s">
        <v>14187</v>
      </c>
      <c r="N493" s="1" t="s">
        <v>14188</v>
      </c>
      <c r="O493" s="1"/>
      <c r="P493" s="1" t="s">
        <v>12863</v>
      </c>
      <c r="Q493" s="1">
        <v>0</v>
      </c>
      <c r="R493" s="1" t="s">
        <v>12904</v>
      </c>
      <c r="S493" s="1" t="s">
        <v>14189</v>
      </c>
      <c r="T493" s="1" t="s">
        <v>14190</v>
      </c>
      <c r="U493" s="1" t="s">
        <v>10138</v>
      </c>
      <c r="V493" s="1" t="s">
        <v>6096</v>
      </c>
      <c r="W493" s="1" t="s">
        <v>12907</v>
      </c>
      <c r="X493" s="1"/>
      <c r="Y493" s="1"/>
      <c r="Z493" s="1" t="s">
        <v>12908</v>
      </c>
      <c r="AA493" s="1">
        <f t="shared" si="28"/>
        <v>0</v>
      </c>
      <c r="AB493" s="1" t="str">
        <f t="shared" si="29"/>
        <v>R2 retained</v>
      </c>
      <c r="AC493" s="1">
        <v>0</v>
      </c>
      <c r="AD493" s="1" t="s">
        <v>12884</v>
      </c>
      <c r="AE493" s="1" t="s">
        <v>14189</v>
      </c>
      <c r="AF493" s="1" t="s">
        <v>14190</v>
      </c>
      <c r="AG493" s="1" t="s">
        <v>10138</v>
      </c>
      <c r="AH493" s="1" t="s">
        <v>6096</v>
      </c>
      <c r="AI493" s="1">
        <f t="shared" si="30"/>
        <v>1</v>
      </c>
      <c r="AJ493" s="5" t="s">
        <v>12898</v>
      </c>
      <c r="AK493" s="5" t="s">
        <v>12899</v>
      </c>
      <c r="AL493" s="7" t="s">
        <v>15077</v>
      </c>
    </row>
    <row r="494" spans="1:38" ht="36" customHeight="1">
      <c r="A494" s="1" t="s">
        <v>5251</v>
      </c>
      <c r="B494" s="1" t="s">
        <v>5596</v>
      </c>
      <c r="C494" s="1" t="s">
        <v>5597</v>
      </c>
      <c r="D494" s="1" t="s">
        <v>13941</v>
      </c>
      <c r="E494" s="1">
        <v>1</v>
      </c>
      <c r="F494" s="1"/>
      <c r="G494" s="1" t="s">
        <v>12859</v>
      </c>
      <c r="H494" s="1" t="s">
        <v>10131</v>
      </c>
      <c r="I494" s="1" t="s">
        <v>5253</v>
      </c>
      <c r="J494" s="1"/>
      <c r="K494" s="1"/>
      <c r="L494" s="1" t="s">
        <v>12860</v>
      </c>
      <c r="M494" s="1" t="s">
        <v>14191</v>
      </c>
      <c r="N494" s="1" t="s">
        <v>14192</v>
      </c>
      <c r="O494" s="1"/>
      <c r="P494" s="1" t="s">
        <v>12868</v>
      </c>
      <c r="Q494" s="1"/>
      <c r="R494" s="1"/>
      <c r="S494" s="1"/>
      <c r="T494" s="1"/>
      <c r="U494" s="1"/>
      <c r="V494" s="1"/>
      <c r="W494" s="1"/>
      <c r="X494" s="1"/>
      <c r="Y494" s="1"/>
      <c r="Z494" s="1"/>
      <c r="AA494" s="1">
        <f t="shared" si="28"/>
        <v>1</v>
      </c>
      <c r="AB494" s="1" t="str">
        <f t="shared" si="29"/>
        <v>R2 retained</v>
      </c>
      <c r="AC494" s="1"/>
      <c r="AD494" s="1"/>
      <c r="AE494" s="1"/>
      <c r="AF494" s="1"/>
      <c r="AG494" s="1"/>
      <c r="AH494" s="1"/>
      <c r="AI494" s="1">
        <f t="shared" si="30"/>
        <v>0</v>
      </c>
      <c r="AJ494" s="5"/>
      <c r="AK494" s="5"/>
      <c r="AL494" s="7" t="s">
        <v>15077</v>
      </c>
    </row>
    <row r="495" spans="1:38" ht="36" customHeight="1">
      <c r="A495" s="1" t="s">
        <v>5251</v>
      </c>
      <c r="B495" s="1" t="s">
        <v>5601</v>
      </c>
      <c r="C495" s="1" t="s">
        <v>5602</v>
      </c>
      <c r="D495" s="1" t="s">
        <v>10255</v>
      </c>
      <c r="E495" s="1">
        <v>1</v>
      </c>
      <c r="F495" s="1"/>
      <c r="G495" s="1" t="s">
        <v>12859</v>
      </c>
      <c r="H495" s="1" t="s">
        <v>10131</v>
      </c>
      <c r="I495" s="1" t="s">
        <v>4862</v>
      </c>
      <c r="J495" s="1"/>
      <c r="K495" s="1"/>
      <c r="L495" s="1" t="s">
        <v>12860</v>
      </c>
      <c r="M495" s="1" t="s">
        <v>10257</v>
      </c>
      <c r="N495" s="1" t="s">
        <v>14193</v>
      </c>
      <c r="O495" s="1"/>
      <c r="P495" s="1" t="s">
        <v>12868</v>
      </c>
      <c r="Q495" s="1"/>
      <c r="R495" s="1"/>
      <c r="S495" s="1"/>
      <c r="T495" s="1"/>
      <c r="U495" s="1"/>
      <c r="V495" s="1"/>
      <c r="W495" s="1"/>
      <c r="X495" s="1"/>
      <c r="Y495" s="1"/>
      <c r="Z495" s="1"/>
      <c r="AA495" s="1">
        <f t="shared" si="28"/>
        <v>1</v>
      </c>
      <c r="AB495" s="1" t="str">
        <f t="shared" si="29"/>
        <v>R2 retained</v>
      </c>
      <c r="AC495" s="1"/>
      <c r="AD495" s="1"/>
      <c r="AE495" s="1"/>
      <c r="AF495" s="1"/>
      <c r="AG495" s="1"/>
      <c r="AH495" s="1"/>
      <c r="AI495" s="1">
        <f t="shared" si="30"/>
        <v>0</v>
      </c>
      <c r="AJ495" s="5"/>
      <c r="AK495" s="5"/>
      <c r="AL495" s="7" t="s">
        <v>15077</v>
      </c>
    </row>
    <row r="496" spans="1:38" ht="36" customHeight="1">
      <c r="A496" s="1" t="s">
        <v>5251</v>
      </c>
      <c r="B496" s="1" t="s">
        <v>5606</v>
      </c>
      <c r="C496" s="1" t="s">
        <v>5607</v>
      </c>
      <c r="D496" s="1" t="s">
        <v>10259</v>
      </c>
      <c r="E496" s="1">
        <v>2</v>
      </c>
      <c r="F496" s="1"/>
      <c r="G496" s="1" t="s">
        <v>12859</v>
      </c>
      <c r="H496" s="1" t="s">
        <v>10131</v>
      </c>
      <c r="I496" s="1" t="s">
        <v>4862</v>
      </c>
      <c r="J496" s="1"/>
      <c r="K496" s="1"/>
      <c r="L496" s="1" t="s">
        <v>12860</v>
      </c>
      <c r="M496" s="1" t="s">
        <v>10261</v>
      </c>
      <c r="N496" s="1" t="s">
        <v>14194</v>
      </c>
      <c r="O496" s="1"/>
      <c r="P496" s="1" t="s">
        <v>12868</v>
      </c>
      <c r="Q496" s="1"/>
      <c r="R496" s="1"/>
      <c r="S496" s="1"/>
      <c r="T496" s="1"/>
      <c r="U496" s="1"/>
      <c r="V496" s="1"/>
      <c r="W496" s="1"/>
      <c r="X496" s="1"/>
      <c r="Y496" s="1"/>
      <c r="Z496" s="1"/>
      <c r="AA496" s="1">
        <f t="shared" si="28"/>
        <v>2</v>
      </c>
      <c r="AB496" s="1" t="str">
        <f t="shared" si="29"/>
        <v>R2 retained</v>
      </c>
      <c r="AC496" s="1"/>
      <c r="AD496" s="1"/>
      <c r="AE496" s="1"/>
      <c r="AF496" s="1"/>
      <c r="AG496" s="1"/>
      <c r="AH496" s="1"/>
      <c r="AI496" s="1">
        <f t="shared" si="30"/>
        <v>0</v>
      </c>
      <c r="AJ496" s="5"/>
      <c r="AK496" s="5"/>
      <c r="AL496" s="7" t="s">
        <v>15077</v>
      </c>
    </row>
    <row r="497" spans="1:38" ht="36" customHeight="1">
      <c r="A497" s="1" t="s">
        <v>5251</v>
      </c>
      <c r="B497" s="1" t="s">
        <v>5454</v>
      </c>
      <c r="C497" s="1" t="s">
        <v>5455</v>
      </c>
      <c r="D497" s="1" t="s">
        <v>10263</v>
      </c>
      <c r="E497" s="1">
        <v>1</v>
      </c>
      <c r="F497" s="1"/>
      <c r="G497" s="1" t="s">
        <v>12859</v>
      </c>
      <c r="H497" s="1" t="s">
        <v>10131</v>
      </c>
      <c r="I497" s="1" t="s">
        <v>5316</v>
      </c>
      <c r="J497" s="1"/>
      <c r="K497" s="1"/>
      <c r="L497" s="1" t="s">
        <v>12860</v>
      </c>
      <c r="M497" s="1" t="s">
        <v>10265</v>
      </c>
      <c r="N497" s="1" t="s">
        <v>14195</v>
      </c>
      <c r="O497" s="1"/>
      <c r="P497" s="1" t="s">
        <v>12868</v>
      </c>
      <c r="Q497" s="1"/>
      <c r="R497" s="1"/>
      <c r="S497" s="1"/>
      <c r="T497" s="1"/>
      <c r="U497" s="1"/>
      <c r="V497" s="1"/>
      <c r="W497" s="1"/>
      <c r="X497" s="1"/>
      <c r="Y497" s="1"/>
      <c r="Z497" s="1"/>
      <c r="AA497" s="1">
        <f t="shared" si="28"/>
        <v>1</v>
      </c>
      <c r="AB497" s="1" t="str">
        <f t="shared" si="29"/>
        <v>R2 retained</v>
      </c>
      <c r="AC497" s="1">
        <v>1</v>
      </c>
      <c r="AD497" s="1" t="s">
        <v>12884</v>
      </c>
      <c r="AE497" s="1" t="s">
        <v>14196</v>
      </c>
      <c r="AF497" s="1" t="s">
        <v>14197</v>
      </c>
      <c r="AG497" s="1" t="s">
        <v>10138</v>
      </c>
      <c r="AH497" s="1" t="s">
        <v>6096</v>
      </c>
      <c r="AI497" s="1">
        <f t="shared" si="30"/>
        <v>1</v>
      </c>
      <c r="AJ497" s="5" t="s">
        <v>12898</v>
      </c>
      <c r="AK497" s="5" t="s">
        <v>12899</v>
      </c>
      <c r="AL497" s="7" t="s">
        <v>15077</v>
      </c>
    </row>
    <row r="498" spans="1:38" ht="36" customHeight="1">
      <c r="A498" s="1" t="s">
        <v>5268</v>
      </c>
      <c r="B498" s="1" t="s">
        <v>5537</v>
      </c>
      <c r="C498" s="1" t="s">
        <v>5538</v>
      </c>
      <c r="D498" s="1" t="s">
        <v>14198</v>
      </c>
      <c r="E498" s="1">
        <v>0</v>
      </c>
      <c r="F498" s="1"/>
      <c r="G498" s="1" t="s">
        <v>12859</v>
      </c>
      <c r="H498" s="1" t="s">
        <v>10280</v>
      </c>
      <c r="I498" s="1" t="s">
        <v>4747</v>
      </c>
      <c r="J498" s="1"/>
      <c r="K498" s="1"/>
      <c r="L498" s="1" t="s">
        <v>12860</v>
      </c>
      <c r="M498" s="1" t="s">
        <v>14199</v>
      </c>
      <c r="N498" s="1" t="s">
        <v>14200</v>
      </c>
      <c r="O498" s="1"/>
      <c r="P498" s="1" t="s">
        <v>12863</v>
      </c>
      <c r="Q498" s="1"/>
      <c r="R498" s="1"/>
      <c r="S498" s="1"/>
      <c r="T498" s="1"/>
      <c r="U498" s="1"/>
      <c r="V498" s="1"/>
      <c r="W498" s="1"/>
      <c r="X498" s="1"/>
      <c r="Y498" s="1"/>
      <c r="Z498" s="1"/>
      <c r="AA498" s="1">
        <f t="shared" si="28"/>
        <v>0</v>
      </c>
      <c r="AB498" s="1" t="str">
        <f t="shared" si="29"/>
        <v>R2 retained</v>
      </c>
      <c r="AC498" s="1"/>
      <c r="AD498" s="1"/>
      <c r="AE498" s="1"/>
      <c r="AF498" s="1"/>
      <c r="AG498" s="1"/>
      <c r="AH498" s="1"/>
      <c r="AI498" s="1">
        <f t="shared" si="30"/>
        <v>0</v>
      </c>
      <c r="AJ498" s="5"/>
      <c r="AK498" s="5"/>
      <c r="AL498" s="7" t="s">
        <v>15077</v>
      </c>
    </row>
    <row r="499" spans="1:38" ht="36" customHeight="1">
      <c r="A499" s="1" t="s">
        <v>5268</v>
      </c>
      <c r="B499" s="1" t="s">
        <v>5542</v>
      </c>
      <c r="C499" s="1" t="s">
        <v>5543</v>
      </c>
      <c r="D499" s="1" t="s">
        <v>4747</v>
      </c>
      <c r="E499" s="1">
        <v>0</v>
      </c>
      <c r="F499" s="1"/>
      <c r="G499" s="1" t="s">
        <v>12859</v>
      </c>
      <c r="H499" s="1" t="s">
        <v>10280</v>
      </c>
      <c r="I499" s="1" t="s">
        <v>4747</v>
      </c>
      <c r="J499" s="1"/>
      <c r="K499" s="1"/>
      <c r="L499" s="1" t="s">
        <v>12860</v>
      </c>
      <c r="M499" s="1" t="s">
        <v>14201</v>
      </c>
      <c r="N499" s="1" t="s">
        <v>14202</v>
      </c>
      <c r="O499" s="1"/>
      <c r="P499" s="1" t="s">
        <v>12863</v>
      </c>
      <c r="Q499" s="1"/>
      <c r="R499" s="1"/>
      <c r="S499" s="1"/>
      <c r="T499" s="1"/>
      <c r="U499" s="1"/>
      <c r="V499" s="1"/>
      <c r="W499" s="1"/>
      <c r="X499" s="1"/>
      <c r="Y499" s="1"/>
      <c r="Z499" s="1"/>
      <c r="AA499" s="1">
        <f t="shared" si="28"/>
        <v>0</v>
      </c>
      <c r="AB499" s="1" t="str">
        <f t="shared" si="29"/>
        <v>R2 retained</v>
      </c>
      <c r="AC499" s="1"/>
      <c r="AD499" s="1"/>
      <c r="AE499" s="1"/>
      <c r="AF499" s="1"/>
      <c r="AG499" s="1"/>
      <c r="AH499" s="1"/>
      <c r="AI499" s="1">
        <f t="shared" si="30"/>
        <v>0</v>
      </c>
      <c r="AJ499" s="5"/>
      <c r="AK499" s="5"/>
      <c r="AL499" s="7" t="s">
        <v>15077</v>
      </c>
    </row>
    <row r="500" spans="1:38" ht="36" customHeight="1">
      <c r="A500" s="1" t="s">
        <v>5268</v>
      </c>
      <c r="B500" s="1" t="s">
        <v>5547</v>
      </c>
      <c r="C500" s="1" t="s">
        <v>5548</v>
      </c>
      <c r="D500" s="1" t="s">
        <v>14203</v>
      </c>
      <c r="E500" s="1">
        <v>1</v>
      </c>
      <c r="F500" s="1"/>
      <c r="G500" s="1" t="s">
        <v>12859</v>
      </c>
      <c r="H500" s="1" t="s">
        <v>10280</v>
      </c>
      <c r="I500" s="1" t="s">
        <v>4862</v>
      </c>
      <c r="J500" s="1"/>
      <c r="K500" s="1"/>
      <c r="L500" s="1" t="s">
        <v>12860</v>
      </c>
      <c r="M500" s="1" t="s">
        <v>14204</v>
      </c>
      <c r="N500" s="1" t="s">
        <v>14205</v>
      </c>
      <c r="O500" s="1"/>
      <c r="P500" s="1" t="s">
        <v>12868</v>
      </c>
      <c r="Q500" s="1"/>
      <c r="R500" s="1"/>
      <c r="S500" s="1"/>
      <c r="T500" s="1"/>
      <c r="U500" s="1"/>
      <c r="V500" s="1"/>
      <c r="W500" s="1"/>
      <c r="X500" s="1"/>
      <c r="Y500" s="1"/>
      <c r="Z500" s="1"/>
      <c r="AA500" s="1">
        <f t="shared" si="28"/>
        <v>1</v>
      </c>
      <c r="AB500" s="1" t="str">
        <f t="shared" si="29"/>
        <v>R2 retained</v>
      </c>
      <c r="AC500" s="1"/>
      <c r="AD500" s="1"/>
      <c r="AE500" s="1"/>
      <c r="AF500" s="1"/>
      <c r="AG500" s="1"/>
      <c r="AH500" s="1"/>
      <c r="AI500" s="1">
        <f t="shared" si="30"/>
        <v>0</v>
      </c>
      <c r="AJ500" s="5"/>
      <c r="AK500" s="5"/>
      <c r="AL500" s="7" t="s">
        <v>15077</v>
      </c>
    </row>
    <row r="501" spans="1:38" ht="36" customHeight="1">
      <c r="A501" s="1" t="s">
        <v>5268</v>
      </c>
      <c r="B501" s="1" t="s">
        <v>5552</v>
      </c>
      <c r="C501" s="1" t="s">
        <v>5553</v>
      </c>
      <c r="D501" s="1" t="s">
        <v>14206</v>
      </c>
      <c r="E501" s="1">
        <v>1</v>
      </c>
      <c r="F501" s="1"/>
      <c r="G501" s="1" t="s">
        <v>12859</v>
      </c>
      <c r="H501" s="1" t="s">
        <v>10280</v>
      </c>
      <c r="I501" s="1"/>
      <c r="J501" s="1"/>
      <c r="K501" s="1" t="s">
        <v>5302</v>
      </c>
      <c r="L501" s="1" t="s">
        <v>12930</v>
      </c>
      <c r="M501" s="1" t="s">
        <v>14207</v>
      </c>
      <c r="N501" s="1" t="s">
        <v>14208</v>
      </c>
      <c r="O501" s="1" t="s">
        <v>10319</v>
      </c>
      <c r="P501" s="1" t="s">
        <v>12876</v>
      </c>
      <c r="Q501" s="1">
        <v>1</v>
      </c>
      <c r="R501" s="1" t="s">
        <v>12981</v>
      </c>
      <c r="S501" s="1" t="s">
        <v>14209</v>
      </c>
      <c r="T501" s="1" t="s">
        <v>14210</v>
      </c>
      <c r="U501" s="1" t="s">
        <v>10285</v>
      </c>
      <c r="V501" s="1" t="s">
        <v>6096</v>
      </c>
      <c r="W501" s="1"/>
      <c r="X501" s="1"/>
      <c r="Y501" s="1"/>
      <c r="Z501" s="1" t="s">
        <v>12908</v>
      </c>
      <c r="AA501" s="1">
        <f t="shared" si="28"/>
        <v>1</v>
      </c>
      <c r="AB501" s="1" t="str">
        <f t="shared" si="29"/>
        <v>R2 retained</v>
      </c>
      <c r="AC501" s="1"/>
      <c r="AD501" s="1"/>
      <c r="AE501" s="1"/>
      <c r="AF501" s="1"/>
      <c r="AG501" s="1"/>
      <c r="AH501" s="1"/>
      <c r="AI501" s="1">
        <f t="shared" si="30"/>
        <v>1</v>
      </c>
      <c r="AJ501" s="5"/>
      <c r="AK501" s="5"/>
      <c r="AL501" s="7" t="s">
        <v>15077</v>
      </c>
    </row>
    <row r="502" spans="1:38" ht="36" customHeight="1">
      <c r="A502" s="1" t="s">
        <v>5268</v>
      </c>
      <c r="B502" s="1" t="s">
        <v>5557</v>
      </c>
      <c r="C502" s="1" t="s">
        <v>5558</v>
      </c>
      <c r="D502" s="1" t="s">
        <v>10322</v>
      </c>
      <c r="E502" s="1">
        <v>0</v>
      </c>
      <c r="F502" s="1"/>
      <c r="G502" s="1" t="s">
        <v>12859</v>
      </c>
      <c r="H502" s="1" t="s">
        <v>10280</v>
      </c>
      <c r="I502" s="1" t="s">
        <v>4747</v>
      </c>
      <c r="J502" s="1"/>
      <c r="K502" s="1"/>
      <c r="L502" s="1" t="s">
        <v>12860</v>
      </c>
      <c r="M502" s="1" t="s">
        <v>10324</v>
      </c>
      <c r="N502" s="1" t="s">
        <v>14211</v>
      </c>
      <c r="O502" s="1"/>
      <c r="P502" s="1" t="s">
        <v>12863</v>
      </c>
      <c r="Q502" s="1"/>
      <c r="R502" s="1"/>
      <c r="S502" s="1"/>
      <c r="T502" s="1"/>
      <c r="U502" s="1"/>
      <c r="V502" s="1"/>
      <c r="W502" s="1"/>
      <c r="X502" s="1"/>
      <c r="Y502" s="1"/>
      <c r="Z502" s="1"/>
      <c r="AA502" s="1">
        <f t="shared" si="28"/>
        <v>0</v>
      </c>
      <c r="AB502" s="1" t="str">
        <f t="shared" si="29"/>
        <v>R2 retained</v>
      </c>
      <c r="AC502" s="1"/>
      <c r="AD502" s="1"/>
      <c r="AE502" s="1"/>
      <c r="AF502" s="1"/>
      <c r="AG502" s="1"/>
      <c r="AH502" s="1"/>
      <c r="AI502" s="1">
        <f t="shared" si="30"/>
        <v>0</v>
      </c>
      <c r="AJ502" s="5"/>
      <c r="AK502" s="5"/>
      <c r="AL502" s="7" t="s">
        <v>15077</v>
      </c>
    </row>
    <row r="503" spans="1:38" ht="36" customHeight="1">
      <c r="A503" s="1" t="s">
        <v>5268</v>
      </c>
      <c r="B503" s="1" t="s">
        <v>5562</v>
      </c>
      <c r="C503" s="1" t="s">
        <v>5563</v>
      </c>
      <c r="D503" s="1" t="s">
        <v>10326</v>
      </c>
      <c r="E503" s="1">
        <v>2</v>
      </c>
      <c r="F503" s="1"/>
      <c r="G503" s="1" t="s">
        <v>12859</v>
      </c>
      <c r="H503" s="1" t="s">
        <v>10280</v>
      </c>
      <c r="I503" s="1" t="s">
        <v>4717</v>
      </c>
      <c r="J503" s="1"/>
      <c r="K503" s="1"/>
      <c r="L503" s="1" t="s">
        <v>12860</v>
      </c>
      <c r="M503" s="1" t="s">
        <v>10329</v>
      </c>
      <c r="N503" s="1" t="s">
        <v>14212</v>
      </c>
      <c r="O503" s="1"/>
      <c r="P503" s="1" t="s">
        <v>12868</v>
      </c>
      <c r="Q503" s="1"/>
      <c r="R503" s="1"/>
      <c r="S503" s="1"/>
      <c r="T503" s="1"/>
      <c r="U503" s="1"/>
      <c r="V503" s="1"/>
      <c r="W503" s="1"/>
      <c r="X503" s="1"/>
      <c r="Y503" s="1"/>
      <c r="Z503" s="1"/>
      <c r="AA503" s="1">
        <f t="shared" si="28"/>
        <v>2</v>
      </c>
      <c r="AB503" s="1" t="str">
        <f t="shared" si="29"/>
        <v>R2 retained</v>
      </c>
      <c r="AC503" s="1">
        <v>2</v>
      </c>
      <c r="AD503" s="1" t="s">
        <v>12884</v>
      </c>
      <c r="AE503" s="1" t="s">
        <v>14213</v>
      </c>
      <c r="AF503" s="1" t="s">
        <v>14214</v>
      </c>
      <c r="AG503" s="1" t="s">
        <v>10285</v>
      </c>
      <c r="AH503" s="1" t="s">
        <v>6096</v>
      </c>
      <c r="AI503" s="1">
        <f t="shared" si="30"/>
        <v>1</v>
      </c>
      <c r="AJ503" s="5"/>
      <c r="AK503" s="5"/>
      <c r="AL503" s="7" t="s">
        <v>15077</v>
      </c>
    </row>
    <row r="504" spans="1:38" ht="36" customHeight="1">
      <c r="A504" s="1" t="s">
        <v>5268</v>
      </c>
      <c r="B504" s="1" t="s">
        <v>5567</v>
      </c>
      <c r="C504" s="1" t="s">
        <v>5568</v>
      </c>
      <c r="D504" s="1" t="s">
        <v>14215</v>
      </c>
      <c r="E504" s="1">
        <v>2</v>
      </c>
      <c r="F504" s="1"/>
      <c r="G504" s="1" t="s">
        <v>12859</v>
      </c>
      <c r="H504" s="1" t="s">
        <v>10280</v>
      </c>
      <c r="I504" s="1" t="s">
        <v>4862</v>
      </c>
      <c r="J504" s="1"/>
      <c r="K504" s="1"/>
      <c r="L504" s="1" t="s">
        <v>12860</v>
      </c>
      <c r="M504" s="1" t="s">
        <v>14216</v>
      </c>
      <c r="N504" s="1" t="s">
        <v>14217</v>
      </c>
      <c r="O504" s="1"/>
      <c r="P504" s="1" t="s">
        <v>12868</v>
      </c>
      <c r="Q504" s="1"/>
      <c r="R504" s="1"/>
      <c r="S504" s="1"/>
      <c r="T504" s="1"/>
      <c r="U504" s="1"/>
      <c r="V504" s="1"/>
      <c r="W504" s="1"/>
      <c r="X504" s="1"/>
      <c r="Y504" s="1"/>
      <c r="Z504" s="1"/>
      <c r="AA504" s="1">
        <f t="shared" si="28"/>
        <v>2</v>
      </c>
      <c r="AB504" s="1" t="str">
        <f t="shared" si="29"/>
        <v>R2 retained</v>
      </c>
      <c r="AC504" s="1"/>
      <c r="AD504" s="1"/>
      <c r="AE504" s="1"/>
      <c r="AF504" s="1"/>
      <c r="AG504" s="1"/>
      <c r="AH504" s="1"/>
      <c r="AI504" s="1">
        <f t="shared" si="30"/>
        <v>0</v>
      </c>
      <c r="AJ504" s="5"/>
      <c r="AK504" s="5"/>
      <c r="AL504" s="7" t="s">
        <v>15077</v>
      </c>
    </row>
    <row r="505" spans="1:38" ht="36" customHeight="1">
      <c r="A505" s="1" t="s">
        <v>5268</v>
      </c>
      <c r="B505" s="1" t="s">
        <v>5572</v>
      </c>
      <c r="C505" s="1" t="s">
        <v>5573</v>
      </c>
      <c r="D505" s="1" t="s">
        <v>14218</v>
      </c>
      <c r="E505" s="1">
        <v>1</v>
      </c>
      <c r="F505" s="1"/>
      <c r="G505" s="1" t="s">
        <v>12859</v>
      </c>
      <c r="H505" s="1" t="s">
        <v>10280</v>
      </c>
      <c r="I505" s="1" t="s">
        <v>5316</v>
      </c>
      <c r="J505" s="1"/>
      <c r="K505" s="1"/>
      <c r="L505" s="1" t="s">
        <v>12860</v>
      </c>
      <c r="M505" s="1" t="s">
        <v>14219</v>
      </c>
      <c r="N505" s="1" t="s">
        <v>14220</v>
      </c>
      <c r="O505" s="1"/>
      <c r="P505" s="1" t="s">
        <v>12868</v>
      </c>
      <c r="Q505" s="1"/>
      <c r="R505" s="1"/>
      <c r="S505" s="1"/>
      <c r="T505" s="1"/>
      <c r="U505" s="1"/>
      <c r="V505" s="1"/>
      <c r="W505" s="1"/>
      <c r="X505" s="1"/>
      <c r="Y505" s="1"/>
      <c r="Z505" s="1"/>
      <c r="AA505" s="1">
        <f t="shared" si="28"/>
        <v>1</v>
      </c>
      <c r="AB505" s="1" t="str">
        <f t="shared" si="29"/>
        <v>R2 retained</v>
      </c>
      <c r="AC505" s="1"/>
      <c r="AD505" s="1"/>
      <c r="AE505" s="1"/>
      <c r="AF505" s="1"/>
      <c r="AG505" s="1"/>
      <c r="AH505" s="1"/>
      <c r="AI505" s="1">
        <f t="shared" si="30"/>
        <v>0</v>
      </c>
      <c r="AJ505" s="5"/>
      <c r="AK505" s="5"/>
      <c r="AL505" s="7" t="s">
        <v>15077</v>
      </c>
    </row>
    <row r="506" spans="1:38" ht="36" customHeight="1">
      <c r="A506" s="1" t="s">
        <v>5268</v>
      </c>
      <c r="B506" s="1" t="s">
        <v>5577</v>
      </c>
      <c r="C506" s="1" t="s">
        <v>5578</v>
      </c>
      <c r="D506" s="1" t="s">
        <v>14221</v>
      </c>
      <c r="E506" s="1">
        <v>1</v>
      </c>
      <c r="F506" s="1"/>
      <c r="G506" s="1" t="s">
        <v>12859</v>
      </c>
      <c r="H506" s="1" t="s">
        <v>10280</v>
      </c>
      <c r="I506" s="1" t="s">
        <v>4862</v>
      </c>
      <c r="J506" s="1"/>
      <c r="K506" s="1"/>
      <c r="L506" s="1" t="s">
        <v>12860</v>
      </c>
      <c r="M506" s="1" t="s">
        <v>14222</v>
      </c>
      <c r="N506" s="1" t="s">
        <v>14223</v>
      </c>
      <c r="O506" s="1"/>
      <c r="P506" s="1" t="s">
        <v>12868</v>
      </c>
      <c r="Q506" s="1"/>
      <c r="R506" s="1"/>
      <c r="S506" s="1"/>
      <c r="T506" s="1"/>
      <c r="U506" s="1"/>
      <c r="V506" s="1"/>
      <c r="W506" s="1"/>
      <c r="X506" s="1"/>
      <c r="Y506" s="1"/>
      <c r="Z506" s="1"/>
      <c r="AA506" s="1">
        <f t="shared" si="28"/>
        <v>1</v>
      </c>
      <c r="AB506" s="1" t="str">
        <f t="shared" si="29"/>
        <v>R2 retained</v>
      </c>
      <c r="AC506" s="1"/>
      <c r="AD506" s="1"/>
      <c r="AE506" s="1"/>
      <c r="AF506" s="1"/>
      <c r="AG506" s="1"/>
      <c r="AH506" s="1"/>
      <c r="AI506" s="1">
        <f t="shared" si="30"/>
        <v>0</v>
      </c>
      <c r="AJ506" s="5"/>
      <c r="AK506" s="5"/>
      <c r="AL506" s="7" t="s">
        <v>15077</v>
      </c>
    </row>
    <row r="507" spans="1:38" ht="36" customHeight="1">
      <c r="A507" s="1" t="s">
        <v>5268</v>
      </c>
      <c r="B507" s="1" t="s">
        <v>5582</v>
      </c>
      <c r="C507" s="1" t="s">
        <v>5583</v>
      </c>
      <c r="D507" s="1" t="s">
        <v>10374</v>
      </c>
      <c r="E507" s="1">
        <v>0</v>
      </c>
      <c r="F507" s="1"/>
      <c r="G507" s="1" t="s">
        <v>12859</v>
      </c>
      <c r="H507" s="1" t="s">
        <v>10280</v>
      </c>
      <c r="I507" s="1" t="s">
        <v>4747</v>
      </c>
      <c r="J507" s="1"/>
      <c r="K507" s="1"/>
      <c r="L507" s="1" t="s">
        <v>12860</v>
      </c>
      <c r="M507" s="1" t="s">
        <v>10376</v>
      </c>
      <c r="N507" s="1" t="s">
        <v>14224</v>
      </c>
      <c r="O507" s="1"/>
      <c r="P507" s="1" t="s">
        <v>12863</v>
      </c>
      <c r="Q507" s="1"/>
      <c r="R507" s="1"/>
      <c r="S507" s="1"/>
      <c r="T507" s="1"/>
      <c r="U507" s="1"/>
      <c r="V507" s="1"/>
      <c r="W507" s="1"/>
      <c r="X507" s="1"/>
      <c r="Y507" s="1"/>
      <c r="Z507" s="1"/>
      <c r="AA507" s="1">
        <f t="shared" si="28"/>
        <v>0</v>
      </c>
      <c r="AB507" s="1" t="str">
        <f t="shared" si="29"/>
        <v>R2 retained</v>
      </c>
      <c r="AC507" s="1">
        <v>0</v>
      </c>
      <c r="AD507" s="1" t="s">
        <v>12884</v>
      </c>
      <c r="AE507" s="1" t="s">
        <v>14225</v>
      </c>
      <c r="AF507" s="1" t="s">
        <v>14226</v>
      </c>
      <c r="AG507" s="1" t="s">
        <v>10285</v>
      </c>
      <c r="AH507" s="1" t="s">
        <v>6096</v>
      </c>
      <c r="AI507" s="1">
        <f t="shared" si="30"/>
        <v>1</v>
      </c>
      <c r="AJ507" s="5" t="s">
        <v>12898</v>
      </c>
      <c r="AK507" s="5" t="s">
        <v>12899</v>
      </c>
      <c r="AL507" s="7" t="s">
        <v>15077</v>
      </c>
    </row>
    <row r="508" spans="1:38" ht="36" customHeight="1">
      <c r="A508" s="1" t="s">
        <v>5268</v>
      </c>
      <c r="B508" s="1" t="s">
        <v>5586</v>
      </c>
      <c r="C508" s="1" t="s">
        <v>5587</v>
      </c>
      <c r="D508" s="1" t="s">
        <v>13619</v>
      </c>
      <c r="E508" s="1">
        <v>0</v>
      </c>
      <c r="F508" s="1"/>
      <c r="G508" s="1" t="s">
        <v>12859</v>
      </c>
      <c r="H508" s="1" t="s">
        <v>10280</v>
      </c>
      <c r="I508" s="1" t="s">
        <v>4747</v>
      </c>
      <c r="J508" s="1"/>
      <c r="K508" s="1"/>
      <c r="L508" s="1" t="s">
        <v>12860</v>
      </c>
      <c r="M508" s="1" t="s">
        <v>14227</v>
      </c>
      <c r="N508" s="1" t="s">
        <v>14228</v>
      </c>
      <c r="O508" s="1"/>
      <c r="P508" s="1" t="s">
        <v>12863</v>
      </c>
      <c r="Q508" s="1"/>
      <c r="R508" s="1"/>
      <c r="S508" s="1"/>
      <c r="T508" s="1"/>
      <c r="U508" s="1"/>
      <c r="V508" s="1"/>
      <c r="W508" s="1"/>
      <c r="X508" s="1"/>
      <c r="Y508" s="1"/>
      <c r="Z508" s="1"/>
      <c r="AA508" s="1">
        <f t="shared" si="28"/>
        <v>0</v>
      </c>
      <c r="AB508" s="1" t="str">
        <f t="shared" si="29"/>
        <v>R2 retained</v>
      </c>
      <c r="AC508" s="1"/>
      <c r="AD508" s="1"/>
      <c r="AE508" s="1"/>
      <c r="AF508" s="1"/>
      <c r="AG508" s="1"/>
      <c r="AH508" s="1"/>
      <c r="AI508" s="1">
        <f t="shared" si="30"/>
        <v>0</v>
      </c>
      <c r="AJ508" s="5"/>
      <c r="AK508" s="5"/>
      <c r="AL508" s="7" t="s">
        <v>15077</v>
      </c>
    </row>
    <row r="509" spans="1:38" ht="72" customHeight="1">
      <c r="A509" s="1" t="s">
        <v>5268</v>
      </c>
      <c r="B509" s="1" t="s">
        <v>5591</v>
      </c>
      <c r="C509" s="1" t="s">
        <v>5592</v>
      </c>
      <c r="D509" s="1" t="s">
        <v>14229</v>
      </c>
      <c r="E509" s="1">
        <v>0</v>
      </c>
      <c r="F509" s="1"/>
      <c r="G509" s="1" t="s">
        <v>12859</v>
      </c>
      <c r="H509" s="1" t="s">
        <v>10280</v>
      </c>
      <c r="I509" s="1" t="s">
        <v>4747</v>
      </c>
      <c r="J509" s="1"/>
      <c r="K509" s="1"/>
      <c r="L509" s="1" t="s">
        <v>12860</v>
      </c>
      <c r="M509" s="1" t="s">
        <v>14230</v>
      </c>
      <c r="N509" s="1" t="s">
        <v>14231</v>
      </c>
      <c r="O509" s="1"/>
      <c r="P509" s="1" t="s">
        <v>12863</v>
      </c>
      <c r="Q509" s="1">
        <v>0</v>
      </c>
      <c r="R509" s="1" t="s">
        <v>12904</v>
      </c>
      <c r="S509" s="1" t="s">
        <v>14232</v>
      </c>
      <c r="T509" s="1" t="s">
        <v>14233</v>
      </c>
      <c r="U509" s="1" t="s">
        <v>10356</v>
      </c>
      <c r="V509" s="1" t="s">
        <v>6096</v>
      </c>
      <c r="W509" s="1" t="s">
        <v>12907</v>
      </c>
      <c r="X509" s="1"/>
      <c r="Y509" s="1"/>
      <c r="Z509" s="1" t="s">
        <v>12908</v>
      </c>
      <c r="AA509" s="1">
        <f t="shared" si="28"/>
        <v>0</v>
      </c>
      <c r="AB509" s="1" t="str">
        <f t="shared" si="29"/>
        <v>R2 retained</v>
      </c>
      <c r="AC509" s="1">
        <v>0</v>
      </c>
      <c r="AD509" s="1" t="s">
        <v>12884</v>
      </c>
      <c r="AE509" s="1" t="s">
        <v>14234</v>
      </c>
      <c r="AF509" s="1" t="s">
        <v>14233</v>
      </c>
      <c r="AG509" s="1" t="s">
        <v>10285</v>
      </c>
      <c r="AH509" s="1" t="s">
        <v>6096</v>
      </c>
      <c r="AI509" s="1">
        <f t="shared" si="30"/>
        <v>1</v>
      </c>
      <c r="AJ509" s="5" t="s">
        <v>12898</v>
      </c>
      <c r="AK509" s="5" t="s">
        <v>12899</v>
      </c>
      <c r="AL509" s="7" t="s">
        <v>15077</v>
      </c>
    </row>
    <row r="510" spans="1:38" ht="36" customHeight="1">
      <c r="A510" s="1" t="s">
        <v>5268</v>
      </c>
      <c r="B510" s="1" t="s">
        <v>5596</v>
      </c>
      <c r="C510" s="1" t="s">
        <v>5597</v>
      </c>
      <c r="D510" s="1" t="s">
        <v>14235</v>
      </c>
      <c r="E510" s="1">
        <v>0</v>
      </c>
      <c r="F510" s="1"/>
      <c r="G510" s="1" t="s">
        <v>12859</v>
      </c>
      <c r="H510" s="1" t="s">
        <v>10280</v>
      </c>
      <c r="I510" s="1" t="s">
        <v>4747</v>
      </c>
      <c r="J510" s="1"/>
      <c r="K510" s="1"/>
      <c r="L510" s="1" t="s">
        <v>12860</v>
      </c>
      <c r="M510" s="1" t="s">
        <v>14236</v>
      </c>
      <c r="N510" s="1" t="s">
        <v>14237</v>
      </c>
      <c r="O510" s="1"/>
      <c r="P510" s="1" t="s">
        <v>12863</v>
      </c>
      <c r="Q510" s="1"/>
      <c r="R510" s="1"/>
      <c r="S510" s="1"/>
      <c r="T510" s="1"/>
      <c r="U510" s="1"/>
      <c r="V510" s="1"/>
      <c r="W510" s="1"/>
      <c r="X510" s="1"/>
      <c r="Y510" s="1"/>
      <c r="Z510" s="1"/>
      <c r="AA510" s="1">
        <f t="shared" si="28"/>
        <v>0</v>
      </c>
      <c r="AB510" s="1" t="str">
        <f t="shared" si="29"/>
        <v>R2 retained</v>
      </c>
      <c r="AC510" s="1"/>
      <c r="AD510" s="1"/>
      <c r="AE510" s="1"/>
      <c r="AF510" s="1"/>
      <c r="AG510" s="1"/>
      <c r="AH510" s="1"/>
      <c r="AI510" s="1">
        <f t="shared" si="30"/>
        <v>0</v>
      </c>
      <c r="AJ510" s="5"/>
      <c r="AK510" s="5"/>
      <c r="AL510" s="7" t="s">
        <v>15077</v>
      </c>
    </row>
    <row r="511" spans="1:38" ht="36" customHeight="1">
      <c r="A511" s="1" t="s">
        <v>5268</v>
      </c>
      <c r="B511" s="1" t="s">
        <v>5601</v>
      </c>
      <c r="C511" s="1" t="s">
        <v>5602</v>
      </c>
      <c r="D511" s="1" t="s">
        <v>10389</v>
      </c>
      <c r="E511" s="1">
        <v>2</v>
      </c>
      <c r="F511" s="1"/>
      <c r="G511" s="1" t="s">
        <v>12859</v>
      </c>
      <c r="H511" s="1" t="s">
        <v>10280</v>
      </c>
      <c r="I511" s="1" t="s">
        <v>4717</v>
      </c>
      <c r="J511" s="1"/>
      <c r="K511" s="1"/>
      <c r="L511" s="1" t="s">
        <v>12860</v>
      </c>
      <c r="M511" s="1" t="s">
        <v>10391</v>
      </c>
      <c r="N511" s="1" t="s">
        <v>14238</v>
      </c>
      <c r="O511" s="1"/>
      <c r="P511" s="1" t="s">
        <v>12868</v>
      </c>
      <c r="Q511" s="1"/>
      <c r="R511" s="1"/>
      <c r="S511" s="1"/>
      <c r="T511" s="1"/>
      <c r="U511" s="1"/>
      <c r="V511" s="1"/>
      <c r="W511" s="1"/>
      <c r="X511" s="1"/>
      <c r="Y511" s="1"/>
      <c r="Z511" s="1"/>
      <c r="AA511" s="1">
        <f t="shared" si="28"/>
        <v>2</v>
      </c>
      <c r="AB511" s="1" t="str">
        <f t="shared" si="29"/>
        <v>R2 retained</v>
      </c>
      <c r="AC511" s="1"/>
      <c r="AD511" s="1"/>
      <c r="AE511" s="1"/>
      <c r="AF511" s="1"/>
      <c r="AG511" s="1"/>
      <c r="AH511" s="1"/>
      <c r="AI511" s="1">
        <f t="shared" si="30"/>
        <v>0</v>
      </c>
      <c r="AJ511" s="5"/>
      <c r="AK511" s="5"/>
      <c r="AL511" s="7" t="s">
        <v>15077</v>
      </c>
    </row>
    <row r="512" spans="1:38" ht="36" customHeight="1">
      <c r="A512" s="1" t="s">
        <v>5268</v>
      </c>
      <c r="B512" s="1" t="s">
        <v>5606</v>
      </c>
      <c r="C512" s="1" t="s">
        <v>5607</v>
      </c>
      <c r="D512" s="1" t="s">
        <v>10393</v>
      </c>
      <c r="E512" s="1">
        <v>1</v>
      </c>
      <c r="F512" s="1"/>
      <c r="G512" s="1" t="s">
        <v>12859</v>
      </c>
      <c r="H512" s="1" t="s">
        <v>10280</v>
      </c>
      <c r="I512" s="1" t="s">
        <v>4862</v>
      </c>
      <c r="J512" s="1"/>
      <c r="K512" s="1"/>
      <c r="L512" s="1" t="s">
        <v>12860</v>
      </c>
      <c r="M512" s="1" t="s">
        <v>10395</v>
      </c>
      <c r="N512" s="1" t="s">
        <v>14239</v>
      </c>
      <c r="O512" s="1"/>
      <c r="P512" s="1" t="s">
        <v>12868</v>
      </c>
      <c r="Q512" s="1"/>
      <c r="R512" s="1"/>
      <c r="S512" s="1"/>
      <c r="T512" s="1"/>
      <c r="U512" s="1"/>
      <c r="V512" s="1"/>
      <c r="W512" s="1"/>
      <c r="X512" s="1"/>
      <c r="Y512" s="1"/>
      <c r="Z512" s="1"/>
      <c r="AA512" s="1">
        <f t="shared" si="28"/>
        <v>1</v>
      </c>
      <c r="AB512" s="1" t="str">
        <f t="shared" si="29"/>
        <v>R2 retained</v>
      </c>
      <c r="AC512" s="1"/>
      <c r="AD512" s="1"/>
      <c r="AE512" s="1"/>
      <c r="AF512" s="1"/>
      <c r="AG512" s="1"/>
      <c r="AH512" s="1"/>
      <c r="AI512" s="1">
        <f t="shared" si="30"/>
        <v>0</v>
      </c>
      <c r="AJ512" s="5"/>
      <c r="AK512" s="5"/>
      <c r="AL512" s="7" t="s">
        <v>15077</v>
      </c>
    </row>
    <row r="513" spans="1:38" ht="72" customHeight="1">
      <c r="A513" s="1" t="s">
        <v>5268</v>
      </c>
      <c r="B513" s="1" t="s">
        <v>5454</v>
      </c>
      <c r="C513" s="1" t="s">
        <v>5455</v>
      </c>
      <c r="D513" s="1" t="s">
        <v>5777</v>
      </c>
      <c r="E513" s="1">
        <v>0</v>
      </c>
      <c r="F513" s="1">
        <v>1</v>
      </c>
      <c r="G513" s="1" t="s">
        <v>4691</v>
      </c>
      <c r="H513" s="1" t="s">
        <v>10280</v>
      </c>
      <c r="I513" s="1" t="s">
        <v>4747</v>
      </c>
      <c r="J513" s="1"/>
      <c r="K513" s="1"/>
      <c r="L513" s="1" t="s">
        <v>12860</v>
      </c>
      <c r="M513" s="1" t="s">
        <v>10397</v>
      </c>
      <c r="N513" s="1" t="s">
        <v>14240</v>
      </c>
      <c r="O513" s="1" t="s">
        <v>14241</v>
      </c>
      <c r="P513" s="1" t="s">
        <v>12917</v>
      </c>
      <c r="Q513" s="1"/>
      <c r="R513" s="1"/>
      <c r="S513" s="1"/>
      <c r="T513" s="1"/>
      <c r="U513" s="1"/>
      <c r="V513" s="1"/>
      <c r="W513" s="1"/>
      <c r="X513" s="1"/>
      <c r="Y513" s="1" t="s">
        <v>5782</v>
      </c>
      <c r="Z513" s="1" t="s">
        <v>12918</v>
      </c>
      <c r="AA513" s="1">
        <f t="shared" si="28"/>
        <v>1</v>
      </c>
      <c r="AB513" s="1" t="str">
        <f t="shared" si="29"/>
        <v>Reviewer confirmed</v>
      </c>
      <c r="AC513" s="1">
        <v>1</v>
      </c>
      <c r="AD513" s="1" t="s">
        <v>12936</v>
      </c>
      <c r="AE513" s="1" t="s">
        <v>5782</v>
      </c>
      <c r="AF513" s="1" t="s">
        <v>5781</v>
      </c>
      <c r="AG513" s="1" t="s">
        <v>5783</v>
      </c>
      <c r="AH513" s="1" t="s">
        <v>5461</v>
      </c>
      <c r="AI513" s="1">
        <f t="shared" si="30"/>
        <v>1</v>
      </c>
      <c r="AJ513" s="5" t="s">
        <v>12898</v>
      </c>
      <c r="AK513" s="5" t="s">
        <v>12899</v>
      </c>
      <c r="AL513" s="7" t="s">
        <v>15077</v>
      </c>
    </row>
    <row r="514" spans="1:38" ht="72" customHeight="1">
      <c r="A514" s="1" t="s">
        <v>5306</v>
      </c>
      <c r="B514" s="1" t="s">
        <v>5537</v>
      </c>
      <c r="C514" s="1" t="s">
        <v>5538</v>
      </c>
      <c r="D514" s="1" t="s">
        <v>14242</v>
      </c>
      <c r="E514" s="1">
        <v>0</v>
      </c>
      <c r="F514" s="1">
        <v>2</v>
      </c>
      <c r="G514" s="1" t="s">
        <v>12873</v>
      </c>
      <c r="H514" s="1" t="s">
        <v>10412</v>
      </c>
      <c r="I514" s="1" t="s">
        <v>4747</v>
      </c>
      <c r="J514" s="1"/>
      <c r="K514" s="1"/>
      <c r="L514" s="1" t="s">
        <v>12860</v>
      </c>
      <c r="M514" s="1" t="s">
        <v>14243</v>
      </c>
      <c r="N514" s="1" t="s">
        <v>14244</v>
      </c>
      <c r="O514" s="1" t="s">
        <v>14245</v>
      </c>
      <c r="P514" s="1" t="s">
        <v>14246</v>
      </c>
      <c r="Q514" s="1">
        <v>2</v>
      </c>
      <c r="R514" s="1" t="s">
        <v>12877</v>
      </c>
      <c r="S514" s="1" t="s">
        <v>14247</v>
      </c>
      <c r="T514" s="1" t="s">
        <v>14248</v>
      </c>
      <c r="U514" s="1" t="s">
        <v>14249</v>
      </c>
      <c r="V514" s="1" t="s">
        <v>6096</v>
      </c>
      <c r="W514" s="1"/>
      <c r="X514" s="1"/>
      <c r="Y514" s="1" t="s">
        <v>14250</v>
      </c>
      <c r="Z514" s="1" t="s">
        <v>12883</v>
      </c>
      <c r="AA514" s="1">
        <f t="shared" ref="AA514:AA577" si="31">IF(OR(ISNUMBER(F514),F514="NA"),F514,IF(AD514="uncertain","",IF(OR(ISNUMBER(AC514),AC514="NA"),AC514,E514)))</f>
        <v>2</v>
      </c>
      <c r="AB514" s="1" t="str">
        <f t="shared" ref="AB514:AB577" si="32">IF(OR(ISNUMBER(F514),F514="NA"),"Reviewer confirmed",IF(AD514="uncertain","Unresolved under clarified rule",IF(AND(OR(ISNUMBER(AC514),AC514="NA"),AC514&lt;&gt;E514),"Analyst scope correction","R2 retained")))</f>
        <v>Reviewer confirmed</v>
      </c>
      <c r="AC514" s="1"/>
      <c r="AD514" s="1"/>
      <c r="AE514" s="1"/>
      <c r="AF514" s="1"/>
      <c r="AG514" s="1"/>
      <c r="AH514" s="1"/>
      <c r="AI514" s="1">
        <f t="shared" ref="AI514:AI577" si="33">IF(OR(R514&lt;&gt;"",AD514&lt;&gt;""),1,0)</f>
        <v>1</v>
      </c>
      <c r="AJ514" s="5"/>
      <c r="AK514" s="5"/>
      <c r="AL514" s="7" t="s">
        <v>15077</v>
      </c>
    </row>
    <row r="515" spans="1:38" ht="36" customHeight="1">
      <c r="A515" s="1" t="s">
        <v>5306</v>
      </c>
      <c r="B515" s="1" t="s">
        <v>5542</v>
      </c>
      <c r="C515" s="1" t="s">
        <v>5543</v>
      </c>
      <c r="D515" s="1" t="s">
        <v>14251</v>
      </c>
      <c r="E515" s="1">
        <v>0</v>
      </c>
      <c r="F515" s="1"/>
      <c r="G515" s="1" t="s">
        <v>12859</v>
      </c>
      <c r="H515" s="1" t="s">
        <v>10412</v>
      </c>
      <c r="I515" s="1" t="s">
        <v>4747</v>
      </c>
      <c r="J515" s="1"/>
      <c r="K515" s="1"/>
      <c r="L515" s="1" t="s">
        <v>12860</v>
      </c>
      <c r="M515" s="1" t="s">
        <v>14252</v>
      </c>
      <c r="N515" s="1" t="s">
        <v>14253</v>
      </c>
      <c r="O515" s="1"/>
      <c r="P515" s="1" t="s">
        <v>12863</v>
      </c>
      <c r="Q515" s="1"/>
      <c r="R515" s="1"/>
      <c r="S515" s="1"/>
      <c r="T515" s="1"/>
      <c r="U515" s="1"/>
      <c r="V515" s="1"/>
      <c r="W515" s="1"/>
      <c r="X515" s="1"/>
      <c r="Y515" s="1"/>
      <c r="Z515" s="1"/>
      <c r="AA515" s="1">
        <f t="shared" si="31"/>
        <v>0</v>
      </c>
      <c r="AB515" s="1" t="str">
        <f t="shared" si="32"/>
        <v>R2 retained</v>
      </c>
      <c r="AC515" s="1"/>
      <c r="AD515" s="1"/>
      <c r="AE515" s="1"/>
      <c r="AF515" s="1"/>
      <c r="AG515" s="1"/>
      <c r="AH515" s="1"/>
      <c r="AI515" s="1">
        <f t="shared" si="33"/>
        <v>0</v>
      </c>
      <c r="AJ515" s="5"/>
      <c r="AK515" s="5"/>
      <c r="AL515" s="7" t="s">
        <v>15077</v>
      </c>
    </row>
    <row r="516" spans="1:38" ht="36" customHeight="1">
      <c r="A516" s="1" t="s">
        <v>5306</v>
      </c>
      <c r="B516" s="1" t="s">
        <v>5547</v>
      </c>
      <c r="C516" s="1" t="s">
        <v>5548</v>
      </c>
      <c r="D516" s="1" t="s">
        <v>14254</v>
      </c>
      <c r="E516" s="1">
        <v>1</v>
      </c>
      <c r="F516" s="1"/>
      <c r="G516" s="1" t="s">
        <v>12859</v>
      </c>
      <c r="H516" s="1" t="s">
        <v>10412</v>
      </c>
      <c r="I516" s="1" t="s">
        <v>11735</v>
      </c>
      <c r="J516" s="1"/>
      <c r="K516" s="1"/>
      <c r="L516" s="1" t="s">
        <v>12860</v>
      </c>
      <c r="M516" s="1" t="s">
        <v>14255</v>
      </c>
      <c r="N516" s="1" t="s">
        <v>14256</v>
      </c>
      <c r="O516" s="1"/>
      <c r="P516" s="1" t="s">
        <v>12868</v>
      </c>
      <c r="Q516" s="1"/>
      <c r="R516" s="1"/>
      <c r="S516" s="1"/>
      <c r="T516" s="1"/>
      <c r="U516" s="1"/>
      <c r="V516" s="1"/>
      <c r="W516" s="1"/>
      <c r="X516" s="1"/>
      <c r="Y516" s="1"/>
      <c r="Z516" s="1"/>
      <c r="AA516" s="1">
        <f t="shared" si="31"/>
        <v>1</v>
      </c>
      <c r="AB516" s="1" t="str">
        <f t="shared" si="32"/>
        <v>R2 retained</v>
      </c>
      <c r="AC516" s="1"/>
      <c r="AD516" s="1"/>
      <c r="AE516" s="1"/>
      <c r="AF516" s="1"/>
      <c r="AG516" s="1"/>
      <c r="AH516" s="1"/>
      <c r="AI516" s="1">
        <f t="shared" si="33"/>
        <v>0</v>
      </c>
      <c r="AJ516" s="5"/>
      <c r="AK516" s="5"/>
      <c r="AL516" s="7" t="s">
        <v>15077</v>
      </c>
    </row>
    <row r="517" spans="1:38" ht="108" customHeight="1">
      <c r="A517" s="1" t="s">
        <v>5306</v>
      </c>
      <c r="B517" s="1" t="s">
        <v>5552</v>
      </c>
      <c r="C517" s="1" t="s">
        <v>5553</v>
      </c>
      <c r="D517" s="1" t="s">
        <v>14257</v>
      </c>
      <c r="E517" s="1">
        <v>0</v>
      </c>
      <c r="F517" s="1">
        <v>1</v>
      </c>
      <c r="G517" s="1" t="s">
        <v>12873</v>
      </c>
      <c r="H517" s="1" t="s">
        <v>10412</v>
      </c>
      <c r="I517" s="1" t="s">
        <v>4747</v>
      </c>
      <c r="J517" s="1"/>
      <c r="K517" s="1" t="s">
        <v>5325</v>
      </c>
      <c r="L517" s="1" t="s">
        <v>12930</v>
      </c>
      <c r="M517" s="1" t="s">
        <v>14258</v>
      </c>
      <c r="N517" s="1" t="s">
        <v>14259</v>
      </c>
      <c r="O517" s="1" t="s">
        <v>14260</v>
      </c>
      <c r="P517" s="1" t="s">
        <v>12863</v>
      </c>
      <c r="Q517" s="1">
        <v>1</v>
      </c>
      <c r="R517" s="1" t="s">
        <v>12877</v>
      </c>
      <c r="S517" s="1" t="s">
        <v>14261</v>
      </c>
      <c r="T517" s="1" t="s">
        <v>14262</v>
      </c>
      <c r="U517" s="1" t="s">
        <v>10417</v>
      </c>
      <c r="V517" s="1" t="s">
        <v>6096</v>
      </c>
      <c r="W517" s="1"/>
      <c r="X517" s="1"/>
      <c r="Y517" s="1" t="s">
        <v>14263</v>
      </c>
      <c r="Z517" s="1" t="s">
        <v>12883</v>
      </c>
      <c r="AA517" s="1">
        <f t="shared" si="31"/>
        <v>1</v>
      </c>
      <c r="AB517" s="1" t="str">
        <f t="shared" si="32"/>
        <v>Reviewer confirmed</v>
      </c>
      <c r="AC517" s="1"/>
      <c r="AD517" s="1"/>
      <c r="AE517" s="1"/>
      <c r="AF517" s="1"/>
      <c r="AG517" s="1"/>
      <c r="AH517" s="1"/>
      <c r="AI517" s="1">
        <f t="shared" si="33"/>
        <v>1</v>
      </c>
      <c r="AJ517" s="5"/>
      <c r="AK517" s="5"/>
      <c r="AL517" s="7" t="s">
        <v>15077</v>
      </c>
    </row>
    <row r="518" spans="1:38" ht="36" customHeight="1">
      <c r="A518" s="1" t="s">
        <v>5306</v>
      </c>
      <c r="B518" s="1" t="s">
        <v>5557</v>
      </c>
      <c r="C518" s="1" t="s">
        <v>5558</v>
      </c>
      <c r="D518" s="1" t="s">
        <v>10453</v>
      </c>
      <c r="E518" s="1">
        <v>0</v>
      </c>
      <c r="F518" s="1"/>
      <c r="G518" s="1" t="s">
        <v>12859</v>
      </c>
      <c r="H518" s="1" t="s">
        <v>10412</v>
      </c>
      <c r="I518" s="1" t="s">
        <v>4747</v>
      </c>
      <c r="J518" s="1"/>
      <c r="K518" s="1"/>
      <c r="L518" s="1" t="s">
        <v>12860</v>
      </c>
      <c r="M518" s="1" t="s">
        <v>10455</v>
      </c>
      <c r="N518" s="1" t="s">
        <v>14264</v>
      </c>
      <c r="O518" s="1"/>
      <c r="P518" s="1" t="s">
        <v>12863</v>
      </c>
      <c r="Q518" s="1"/>
      <c r="R518" s="1"/>
      <c r="S518" s="1"/>
      <c r="T518" s="1"/>
      <c r="U518" s="1"/>
      <c r="V518" s="1"/>
      <c r="W518" s="1"/>
      <c r="X518" s="1"/>
      <c r="Y518" s="1"/>
      <c r="Z518" s="1"/>
      <c r="AA518" s="1">
        <f t="shared" si="31"/>
        <v>0</v>
      </c>
      <c r="AB518" s="1" t="str">
        <f t="shared" si="32"/>
        <v>R2 retained</v>
      </c>
      <c r="AC518" s="1"/>
      <c r="AD518" s="1"/>
      <c r="AE518" s="1"/>
      <c r="AF518" s="1"/>
      <c r="AG518" s="1"/>
      <c r="AH518" s="1"/>
      <c r="AI518" s="1">
        <f t="shared" si="33"/>
        <v>0</v>
      </c>
      <c r="AJ518" s="5"/>
      <c r="AK518" s="5"/>
      <c r="AL518" s="7" t="s">
        <v>15077</v>
      </c>
    </row>
    <row r="519" spans="1:38" ht="60" customHeight="1">
      <c r="A519" s="1" t="s">
        <v>5306</v>
      </c>
      <c r="B519" s="1" t="s">
        <v>5562</v>
      </c>
      <c r="C519" s="1" t="s">
        <v>5563</v>
      </c>
      <c r="D519" s="1" t="s">
        <v>5784</v>
      </c>
      <c r="E519" s="1">
        <v>0</v>
      </c>
      <c r="F519" s="1">
        <v>1</v>
      </c>
      <c r="G519" s="1" t="s">
        <v>4691</v>
      </c>
      <c r="H519" s="1" t="s">
        <v>10412</v>
      </c>
      <c r="I519" s="1" t="s">
        <v>4747</v>
      </c>
      <c r="J519" s="1"/>
      <c r="K519" s="1"/>
      <c r="L519" s="1" t="s">
        <v>12860</v>
      </c>
      <c r="M519" s="1" t="s">
        <v>10458</v>
      </c>
      <c r="N519" s="1" t="s">
        <v>14265</v>
      </c>
      <c r="O519" s="1" t="s">
        <v>14266</v>
      </c>
      <c r="P519" s="1" t="s">
        <v>12917</v>
      </c>
      <c r="Q519" s="1"/>
      <c r="R519" s="1"/>
      <c r="S519" s="1"/>
      <c r="T519" s="1"/>
      <c r="U519" s="1"/>
      <c r="V519" s="1"/>
      <c r="W519" s="1"/>
      <c r="X519" s="1"/>
      <c r="Y519" s="1" t="s">
        <v>5786</v>
      </c>
      <c r="Z519" s="1" t="s">
        <v>12918</v>
      </c>
      <c r="AA519" s="1">
        <f t="shared" si="31"/>
        <v>1</v>
      </c>
      <c r="AB519" s="1" t="str">
        <f t="shared" si="32"/>
        <v>Reviewer confirmed</v>
      </c>
      <c r="AC519" s="1">
        <v>1</v>
      </c>
      <c r="AD519" s="1" t="s">
        <v>12936</v>
      </c>
      <c r="AE519" s="1" t="s">
        <v>5786</v>
      </c>
      <c r="AF519" s="1" t="s">
        <v>5785</v>
      </c>
      <c r="AG519" s="1" t="s">
        <v>5787</v>
      </c>
      <c r="AH519" s="1" t="s">
        <v>5461</v>
      </c>
      <c r="AI519" s="1">
        <f t="shared" si="33"/>
        <v>1</v>
      </c>
      <c r="AJ519" s="5"/>
      <c r="AK519" s="5"/>
      <c r="AL519" s="7" t="s">
        <v>15077</v>
      </c>
    </row>
    <row r="520" spans="1:38" ht="36" customHeight="1">
      <c r="A520" s="1" t="s">
        <v>5306</v>
      </c>
      <c r="B520" s="1" t="s">
        <v>5567</v>
      </c>
      <c r="C520" s="1" t="s">
        <v>5568</v>
      </c>
      <c r="D520" s="1" t="s">
        <v>8315</v>
      </c>
      <c r="E520" s="1">
        <v>0</v>
      </c>
      <c r="F520" s="1"/>
      <c r="G520" s="1" t="s">
        <v>12859</v>
      </c>
      <c r="H520" s="1" t="s">
        <v>10412</v>
      </c>
      <c r="I520" s="1" t="s">
        <v>4747</v>
      </c>
      <c r="J520" s="1"/>
      <c r="K520" s="1"/>
      <c r="L520" s="1" t="s">
        <v>12860</v>
      </c>
      <c r="M520" s="1" t="s">
        <v>14267</v>
      </c>
      <c r="N520" s="1" t="s">
        <v>14268</v>
      </c>
      <c r="O520" s="1"/>
      <c r="P520" s="1" t="s">
        <v>12863</v>
      </c>
      <c r="Q520" s="1"/>
      <c r="R520" s="1"/>
      <c r="S520" s="1"/>
      <c r="T520" s="1"/>
      <c r="U520" s="1"/>
      <c r="V520" s="1"/>
      <c r="W520" s="1"/>
      <c r="X520" s="1"/>
      <c r="Y520" s="1"/>
      <c r="Z520" s="1"/>
      <c r="AA520" s="1">
        <f t="shared" si="31"/>
        <v>0</v>
      </c>
      <c r="AB520" s="1" t="str">
        <f t="shared" si="32"/>
        <v>R2 retained</v>
      </c>
      <c r="AC520" s="1"/>
      <c r="AD520" s="1"/>
      <c r="AE520" s="1"/>
      <c r="AF520" s="1"/>
      <c r="AG520" s="1"/>
      <c r="AH520" s="1"/>
      <c r="AI520" s="1">
        <f t="shared" si="33"/>
        <v>0</v>
      </c>
      <c r="AJ520" s="5"/>
      <c r="AK520" s="5"/>
      <c r="AL520" s="7" t="s">
        <v>15077</v>
      </c>
    </row>
    <row r="521" spans="1:38" ht="72" customHeight="1">
      <c r="A521" s="1" t="s">
        <v>5306</v>
      </c>
      <c r="B521" s="1" t="s">
        <v>5572</v>
      </c>
      <c r="C521" s="1" t="s">
        <v>5573</v>
      </c>
      <c r="D521" s="1" t="s">
        <v>14269</v>
      </c>
      <c r="E521" s="1">
        <v>0</v>
      </c>
      <c r="F521" s="1">
        <v>2</v>
      </c>
      <c r="G521" s="1" t="s">
        <v>12873</v>
      </c>
      <c r="H521" s="1" t="s">
        <v>10412</v>
      </c>
      <c r="I521" s="1" t="s">
        <v>4747</v>
      </c>
      <c r="J521" s="1"/>
      <c r="K521" s="1"/>
      <c r="L521" s="1" t="s">
        <v>12860</v>
      </c>
      <c r="M521" s="1" t="s">
        <v>14270</v>
      </c>
      <c r="N521" s="1" t="s">
        <v>14271</v>
      </c>
      <c r="O521" s="1" t="s">
        <v>14245</v>
      </c>
      <c r="P521" s="1" t="s">
        <v>14246</v>
      </c>
      <c r="Q521" s="1">
        <v>2</v>
      </c>
      <c r="R521" s="1" t="s">
        <v>12877</v>
      </c>
      <c r="S521" s="1" t="s">
        <v>14272</v>
      </c>
      <c r="T521" s="1" t="s">
        <v>14248</v>
      </c>
      <c r="U521" s="1" t="s">
        <v>14249</v>
      </c>
      <c r="V521" s="1" t="s">
        <v>6096</v>
      </c>
      <c r="W521" s="1"/>
      <c r="X521" s="1"/>
      <c r="Y521" s="1" t="s">
        <v>14250</v>
      </c>
      <c r="Z521" s="1" t="s">
        <v>12883</v>
      </c>
      <c r="AA521" s="1">
        <f t="shared" si="31"/>
        <v>2</v>
      </c>
      <c r="AB521" s="1" t="str">
        <f t="shared" si="32"/>
        <v>Reviewer confirmed</v>
      </c>
      <c r="AC521" s="1"/>
      <c r="AD521" s="1"/>
      <c r="AE521" s="1"/>
      <c r="AF521" s="1"/>
      <c r="AG521" s="1"/>
      <c r="AH521" s="1"/>
      <c r="AI521" s="1">
        <f t="shared" si="33"/>
        <v>1</v>
      </c>
      <c r="AJ521" s="5"/>
      <c r="AK521" s="5"/>
      <c r="AL521" s="7" t="s">
        <v>15077</v>
      </c>
    </row>
    <row r="522" spans="1:38" ht="36" customHeight="1">
      <c r="A522" s="1" t="s">
        <v>5306</v>
      </c>
      <c r="B522" s="1" t="s">
        <v>5577</v>
      </c>
      <c r="C522" s="1" t="s">
        <v>5578</v>
      </c>
      <c r="D522" s="1" t="s">
        <v>14273</v>
      </c>
      <c r="E522" s="1">
        <v>2</v>
      </c>
      <c r="F522" s="1"/>
      <c r="G522" s="1" t="s">
        <v>12859</v>
      </c>
      <c r="H522" s="1" t="s">
        <v>10412</v>
      </c>
      <c r="I522" s="1" t="s">
        <v>4959</v>
      </c>
      <c r="J522" s="1"/>
      <c r="K522" s="1"/>
      <c r="L522" s="1" t="s">
        <v>12860</v>
      </c>
      <c r="M522" s="1" t="s">
        <v>14274</v>
      </c>
      <c r="N522" s="1" t="s">
        <v>14275</v>
      </c>
      <c r="O522" s="1"/>
      <c r="P522" s="1" t="s">
        <v>12868</v>
      </c>
      <c r="Q522" s="1"/>
      <c r="R522" s="1"/>
      <c r="S522" s="1"/>
      <c r="T522" s="1"/>
      <c r="U522" s="1"/>
      <c r="V522" s="1"/>
      <c r="W522" s="1"/>
      <c r="X522" s="1"/>
      <c r="Y522" s="1"/>
      <c r="Z522" s="1"/>
      <c r="AA522" s="1">
        <f t="shared" si="31"/>
        <v>2</v>
      </c>
      <c r="AB522" s="1" t="str">
        <f t="shared" si="32"/>
        <v>R2 retained</v>
      </c>
      <c r="AC522" s="1"/>
      <c r="AD522" s="1"/>
      <c r="AE522" s="1"/>
      <c r="AF522" s="1"/>
      <c r="AG522" s="1"/>
      <c r="AH522" s="1"/>
      <c r="AI522" s="1">
        <f t="shared" si="33"/>
        <v>0</v>
      </c>
      <c r="AJ522" s="5"/>
      <c r="AK522" s="5"/>
      <c r="AL522" s="7" t="s">
        <v>15077</v>
      </c>
    </row>
    <row r="523" spans="1:38" ht="72" customHeight="1">
      <c r="A523" s="1" t="s">
        <v>5306</v>
      </c>
      <c r="B523" s="1" t="s">
        <v>5582</v>
      </c>
      <c r="C523" s="1" t="s">
        <v>5583</v>
      </c>
      <c r="D523" s="1" t="s">
        <v>10510</v>
      </c>
      <c r="E523" s="1">
        <v>0</v>
      </c>
      <c r="F523" s="1">
        <v>2</v>
      </c>
      <c r="G523" s="1" t="s">
        <v>12873</v>
      </c>
      <c r="H523" s="1" t="s">
        <v>10412</v>
      </c>
      <c r="I523" s="1" t="s">
        <v>4747</v>
      </c>
      <c r="J523" s="1"/>
      <c r="K523" s="1"/>
      <c r="L523" s="1" t="s">
        <v>12860</v>
      </c>
      <c r="M523" s="1" t="s">
        <v>10512</v>
      </c>
      <c r="N523" s="1" t="s">
        <v>14276</v>
      </c>
      <c r="O523" s="1" t="s">
        <v>14245</v>
      </c>
      <c r="P523" s="1" t="s">
        <v>14246</v>
      </c>
      <c r="Q523" s="1">
        <v>2</v>
      </c>
      <c r="R523" s="1" t="s">
        <v>12877</v>
      </c>
      <c r="S523" s="1" t="s">
        <v>14277</v>
      </c>
      <c r="T523" s="1" t="s">
        <v>14248</v>
      </c>
      <c r="U523" s="1" t="s">
        <v>14249</v>
      </c>
      <c r="V523" s="1" t="s">
        <v>6096</v>
      </c>
      <c r="W523" s="1"/>
      <c r="X523" s="1"/>
      <c r="Y523" s="1" t="s">
        <v>14250</v>
      </c>
      <c r="Z523" s="1" t="s">
        <v>12883</v>
      </c>
      <c r="AA523" s="1">
        <f t="shared" si="31"/>
        <v>2</v>
      </c>
      <c r="AB523" s="1" t="str">
        <f t="shared" si="32"/>
        <v>Reviewer confirmed</v>
      </c>
      <c r="AC523" s="1">
        <v>2</v>
      </c>
      <c r="AD523" s="1" t="s">
        <v>12936</v>
      </c>
      <c r="AE523" s="1" t="s">
        <v>14278</v>
      </c>
      <c r="AF523" s="1" t="s">
        <v>14279</v>
      </c>
      <c r="AG523" s="1" t="s">
        <v>14249</v>
      </c>
      <c r="AH523" s="1" t="s">
        <v>6096</v>
      </c>
      <c r="AI523" s="1">
        <f t="shared" si="33"/>
        <v>1</v>
      </c>
      <c r="AJ523" s="5" t="s">
        <v>12898</v>
      </c>
      <c r="AK523" s="5" t="s">
        <v>12899</v>
      </c>
      <c r="AL523" s="7" t="s">
        <v>15077</v>
      </c>
    </row>
    <row r="524" spans="1:38" ht="36" customHeight="1">
      <c r="A524" s="1" t="s">
        <v>5306</v>
      </c>
      <c r="B524" s="1" t="s">
        <v>5586</v>
      </c>
      <c r="C524" s="1" t="s">
        <v>5587</v>
      </c>
      <c r="D524" s="1" t="s">
        <v>14280</v>
      </c>
      <c r="E524" s="1">
        <v>0</v>
      </c>
      <c r="F524" s="1"/>
      <c r="G524" s="1" t="s">
        <v>12859</v>
      </c>
      <c r="H524" s="1" t="s">
        <v>10412</v>
      </c>
      <c r="I524" s="1" t="s">
        <v>4747</v>
      </c>
      <c r="J524" s="1"/>
      <c r="K524" s="1"/>
      <c r="L524" s="1" t="s">
        <v>12860</v>
      </c>
      <c r="M524" s="1" t="s">
        <v>14281</v>
      </c>
      <c r="N524" s="1" t="s">
        <v>14282</v>
      </c>
      <c r="O524" s="1"/>
      <c r="P524" s="1" t="s">
        <v>12863</v>
      </c>
      <c r="Q524" s="1"/>
      <c r="R524" s="1"/>
      <c r="S524" s="1"/>
      <c r="T524" s="1"/>
      <c r="U524" s="1"/>
      <c r="V524" s="1"/>
      <c r="W524" s="1"/>
      <c r="X524" s="1"/>
      <c r="Y524" s="1"/>
      <c r="Z524" s="1"/>
      <c r="AA524" s="1">
        <f t="shared" si="31"/>
        <v>0</v>
      </c>
      <c r="AB524" s="1" t="str">
        <f t="shared" si="32"/>
        <v>R2 retained</v>
      </c>
      <c r="AC524" s="1"/>
      <c r="AD524" s="1"/>
      <c r="AE524" s="1"/>
      <c r="AF524" s="1"/>
      <c r="AG524" s="1"/>
      <c r="AH524" s="1"/>
      <c r="AI524" s="1">
        <f t="shared" si="33"/>
        <v>0</v>
      </c>
      <c r="AJ524" s="5"/>
      <c r="AK524" s="5"/>
      <c r="AL524" s="7" t="s">
        <v>15077</v>
      </c>
    </row>
    <row r="525" spans="1:38" ht="120" customHeight="1">
      <c r="A525" s="1" t="s">
        <v>5306</v>
      </c>
      <c r="B525" s="1" t="s">
        <v>5591</v>
      </c>
      <c r="C525" s="1" t="s">
        <v>5592</v>
      </c>
      <c r="D525" s="1" t="s">
        <v>14283</v>
      </c>
      <c r="E525" s="1">
        <v>1</v>
      </c>
      <c r="F525" s="1">
        <v>0</v>
      </c>
      <c r="G525" s="1" t="s">
        <v>12873</v>
      </c>
      <c r="H525" s="1" t="s">
        <v>10412</v>
      </c>
      <c r="I525" s="1"/>
      <c r="J525" s="1"/>
      <c r="K525" s="1"/>
      <c r="L525" s="1" t="s">
        <v>12860</v>
      </c>
      <c r="M525" s="1" t="s">
        <v>14284</v>
      </c>
      <c r="N525" s="1" t="s">
        <v>14285</v>
      </c>
      <c r="O525" s="1" t="s">
        <v>14286</v>
      </c>
      <c r="P525" s="1" t="s">
        <v>12876</v>
      </c>
      <c r="Q525" s="1">
        <v>0</v>
      </c>
      <c r="R525" s="1" t="s">
        <v>12877</v>
      </c>
      <c r="S525" s="1" t="s">
        <v>14287</v>
      </c>
      <c r="T525" s="1" t="s">
        <v>14288</v>
      </c>
      <c r="U525" s="1" t="s">
        <v>10417</v>
      </c>
      <c r="V525" s="1" t="s">
        <v>6096</v>
      </c>
      <c r="W525" s="1" t="s">
        <v>12880</v>
      </c>
      <c r="X525" s="1"/>
      <c r="Y525" s="1" t="s">
        <v>14289</v>
      </c>
      <c r="Z525" s="1" t="s">
        <v>12883</v>
      </c>
      <c r="AA525" s="1">
        <f t="shared" si="31"/>
        <v>0</v>
      </c>
      <c r="AB525" s="1" t="str">
        <f t="shared" si="32"/>
        <v>Reviewer confirmed</v>
      </c>
      <c r="AC525" s="1">
        <v>0</v>
      </c>
      <c r="AD525" s="1" t="s">
        <v>12936</v>
      </c>
      <c r="AE525" s="1" t="s">
        <v>14290</v>
      </c>
      <c r="AF525" s="1" t="s">
        <v>14288</v>
      </c>
      <c r="AG525" s="1" t="s">
        <v>10417</v>
      </c>
      <c r="AH525" s="1" t="s">
        <v>6096</v>
      </c>
      <c r="AI525" s="1">
        <f t="shared" si="33"/>
        <v>1</v>
      </c>
      <c r="AJ525" s="5" t="s">
        <v>12898</v>
      </c>
      <c r="AK525" s="5" t="s">
        <v>12899</v>
      </c>
      <c r="AL525" s="7" t="s">
        <v>15077</v>
      </c>
    </row>
    <row r="526" spans="1:38" ht="36" customHeight="1">
      <c r="A526" s="1" t="s">
        <v>5306</v>
      </c>
      <c r="B526" s="1" t="s">
        <v>5596</v>
      </c>
      <c r="C526" s="1" t="s">
        <v>5597</v>
      </c>
      <c r="D526" s="1" t="s">
        <v>14291</v>
      </c>
      <c r="E526" s="1">
        <v>0</v>
      </c>
      <c r="F526" s="1"/>
      <c r="G526" s="1" t="s">
        <v>12859</v>
      </c>
      <c r="H526" s="1" t="s">
        <v>10412</v>
      </c>
      <c r="I526" s="1" t="s">
        <v>4747</v>
      </c>
      <c r="J526" s="1"/>
      <c r="K526" s="1"/>
      <c r="L526" s="1" t="s">
        <v>12860</v>
      </c>
      <c r="M526" s="1" t="s">
        <v>14292</v>
      </c>
      <c r="N526" s="1" t="s">
        <v>14293</v>
      </c>
      <c r="O526" s="1"/>
      <c r="P526" s="1" t="s">
        <v>12863</v>
      </c>
      <c r="Q526" s="1"/>
      <c r="R526" s="1"/>
      <c r="S526" s="1"/>
      <c r="T526" s="1"/>
      <c r="U526" s="1"/>
      <c r="V526" s="1"/>
      <c r="W526" s="1"/>
      <c r="X526" s="1"/>
      <c r="Y526" s="1"/>
      <c r="Z526" s="1"/>
      <c r="AA526" s="1">
        <f t="shared" si="31"/>
        <v>0</v>
      </c>
      <c r="AB526" s="1" t="str">
        <f t="shared" si="32"/>
        <v>R2 retained</v>
      </c>
      <c r="AC526" s="1"/>
      <c r="AD526" s="1"/>
      <c r="AE526" s="1"/>
      <c r="AF526" s="1"/>
      <c r="AG526" s="1"/>
      <c r="AH526" s="1"/>
      <c r="AI526" s="1">
        <f t="shared" si="33"/>
        <v>0</v>
      </c>
      <c r="AJ526" s="5"/>
      <c r="AK526" s="5"/>
      <c r="AL526" s="7" t="s">
        <v>15077</v>
      </c>
    </row>
    <row r="527" spans="1:38" ht="36" customHeight="1">
      <c r="A527" s="1" t="s">
        <v>5306</v>
      </c>
      <c r="B527" s="1" t="s">
        <v>5601</v>
      </c>
      <c r="C527" s="1" t="s">
        <v>5602</v>
      </c>
      <c r="D527" s="1" t="s">
        <v>10534</v>
      </c>
      <c r="E527" s="1">
        <v>1</v>
      </c>
      <c r="F527" s="1"/>
      <c r="G527" s="1" t="s">
        <v>12859</v>
      </c>
      <c r="H527" s="1" t="s">
        <v>10412</v>
      </c>
      <c r="I527" s="1"/>
      <c r="J527" s="1"/>
      <c r="K527" s="1"/>
      <c r="L527" s="1" t="s">
        <v>12860</v>
      </c>
      <c r="M527" s="1" t="s">
        <v>10535</v>
      </c>
      <c r="N527" s="1" t="s">
        <v>14294</v>
      </c>
      <c r="O527" s="1"/>
      <c r="P527" s="1" t="s">
        <v>12876</v>
      </c>
      <c r="Q527" s="1">
        <v>1</v>
      </c>
      <c r="R527" s="1" t="s">
        <v>12981</v>
      </c>
      <c r="S527" s="1" t="s">
        <v>14295</v>
      </c>
      <c r="T527" s="1" t="s">
        <v>14296</v>
      </c>
      <c r="U527" s="1" t="s">
        <v>10417</v>
      </c>
      <c r="V527" s="1" t="s">
        <v>6096</v>
      </c>
      <c r="W527" s="1"/>
      <c r="X527" s="1"/>
      <c r="Y527" s="1"/>
      <c r="Z527" s="1" t="s">
        <v>12908</v>
      </c>
      <c r="AA527" s="1">
        <f t="shared" si="31"/>
        <v>1</v>
      </c>
      <c r="AB527" s="1" t="str">
        <f t="shared" si="32"/>
        <v>R2 retained</v>
      </c>
      <c r="AC527" s="1"/>
      <c r="AD527" s="1"/>
      <c r="AE527" s="1"/>
      <c r="AF527" s="1"/>
      <c r="AG527" s="1"/>
      <c r="AH527" s="1"/>
      <c r="AI527" s="1">
        <f t="shared" si="33"/>
        <v>1</v>
      </c>
      <c r="AJ527" s="5"/>
      <c r="AK527" s="5"/>
      <c r="AL527" s="7" t="s">
        <v>15077</v>
      </c>
    </row>
    <row r="528" spans="1:38" ht="36" customHeight="1">
      <c r="A528" s="1" t="s">
        <v>5306</v>
      </c>
      <c r="B528" s="1" t="s">
        <v>5606</v>
      </c>
      <c r="C528" s="1" t="s">
        <v>5607</v>
      </c>
      <c r="D528" s="1" t="s">
        <v>10537</v>
      </c>
      <c r="E528" s="1">
        <v>2</v>
      </c>
      <c r="F528" s="1"/>
      <c r="G528" s="1" t="s">
        <v>12859</v>
      </c>
      <c r="H528" s="1" t="s">
        <v>10412</v>
      </c>
      <c r="I528" s="1" t="s">
        <v>11735</v>
      </c>
      <c r="J528" s="1"/>
      <c r="K528" s="1"/>
      <c r="L528" s="1" t="s">
        <v>12860</v>
      </c>
      <c r="M528" s="1" t="s">
        <v>10539</v>
      </c>
      <c r="N528" s="1" t="s">
        <v>14297</v>
      </c>
      <c r="O528" s="1"/>
      <c r="P528" s="1" t="s">
        <v>12868</v>
      </c>
      <c r="Q528" s="1"/>
      <c r="R528" s="1"/>
      <c r="S528" s="1"/>
      <c r="T528" s="1"/>
      <c r="U528" s="1"/>
      <c r="V528" s="1"/>
      <c r="W528" s="1"/>
      <c r="X528" s="1"/>
      <c r="Y528" s="1"/>
      <c r="Z528" s="1"/>
      <c r="AA528" s="1">
        <f t="shared" si="31"/>
        <v>2</v>
      </c>
      <c r="AB528" s="1" t="str">
        <f t="shared" si="32"/>
        <v>R2 retained</v>
      </c>
      <c r="AC528" s="1"/>
      <c r="AD528" s="1"/>
      <c r="AE528" s="1"/>
      <c r="AF528" s="1"/>
      <c r="AG528" s="1"/>
      <c r="AH528" s="1"/>
      <c r="AI528" s="1">
        <f t="shared" si="33"/>
        <v>0</v>
      </c>
      <c r="AJ528" s="5"/>
      <c r="AK528" s="5"/>
      <c r="AL528" s="7" t="s">
        <v>15077</v>
      </c>
    </row>
    <row r="529" spans="1:38" ht="36" customHeight="1">
      <c r="A529" s="1" t="s">
        <v>5306</v>
      </c>
      <c r="B529" s="1" t="s">
        <v>5454</v>
      </c>
      <c r="C529" s="1" t="s">
        <v>5455</v>
      </c>
      <c r="D529" s="1" t="s">
        <v>9691</v>
      </c>
      <c r="E529" s="1">
        <v>1</v>
      </c>
      <c r="F529" s="1"/>
      <c r="G529" s="1" t="s">
        <v>12859</v>
      </c>
      <c r="H529" s="1" t="s">
        <v>10412</v>
      </c>
      <c r="I529" s="1" t="s">
        <v>14298</v>
      </c>
      <c r="J529" s="1"/>
      <c r="K529" s="1"/>
      <c r="L529" s="1" t="s">
        <v>12860</v>
      </c>
      <c r="M529" s="1" t="s">
        <v>10542</v>
      </c>
      <c r="N529" s="1" t="s">
        <v>14299</v>
      </c>
      <c r="O529" s="1"/>
      <c r="P529" s="1" t="s">
        <v>12868</v>
      </c>
      <c r="Q529" s="1"/>
      <c r="R529" s="1"/>
      <c r="S529" s="1"/>
      <c r="T529" s="1"/>
      <c r="U529" s="1"/>
      <c r="V529" s="1"/>
      <c r="W529" s="1"/>
      <c r="X529" s="1"/>
      <c r="Y529" s="1"/>
      <c r="Z529" s="1"/>
      <c r="AA529" s="1">
        <f t="shared" si="31"/>
        <v>1</v>
      </c>
      <c r="AB529" s="1" t="str">
        <f t="shared" si="32"/>
        <v>R2 retained</v>
      </c>
      <c r="AC529" s="1">
        <v>1</v>
      </c>
      <c r="AD529" s="1" t="s">
        <v>12884</v>
      </c>
      <c r="AE529" s="1" t="s">
        <v>14300</v>
      </c>
      <c r="AF529" s="1" t="s">
        <v>14301</v>
      </c>
      <c r="AG529" s="1" t="s">
        <v>10417</v>
      </c>
      <c r="AH529" s="1" t="s">
        <v>6096</v>
      </c>
      <c r="AI529" s="1">
        <f t="shared" si="33"/>
        <v>1</v>
      </c>
      <c r="AJ529" s="5" t="s">
        <v>12898</v>
      </c>
      <c r="AK529" s="5" t="s">
        <v>12899</v>
      </c>
      <c r="AL529" s="7" t="s">
        <v>15077</v>
      </c>
    </row>
    <row r="530" spans="1:38" ht="36" customHeight="1">
      <c r="A530" s="1" t="s">
        <v>5330</v>
      </c>
      <c r="B530" s="1" t="s">
        <v>5537</v>
      </c>
      <c r="C530" s="1" t="s">
        <v>5538</v>
      </c>
      <c r="D530" s="1" t="s">
        <v>10627</v>
      </c>
      <c r="E530" s="1">
        <v>0</v>
      </c>
      <c r="F530" s="1"/>
      <c r="G530" s="1" t="s">
        <v>12859</v>
      </c>
      <c r="H530" s="1" t="s">
        <v>10557</v>
      </c>
      <c r="I530" s="1" t="s">
        <v>4747</v>
      </c>
      <c r="J530" s="1"/>
      <c r="K530" s="1"/>
      <c r="L530" s="1" t="s">
        <v>12860</v>
      </c>
      <c r="M530" s="1" t="s">
        <v>14302</v>
      </c>
      <c r="N530" s="1" t="s">
        <v>14303</v>
      </c>
      <c r="O530" s="1"/>
      <c r="P530" s="1" t="s">
        <v>12863</v>
      </c>
      <c r="Q530" s="1"/>
      <c r="R530" s="1"/>
      <c r="S530" s="1"/>
      <c r="T530" s="1"/>
      <c r="U530" s="1"/>
      <c r="V530" s="1"/>
      <c r="W530" s="1"/>
      <c r="X530" s="1"/>
      <c r="Y530" s="1"/>
      <c r="Z530" s="1"/>
      <c r="AA530" s="1">
        <f t="shared" si="31"/>
        <v>0</v>
      </c>
      <c r="AB530" s="1" t="str">
        <f t="shared" si="32"/>
        <v>R2 retained</v>
      </c>
      <c r="AC530" s="1"/>
      <c r="AD530" s="1"/>
      <c r="AE530" s="1"/>
      <c r="AF530" s="1"/>
      <c r="AG530" s="1"/>
      <c r="AH530" s="1"/>
      <c r="AI530" s="1">
        <f t="shared" si="33"/>
        <v>0</v>
      </c>
      <c r="AJ530" s="5"/>
      <c r="AK530" s="5"/>
      <c r="AL530" s="7" t="s">
        <v>15077</v>
      </c>
    </row>
    <row r="531" spans="1:38" ht="36" customHeight="1">
      <c r="A531" s="1" t="s">
        <v>5330</v>
      </c>
      <c r="B531" s="1" t="s">
        <v>5542</v>
      </c>
      <c r="C531" s="1" t="s">
        <v>5543</v>
      </c>
      <c r="D531" s="1" t="s">
        <v>10627</v>
      </c>
      <c r="E531" s="1">
        <v>0</v>
      </c>
      <c r="F531" s="1"/>
      <c r="G531" s="1" t="s">
        <v>12859</v>
      </c>
      <c r="H531" s="1" t="s">
        <v>10557</v>
      </c>
      <c r="I531" s="1" t="s">
        <v>4747</v>
      </c>
      <c r="J531" s="1"/>
      <c r="K531" s="1"/>
      <c r="L531" s="1" t="s">
        <v>12860</v>
      </c>
      <c r="M531" s="1" t="s">
        <v>14304</v>
      </c>
      <c r="N531" s="1" t="s">
        <v>14305</v>
      </c>
      <c r="O531" s="1"/>
      <c r="P531" s="1" t="s">
        <v>12863</v>
      </c>
      <c r="Q531" s="1"/>
      <c r="R531" s="1"/>
      <c r="S531" s="1"/>
      <c r="T531" s="1"/>
      <c r="U531" s="1"/>
      <c r="V531" s="1"/>
      <c r="W531" s="1"/>
      <c r="X531" s="1"/>
      <c r="Y531" s="1"/>
      <c r="Z531" s="1"/>
      <c r="AA531" s="1">
        <f t="shared" si="31"/>
        <v>0</v>
      </c>
      <c r="AB531" s="1" t="str">
        <f t="shared" si="32"/>
        <v>R2 retained</v>
      </c>
      <c r="AC531" s="1"/>
      <c r="AD531" s="1"/>
      <c r="AE531" s="1"/>
      <c r="AF531" s="1"/>
      <c r="AG531" s="1"/>
      <c r="AH531" s="1"/>
      <c r="AI531" s="1">
        <f t="shared" si="33"/>
        <v>0</v>
      </c>
      <c r="AJ531" s="5"/>
      <c r="AK531" s="5"/>
      <c r="AL531" s="7" t="s">
        <v>15077</v>
      </c>
    </row>
    <row r="532" spans="1:38" ht="48" customHeight="1">
      <c r="A532" s="1" t="s">
        <v>5330</v>
      </c>
      <c r="B532" s="1" t="s">
        <v>5547</v>
      </c>
      <c r="C532" s="1" t="s">
        <v>5548</v>
      </c>
      <c r="D532" s="1" t="s">
        <v>14306</v>
      </c>
      <c r="E532" s="1">
        <v>1</v>
      </c>
      <c r="F532" s="1"/>
      <c r="G532" s="1" t="s">
        <v>12859</v>
      </c>
      <c r="H532" s="1" t="s">
        <v>10557</v>
      </c>
      <c r="I532" s="1"/>
      <c r="J532" s="1"/>
      <c r="K532" s="1"/>
      <c r="L532" s="1" t="s">
        <v>12860</v>
      </c>
      <c r="M532" s="1" t="s">
        <v>14307</v>
      </c>
      <c r="N532" s="1" t="s">
        <v>14308</v>
      </c>
      <c r="O532" s="1"/>
      <c r="P532" s="1" t="s">
        <v>12876</v>
      </c>
      <c r="Q532" s="1">
        <v>1</v>
      </c>
      <c r="R532" s="1" t="s">
        <v>12981</v>
      </c>
      <c r="S532" s="1" t="s">
        <v>14309</v>
      </c>
      <c r="T532" s="1" t="s">
        <v>14310</v>
      </c>
      <c r="U532" s="1" t="s">
        <v>10562</v>
      </c>
      <c r="V532" s="1" t="s">
        <v>6096</v>
      </c>
      <c r="W532" s="1"/>
      <c r="X532" s="1"/>
      <c r="Y532" s="1"/>
      <c r="Z532" s="1" t="s">
        <v>12908</v>
      </c>
      <c r="AA532" s="1">
        <f t="shared" si="31"/>
        <v>1</v>
      </c>
      <c r="AB532" s="1" t="str">
        <f t="shared" si="32"/>
        <v>R2 retained</v>
      </c>
      <c r="AC532" s="1"/>
      <c r="AD532" s="1"/>
      <c r="AE532" s="1"/>
      <c r="AF532" s="1"/>
      <c r="AG532" s="1"/>
      <c r="AH532" s="1"/>
      <c r="AI532" s="1">
        <f t="shared" si="33"/>
        <v>1</v>
      </c>
      <c r="AJ532" s="5"/>
      <c r="AK532" s="5"/>
      <c r="AL532" s="7" t="s">
        <v>15077</v>
      </c>
    </row>
    <row r="533" spans="1:38" ht="36" customHeight="1">
      <c r="A533" s="1" t="s">
        <v>5330</v>
      </c>
      <c r="B533" s="1" t="s">
        <v>5552</v>
      </c>
      <c r="C533" s="1" t="s">
        <v>5553</v>
      </c>
      <c r="D533" s="1" t="s">
        <v>14311</v>
      </c>
      <c r="E533" s="1">
        <v>1</v>
      </c>
      <c r="F533" s="1"/>
      <c r="G533" s="1" t="s">
        <v>12859</v>
      </c>
      <c r="H533" s="1" t="s">
        <v>10557</v>
      </c>
      <c r="I533" s="1" t="s">
        <v>4886</v>
      </c>
      <c r="J533" s="1"/>
      <c r="K533" s="1"/>
      <c r="L533" s="1" t="s">
        <v>12860</v>
      </c>
      <c r="M533" s="1" t="s">
        <v>14312</v>
      </c>
      <c r="N533" s="1" t="s">
        <v>14313</v>
      </c>
      <c r="O533" s="1"/>
      <c r="P533" s="1" t="s">
        <v>12868</v>
      </c>
      <c r="Q533" s="1"/>
      <c r="R533" s="1"/>
      <c r="S533" s="1"/>
      <c r="T533" s="1"/>
      <c r="U533" s="1"/>
      <c r="V533" s="1"/>
      <c r="W533" s="1"/>
      <c r="X533" s="1"/>
      <c r="Y533" s="1"/>
      <c r="Z533" s="1"/>
      <c r="AA533" s="1">
        <f t="shared" si="31"/>
        <v>1</v>
      </c>
      <c r="AB533" s="1" t="str">
        <f t="shared" si="32"/>
        <v>R2 retained</v>
      </c>
      <c r="AC533" s="1"/>
      <c r="AD533" s="1"/>
      <c r="AE533" s="1"/>
      <c r="AF533" s="1"/>
      <c r="AG533" s="1"/>
      <c r="AH533" s="1"/>
      <c r="AI533" s="1">
        <f t="shared" si="33"/>
        <v>0</v>
      </c>
      <c r="AJ533" s="5"/>
      <c r="AK533" s="5"/>
      <c r="AL533" s="7" t="s">
        <v>15077</v>
      </c>
    </row>
    <row r="534" spans="1:38" ht="36" customHeight="1">
      <c r="A534" s="1" t="s">
        <v>5330</v>
      </c>
      <c r="B534" s="1" t="s">
        <v>5557</v>
      </c>
      <c r="C534" s="1" t="s">
        <v>5558</v>
      </c>
      <c r="D534" s="1" t="s">
        <v>10595</v>
      </c>
      <c r="E534" s="1">
        <v>0</v>
      </c>
      <c r="F534" s="1"/>
      <c r="G534" s="1" t="s">
        <v>12859</v>
      </c>
      <c r="H534" s="1" t="s">
        <v>10557</v>
      </c>
      <c r="I534" s="1" t="s">
        <v>4747</v>
      </c>
      <c r="J534" s="1"/>
      <c r="K534" s="1"/>
      <c r="L534" s="1" t="s">
        <v>12860</v>
      </c>
      <c r="M534" s="1" t="s">
        <v>10597</v>
      </c>
      <c r="N534" s="1" t="s">
        <v>14314</v>
      </c>
      <c r="O534" s="1"/>
      <c r="P534" s="1" t="s">
        <v>12863</v>
      </c>
      <c r="Q534" s="1"/>
      <c r="R534" s="1"/>
      <c r="S534" s="1"/>
      <c r="T534" s="1"/>
      <c r="U534" s="1"/>
      <c r="V534" s="1"/>
      <c r="W534" s="1"/>
      <c r="X534" s="1"/>
      <c r="Y534" s="1"/>
      <c r="Z534" s="1"/>
      <c r="AA534" s="1">
        <f t="shared" si="31"/>
        <v>0</v>
      </c>
      <c r="AB534" s="1" t="str">
        <f t="shared" si="32"/>
        <v>R2 retained</v>
      </c>
      <c r="AC534" s="1"/>
      <c r="AD534" s="1"/>
      <c r="AE534" s="1"/>
      <c r="AF534" s="1"/>
      <c r="AG534" s="1"/>
      <c r="AH534" s="1"/>
      <c r="AI534" s="1">
        <f t="shared" si="33"/>
        <v>0</v>
      </c>
      <c r="AJ534" s="5"/>
      <c r="AK534" s="5"/>
      <c r="AL534" s="7" t="s">
        <v>15077</v>
      </c>
    </row>
    <row r="535" spans="1:38" ht="36" customHeight="1">
      <c r="A535" s="1" t="s">
        <v>5330</v>
      </c>
      <c r="B535" s="1" t="s">
        <v>5562</v>
      </c>
      <c r="C535" s="1" t="s">
        <v>5563</v>
      </c>
      <c r="D535" s="1" t="s">
        <v>10599</v>
      </c>
      <c r="E535" s="1">
        <v>2</v>
      </c>
      <c r="F535" s="1"/>
      <c r="G535" s="1" t="s">
        <v>12859</v>
      </c>
      <c r="H535" s="1" t="s">
        <v>10557</v>
      </c>
      <c r="I535" s="1" t="s">
        <v>4862</v>
      </c>
      <c r="J535" s="1"/>
      <c r="K535" s="1"/>
      <c r="L535" s="1" t="s">
        <v>12860</v>
      </c>
      <c r="M535" s="1" t="s">
        <v>10602</v>
      </c>
      <c r="N535" s="1" t="s">
        <v>14315</v>
      </c>
      <c r="O535" s="1"/>
      <c r="P535" s="1" t="s">
        <v>12868</v>
      </c>
      <c r="Q535" s="1"/>
      <c r="R535" s="1"/>
      <c r="S535" s="1"/>
      <c r="T535" s="1"/>
      <c r="U535" s="1"/>
      <c r="V535" s="1"/>
      <c r="W535" s="1"/>
      <c r="X535" s="1"/>
      <c r="Y535" s="1"/>
      <c r="Z535" s="1"/>
      <c r="AA535" s="1">
        <f t="shared" si="31"/>
        <v>2</v>
      </c>
      <c r="AB535" s="1" t="str">
        <f t="shared" si="32"/>
        <v>R2 retained</v>
      </c>
      <c r="AC535" s="1">
        <v>2</v>
      </c>
      <c r="AD535" s="1" t="s">
        <v>12884</v>
      </c>
      <c r="AE535" s="1" t="s">
        <v>14316</v>
      </c>
      <c r="AF535" s="1" t="s">
        <v>14317</v>
      </c>
      <c r="AG535" s="1" t="s">
        <v>10562</v>
      </c>
      <c r="AH535" s="1" t="s">
        <v>6096</v>
      </c>
      <c r="AI535" s="1">
        <f t="shared" si="33"/>
        <v>1</v>
      </c>
      <c r="AJ535" s="5"/>
      <c r="AK535" s="5"/>
      <c r="AL535" s="7" t="s">
        <v>15077</v>
      </c>
    </row>
    <row r="536" spans="1:38" ht="36" customHeight="1">
      <c r="A536" s="1" t="s">
        <v>5330</v>
      </c>
      <c r="B536" s="1" t="s">
        <v>5567</v>
      </c>
      <c r="C536" s="1" t="s">
        <v>5568</v>
      </c>
      <c r="D536" s="1" t="s">
        <v>14318</v>
      </c>
      <c r="E536" s="1">
        <v>2</v>
      </c>
      <c r="F536" s="1"/>
      <c r="G536" s="1" t="s">
        <v>12859</v>
      </c>
      <c r="H536" s="1" t="s">
        <v>10557</v>
      </c>
      <c r="I536" s="1" t="s">
        <v>4717</v>
      </c>
      <c r="J536" s="1"/>
      <c r="K536" s="1"/>
      <c r="L536" s="1" t="s">
        <v>12860</v>
      </c>
      <c r="M536" s="1" t="s">
        <v>14319</v>
      </c>
      <c r="N536" s="1" t="s">
        <v>14320</v>
      </c>
      <c r="O536" s="1"/>
      <c r="P536" s="1" t="s">
        <v>12868</v>
      </c>
      <c r="Q536" s="1"/>
      <c r="R536" s="1"/>
      <c r="S536" s="1"/>
      <c r="T536" s="1"/>
      <c r="U536" s="1"/>
      <c r="V536" s="1"/>
      <c r="W536" s="1"/>
      <c r="X536" s="1"/>
      <c r="Y536" s="1"/>
      <c r="Z536" s="1"/>
      <c r="AA536" s="1">
        <f t="shared" si="31"/>
        <v>2</v>
      </c>
      <c r="AB536" s="1" t="str">
        <f t="shared" si="32"/>
        <v>R2 retained</v>
      </c>
      <c r="AC536" s="1"/>
      <c r="AD536" s="1"/>
      <c r="AE536" s="1"/>
      <c r="AF536" s="1"/>
      <c r="AG536" s="1"/>
      <c r="AH536" s="1"/>
      <c r="AI536" s="1">
        <f t="shared" si="33"/>
        <v>0</v>
      </c>
      <c r="AJ536" s="5"/>
      <c r="AK536" s="5"/>
      <c r="AL536" s="7" t="s">
        <v>15077</v>
      </c>
    </row>
    <row r="537" spans="1:38" ht="36" customHeight="1">
      <c r="A537" s="1" t="s">
        <v>5330</v>
      </c>
      <c r="B537" s="1" t="s">
        <v>5572</v>
      </c>
      <c r="C537" s="1" t="s">
        <v>5573</v>
      </c>
      <c r="D537" s="1" t="s">
        <v>14321</v>
      </c>
      <c r="E537" s="1">
        <v>1</v>
      </c>
      <c r="F537" s="1"/>
      <c r="G537" s="1" t="s">
        <v>12859</v>
      </c>
      <c r="H537" s="1" t="s">
        <v>10557</v>
      </c>
      <c r="I537" s="1" t="s">
        <v>4717</v>
      </c>
      <c r="J537" s="1"/>
      <c r="K537" s="1"/>
      <c r="L537" s="1" t="s">
        <v>12860</v>
      </c>
      <c r="M537" s="1" t="s">
        <v>14322</v>
      </c>
      <c r="N537" s="1" t="s">
        <v>14323</v>
      </c>
      <c r="O537" s="1"/>
      <c r="P537" s="1" t="s">
        <v>12868</v>
      </c>
      <c r="Q537" s="1"/>
      <c r="R537" s="1"/>
      <c r="S537" s="1"/>
      <c r="T537" s="1"/>
      <c r="U537" s="1"/>
      <c r="V537" s="1"/>
      <c r="W537" s="1"/>
      <c r="X537" s="1"/>
      <c r="Y537" s="1"/>
      <c r="Z537" s="1"/>
      <c r="AA537" s="1">
        <f t="shared" si="31"/>
        <v>1</v>
      </c>
      <c r="AB537" s="1" t="str">
        <f t="shared" si="32"/>
        <v>R2 retained</v>
      </c>
      <c r="AC537" s="1"/>
      <c r="AD537" s="1"/>
      <c r="AE537" s="1"/>
      <c r="AF537" s="1"/>
      <c r="AG537" s="1"/>
      <c r="AH537" s="1"/>
      <c r="AI537" s="1">
        <f t="shared" si="33"/>
        <v>0</v>
      </c>
      <c r="AJ537" s="5"/>
      <c r="AK537" s="5"/>
      <c r="AL537" s="7" t="s">
        <v>15077</v>
      </c>
    </row>
    <row r="538" spans="1:38" ht="36" customHeight="1">
      <c r="A538" s="1" t="s">
        <v>5330</v>
      </c>
      <c r="B538" s="1" t="s">
        <v>5577</v>
      </c>
      <c r="C538" s="1" t="s">
        <v>5578</v>
      </c>
      <c r="D538" s="1" t="s">
        <v>14324</v>
      </c>
      <c r="E538" s="1">
        <v>1</v>
      </c>
      <c r="F538" s="1"/>
      <c r="G538" s="1" t="s">
        <v>12859</v>
      </c>
      <c r="H538" s="1" t="s">
        <v>10557</v>
      </c>
      <c r="I538" s="1" t="s">
        <v>4737</v>
      </c>
      <c r="J538" s="1"/>
      <c r="K538" s="1"/>
      <c r="L538" s="1" t="s">
        <v>12860</v>
      </c>
      <c r="M538" s="1" t="s">
        <v>14325</v>
      </c>
      <c r="N538" s="1" t="s">
        <v>14326</v>
      </c>
      <c r="O538" s="1"/>
      <c r="P538" s="1" t="s">
        <v>12868</v>
      </c>
      <c r="Q538" s="1"/>
      <c r="R538" s="1"/>
      <c r="S538" s="1"/>
      <c r="T538" s="1"/>
      <c r="U538" s="1"/>
      <c r="V538" s="1"/>
      <c r="W538" s="1"/>
      <c r="X538" s="1"/>
      <c r="Y538" s="1"/>
      <c r="Z538" s="1"/>
      <c r="AA538" s="1">
        <f t="shared" si="31"/>
        <v>1</v>
      </c>
      <c r="AB538" s="1" t="str">
        <f t="shared" si="32"/>
        <v>R2 retained</v>
      </c>
      <c r="AC538" s="1"/>
      <c r="AD538" s="1"/>
      <c r="AE538" s="1"/>
      <c r="AF538" s="1"/>
      <c r="AG538" s="1"/>
      <c r="AH538" s="1"/>
      <c r="AI538" s="1">
        <f t="shared" si="33"/>
        <v>0</v>
      </c>
      <c r="AJ538" s="5"/>
      <c r="AK538" s="5"/>
      <c r="AL538" s="7" t="s">
        <v>15077</v>
      </c>
    </row>
    <row r="539" spans="1:38" ht="36" customHeight="1">
      <c r="A539" s="1" t="s">
        <v>5330</v>
      </c>
      <c r="B539" s="1" t="s">
        <v>5582</v>
      </c>
      <c r="C539" s="1" t="s">
        <v>5583</v>
      </c>
      <c r="D539" s="1" t="s">
        <v>10627</v>
      </c>
      <c r="E539" s="1">
        <v>0</v>
      </c>
      <c r="F539" s="1"/>
      <c r="G539" s="1" t="s">
        <v>12859</v>
      </c>
      <c r="H539" s="1" t="s">
        <v>10557</v>
      </c>
      <c r="I539" s="1" t="s">
        <v>4747</v>
      </c>
      <c r="J539" s="1"/>
      <c r="K539" s="1"/>
      <c r="L539" s="1" t="s">
        <v>12860</v>
      </c>
      <c r="M539" s="1" t="s">
        <v>10628</v>
      </c>
      <c r="N539" s="1" t="s">
        <v>14327</v>
      </c>
      <c r="O539" s="1"/>
      <c r="P539" s="1" t="s">
        <v>12863</v>
      </c>
      <c r="Q539" s="1"/>
      <c r="R539" s="1"/>
      <c r="S539" s="1"/>
      <c r="T539" s="1"/>
      <c r="U539" s="1"/>
      <c r="V539" s="1"/>
      <c r="W539" s="1"/>
      <c r="X539" s="1"/>
      <c r="Y539" s="1"/>
      <c r="Z539" s="1"/>
      <c r="AA539" s="1">
        <f t="shared" si="31"/>
        <v>0</v>
      </c>
      <c r="AB539" s="1" t="str">
        <f t="shared" si="32"/>
        <v>R2 retained</v>
      </c>
      <c r="AC539" s="1">
        <v>0</v>
      </c>
      <c r="AD539" s="1" t="s">
        <v>12884</v>
      </c>
      <c r="AE539" s="1" t="s">
        <v>13049</v>
      </c>
      <c r="AF539" s="1" t="s">
        <v>10557</v>
      </c>
      <c r="AG539" s="1" t="s">
        <v>10562</v>
      </c>
      <c r="AH539" s="1" t="s">
        <v>6096</v>
      </c>
      <c r="AI539" s="1">
        <f t="shared" si="33"/>
        <v>1</v>
      </c>
      <c r="AJ539" s="5" t="s">
        <v>12898</v>
      </c>
      <c r="AK539" s="5" t="s">
        <v>12899</v>
      </c>
      <c r="AL539" s="7" t="s">
        <v>15077</v>
      </c>
    </row>
    <row r="540" spans="1:38" ht="36" customHeight="1">
      <c r="A540" s="1" t="s">
        <v>5330</v>
      </c>
      <c r="B540" s="1" t="s">
        <v>5586</v>
      </c>
      <c r="C540" s="1" t="s">
        <v>5587</v>
      </c>
      <c r="D540" s="1" t="s">
        <v>14328</v>
      </c>
      <c r="E540" s="1">
        <v>0</v>
      </c>
      <c r="F540" s="1"/>
      <c r="G540" s="1" t="s">
        <v>12859</v>
      </c>
      <c r="H540" s="1" t="s">
        <v>10557</v>
      </c>
      <c r="I540" s="1" t="s">
        <v>4747</v>
      </c>
      <c r="J540" s="1"/>
      <c r="K540" s="1"/>
      <c r="L540" s="1" t="s">
        <v>12860</v>
      </c>
      <c r="M540" s="1" t="s">
        <v>14329</v>
      </c>
      <c r="N540" s="1" t="s">
        <v>14330</v>
      </c>
      <c r="O540" s="1"/>
      <c r="P540" s="1" t="s">
        <v>12863</v>
      </c>
      <c r="Q540" s="1"/>
      <c r="R540" s="1"/>
      <c r="S540" s="1"/>
      <c r="T540" s="1"/>
      <c r="U540" s="1"/>
      <c r="V540" s="1"/>
      <c r="W540" s="1"/>
      <c r="X540" s="1"/>
      <c r="Y540" s="1"/>
      <c r="Z540" s="1"/>
      <c r="AA540" s="1">
        <f t="shared" si="31"/>
        <v>0</v>
      </c>
      <c r="AB540" s="1" t="str">
        <f t="shared" si="32"/>
        <v>R2 retained</v>
      </c>
      <c r="AC540" s="1"/>
      <c r="AD540" s="1"/>
      <c r="AE540" s="1"/>
      <c r="AF540" s="1"/>
      <c r="AG540" s="1"/>
      <c r="AH540" s="1"/>
      <c r="AI540" s="1">
        <f t="shared" si="33"/>
        <v>0</v>
      </c>
      <c r="AJ540" s="5"/>
      <c r="AK540" s="5"/>
      <c r="AL540" s="7" t="s">
        <v>15077</v>
      </c>
    </row>
    <row r="541" spans="1:38" ht="60" customHeight="1">
      <c r="A541" s="1" t="s">
        <v>5330</v>
      </c>
      <c r="B541" s="1" t="s">
        <v>5591</v>
      </c>
      <c r="C541" s="1" t="s">
        <v>5592</v>
      </c>
      <c r="D541" s="1" t="s">
        <v>4747</v>
      </c>
      <c r="E541" s="1">
        <v>0</v>
      </c>
      <c r="F541" s="1"/>
      <c r="G541" s="1" t="s">
        <v>12859</v>
      </c>
      <c r="H541" s="1" t="s">
        <v>10557</v>
      </c>
      <c r="I541" s="1" t="s">
        <v>4747</v>
      </c>
      <c r="J541" s="1"/>
      <c r="K541" s="1"/>
      <c r="L541" s="1" t="s">
        <v>12860</v>
      </c>
      <c r="M541" s="1" t="s">
        <v>14331</v>
      </c>
      <c r="N541" s="1" t="s">
        <v>14332</v>
      </c>
      <c r="O541" s="1"/>
      <c r="P541" s="1" t="s">
        <v>12863</v>
      </c>
      <c r="Q541" s="1">
        <v>0</v>
      </c>
      <c r="R541" s="1" t="s">
        <v>12904</v>
      </c>
      <c r="S541" s="1" t="s">
        <v>14333</v>
      </c>
      <c r="T541" s="1" t="s">
        <v>14334</v>
      </c>
      <c r="U541" s="1" t="s">
        <v>10562</v>
      </c>
      <c r="V541" s="1" t="s">
        <v>6096</v>
      </c>
      <c r="W541" s="1" t="s">
        <v>12907</v>
      </c>
      <c r="X541" s="1"/>
      <c r="Y541" s="1"/>
      <c r="Z541" s="1" t="s">
        <v>12908</v>
      </c>
      <c r="AA541" s="1">
        <f t="shared" si="31"/>
        <v>0</v>
      </c>
      <c r="AB541" s="1" t="str">
        <f t="shared" si="32"/>
        <v>R2 retained</v>
      </c>
      <c r="AC541" s="1">
        <v>0</v>
      </c>
      <c r="AD541" s="1" t="s">
        <v>12884</v>
      </c>
      <c r="AE541" s="1" t="s">
        <v>14333</v>
      </c>
      <c r="AF541" s="1" t="s">
        <v>14334</v>
      </c>
      <c r="AG541" s="1" t="s">
        <v>10562</v>
      </c>
      <c r="AH541" s="1" t="s">
        <v>6096</v>
      </c>
      <c r="AI541" s="1">
        <f t="shared" si="33"/>
        <v>1</v>
      </c>
      <c r="AJ541" s="5" t="s">
        <v>12898</v>
      </c>
      <c r="AK541" s="5" t="s">
        <v>12899</v>
      </c>
      <c r="AL541" s="7" t="s">
        <v>15077</v>
      </c>
    </row>
    <row r="542" spans="1:38" ht="36" customHeight="1">
      <c r="A542" s="1" t="s">
        <v>5330</v>
      </c>
      <c r="B542" s="1" t="s">
        <v>5596</v>
      </c>
      <c r="C542" s="1" t="s">
        <v>5597</v>
      </c>
      <c r="D542" s="1" t="s">
        <v>14335</v>
      </c>
      <c r="E542" s="1">
        <v>0</v>
      </c>
      <c r="F542" s="1"/>
      <c r="G542" s="1" t="s">
        <v>12859</v>
      </c>
      <c r="H542" s="1" t="s">
        <v>10557</v>
      </c>
      <c r="I542" s="1" t="s">
        <v>4747</v>
      </c>
      <c r="J542" s="1"/>
      <c r="K542" s="1"/>
      <c r="L542" s="1" t="s">
        <v>12860</v>
      </c>
      <c r="M542" s="1" t="s">
        <v>14336</v>
      </c>
      <c r="N542" s="1" t="s">
        <v>14337</v>
      </c>
      <c r="O542" s="1"/>
      <c r="P542" s="1" t="s">
        <v>12863</v>
      </c>
      <c r="Q542" s="1"/>
      <c r="R542" s="1"/>
      <c r="S542" s="1"/>
      <c r="T542" s="1"/>
      <c r="U542" s="1"/>
      <c r="V542" s="1"/>
      <c r="W542" s="1"/>
      <c r="X542" s="1"/>
      <c r="Y542" s="1"/>
      <c r="Z542" s="1"/>
      <c r="AA542" s="1">
        <f t="shared" si="31"/>
        <v>0</v>
      </c>
      <c r="AB542" s="1" t="str">
        <f t="shared" si="32"/>
        <v>R2 retained</v>
      </c>
      <c r="AC542" s="1"/>
      <c r="AD542" s="1"/>
      <c r="AE542" s="1"/>
      <c r="AF542" s="1"/>
      <c r="AG542" s="1"/>
      <c r="AH542" s="1"/>
      <c r="AI542" s="1">
        <f t="shared" si="33"/>
        <v>0</v>
      </c>
      <c r="AJ542" s="5"/>
      <c r="AK542" s="5"/>
      <c r="AL542" s="7" t="s">
        <v>15077</v>
      </c>
    </row>
    <row r="543" spans="1:38" ht="36" customHeight="1">
      <c r="A543" s="1" t="s">
        <v>5330</v>
      </c>
      <c r="B543" s="1" t="s">
        <v>5601</v>
      </c>
      <c r="C543" s="1" t="s">
        <v>5602</v>
      </c>
      <c r="D543" s="1" t="s">
        <v>10638</v>
      </c>
      <c r="E543" s="1">
        <v>1</v>
      </c>
      <c r="F543" s="1"/>
      <c r="G543" s="1" t="s">
        <v>12859</v>
      </c>
      <c r="H543" s="1" t="s">
        <v>10557</v>
      </c>
      <c r="I543" s="1" t="s">
        <v>4862</v>
      </c>
      <c r="J543" s="1"/>
      <c r="K543" s="1"/>
      <c r="L543" s="1" t="s">
        <v>12860</v>
      </c>
      <c r="M543" s="1" t="s">
        <v>10640</v>
      </c>
      <c r="N543" s="1" t="s">
        <v>14338</v>
      </c>
      <c r="O543" s="1"/>
      <c r="P543" s="1" t="s">
        <v>12868</v>
      </c>
      <c r="Q543" s="1"/>
      <c r="R543" s="1"/>
      <c r="S543" s="1"/>
      <c r="T543" s="1"/>
      <c r="U543" s="1"/>
      <c r="V543" s="1"/>
      <c r="W543" s="1"/>
      <c r="X543" s="1"/>
      <c r="Y543" s="1"/>
      <c r="Z543" s="1"/>
      <c r="AA543" s="1">
        <f t="shared" si="31"/>
        <v>1</v>
      </c>
      <c r="AB543" s="1" t="str">
        <f t="shared" si="32"/>
        <v>R2 retained</v>
      </c>
      <c r="AC543" s="1"/>
      <c r="AD543" s="1"/>
      <c r="AE543" s="1"/>
      <c r="AF543" s="1"/>
      <c r="AG543" s="1"/>
      <c r="AH543" s="1"/>
      <c r="AI543" s="1">
        <f t="shared" si="33"/>
        <v>0</v>
      </c>
      <c r="AJ543" s="5"/>
      <c r="AK543" s="5"/>
      <c r="AL543" s="7" t="s">
        <v>15077</v>
      </c>
    </row>
    <row r="544" spans="1:38" ht="36" customHeight="1">
      <c r="A544" s="1" t="s">
        <v>5330</v>
      </c>
      <c r="B544" s="1" t="s">
        <v>5606</v>
      </c>
      <c r="C544" s="1" t="s">
        <v>5607</v>
      </c>
      <c r="D544" s="1" t="s">
        <v>10642</v>
      </c>
      <c r="E544" s="1">
        <v>1</v>
      </c>
      <c r="F544" s="1"/>
      <c r="G544" s="1" t="s">
        <v>12859</v>
      </c>
      <c r="H544" s="1" t="s">
        <v>10557</v>
      </c>
      <c r="I544" s="1" t="s">
        <v>4862</v>
      </c>
      <c r="J544" s="1"/>
      <c r="K544" s="1"/>
      <c r="L544" s="1" t="s">
        <v>12860</v>
      </c>
      <c r="M544" s="1" t="s">
        <v>10644</v>
      </c>
      <c r="N544" s="1" t="s">
        <v>14339</v>
      </c>
      <c r="O544" s="1"/>
      <c r="P544" s="1" t="s">
        <v>12868</v>
      </c>
      <c r="Q544" s="1"/>
      <c r="R544" s="1"/>
      <c r="S544" s="1"/>
      <c r="T544" s="1"/>
      <c r="U544" s="1"/>
      <c r="V544" s="1"/>
      <c r="W544" s="1"/>
      <c r="X544" s="1"/>
      <c r="Y544" s="1"/>
      <c r="Z544" s="1"/>
      <c r="AA544" s="1">
        <f t="shared" si="31"/>
        <v>1</v>
      </c>
      <c r="AB544" s="1" t="str">
        <f t="shared" si="32"/>
        <v>R2 retained</v>
      </c>
      <c r="AC544" s="1"/>
      <c r="AD544" s="1"/>
      <c r="AE544" s="1"/>
      <c r="AF544" s="1"/>
      <c r="AG544" s="1"/>
      <c r="AH544" s="1"/>
      <c r="AI544" s="1">
        <f t="shared" si="33"/>
        <v>0</v>
      </c>
      <c r="AJ544" s="5"/>
      <c r="AK544" s="5"/>
      <c r="AL544" s="7" t="s">
        <v>15077</v>
      </c>
    </row>
    <row r="545" spans="1:38" ht="36" customHeight="1">
      <c r="A545" s="1" t="s">
        <v>5330</v>
      </c>
      <c r="B545" s="1" t="s">
        <v>5454</v>
      </c>
      <c r="C545" s="1" t="s">
        <v>5455</v>
      </c>
      <c r="D545" s="1" t="s">
        <v>10627</v>
      </c>
      <c r="E545" s="1">
        <v>0</v>
      </c>
      <c r="F545" s="1"/>
      <c r="G545" s="1" t="s">
        <v>12859</v>
      </c>
      <c r="H545" s="1" t="s">
        <v>10557</v>
      </c>
      <c r="I545" s="1" t="s">
        <v>4747</v>
      </c>
      <c r="J545" s="1"/>
      <c r="K545" s="1"/>
      <c r="L545" s="1" t="s">
        <v>12860</v>
      </c>
      <c r="M545" s="1" t="s">
        <v>10646</v>
      </c>
      <c r="N545" s="1" t="s">
        <v>14340</v>
      </c>
      <c r="O545" s="1"/>
      <c r="P545" s="1" t="s">
        <v>12863</v>
      </c>
      <c r="Q545" s="1"/>
      <c r="R545" s="1"/>
      <c r="S545" s="1"/>
      <c r="T545" s="1"/>
      <c r="U545" s="1"/>
      <c r="V545" s="1"/>
      <c r="W545" s="1"/>
      <c r="X545" s="1"/>
      <c r="Y545" s="1"/>
      <c r="Z545" s="1"/>
      <c r="AA545" s="1">
        <f t="shared" si="31"/>
        <v>0</v>
      </c>
      <c r="AB545" s="1" t="str">
        <f t="shared" si="32"/>
        <v>R2 retained</v>
      </c>
      <c r="AC545" s="1">
        <v>0</v>
      </c>
      <c r="AD545" s="1" t="s">
        <v>12884</v>
      </c>
      <c r="AE545" s="1" t="s">
        <v>13947</v>
      </c>
      <c r="AF545" s="1" t="s">
        <v>14341</v>
      </c>
      <c r="AG545" s="1" t="s">
        <v>10562</v>
      </c>
      <c r="AH545" s="1" t="s">
        <v>6096</v>
      </c>
      <c r="AI545" s="1">
        <f t="shared" si="33"/>
        <v>1</v>
      </c>
      <c r="AJ545" s="5" t="s">
        <v>12898</v>
      </c>
      <c r="AK545" s="5" t="s">
        <v>12899</v>
      </c>
      <c r="AL545" s="7" t="s">
        <v>15077</v>
      </c>
    </row>
    <row r="546" spans="1:38" ht="36" customHeight="1">
      <c r="A546" s="1" t="s">
        <v>5337</v>
      </c>
      <c r="B546" s="1" t="s">
        <v>5537</v>
      </c>
      <c r="C546" s="1" t="s">
        <v>5538</v>
      </c>
      <c r="D546" s="1" t="s">
        <v>14342</v>
      </c>
      <c r="E546" s="1">
        <v>0</v>
      </c>
      <c r="F546" s="1"/>
      <c r="G546" s="1" t="s">
        <v>12859</v>
      </c>
      <c r="H546" s="1" t="s">
        <v>10661</v>
      </c>
      <c r="I546" s="1" t="s">
        <v>4747</v>
      </c>
      <c r="J546" s="1"/>
      <c r="K546" s="1"/>
      <c r="L546" s="1" t="s">
        <v>12860</v>
      </c>
      <c r="M546" s="1" t="s">
        <v>14343</v>
      </c>
      <c r="N546" s="1" t="s">
        <v>14344</v>
      </c>
      <c r="O546" s="1"/>
      <c r="P546" s="1" t="s">
        <v>12863</v>
      </c>
      <c r="Q546" s="1"/>
      <c r="R546" s="1"/>
      <c r="S546" s="1"/>
      <c r="T546" s="1"/>
      <c r="U546" s="1"/>
      <c r="V546" s="1"/>
      <c r="W546" s="1"/>
      <c r="X546" s="1"/>
      <c r="Y546" s="1"/>
      <c r="Z546" s="1"/>
      <c r="AA546" s="1">
        <f t="shared" si="31"/>
        <v>0</v>
      </c>
      <c r="AB546" s="1" t="str">
        <f t="shared" si="32"/>
        <v>R2 retained</v>
      </c>
      <c r="AC546" s="1"/>
      <c r="AD546" s="1"/>
      <c r="AE546" s="1"/>
      <c r="AF546" s="1"/>
      <c r="AG546" s="1"/>
      <c r="AH546" s="1"/>
      <c r="AI546" s="1">
        <f t="shared" si="33"/>
        <v>0</v>
      </c>
      <c r="AJ546" s="5"/>
      <c r="AK546" s="5"/>
      <c r="AL546" s="7" t="s">
        <v>15077</v>
      </c>
    </row>
    <row r="547" spans="1:38" ht="36" customHeight="1">
      <c r="A547" s="1" t="s">
        <v>5337</v>
      </c>
      <c r="B547" s="1" t="s">
        <v>5542</v>
      </c>
      <c r="C547" s="1" t="s">
        <v>5543</v>
      </c>
      <c r="D547" s="1" t="s">
        <v>4747</v>
      </c>
      <c r="E547" s="1">
        <v>0</v>
      </c>
      <c r="F547" s="1"/>
      <c r="G547" s="1" t="s">
        <v>12859</v>
      </c>
      <c r="H547" s="1" t="s">
        <v>10661</v>
      </c>
      <c r="I547" s="1" t="s">
        <v>4747</v>
      </c>
      <c r="J547" s="1"/>
      <c r="K547" s="1"/>
      <c r="L547" s="1" t="s">
        <v>12860</v>
      </c>
      <c r="M547" s="1" t="s">
        <v>14345</v>
      </c>
      <c r="N547" s="1" t="s">
        <v>14346</v>
      </c>
      <c r="O547" s="1"/>
      <c r="P547" s="1" t="s">
        <v>12863</v>
      </c>
      <c r="Q547" s="1"/>
      <c r="R547" s="1"/>
      <c r="S547" s="1"/>
      <c r="T547" s="1"/>
      <c r="U547" s="1"/>
      <c r="V547" s="1"/>
      <c r="W547" s="1"/>
      <c r="X547" s="1"/>
      <c r="Y547" s="1"/>
      <c r="Z547" s="1"/>
      <c r="AA547" s="1">
        <f t="shared" si="31"/>
        <v>0</v>
      </c>
      <c r="AB547" s="1" t="str">
        <f t="shared" si="32"/>
        <v>R2 retained</v>
      </c>
      <c r="AC547" s="1"/>
      <c r="AD547" s="1"/>
      <c r="AE547" s="1"/>
      <c r="AF547" s="1"/>
      <c r="AG547" s="1"/>
      <c r="AH547" s="1"/>
      <c r="AI547" s="1">
        <f t="shared" si="33"/>
        <v>0</v>
      </c>
      <c r="AJ547" s="5"/>
      <c r="AK547" s="5"/>
      <c r="AL547" s="7" t="s">
        <v>15077</v>
      </c>
    </row>
    <row r="548" spans="1:38" ht="36" customHeight="1">
      <c r="A548" s="1" t="s">
        <v>5337</v>
      </c>
      <c r="B548" s="1" t="s">
        <v>5547</v>
      </c>
      <c r="C548" s="1" t="s">
        <v>5548</v>
      </c>
      <c r="D548" s="1" t="s">
        <v>14347</v>
      </c>
      <c r="E548" s="1">
        <v>1</v>
      </c>
      <c r="F548" s="1"/>
      <c r="G548" s="1" t="s">
        <v>12859</v>
      </c>
      <c r="H548" s="1" t="s">
        <v>10661</v>
      </c>
      <c r="I548" s="1" t="s">
        <v>14348</v>
      </c>
      <c r="J548" s="1"/>
      <c r="K548" s="1"/>
      <c r="L548" s="1" t="s">
        <v>12860</v>
      </c>
      <c r="M548" s="1" t="s">
        <v>14349</v>
      </c>
      <c r="N548" s="1" t="s">
        <v>14350</v>
      </c>
      <c r="O548" s="1"/>
      <c r="P548" s="1" t="s">
        <v>12868</v>
      </c>
      <c r="Q548" s="1"/>
      <c r="R548" s="1"/>
      <c r="S548" s="1"/>
      <c r="T548" s="1"/>
      <c r="U548" s="1"/>
      <c r="V548" s="1"/>
      <c r="W548" s="1"/>
      <c r="X548" s="1"/>
      <c r="Y548" s="1"/>
      <c r="Z548" s="1"/>
      <c r="AA548" s="1">
        <f t="shared" si="31"/>
        <v>1</v>
      </c>
      <c r="AB548" s="1" t="str">
        <f t="shared" si="32"/>
        <v>R2 retained</v>
      </c>
      <c r="AC548" s="1"/>
      <c r="AD548" s="1"/>
      <c r="AE548" s="1"/>
      <c r="AF548" s="1"/>
      <c r="AG548" s="1"/>
      <c r="AH548" s="1"/>
      <c r="AI548" s="1">
        <f t="shared" si="33"/>
        <v>0</v>
      </c>
      <c r="AJ548" s="5"/>
      <c r="AK548" s="5"/>
      <c r="AL548" s="7" t="s">
        <v>15077</v>
      </c>
    </row>
    <row r="549" spans="1:38" ht="36" customHeight="1">
      <c r="A549" s="1" t="s">
        <v>5337</v>
      </c>
      <c r="B549" s="1" t="s">
        <v>5552</v>
      </c>
      <c r="C549" s="1" t="s">
        <v>5553</v>
      </c>
      <c r="D549" s="1" t="s">
        <v>14351</v>
      </c>
      <c r="E549" s="1">
        <v>1</v>
      </c>
      <c r="F549" s="1"/>
      <c r="G549" s="1" t="s">
        <v>12859</v>
      </c>
      <c r="H549" s="1" t="s">
        <v>10661</v>
      </c>
      <c r="I549" s="1" t="s">
        <v>4737</v>
      </c>
      <c r="J549" s="1"/>
      <c r="K549" s="1"/>
      <c r="L549" s="1" t="s">
        <v>12860</v>
      </c>
      <c r="M549" s="1" t="s">
        <v>14352</v>
      </c>
      <c r="N549" s="1" t="s">
        <v>14353</v>
      </c>
      <c r="O549" s="1"/>
      <c r="P549" s="1" t="s">
        <v>12868</v>
      </c>
      <c r="Q549" s="1"/>
      <c r="R549" s="1"/>
      <c r="S549" s="1"/>
      <c r="T549" s="1"/>
      <c r="U549" s="1"/>
      <c r="V549" s="1"/>
      <c r="W549" s="1"/>
      <c r="X549" s="1"/>
      <c r="Y549" s="1"/>
      <c r="Z549" s="1"/>
      <c r="AA549" s="1">
        <f t="shared" si="31"/>
        <v>1</v>
      </c>
      <c r="AB549" s="1" t="str">
        <f t="shared" si="32"/>
        <v>R2 retained</v>
      </c>
      <c r="AC549" s="1"/>
      <c r="AD549" s="1"/>
      <c r="AE549" s="1"/>
      <c r="AF549" s="1"/>
      <c r="AG549" s="1"/>
      <c r="AH549" s="1"/>
      <c r="AI549" s="1">
        <f t="shared" si="33"/>
        <v>0</v>
      </c>
      <c r="AJ549" s="5"/>
      <c r="AK549" s="5"/>
      <c r="AL549" s="7" t="s">
        <v>15077</v>
      </c>
    </row>
    <row r="550" spans="1:38" ht="36" customHeight="1">
      <c r="A550" s="1" t="s">
        <v>5337</v>
      </c>
      <c r="B550" s="1" t="s">
        <v>5557</v>
      </c>
      <c r="C550" s="1" t="s">
        <v>5558</v>
      </c>
      <c r="D550" s="1" t="s">
        <v>10701</v>
      </c>
      <c r="E550" s="1">
        <v>0</v>
      </c>
      <c r="F550" s="1"/>
      <c r="G550" s="1" t="s">
        <v>12859</v>
      </c>
      <c r="H550" s="1" t="s">
        <v>10661</v>
      </c>
      <c r="I550" s="1" t="s">
        <v>4747</v>
      </c>
      <c r="J550" s="1"/>
      <c r="K550" s="1"/>
      <c r="L550" s="1" t="s">
        <v>12860</v>
      </c>
      <c r="M550" s="1" t="s">
        <v>10703</v>
      </c>
      <c r="N550" s="1" t="s">
        <v>14354</v>
      </c>
      <c r="O550" s="1"/>
      <c r="P550" s="1" t="s">
        <v>12863</v>
      </c>
      <c r="Q550" s="1"/>
      <c r="R550" s="1"/>
      <c r="S550" s="1"/>
      <c r="T550" s="1"/>
      <c r="U550" s="1"/>
      <c r="V550" s="1"/>
      <c r="W550" s="1"/>
      <c r="X550" s="1"/>
      <c r="Y550" s="1"/>
      <c r="Z550" s="1"/>
      <c r="AA550" s="1">
        <f t="shared" si="31"/>
        <v>0</v>
      </c>
      <c r="AB550" s="1" t="str">
        <f t="shared" si="32"/>
        <v>R2 retained</v>
      </c>
      <c r="AC550" s="1"/>
      <c r="AD550" s="1"/>
      <c r="AE550" s="1"/>
      <c r="AF550" s="1"/>
      <c r="AG550" s="1"/>
      <c r="AH550" s="1"/>
      <c r="AI550" s="1">
        <f t="shared" si="33"/>
        <v>0</v>
      </c>
      <c r="AJ550" s="5"/>
      <c r="AK550" s="5"/>
      <c r="AL550" s="7" t="s">
        <v>15077</v>
      </c>
    </row>
    <row r="551" spans="1:38" ht="36" customHeight="1">
      <c r="A551" s="1" t="s">
        <v>5337</v>
      </c>
      <c r="B551" s="1" t="s">
        <v>5562</v>
      </c>
      <c r="C551" s="1" t="s">
        <v>5563</v>
      </c>
      <c r="D551" s="1" t="s">
        <v>10705</v>
      </c>
      <c r="E551" s="1">
        <v>1</v>
      </c>
      <c r="F551" s="1"/>
      <c r="G551" s="1" t="s">
        <v>12859</v>
      </c>
      <c r="H551" s="1" t="s">
        <v>10661</v>
      </c>
      <c r="I551" s="1" t="s">
        <v>4862</v>
      </c>
      <c r="J551" s="1"/>
      <c r="K551" s="1"/>
      <c r="L551" s="1" t="s">
        <v>12860</v>
      </c>
      <c r="M551" s="1" t="s">
        <v>10708</v>
      </c>
      <c r="N551" s="1" t="s">
        <v>14355</v>
      </c>
      <c r="O551" s="1"/>
      <c r="P551" s="1" t="s">
        <v>12868</v>
      </c>
      <c r="Q551" s="1"/>
      <c r="R551" s="1"/>
      <c r="S551" s="1"/>
      <c r="T551" s="1"/>
      <c r="U551" s="1"/>
      <c r="V551" s="1"/>
      <c r="W551" s="1"/>
      <c r="X551" s="1"/>
      <c r="Y551" s="1"/>
      <c r="Z551" s="1"/>
      <c r="AA551" s="1">
        <f t="shared" si="31"/>
        <v>1</v>
      </c>
      <c r="AB551" s="1" t="str">
        <f t="shared" si="32"/>
        <v>R2 retained</v>
      </c>
      <c r="AC551" s="1">
        <v>1</v>
      </c>
      <c r="AD551" s="1" t="s">
        <v>12884</v>
      </c>
      <c r="AE551" s="1" t="s">
        <v>14356</v>
      </c>
      <c r="AF551" s="1" t="s">
        <v>14357</v>
      </c>
      <c r="AG551" s="1" t="s">
        <v>10666</v>
      </c>
      <c r="AH551" s="1" t="s">
        <v>6096</v>
      </c>
      <c r="AI551" s="1">
        <f t="shared" si="33"/>
        <v>1</v>
      </c>
      <c r="AJ551" s="5"/>
      <c r="AK551" s="5"/>
      <c r="AL551" s="7" t="s">
        <v>15077</v>
      </c>
    </row>
    <row r="552" spans="1:38" ht="36" customHeight="1">
      <c r="A552" s="1" t="s">
        <v>5337</v>
      </c>
      <c r="B552" s="1" t="s">
        <v>5567</v>
      </c>
      <c r="C552" s="1" t="s">
        <v>5568</v>
      </c>
      <c r="D552" s="1" t="s">
        <v>14358</v>
      </c>
      <c r="E552" s="1">
        <v>2</v>
      </c>
      <c r="F552" s="1"/>
      <c r="G552" s="1" t="s">
        <v>12859</v>
      </c>
      <c r="H552" s="1" t="s">
        <v>10661</v>
      </c>
      <c r="I552" s="1" t="s">
        <v>4737</v>
      </c>
      <c r="J552" s="1"/>
      <c r="K552" s="1"/>
      <c r="L552" s="1" t="s">
        <v>12860</v>
      </c>
      <c r="M552" s="1" t="s">
        <v>14359</v>
      </c>
      <c r="N552" s="1" t="s">
        <v>14360</v>
      </c>
      <c r="O552" s="1"/>
      <c r="P552" s="1" t="s">
        <v>12868</v>
      </c>
      <c r="Q552" s="1"/>
      <c r="R552" s="1"/>
      <c r="S552" s="1"/>
      <c r="T552" s="1"/>
      <c r="U552" s="1"/>
      <c r="V552" s="1"/>
      <c r="W552" s="1"/>
      <c r="X552" s="1"/>
      <c r="Y552" s="1"/>
      <c r="Z552" s="1"/>
      <c r="AA552" s="1">
        <f t="shared" si="31"/>
        <v>2</v>
      </c>
      <c r="AB552" s="1" t="str">
        <f t="shared" si="32"/>
        <v>R2 retained</v>
      </c>
      <c r="AC552" s="1"/>
      <c r="AD552" s="1"/>
      <c r="AE552" s="1"/>
      <c r="AF552" s="1"/>
      <c r="AG552" s="1"/>
      <c r="AH552" s="1"/>
      <c r="AI552" s="1">
        <f t="shared" si="33"/>
        <v>0</v>
      </c>
      <c r="AJ552" s="5"/>
      <c r="AK552" s="5"/>
      <c r="AL552" s="7" t="s">
        <v>15077</v>
      </c>
    </row>
    <row r="553" spans="1:38" ht="36" customHeight="1">
      <c r="A553" s="1" t="s">
        <v>5337</v>
      </c>
      <c r="B553" s="1" t="s">
        <v>5572</v>
      </c>
      <c r="C553" s="1" t="s">
        <v>5573</v>
      </c>
      <c r="D553" s="1" t="s">
        <v>14361</v>
      </c>
      <c r="E553" s="1">
        <v>2</v>
      </c>
      <c r="F553" s="1"/>
      <c r="G553" s="1" t="s">
        <v>12859</v>
      </c>
      <c r="H553" s="1" t="s">
        <v>10661</v>
      </c>
      <c r="I553" s="1" t="s">
        <v>14362</v>
      </c>
      <c r="J553" s="1"/>
      <c r="K553" s="1"/>
      <c r="L553" s="1" t="s">
        <v>12860</v>
      </c>
      <c r="M553" s="1" t="s">
        <v>14363</v>
      </c>
      <c r="N553" s="1" t="s">
        <v>14364</v>
      </c>
      <c r="O553" s="1"/>
      <c r="P553" s="1" t="s">
        <v>12868</v>
      </c>
      <c r="Q553" s="1"/>
      <c r="R553" s="1"/>
      <c r="S553" s="1"/>
      <c r="T553" s="1"/>
      <c r="U553" s="1"/>
      <c r="V553" s="1"/>
      <c r="W553" s="1"/>
      <c r="X553" s="1"/>
      <c r="Y553" s="1"/>
      <c r="Z553" s="1"/>
      <c r="AA553" s="1">
        <f t="shared" si="31"/>
        <v>2</v>
      </c>
      <c r="AB553" s="1" t="str">
        <f t="shared" si="32"/>
        <v>R2 retained</v>
      </c>
      <c r="AC553" s="1"/>
      <c r="AD553" s="1"/>
      <c r="AE553" s="1"/>
      <c r="AF553" s="1"/>
      <c r="AG553" s="1"/>
      <c r="AH553" s="1"/>
      <c r="AI553" s="1">
        <f t="shared" si="33"/>
        <v>0</v>
      </c>
      <c r="AJ553" s="5"/>
      <c r="AK553" s="5"/>
      <c r="AL553" s="7" t="s">
        <v>15077</v>
      </c>
    </row>
    <row r="554" spans="1:38" ht="36" customHeight="1">
      <c r="A554" s="1" t="s">
        <v>5337</v>
      </c>
      <c r="B554" s="1" t="s">
        <v>5577</v>
      </c>
      <c r="C554" s="1" t="s">
        <v>5578</v>
      </c>
      <c r="D554" s="1" t="s">
        <v>14365</v>
      </c>
      <c r="E554" s="1">
        <v>2</v>
      </c>
      <c r="F554" s="1"/>
      <c r="G554" s="1" t="s">
        <v>12859</v>
      </c>
      <c r="H554" s="1" t="s">
        <v>10661</v>
      </c>
      <c r="I554" s="1" t="s">
        <v>12912</v>
      </c>
      <c r="J554" s="1"/>
      <c r="K554" s="1"/>
      <c r="L554" s="1" t="s">
        <v>12860</v>
      </c>
      <c r="M554" s="1" t="s">
        <v>14366</v>
      </c>
      <c r="N554" s="1" t="s">
        <v>14367</v>
      </c>
      <c r="O554" s="1"/>
      <c r="P554" s="1" t="s">
        <v>12868</v>
      </c>
      <c r="Q554" s="1"/>
      <c r="R554" s="1"/>
      <c r="S554" s="1"/>
      <c r="T554" s="1"/>
      <c r="U554" s="1"/>
      <c r="V554" s="1"/>
      <c r="W554" s="1"/>
      <c r="X554" s="1"/>
      <c r="Y554" s="1"/>
      <c r="Z554" s="1"/>
      <c r="AA554" s="1">
        <f t="shared" si="31"/>
        <v>2</v>
      </c>
      <c r="AB554" s="1" t="str">
        <f t="shared" si="32"/>
        <v>R2 retained</v>
      </c>
      <c r="AC554" s="1"/>
      <c r="AD554" s="1"/>
      <c r="AE554" s="1"/>
      <c r="AF554" s="1"/>
      <c r="AG554" s="1"/>
      <c r="AH554" s="1"/>
      <c r="AI554" s="1">
        <f t="shared" si="33"/>
        <v>0</v>
      </c>
      <c r="AJ554" s="5"/>
      <c r="AK554" s="5"/>
      <c r="AL554" s="7" t="s">
        <v>15077</v>
      </c>
    </row>
    <row r="555" spans="1:38" ht="36" customHeight="1">
      <c r="A555" s="1" t="s">
        <v>5337</v>
      </c>
      <c r="B555" s="1" t="s">
        <v>5582</v>
      </c>
      <c r="C555" s="1" t="s">
        <v>5583</v>
      </c>
      <c r="D555" s="1" t="s">
        <v>10743</v>
      </c>
      <c r="E555" s="1">
        <v>0</v>
      </c>
      <c r="F555" s="1"/>
      <c r="G555" s="1" t="s">
        <v>12859</v>
      </c>
      <c r="H555" s="1" t="s">
        <v>10661</v>
      </c>
      <c r="I555" s="1" t="s">
        <v>4747</v>
      </c>
      <c r="J555" s="1"/>
      <c r="K555" s="1"/>
      <c r="L555" s="1" t="s">
        <v>12860</v>
      </c>
      <c r="M555" s="1" t="s">
        <v>10745</v>
      </c>
      <c r="N555" s="1" t="s">
        <v>14368</v>
      </c>
      <c r="O555" s="1"/>
      <c r="P555" s="1" t="s">
        <v>12863</v>
      </c>
      <c r="Q555" s="1"/>
      <c r="R555" s="1"/>
      <c r="S555" s="1"/>
      <c r="T555" s="1"/>
      <c r="U555" s="1"/>
      <c r="V555" s="1"/>
      <c r="W555" s="1"/>
      <c r="X555" s="1"/>
      <c r="Y555" s="1"/>
      <c r="Z555" s="1"/>
      <c r="AA555" s="1">
        <f t="shared" si="31"/>
        <v>0</v>
      </c>
      <c r="AB555" s="1" t="str">
        <f t="shared" si="32"/>
        <v>R2 retained</v>
      </c>
      <c r="AC555" s="1">
        <v>0</v>
      </c>
      <c r="AD555" s="1" t="s">
        <v>12884</v>
      </c>
      <c r="AE555" s="1" t="s">
        <v>14369</v>
      </c>
      <c r="AF555" s="1" t="s">
        <v>14370</v>
      </c>
      <c r="AG555" s="1" t="s">
        <v>10666</v>
      </c>
      <c r="AH555" s="1" t="s">
        <v>6096</v>
      </c>
      <c r="AI555" s="1">
        <f t="shared" si="33"/>
        <v>1</v>
      </c>
      <c r="AJ555" s="5" t="s">
        <v>12898</v>
      </c>
      <c r="AK555" s="5" t="s">
        <v>12899</v>
      </c>
      <c r="AL555" s="7" t="s">
        <v>15077</v>
      </c>
    </row>
    <row r="556" spans="1:38" ht="36" customHeight="1">
      <c r="A556" s="1" t="s">
        <v>5337</v>
      </c>
      <c r="B556" s="1" t="s">
        <v>5586</v>
      </c>
      <c r="C556" s="1" t="s">
        <v>5587</v>
      </c>
      <c r="D556" s="1" t="s">
        <v>13619</v>
      </c>
      <c r="E556" s="1">
        <v>0</v>
      </c>
      <c r="F556" s="1"/>
      <c r="G556" s="1" t="s">
        <v>12859</v>
      </c>
      <c r="H556" s="1" t="s">
        <v>10661</v>
      </c>
      <c r="I556" s="1" t="s">
        <v>4747</v>
      </c>
      <c r="J556" s="1"/>
      <c r="K556" s="1"/>
      <c r="L556" s="1" t="s">
        <v>12860</v>
      </c>
      <c r="M556" s="1" t="s">
        <v>14371</v>
      </c>
      <c r="N556" s="1" t="s">
        <v>14372</v>
      </c>
      <c r="O556" s="1"/>
      <c r="P556" s="1" t="s">
        <v>12863</v>
      </c>
      <c r="Q556" s="1"/>
      <c r="R556" s="1"/>
      <c r="S556" s="1"/>
      <c r="T556" s="1"/>
      <c r="U556" s="1"/>
      <c r="V556" s="1"/>
      <c r="W556" s="1"/>
      <c r="X556" s="1"/>
      <c r="Y556" s="1"/>
      <c r="Z556" s="1"/>
      <c r="AA556" s="1">
        <f t="shared" si="31"/>
        <v>0</v>
      </c>
      <c r="AB556" s="1" t="str">
        <f t="shared" si="32"/>
        <v>R2 retained</v>
      </c>
      <c r="AC556" s="1"/>
      <c r="AD556" s="1"/>
      <c r="AE556" s="1"/>
      <c r="AF556" s="1"/>
      <c r="AG556" s="1"/>
      <c r="AH556" s="1"/>
      <c r="AI556" s="1">
        <f t="shared" si="33"/>
        <v>0</v>
      </c>
      <c r="AJ556" s="5"/>
      <c r="AK556" s="5"/>
      <c r="AL556" s="7" t="s">
        <v>15077</v>
      </c>
    </row>
    <row r="557" spans="1:38" ht="72" customHeight="1">
      <c r="A557" s="1" t="s">
        <v>5337</v>
      </c>
      <c r="B557" s="1" t="s">
        <v>5591</v>
      </c>
      <c r="C557" s="1" t="s">
        <v>5592</v>
      </c>
      <c r="D557" s="1" t="s">
        <v>4747</v>
      </c>
      <c r="E557" s="1">
        <v>0</v>
      </c>
      <c r="F557" s="1"/>
      <c r="G557" s="1" t="s">
        <v>12859</v>
      </c>
      <c r="H557" s="1" t="s">
        <v>10661</v>
      </c>
      <c r="I557" s="1" t="s">
        <v>4747</v>
      </c>
      <c r="J557" s="1"/>
      <c r="K557" s="1"/>
      <c r="L557" s="1" t="s">
        <v>12860</v>
      </c>
      <c r="M557" s="1" t="s">
        <v>14373</v>
      </c>
      <c r="N557" s="1" t="s">
        <v>14374</v>
      </c>
      <c r="O557" s="1"/>
      <c r="P557" s="1" t="s">
        <v>12863</v>
      </c>
      <c r="Q557" s="1">
        <v>0</v>
      </c>
      <c r="R557" s="1" t="s">
        <v>12904</v>
      </c>
      <c r="S557" s="1" t="s">
        <v>14375</v>
      </c>
      <c r="T557" s="1" t="s">
        <v>14376</v>
      </c>
      <c r="U557" s="1" t="s">
        <v>10666</v>
      </c>
      <c r="V557" s="1" t="s">
        <v>6096</v>
      </c>
      <c r="W557" s="1" t="s">
        <v>12907</v>
      </c>
      <c r="X557" s="1"/>
      <c r="Y557" s="1"/>
      <c r="Z557" s="1" t="s">
        <v>12908</v>
      </c>
      <c r="AA557" s="1">
        <f t="shared" si="31"/>
        <v>0</v>
      </c>
      <c r="AB557" s="1" t="str">
        <f t="shared" si="32"/>
        <v>R2 retained</v>
      </c>
      <c r="AC557" s="1">
        <v>0</v>
      </c>
      <c r="AD557" s="1" t="s">
        <v>12884</v>
      </c>
      <c r="AE557" s="1" t="s">
        <v>14375</v>
      </c>
      <c r="AF557" s="1" t="s">
        <v>14376</v>
      </c>
      <c r="AG557" s="1" t="s">
        <v>10666</v>
      </c>
      <c r="AH557" s="1" t="s">
        <v>6096</v>
      </c>
      <c r="AI557" s="1">
        <f t="shared" si="33"/>
        <v>1</v>
      </c>
      <c r="AJ557" s="5" t="s">
        <v>12898</v>
      </c>
      <c r="AK557" s="5" t="s">
        <v>12899</v>
      </c>
      <c r="AL557" s="7" t="s">
        <v>15077</v>
      </c>
    </row>
    <row r="558" spans="1:38" ht="36" customHeight="1">
      <c r="A558" s="1" t="s">
        <v>5337</v>
      </c>
      <c r="B558" s="1" t="s">
        <v>5596</v>
      </c>
      <c r="C558" s="1" t="s">
        <v>5597</v>
      </c>
      <c r="D558" s="1" t="s">
        <v>14377</v>
      </c>
      <c r="E558" s="1">
        <v>0</v>
      </c>
      <c r="F558" s="1"/>
      <c r="G558" s="1" t="s">
        <v>12859</v>
      </c>
      <c r="H558" s="1" t="s">
        <v>10661</v>
      </c>
      <c r="I558" s="1" t="s">
        <v>4747</v>
      </c>
      <c r="J558" s="1"/>
      <c r="K558" s="1"/>
      <c r="L558" s="1" t="s">
        <v>12860</v>
      </c>
      <c r="M558" s="1" t="s">
        <v>14378</v>
      </c>
      <c r="N558" s="1" t="s">
        <v>14379</v>
      </c>
      <c r="O558" s="1"/>
      <c r="P558" s="1" t="s">
        <v>12863</v>
      </c>
      <c r="Q558" s="1"/>
      <c r="R558" s="1"/>
      <c r="S558" s="1"/>
      <c r="T558" s="1"/>
      <c r="U558" s="1"/>
      <c r="V558" s="1"/>
      <c r="W558" s="1"/>
      <c r="X558" s="1"/>
      <c r="Y558" s="1"/>
      <c r="Z558" s="1"/>
      <c r="AA558" s="1">
        <f t="shared" si="31"/>
        <v>0</v>
      </c>
      <c r="AB558" s="1" t="str">
        <f t="shared" si="32"/>
        <v>R2 retained</v>
      </c>
      <c r="AC558" s="1"/>
      <c r="AD558" s="1"/>
      <c r="AE558" s="1"/>
      <c r="AF558" s="1"/>
      <c r="AG558" s="1"/>
      <c r="AH558" s="1"/>
      <c r="AI558" s="1">
        <f t="shared" si="33"/>
        <v>0</v>
      </c>
      <c r="AJ558" s="5"/>
      <c r="AK558" s="5"/>
      <c r="AL558" s="7" t="s">
        <v>15077</v>
      </c>
    </row>
    <row r="559" spans="1:38" ht="36" customHeight="1">
      <c r="A559" s="1" t="s">
        <v>5337</v>
      </c>
      <c r="B559" s="1" t="s">
        <v>5601</v>
      </c>
      <c r="C559" s="1" t="s">
        <v>5602</v>
      </c>
      <c r="D559" s="1" t="s">
        <v>10757</v>
      </c>
      <c r="E559" s="1">
        <v>1</v>
      </c>
      <c r="F559" s="1"/>
      <c r="G559" s="1" t="s">
        <v>12859</v>
      </c>
      <c r="H559" s="1" t="s">
        <v>10661</v>
      </c>
      <c r="I559" s="1"/>
      <c r="J559" s="1"/>
      <c r="K559" s="1"/>
      <c r="L559" s="1" t="s">
        <v>12860</v>
      </c>
      <c r="M559" s="1" t="s">
        <v>10758</v>
      </c>
      <c r="N559" s="1" t="s">
        <v>14380</v>
      </c>
      <c r="O559" s="1"/>
      <c r="P559" s="1" t="s">
        <v>12876</v>
      </c>
      <c r="Q559" s="1">
        <v>1</v>
      </c>
      <c r="R559" s="1" t="s">
        <v>12981</v>
      </c>
      <c r="S559" s="1" t="s">
        <v>14381</v>
      </c>
      <c r="T559" s="1" t="s">
        <v>14382</v>
      </c>
      <c r="U559" s="1" t="s">
        <v>10666</v>
      </c>
      <c r="V559" s="1" t="s">
        <v>6096</v>
      </c>
      <c r="W559" s="1"/>
      <c r="X559" s="1"/>
      <c r="Y559" s="1"/>
      <c r="Z559" s="1" t="s">
        <v>12908</v>
      </c>
      <c r="AA559" s="1">
        <f t="shared" si="31"/>
        <v>1</v>
      </c>
      <c r="AB559" s="1" t="str">
        <f t="shared" si="32"/>
        <v>R2 retained</v>
      </c>
      <c r="AC559" s="1"/>
      <c r="AD559" s="1"/>
      <c r="AE559" s="1"/>
      <c r="AF559" s="1"/>
      <c r="AG559" s="1"/>
      <c r="AH559" s="1"/>
      <c r="AI559" s="1">
        <f t="shared" si="33"/>
        <v>1</v>
      </c>
      <c r="AJ559" s="5"/>
      <c r="AK559" s="5"/>
      <c r="AL559" s="7" t="s">
        <v>15077</v>
      </c>
    </row>
    <row r="560" spans="1:38" ht="36" customHeight="1">
      <c r="A560" s="1" t="s">
        <v>5337</v>
      </c>
      <c r="B560" s="1" t="s">
        <v>5606</v>
      </c>
      <c r="C560" s="1" t="s">
        <v>5607</v>
      </c>
      <c r="D560" s="1" t="s">
        <v>10760</v>
      </c>
      <c r="E560" s="1">
        <v>2</v>
      </c>
      <c r="F560" s="1"/>
      <c r="G560" s="1" t="s">
        <v>12859</v>
      </c>
      <c r="H560" s="1" t="s">
        <v>10661</v>
      </c>
      <c r="I560" s="1" t="s">
        <v>12912</v>
      </c>
      <c r="J560" s="1"/>
      <c r="K560" s="1"/>
      <c r="L560" s="1" t="s">
        <v>12860</v>
      </c>
      <c r="M560" s="1" t="s">
        <v>10762</v>
      </c>
      <c r="N560" s="1" t="s">
        <v>14383</v>
      </c>
      <c r="O560" s="1"/>
      <c r="P560" s="1" t="s">
        <v>12868</v>
      </c>
      <c r="Q560" s="1"/>
      <c r="R560" s="1"/>
      <c r="S560" s="1"/>
      <c r="T560" s="1"/>
      <c r="U560" s="1"/>
      <c r="V560" s="1"/>
      <c r="W560" s="1"/>
      <c r="X560" s="1"/>
      <c r="Y560" s="1"/>
      <c r="Z560" s="1"/>
      <c r="AA560" s="1">
        <f t="shared" si="31"/>
        <v>2</v>
      </c>
      <c r="AB560" s="1" t="str">
        <f t="shared" si="32"/>
        <v>R2 retained</v>
      </c>
      <c r="AC560" s="1"/>
      <c r="AD560" s="1"/>
      <c r="AE560" s="1"/>
      <c r="AF560" s="1"/>
      <c r="AG560" s="1"/>
      <c r="AH560" s="1"/>
      <c r="AI560" s="1">
        <f t="shared" si="33"/>
        <v>0</v>
      </c>
      <c r="AJ560" s="5"/>
      <c r="AK560" s="5"/>
      <c r="AL560" s="7" t="s">
        <v>15077</v>
      </c>
    </row>
    <row r="561" spans="1:38" ht="36" customHeight="1">
      <c r="A561" s="1" t="s">
        <v>5337</v>
      </c>
      <c r="B561" s="1" t="s">
        <v>5454</v>
      </c>
      <c r="C561" s="1" t="s">
        <v>5455</v>
      </c>
      <c r="D561" s="1" t="s">
        <v>10627</v>
      </c>
      <c r="E561" s="1">
        <v>0</v>
      </c>
      <c r="F561" s="1"/>
      <c r="G561" s="1" t="s">
        <v>12859</v>
      </c>
      <c r="H561" s="1" t="s">
        <v>10661</v>
      </c>
      <c r="I561" s="1" t="s">
        <v>4747</v>
      </c>
      <c r="J561" s="1"/>
      <c r="K561" s="1"/>
      <c r="L561" s="1" t="s">
        <v>12860</v>
      </c>
      <c r="M561" s="1" t="s">
        <v>10764</v>
      </c>
      <c r="N561" s="1" t="s">
        <v>14384</v>
      </c>
      <c r="O561" s="1"/>
      <c r="P561" s="1" t="s">
        <v>12863</v>
      </c>
      <c r="Q561" s="1"/>
      <c r="R561" s="1"/>
      <c r="S561" s="1"/>
      <c r="T561" s="1"/>
      <c r="U561" s="1"/>
      <c r="V561" s="1"/>
      <c r="W561" s="1"/>
      <c r="X561" s="1"/>
      <c r="Y561" s="1"/>
      <c r="Z561" s="1"/>
      <c r="AA561" s="1">
        <f t="shared" si="31"/>
        <v>0</v>
      </c>
      <c r="AB561" s="1" t="str">
        <f t="shared" si="32"/>
        <v>R2 retained</v>
      </c>
      <c r="AC561" s="1">
        <v>0</v>
      </c>
      <c r="AD561" s="1" t="s">
        <v>12884</v>
      </c>
      <c r="AE561" s="1" t="s">
        <v>13947</v>
      </c>
      <c r="AF561" s="1" t="s">
        <v>14385</v>
      </c>
      <c r="AG561" s="1" t="s">
        <v>10666</v>
      </c>
      <c r="AH561" s="1" t="s">
        <v>6096</v>
      </c>
      <c r="AI561" s="1">
        <f t="shared" si="33"/>
        <v>1</v>
      </c>
      <c r="AJ561" s="5" t="s">
        <v>12898</v>
      </c>
      <c r="AK561" s="5" t="s">
        <v>12899</v>
      </c>
      <c r="AL561" s="7" t="s">
        <v>15077</v>
      </c>
    </row>
    <row r="562" spans="1:38" ht="36" customHeight="1">
      <c r="A562" s="1" t="s">
        <v>5352</v>
      </c>
      <c r="B562" s="1" t="s">
        <v>5537</v>
      </c>
      <c r="C562" s="1" t="s">
        <v>5538</v>
      </c>
      <c r="D562" s="1" t="s">
        <v>4747</v>
      </c>
      <c r="E562" s="1">
        <v>0</v>
      </c>
      <c r="F562" s="1"/>
      <c r="G562" s="1" t="s">
        <v>12859</v>
      </c>
      <c r="H562" s="1" t="s">
        <v>10778</v>
      </c>
      <c r="I562" s="1" t="s">
        <v>4747</v>
      </c>
      <c r="J562" s="1"/>
      <c r="K562" s="1"/>
      <c r="L562" s="1" t="s">
        <v>12860</v>
      </c>
      <c r="M562" s="1" t="s">
        <v>14386</v>
      </c>
      <c r="N562" s="1" t="s">
        <v>14387</v>
      </c>
      <c r="O562" s="1"/>
      <c r="P562" s="1" t="s">
        <v>12863</v>
      </c>
      <c r="Q562" s="1"/>
      <c r="R562" s="1"/>
      <c r="S562" s="1"/>
      <c r="T562" s="1"/>
      <c r="U562" s="1"/>
      <c r="V562" s="1"/>
      <c r="W562" s="1"/>
      <c r="X562" s="1"/>
      <c r="Y562" s="1"/>
      <c r="Z562" s="1"/>
      <c r="AA562" s="1">
        <f t="shared" si="31"/>
        <v>0</v>
      </c>
      <c r="AB562" s="1" t="str">
        <f t="shared" si="32"/>
        <v>R2 retained</v>
      </c>
      <c r="AC562" s="1"/>
      <c r="AD562" s="1"/>
      <c r="AE562" s="1"/>
      <c r="AF562" s="1"/>
      <c r="AG562" s="1"/>
      <c r="AH562" s="1"/>
      <c r="AI562" s="1">
        <f t="shared" si="33"/>
        <v>0</v>
      </c>
      <c r="AJ562" s="5"/>
      <c r="AK562" s="5"/>
      <c r="AL562" s="7" t="s">
        <v>15077</v>
      </c>
    </row>
    <row r="563" spans="1:38" ht="36" customHeight="1">
      <c r="A563" s="1" t="s">
        <v>5352</v>
      </c>
      <c r="B563" s="1" t="s">
        <v>5542</v>
      </c>
      <c r="C563" s="1" t="s">
        <v>5543</v>
      </c>
      <c r="D563" s="1" t="s">
        <v>4747</v>
      </c>
      <c r="E563" s="1">
        <v>0</v>
      </c>
      <c r="F563" s="1"/>
      <c r="G563" s="1" t="s">
        <v>12859</v>
      </c>
      <c r="H563" s="1" t="s">
        <v>10778</v>
      </c>
      <c r="I563" s="1" t="s">
        <v>4747</v>
      </c>
      <c r="J563" s="1"/>
      <c r="K563" s="1"/>
      <c r="L563" s="1" t="s">
        <v>12860</v>
      </c>
      <c r="M563" s="1" t="s">
        <v>14388</v>
      </c>
      <c r="N563" s="1" t="s">
        <v>14389</v>
      </c>
      <c r="O563" s="1"/>
      <c r="P563" s="1" t="s">
        <v>12863</v>
      </c>
      <c r="Q563" s="1"/>
      <c r="R563" s="1"/>
      <c r="S563" s="1"/>
      <c r="T563" s="1"/>
      <c r="U563" s="1"/>
      <c r="V563" s="1"/>
      <c r="W563" s="1"/>
      <c r="X563" s="1"/>
      <c r="Y563" s="1"/>
      <c r="Z563" s="1"/>
      <c r="AA563" s="1">
        <f t="shared" si="31"/>
        <v>0</v>
      </c>
      <c r="AB563" s="1" t="str">
        <f t="shared" si="32"/>
        <v>R2 retained</v>
      </c>
      <c r="AC563" s="1"/>
      <c r="AD563" s="1"/>
      <c r="AE563" s="1"/>
      <c r="AF563" s="1"/>
      <c r="AG563" s="1"/>
      <c r="AH563" s="1"/>
      <c r="AI563" s="1">
        <f t="shared" si="33"/>
        <v>0</v>
      </c>
      <c r="AJ563" s="5"/>
      <c r="AK563" s="5"/>
      <c r="AL563" s="7" t="s">
        <v>15077</v>
      </c>
    </row>
    <row r="564" spans="1:38" ht="36" customHeight="1">
      <c r="A564" s="1" t="s">
        <v>5352</v>
      </c>
      <c r="B564" s="1" t="s">
        <v>5547</v>
      </c>
      <c r="C564" s="1" t="s">
        <v>5548</v>
      </c>
      <c r="D564" s="1" t="s">
        <v>4747</v>
      </c>
      <c r="E564" s="1">
        <v>1</v>
      </c>
      <c r="F564" s="1"/>
      <c r="G564" s="1" t="s">
        <v>12859</v>
      </c>
      <c r="H564" s="1" t="s">
        <v>10778</v>
      </c>
      <c r="I564" s="1" t="s">
        <v>4862</v>
      </c>
      <c r="J564" s="1"/>
      <c r="K564" s="1"/>
      <c r="L564" s="1" t="s">
        <v>12860</v>
      </c>
      <c r="M564" s="1" t="s">
        <v>14390</v>
      </c>
      <c r="N564" s="1" t="s">
        <v>14391</v>
      </c>
      <c r="O564" s="1"/>
      <c r="P564" s="1" t="s">
        <v>12868</v>
      </c>
      <c r="Q564" s="1"/>
      <c r="R564" s="1"/>
      <c r="S564" s="1"/>
      <c r="T564" s="1"/>
      <c r="U564" s="1"/>
      <c r="V564" s="1"/>
      <c r="W564" s="1"/>
      <c r="X564" s="1"/>
      <c r="Y564" s="1"/>
      <c r="Z564" s="1"/>
      <c r="AA564" s="1">
        <f t="shared" si="31"/>
        <v>1</v>
      </c>
      <c r="AB564" s="1" t="str">
        <f t="shared" si="32"/>
        <v>R2 retained</v>
      </c>
      <c r="AC564" s="1"/>
      <c r="AD564" s="1"/>
      <c r="AE564" s="1"/>
      <c r="AF564" s="1"/>
      <c r="AG564" s="1"/>
      <c r="AH564" s="1"/>
      <c r="AI564" s="1">
        <f t="shared" si="33"/>
        <v>0</v>
      </c>
      <c r="AJ564" s="5"/>
      <c r="AK564" s="5"/>
      <c r="AL564" s="7" t="s">
        <v>15077</v>
      </c>
    </row>
    <row r="565" spans="1:38" ht="36" customHeight="1">
      <c r="A565" s="1" t="s">
        <v>5352</v>
      </c>
      <c r="B565" s="1" t="s">
        <v>5552</v>
      </c>
      <c r="C565" s="1" t="s">
        <v>5553</v>
      </c>
      <c r="D565" s="1" t="s">
        <v>14392</v>
      </c>
      <c r="E565" s="1">
        <v>1</v>
      </c>
      <c r="F565" s="1"/>
      <c r="G565" s="1" t="s">
        <v>12859</v>
      </c>
      <c r="H565" s="1" t="s">
        <v>10778</v>
      </c>
      <c r="I565" s="1"/>
      <c r="J565" s="1"/>
      <c r="K565" s="1"/>
      <c r="L565" s="1" t="s">
        <v>12860</v>
      </c>
      <c r="M565" s="1" t="s">
        <v>14393</v>
      </c>
      <c r="N565" s="1" t="s">
        <v>14394</v>
      </c>
      <c r="O565" s="1"/>
      <c r="P565" s="1" t="s">
        <v>12876</v>
      </c>
      <c r="Q565" s="1">
        <v>1</v>
      </c>
      <c r="R565" s="1" t="s">
        <v>12981</v>
      </c>
      <c r="S565" s="1" t="s">
        <v>14395</v>
      </c>
      <c r="T565" s="1" t="s">
        <v>14396</v>
      </c>
      <c r="U565" s="1" t="s">
        <v>10783</v>
      </c>
      <c r="V565" s="1" t="s">
        <v>6096</v>
      </c>
      <c r="W565" s="1"/>
      <c r="X565" s="1"/>
      <c r="Y565" s="1"/>
      <c r="Z565" s="1" t="s">
        <v>12908</v>
      </c>
      <c r="AA565" s="1">
        <f t="shared" si="31"/>
        <v>1</v>
      </c>
      <c r="AB565" s="1" t="str">
        <f t="shared" si="32"/>
        <v>R2 retained</v>
      </c>
      <c r="AC565" s="1"/>
      <c r="AD565" s="1"/>
      <c r="AE565" s="1"/>
      <c r="AF565" s="1"/>
      <c r="AG565" s="1"/>
      <c r="AH565" s="1"/>
      <c r="AI565" s="1">
        <f t="shared" si="33"/>
        <v>1</v>
      </c>
      <c r="AJ565" s="5"/>
      <c r="AK565" s="5"/>
      <c r="AL565" s="7" t="s">
        <v>15077</v>
      </c>
    </row>
    <row r="566" spans="1:38" ht="36" customHeight="1">
      <c r="A566" s="1" t="s">
        <v>5352</v>
      </c>
      <c r="B566" s="1" t="s">
        <v>5557</v>
      </c>
      <c r="C566" s="1" t="s">
        <v>5558</v>
      </c>
      <c r="D566" s="1" t="s">
        <v>4747</v>
      </c>
      <c r="E566" s="1">
        <v>2</v>
      </c>
      <c r="F566" s="1"/>
      <c r="G566" s="1" t="s">
        <v>12859</v>
      </c>
      <c r="H566" s="1" t="s">
        <v>10778</v>
      </c>
      <c r="I566" s="1" t="s">
        <v>4737</v>
      </c>
      <c r="J566" s="1"/>
      <c r="K566" s="1"/>
      <c r="L566" s="1" t="s">
        <v>12860</v>
      </c>
      <c r="M566" s="1" t="s">
        <v>10818</v>
      </c>
      <c r="N566" s="1" t="s">
        <v>14397</v>
      </c>
      <c r="O566" s="1"/>
      <c r="P566" s="1" t="s">
        <v>12868</v>
      </c>
      <c r="Q566" s="1"/>
      <c r="R566" s="1"/>
      <c r="S566" s="1"/>
      <c r="T566" s="1"/>
      <c r="U566" s="1"/>
      <c r="V566" s="1"/>
      <c r="W566" s="1"/>
      <c r="X566" s="1"/>
      <c r="Y566" s="1"/>
      <c r="Z566" s="1"/>
      <c r="AA566" s="1">
        <f t="shared" si="31"/>
        <v>2</v>
      </c>
      <c r="AB566" s="1" t="str">
        <f t="shared" si="32"/>
        <v>R2 retained</v>
      </c>
      <c r="AC566" s="1"/>
      <c r="AD566" s="1"/>
      <c r="AE566" s="1"/>
      <c r="AF566" s="1"/>
      <c r="AG566" s="1"/>
      <c r="AH566" s="1"/>
      <c r="AI566" s="1">
        <f t="shared" si="33"/>
        <v>0</v>
      </c>
      <c r="AJ566" s="5"/>
      <c r="AK566" s="5"/>
      <c r="AL566" s="7" t="s">
        <v>15077</v>
      </c>
    </row>
    <row r="567" spans="1:38" ht="36" customHeight="1">
      <c r="A567" s="1" t="s">
        <v>5352</v>
      </c>
      <c r="B567" s="1" t="s">
        <v>5562</v>
      </c>
      <c r="C567" s="1" t="s">
        <v>5563</v>
      </c>
      <c r="D567" s="1" t="s">
        <v>4747</v>
      </c>
      <c r="E567" s="1">
        <v>1</v>
      </c>
      <c r="F567" s="1"/>
      <c r="G567" s="1" t="s">
        <v>12859</v>
      </c>
      <c r="H567" s="1" t="s">
        <v>10778</v>
      </c>
      <c r="I567" s="1" t="s">
        <v>4717</v>
      </c>
      <c r="J567" s="1"/>
      <c r="K567" s="1"/>
      <c r="L567" s="1" t="s">
        <v>12860</v>
      </c>
      <c r="M567" s="1" t="s">
        <v>10822</v>
      </c>
      <c r="N567" s="1" t="s">
        <v>14398</v>
      </c>
      <c r="O567" s="1"/>
      <c r="P567" s="1" t="s">
        <v>12868</v>
      </c>
      <c r="Q567" s="1"/>
      <c r="R567" s="1"/>
      <c r="S567" s="1"/>
      <c r="T567" s="1"/>
      <c r="U567" s="1"/>
      <c r="V567" s="1"/>
      <c r="W567" s="1"/>
      <c r="X567" s="1"/>
      <c r="Y567" s="1"/>
      <c r="Z567" s="1"/>
      <c r="AA567" s="1">
        <f t="shared" si="31"/>
        <v>1</v>
      </c>
      <c r="AB567" s="1" t="str">
        <f t="shared" si="32"/>
        <v>R2 retained</v>
      </c>
      <c r="AC567" s="1">
        <v>1</v>
      </c>
      <c r="AD567" s="1" t="s">
        <v>12884</v>
      </c>
      <c r="AE567" s="1" t="s">
        <v>14399</v>
      </c>
      <c r="AF567" s="1" t="s">
        <v>14400</v>
      </c>
      <c r="AG567" s="1" t="s">
        <v>10783</v>
      </c>
      <c r="AH567" s="1" t="s">
        <v>6096</v>
      </c>
      <c r="AI567" s="1">
        <f t="shared" si="33"/>
        <v>1</v>
      </c>
      <c r="AJ567" s="5"/>
      <c r="AK567" s="5"/>
      <c r="AL567" s="7" t="s">
        <v>15077</v>
      </c>
    </row>
    <row r="568" spans="1:38" ht="36" customHeight="1">
      <c r="A568" s="1" t="s">
        <v>5352</v>
      </c>
      <c r="B568" s="1" t="s">
        <v>5567</v>
      </c>
      <c r="C568" s="1" t="s">
        <v>5568</v>
      </c>
      <c r="D568" s="1" t="s">
        <v>5361</v>
      </c>
      <c r="E568" s="1">
        <v>1</v>
      </c>
      <c r="F568" s="1"/>
      <c r="G568" s="1" t="s">
        <v>12859</v>
      </c>
      <c r="H568" s="1" t="s">
        <v>10778</v>
      </c>
      <c r="I568" s="1" t="s">
        <v>5362</v>
      </c>
      <c r="J568" s="1"/>
      <c r="K568" s="1"/>
      <c r="L568" s="1" t="s">
        <v>12860</v>
      </c>
      <c r="M568" s="1" t="s">
        <v>14401</v>
      </c>
      <c r="N568" s="1" t="s">
        <v>14402</v>
      </c>
      <c r="O568" s="1"/>
      <c r="P568" s="1" t="s">
        <v>12868</v>
      </c>
      <c r="Q568" s="1"/>
      <c r="R568" s="1"/>
      <c r="S568" s="1"/>
      <c r="T568" s="1"/>
      <c r="U568" s="1"/>
      <c r="V568" s="1"/>
      <c r="W568" s="1"/>
      <c r="X568" s="1"/>
      <c r="Y568" s="1"/>
      <c r="Z568" s="1"/>
      <c r="AA568" s="1">
        <f t="shared" si="31"/>
        <v>1</v>
      </c>
      <c r="AB568" s="1" t="str">
        <f t="shared" si="32"/>
        <v>R2 retained</v>
      </c>
      <c r="AC568" s="1"/>
      <c r="AD568" s="1"/>
      <c r="AE568" s="1"/>
      <c r="AF568" s="1"/>
      <c r="AG568" s="1"/>
      <c r="AH568" s="1"/>
      <c r="AI568" s="1">
        <f t="shared" si="33"/>
        <v>0</v>
      </c>
      <c r="AJ568" s="5"/>
      <c r="AK568" s="5"/>
      <c r="AL568" s="7" t="s">
        <v>15077</v>
      </c>
    </row>
    <row r="569" spans="1:38" ht="36" customHeight="1">
      <c r="A569" s="1" t="s">
        <v>5352</v>
      </c>
      <c r="B569" s="1" t="s">
        <v>5572</v>
      </c>
      <c r="C569" s="1" t="s">
        <v>5573</v>
      </c>
      <c r="D569" s="1" t="s">
        <v>4747</v>
      </c>
      <c r="E569" s="1">
        <v>1</v>
      </c>
      <c r="F569" s="1"/>
      <c r="G569" s="1" t="s">
        <v>12859</v>
      </c>
      <c r="H569" s="1" t="s">
        <v>10778</v>
      </c>
      <c r="I569" s="1" t="s">
        <v>4737</v>
      </c>
      <c r="J569" s="1"/>
      <c r="K569" s="1"/>
      <c r="L569" s="1" t="s">
        <v>12860</v>
      </c>
      <c r="M569" s="1" t="s">
        <v>14403</v>
      </c>
      <c r="N569" s="1" t="s">
        <v>14404</v>
      </c>
      <c r="O569" s="1"/>
      <c r="P569" s="1" t="s">
        <v>12868</v>
      </c>
      <c r="Q569" s="1"/>
      <c r="R569" s="1"/>
      <c r="S569" s="1"/>
      <c r="T569" s="1"/>
      <c r="U569" s="1"/>
      <c r="V569" s="1"/>
      <c r="W569" s="1"/>
      <c r="X569" s="1"/>
      <c r="Y569" s="1"/>
      <c r="Z569" s="1"/>
      <c r="AA569" s="1">
        <f t="shared" si="31"/>
        <v>1</v>
      </c>
      <c r="AB569" s="1" t="str">
        <f t="shared" si="32"/>
        <v>R2 retained</v>
      </c>
      <c r="AC569" s="1"/>
      <c r="AD569" s="1"/>
      <c r="AE569" s="1"/>
      <c r="AF569" s="1"/>
      <c r="AG569" s="1"/>
      <c r="AH569" s="1"/>
      <c r="AI569" s="1">
        <f t="shared" si="33"/>
        <v>0</v>
      </c>
      <c r="AJ569" s="5"/>
      <c r="AK569" s="5"/>
      <c r="AL569" s="7" t="s">
        <v>15077</v>
      </c>
    </row>
    <row r="570" spans="1:38" ht="36" customHeight="1">
      <c r="A570" s="1" t="s">
        <v>5352</v>
      </c>
      <c r="B570" s="1" t="s">
        <v>5577</v>
      </c>
      <c r="C570" s="1" t="s">
        <v>5578</v>
      </c>
      <c r="D570" s="1" t="s">
        <v>4747</v>
      </c>
      <c r="E570" s="1">
        <v>2</v>
      </c>
      <c r="F570" s="1"/>
      <c r="G570" s="1" t="s">
        <v>12859</v>
      </c>
      <c r="H570" s="1" t="s">
        <v>10778</v>
      </c>
      <c r="I570" s="1" t="s">
        <v>4862</v>
      </c>
      <c r="J570" s="1"/>
      <c r="K570" s="1"/>
      <c r="L570" s="1" t="s">
        <v>12860</v>
      </c>
      <c r="M570" s="1" t="s">
        <v>14405</v>
      </c>
      <c r="N570" s="1" t="s">
        <v>14406</v>
      </c>
      <c r="O570" s="1"/>
      <c r="P570" s="1" t="s">
        <v>12868</v>
      </c>
      <c r="Q570" s="1"/>
      <c r="R570" s="1"/>
      <c r="S570" s="1"/>
      <c r="T570" s="1"/>
      <c r="U570" s="1"/>
      <c r="V570" s="1"/>
      <c r="W570" s="1"/>
      <c r="X570" s="1"/>
      <c r="Y570" s="1"/>
      <c r="Z570" s="1"/>
      <c r="AA570" s="1">
        <f t="shared" si="31"/>
        <v>2</v>
      </c>
      <c r="AB570" s="1" t="str">
        <f t="shared" si="32"/>
        <v>R2 retained</v>
      </c>
      <c r="AC570" s="1"/>
      <c r="AD570" s="1"/>
      <c r="AE570" s="1"/>
      <c r="AF570" s="1"/>
      <c r="AG570" s="1"/>
      <c r="AH570" s="1"/>
      <c r="AI570" s="1">
        <f t="shared" si="33"/>
        <v>0</v>
      </c>
      <c r="AJ570" s="5"/>
      <c r="AK570" s="5"/>
      <c r="AL570" s="7" t="s">
        <v>15077</v>
      </c>
    </row>
    <row r="571" spans="1:38" ht="60" customHeight="1">
      <c r="A571" s="1" t="s">
        <v>5352</v>
      </c>
      <c r="B571" s="1" t="s">
        <v>5582</v>
      </c>
      <c r="C571" s="1" t="s">
        <v>5583</v>
      </c>
      <c r="D571" s="1" t="s">
        <v>5788</v>
      </c>
      <c r="E571" s="1">
        <v>1</v>
      </c>
      <c r="F571" s="1">
        <v>0</v>
      </c>
      <c r="G571" s="1" t="s">
        <v>4691</v>
      </c>
      <c r="H571" s="1" t="s">
        <v>10778</v>
      </c>
      <c r="I571" s="1" t="s">
        <v>4896</v>
      </c>
      <c r="J571" s="1"/>
      <c r="K571" s="1"/>
      <c r="L571" s="1" t="s">
        <v>12860</v>
      </c>
      <c r="M571" s="1" t="s">
        <v>10866</v>
      </c>
      <c r="N571" s="1" t="s">
        <v>14407</v>
      </c>
      <c r="O571" s="1" t="s">
        <v>14408</v>
      </c>
      <c r="P571" s="1" t="s">
        <v>12917</v>
      </c>
      <c r="Q571" s="1"/>
      <c r="R571" s="1"/>
      <c r="S571" s="1"/>
      <c r="T571" s="1"/>
      <c r="U571" s="1"/>
      <c r="V571" s="1"/>
      <c r="W571" s="1"/>
      <c r="X571" s="1"/>
      <c r="Y571" s="1" t="s">
        <v>5790</v>
      </c>
      <c r="Z571" s="1" t="s">
        <v>12918</v>
      </c>
      <c r="AA571" s="1">
        <f t="shared" si="31"/>
        <v>0</v>
      </c>
      <c r="AB571" s="1" t="str">
        <f t="shared" si="32"/>
        <v>Reviewer confirmed</v>
      </c>
      <c r="AC571" s="1">
        <v>0</v>
      </c>
      <c r="AD571" s="1" t="s">
        <v>12936</v>
      </c>
      <c r="AE571" s="1" t="s">
        <v>5790</v>
      </c>
      <c r="AF571" s="1" t="s">
        <v>5789</v>
      </c>
      <c r="AG571" s="1" t="s">
        <v>5791</v>
      </c>
      <c r="AH571" s="1" t="s">
        <v>5461</v>
      </c>
      <c r="AI571" s="1">
        <f t="shared" si="33"/>
        <v>1</v>
      </c>
      <c r="AJ571" s="5" t="s">
        <v>12898</v>
      </c>
      <c r="AK571" s="5" t="s">
        <v>12899</v>
      </c>
      <c r="AL571" s="7" t="s">
        <v>15077</v>
      </c>
    </row>
    <row r="572" spans="1:38" ht="36" customHeight="1">
      <c r="A572" s="1" t="s">
        <v>5352</v>
      </c>
      <c r="B572" s="1" t="s">
        <v>5586</v>
      </c>
      <c r="C572" s="1" t="s">
        <v>5587</v>
      </c>
      <c r="D572" s="1" t="s">
        <v>4747</v>
      </c>
      <c r="E572" s="1">
        <v>2</v>
      </c>
      <c r="F572" s="1"/>
      <c r="G572" s="1" t="s">
        <v>12859</v>
      </c>
      <c r="H572" s="1" t="s">
        <v>10778</v>
      </c>
      <c r="I572" s="1" t="s">
        <v>4935</v>
      </c>
      <c r="J572" s="1"/>
      <c r="K572" s="1"/>
      <c r="L572" s="1" t="s">
        <v>12860</v>
      </c>
      <c r="M572" s="1" t="s">
        <v>14409</v>
      </c>
      <c r="N572" s="1" t="s">
        <v>14410</v>
      </c>
      <c r="O572" s="1"/>
      <c r="P572" s="1" t="s">
        <v>12868</v>
      </c>
      <c r="Q572" s="1"/>
      <c r="R572" s="1"/>
      <c r="S572" s="1"/>
      <c r="T572" s="1"/>
      <c r="U572" s="1"/>
      <c r="V572" s="1"/>
      <c r="W572" s="1"/>
      <c r="X572" s="1"/>
      <c r="Y572" s="1"/>
      <c r="Z572" s="1"/>
      <c r="AA572" s="1">
        <f t="shared" si="31"/>
        <v>2</v>
      </c>
      <c r="AB572" s="1" t="str">
        <f t="shared" si="32"/>
        <v>R2 retained</v>
      </c>
      <c r="AC572" s="1"/>
      <c r="AD572" s="1"/>
      <c r="AE572" s="1"/>
      <c r="AF572" s="1"/>
      <c r="AG572" s="1"/>
      <c r="AH572" s="1"/>
      <c r="AI572" s="1">
        <f t="shared" si="33"/>
        <v>0</v>
      </c>
      <c r="AJ572" s="5"/>
      <c r="AK572" s="5"/>
      <c r="AL572" s="7" t="s">
        <v>15077</v>
      </c>
    </row>
    <row r="573" spans="1:38" ht="84" customHeight="1">
      <c r="A573" s="1" t="s">
        <v>5352</v>
      </c>
      <c r="B573" s="1" t="s">
        <v>5591</v>
      </c>
      <c r="C573" s="1" t="s">
        <v>5592</v>
      </c>
      <c r="D573" s="1" t="s">
        <v>4747</v>
      </c>
      <c r="E573" s="1">
        <v>0</v>
      </c>
      <c r="F573" s="1"/>
      <c r="G573" s="1" t="s">
        <v>12859</v>
      </c>
      <c r="H573" s="1" t="s">
        <v>10778</v>
      </c>
      <c r="I573" s="1" t="s">
        <v>4747</v>
      </c>
      <c r="J573" s="1"/>
      <c r="K573" s="1"/>
      <c r="L573" s="1" t="s">
        <v>12860</v>
      </c>
      <c r="M573" s="1" t="s">
        <v>14411</v>
      </c>
      <c r="N573" s="1" t="s">
        <v>14412</v>
      </c>
      <c r="O573" s="1"/>
      <c r="P573" s="1" t="s">
        <v>12863</v>
      </c>
      <c r="Q573" s="1">
        <v>0</v>
      </c>
      <c r="R573" s="1" t="s">
        <v>12904</v>
      </c>
      <c r="S573" s="1" t="s">
        <v>14413</v>
      </c>
      <c r="T573" s="1" t="s">
        <v>14414</v>
      </c>
      <c r="U573" s="1" t="s">
        <v>10783</v>
      </c>
      <c r="V573" s="1" t="s">
        <v>6096</v>
      </c>
      <c r="W573" s="1" t="s">
        <v>12907</v>
      </c>
      <c r="X573" s="1"/>
      <c r="Y573" s="1"/>
      <c r="Z573" s="1" t="s">
        <v>12908</v>
      </c>
      <c r="AA573" s="1">
        <f t="shared" si="31"/>
        <v>0</v>
      </c>
      <c r="AB573" s="1" t="str">
        <f t="shared" si="32"/>
        <v>R2 retained</v>
      </c>
      <c r="AC573" s="1">
        <v>0</v>
      </c>
      <c r="AD573" s="1" t="s">
        <v>12884</v>
      </c>
      <c r="AE573" s="1" t="s">
        <v>14413</v>
      </c>
      <c r="AF573" s="1" t="s">
        <v>14414</v>
      </c>
      <c r="AG573" s="1" t="s">
        <v>10783</v>
      </c>
      <c r="AH573" s="1" t="s">
        <v>6096</v>
      </c>
      <c r="AI573" s="1">
        <f t="shared" si="33"/>
        <v>1</v>
      </c>
      <c r="AJ573" s="5" t="s">
        <v>12898</v>
      </c>
      <c r="AK573" s="5" t="s">
        <v>12899</v>
      </c>
      <c r="AL573" s="7" t="s">
        <v>15077</v>
      </c>
    </row>
    <row r="574" spans="1:38" ht="36" customHeight="1">
      <c r="A574" s="1" t="s">
        <v>5352</v>
      </c>
      <c r="B574" s="1" t="s">
        <v>5596</v>
      </c>
      <c r="C574" s="1" t="s">
        <v>5597</v>
      </c>
      <c r="D574" s="1" t="s">
        <v>4747</v>
      </c>
      <c r="E574" s="1">
        <v>0</v>
      </c>
      <c r="F574" s="1"/>
      <c r="G574" s="1" t="s">
        <v>12859</v>
      </c>
      <c r="H574" s="1" t="s">
        <v>10778</v>
      </c>
      <c r="I574" s="1" t="s">
        <v>4747</v>
      </c>
      <c r="J574" s="1"/>
      <c r="K574" s="1"/>
      <c r="L574" s="1" t="s">
        <v>12860</v>
      </c>
      <c r="M574" s="1" t="s">
        <v>14415</v>
      </c>
      <c r="N574" s="1" t="s">
        <v>14416</v>
      </c>
      <c r="O574" s="1"/>
      <c r="P574" s="1" t="s">
        <v>12863</v>
      </c>
      <c r="Q574" s="1"/>
      <c r="R574" s="1"/>
      <c r="S574" s="1"/>
      <c r="T574" s="1"/>
      <c r="U574" s="1"/>
      <c r="V574" s="1"/>
      <c r="W574" s="1"/>
      <c r="X574" s="1"/>
      <c r="Y574" s="1"/>
      <c r="Z574" s="1"/>
      <c r="AA574" s="1">
        <f t="shared" si="31"/>
        <v>0</v>
      </c>
      <c r="AB574" s="1" t="str">
        <f t="shared" si="32"/>
        <v>R2 retained</v>
      </c>
      <c r="AC574" s="1"/>
      <c r="AD574" s="1"/>
      <c r="AE574" s="1"/>
      <c r="AF574" s="1"/>
      <c r="AG574" s="1"/>
      <c r="AH574" s="1"/>
      <c r="AI574" s="1">
        <f t="shared" si="33"/>
        <v>0</v>
      </c>
      <c r="AJ574" s="5"/>
      <c r="AK574" s="5"/>
      <c r="AL574" s="7" t="s">
        <v>15077</v>
      </c>
    </row>
    <row r="575" spans="1:38" ht="36" customHeight="1">
      <c r="A575" s="1" t="s">
        <v>5352</v>
      </c>
      <c r="B575" s="1" t="s">
        <v>5601</v>
      </c>
      <c r="C575" s="1" t="s">
        <v>5602</v>
      </c>
      <c r="D575" s="1" t="s">
        <v>4747</v>
      </c>
      <c r="E575" s="1">
        <v>0</v>
      </c>
      <c r="F575" s="1"/>
      <c r="G575" s="1" t="s">
        <v>12859</v>
      </c>
      <c r="H575" s="1" t="s">
        <v>10778</v>
      </c>
      <c r="I575" s="1" t="s">
        <v>4747</v>
      </c>
      <c r="J575" s="1"/>
      <c r="K575" s="1"/>
      <c r="L575" s="1" t="s">
        <v>12860</v>
      </c>
      <c r="M575" s="1" t="s">
        <v>10887</v>
      </c>
      <c r="N575" s="1" t="s">
        <v>14417</v>
      </c>
      <c r="O575" s="1"/>
      <c r="P575" s="1" t="s">
        <v>12863</v>
      </c>
      <c r="Q575" s="1"/>
      <c r="R575" s="1"/>
      <c r="S575" s="1"/>
      <c r="T575" s="1"/>
      <c r="U575" s="1"/>
      <c r="V575" s="1"/>
      <c r="W575" s="1"/>
      <c r="X575" s="1"/>
      <c r="Y575" s="1"/>
      <c r="Z575" s="1"/>
      <c r="AA575" s="1">
        <f t="shared" si="31"/>
        <v>0</v>
      </c>
      <c r="AB575" s="1" t="str">
        <f t="shared" si="32"/>
        <v>R2 retained</v>
      </c>
      <c r="AC575" s="1"/>
      <c r="AD575" s="1"/>
      <c r="AE575" s="1"/>
      <c r="AF575" s="1"/>
      <c r="AG575" s="1"/>
      <c r="AH575" s="1"/>
      <c r="AI575" s="1">
        <f t="shared" si="33"/>
        <v>0</v>
      </c>
      <c r="AJ575" s="5"/>
      <c r="AK575" s="5"/>
      <c r="AL575" s="7" t="s">
        <v>15077</v>
      </c>
    </row>
    <row r="576" spans="1:38" ht="36" customHeight="1">
      <c r="A576" s="1" t="s">
        <v>5352</v>
      </c>
      <c r="B576" s="1" t="s">
        <v>5606</v>
      </c>
      <c r="C576" s="1" t="s">
        <v>5607</v>
      </c>
      <c r="D576" s="1" t="s">
        <v>6522</v>
      </c>
      <c r="E576" s="1">
        <v>1</v>
      </c>
      <c r="F576" s="1"/>
      <c r="G576" s="1" t="s">
        <v>12859</v>
      </c>
      <c r="H576" s="1" t="s">
        <v>10778</v>
      </c>
      <c r="I576" s="1" t="s">
        <v>4959</v>
      </c>
      <c r="J576" s="1"/>
      <c r="K576" s="1"/>
      <c r="L576" s="1" t="s">
        <v>12860</v>
      </c>
      <c r="M576" s="1" t="s">
        <v>10889</v>
      </c>
      <c r="N576" s="1" t="s">
        <v>14418</v>
      </c>
      <c r="O576" s="1"/>
      <c r="P576" s="1" t="s">
        <v>12868</v>
      </c>
      <c r="Q576" s="1"/>
      <c r="R576" s="1"/>
      <c r="S576" s="1"/>
      <c r="T576" s="1"/>
      <c r="U576" s="1"/>
      <c r="V576" s="1"/>
      <c r="W576" s="1"/>
      <c r="X576" s="1"/>
      <c r="Y576" s="1"/>
      <c r="Z576" s="1"/>
      <c r="AA576" s="1">
        <f t="shared" si="31"/>
        <v>1</v>
      </c>
      <c r="AB576" s="1" t="str">
        <f t="shared" si="32"/>
        <v>R2 retained</v>
      </c>
      <c r="AC576" s="1"/>
      <c r="AD576" s="1"/>
      <c r="AE576" s="1"/>
      <c r="AF576" s="1"/>
      <c r="AG576" s="1"/>
      <c r="AH576" s="1"/>
      <c r="AI576" s="1">
        <f t="shared" si="33"/>
        <v>0</v>
      </c>
      <c r="AJ576" s="5"/>
      <c r="AK576" s="5"/>
      <c r="AL576" s="7" t="s">
        <v>15077</v>
      </c>
    </row>
    <row r="577" spans="1:38" ht="36" customHeight="1">
      <c r="A577" s="1" t="s">
        <v>5352</v>
      </c>
      <c r="B577" s="1" t="s">
        <v>5454</v>
      </c>
      <c r="C577" s="1" t="s">
        <v>5455</v>
      </c>
      <c r="D577" s="1" t="s">
        <v>4747</v>
      </c>
      <c r="E577" s="1">
        <v>0</v>
      </c>
      <c r="F577" s="1"/>
      <c r="G577" s="1" t="s">
        <v>12859</v>
      </c>
      <c r="H577" s="1" t="s">
        <v>10778</v>
      </c>
      <c r="I577" s="1" t="s">
        <v>4747</v>
      </c>
      <c r="J577" s="1"/>
      <c r="K577" s="1"/>
      <c r="L577" s="1" t="s">
        <v>12860</v>
      </c>
      <c r="M577" s="1" t="s">
        <v>10891</v>
      </c>
      <c r="N577" s="1" t="s">
        <v>14419</v>
      </c>
      <c r="O577" s="1"/>
      <c r="P577" s="1" t="s">
        <v>12863</v>
      </c>
      <c r="Q577" s="1"/>
      <c r="R577" s="1"/>
      <c r="S577" s="1"/>
      <c r="T577" s="1"/>
      <c r="U577" s="1"/>
      <c r="V577" s="1"/>
      <c r="W577" s="1"/>
      <c r="X577" s="1"/>
      <c r="Y577" s="1"/>
      <c r="Z577" s="1"/>
      <c r="AA577" s="1">
        <f t="shared" si="31"/>
        <v>0</v>
      </c>
      <c r="AB577" s="1" t="str">
        <f t="shared" si="32"/>
        <v>R2 retained</v>
      </c>
      <c r="AC577" s="1">
        <v>0</v>
      </c>
      <c r="AD577" s="1" t="s">
        <v>12884</v>
      </c>
      <c r="AE577" s="1" t="s">
        <v>13947</v>
      </c>
      <c r="AF577" s="1" t="s">
        <v>14420</v>
      </c>
      <c r="AG577" s="1" t="s">
        <v>10783</v>
      </c>
      <c r="AH577" s="1" t="s">
        <v>6096</v>
      </c>
      <c r="AI577" s="1">
        <f t="shared" si="33"/>
        <v>1</v>
      </c>
      <c r="AJ577" s="5" t="s">
        <v>12898</v>
      </c>
      <c r="AK577" s="5" t="s">
        <v>12899</v>
      </c>
      <c r="AL577" s="7" t="s">
        <v>15077</v>
      </c>
    </row>
    <row r="578" spans="1:38" ht="36" customHeight="1">
      <c r="A578" s="1" t="s">
        <v>5369</v>
      </c>
      <c r="B578" s="1" t="s">
        <v>5537</v>
      </c>
      <c r="C578" s="1" t="s">
        <v>5538</v>
      </c>
      <c r="D578" s="1" t="s">
        <v>4747</v>
      </c>
      <c r="E578" s="1">
        <v>0</v>
      </c>
      <c r="F578" s="1"/>
      <c r="G578" s="1" t="s">
        <v>12859</v>
      </c>
      <c r="H578" s="1" t="s">
        <v>10905</v>
      </c>
      <c r="I578" s="1" t="s">
        <v>4747</v>
      </c>
      <c r="J578" s="1"/>
      <c r="K578" s="1"/>
      <c r="L578" s="1" t="s">
        <v>12860</v>
      </c>
      <c r="M578" s="1" t="s">
        <v>14421</v>
      </c>
      <c r="N578" s="1" t="s">
        <v>14422</v>
      </c>
      <c r="O578" s="1"/>
      <c r="P578" s="1" t="s">
        <v>12863</v>
      </c>
      <c r="Q578" s="1"/>
      <c r="R578" s="1"/>
      <c r="S578" s="1"/>
      <c r="T578" s="1"/>
      <c r="U578" s="1"/>
      <c r="V578" s="1"/>
      <c r="W578" s="1"/>
      <c r="X578" s="1"/>
      <c r="Y578" s="1"/>
      <c r="Z578" s="1"/>
      <c r="AA578" s="1">
        <f t="shared" ref="AA578:AA625" si="34">IF(OR(ISNUMBER(F578),F578="NA"),F578,IF(AD578="uncertain","",IF(OR(ISNUMBER(AC578),AC578="NA"),AC578,E578)))</f>
        <v>0</v>
      </c>
      <c r="AB578" s="1" t="str">
        <f t="shared" ref="AB578:AB641" si="35">IF(OR(ISNUMBER(F578),F578="NA"),"Reviewer confirmed",IF(AD578="uncertain","Unresolved under clarified rule",IF(AND(OR(ISNUMBER(AC578),AC578="NA"),AC578&lt;&gt;E578),"Analyst scope correction","R2 retained")))</f>
        <v>R2 retained</v>
      </c>
      <c r="AC578" s="1"/>
      <c r="AD578" s="1"/>
      <c r="AE578" s="1"/>
      <c r="AF578" s="1"/>
      <c r="AG578" s="1"/>
      <c r="AH578" s="1"/>
      <c r="AI578" s="1">
        <f t="shared" ref="AI578:AI625" si="36">IF(OR(R578&lt;&gt;"",AD578&lt;&gt;""),1,0)</f>
        <v>0</v>
      </c>
      <c r="AJ578" s="5"/>
      <c r="AK578" s="5"/>
      <c r="AL578" s="7" t="s">
        <v>15077</v>
      </c>
    </row>
    <row r="579" spans="1:38" ht="36" customHeight="1">
      <c r="A579" s="1" t="s">
        <v>5369</v>
      </c>
      <c r="B579" s="1" t="s">
        <v>5542</v>
      </c>
      <c r="C579" s="1" t="s">
        <v>5543</v>
      </c>
      <c r="D579" s="1" t="s">
        <v>4747</v>
      </c>
      <c r="E579" s="1">
        <v>0</v>
      </c>
      <c r="F579" s="1"/>
      <c r="G579" s="1" t="s">
        <v>12859</v>
      </c>
      <c r="H579" s="1" t="s">
        <v>10905</v>
      </c>
      <c r="I579" s="1" t="s">
        <v>4747</v>
      </c>
      <c r="J579" s="1"/>
      <c r="K579" s="1"/>
      <c r="L579" s="1" t="s">
        <v>12860</v>
      </c>
      <c r="M579" s="1" t="s">
        <v>14423</v>
      </c>
      <c r="N579" s="1" t="s">
        <v>14424</v>
      </c>
      <c r="O579" s="1"/>
      <c r="P579" s="1" t="s">
        <v>12863</v>
      </c>
      <c r="Q579" s="1"/>
      <c r="R579" s="1"/>
      <c r="S579" s="1"/>
      <c r="T579" s="1"/>
      <c r="U579" s="1"/>
      <c r="V579" s="1"/>
      <c r="W579" s="1"/>
      <c r="X579" s="1"/>
      <c r="Y579" s="1"/>
      <c r="Z579" s="1"/>
      <c r="AA579" s="1">
        <f t="shared" si="34"/>
        <v>0</v>
      </c>
      <c r="AB579" s="1" t="str">
        <f t="shared" si="35"/>
        <v>R2 retained</v>
      </c>
      <c r="AC579" s="1"/>
      <c r="AD579" s="1"/>
      <c r="AE579" s="1"/>
      <c r="AF579" s="1"/>
      <c r="AG579" s="1"/>
      <c r="AH579" s="1"/>
      <c r="AI579" s="1">
        <f t="shared" si="36"/>
        <v>0</v>
      </c>
      <c r="AJ579" s="5"/>
      <c r="AK579" s="5"/>
      <c r="AL579" s="7" t="s">
        <v>15077</v>
      </c>
    </row>
    <row r="580" spans="1:38" ht="36" customHeight="1">
      <c r="A580" s="1" t="s">
        <v>5369</v>
      </c>
      <c r="B580" s="1" t="s">
        <v>5547</v>
      </c>
      <c r="C580" s="1" t="s">
        <v>5548</v>
      </c>
      <c r="D580" s="1" t="s">
        <v>14425</v>
      </c>
      <c r="E580" s="1">
        <v>1</v>
      </c>
      <c r="F580" s="1"/>
      <c r="G580" s="1" t="s">
        <v>12859</v>
      </c>
      <c r="H580" s="1" t="s">
        <v>10905</v>
      </c>
      <c r="I580" s="1" t="s">
        <v>4886</v>
      </c>
      <c r="J580" s="1"/>
      <c r="K580" s="1"/>
      <c r="L580" s="1" t="s">
        <v>12860</v>
      </c>
      <c r="M580" s="1" t="s">
        <v>14426</v>
      </c>
      <c r="N580" s="1" t="s">
        <v>14427</v>
      </c>
      <c r="O580" s="1"/>
      <c r="P580" s="1" t="s">
        <v>12868</v>
      </c>
      <c r="Q580" s="1"/>
      <c r="R580" s="1"/>
      <c r="S580" s="1"/>
      <c r="T580" s="1"/>
      <c r="U580" s="1"/>
      <c r="V580" s="1"/>
      <c r="W580" s="1"/>
      <c r="X580" s="1"/>
      <c r="Y580" s="1"/>
      <c r="Z580" s="1"/>
      <c r="AA580" s="1">
        <f t="shared" si="34"/>
        <v>1</v>
      </c>
      <c r="AB580" s="1" t="str">
        <f t="shared" si="35"/>
        <v>R2 retained</v>
      </c>
      <c r="AC580" s="1"/>
      <c r="AD580" s="1"/>
      <c r="AE580" s="1"/>
      <c r="AF580" s="1"/>
      <c r="AG580" s="1"/>
      <c r="AH580" s="1"/>
      <c r="AI580" s="1">
        <f t="shared" si="36"/>
        <v>0</v>
      </c>
      <c r="AJ580" s="5"/>
      <c r="AK580" s="5"/>
      <c r="AL580" s="7" t="s">
        <v>15077</v>
      </c>
    </row>
    <row r="581" spans="1:38" ht="36" customHeight="1">
      <c r="A581" s="1" t="s">
        <v>5369</v>
      </c>
      <c r="B581" s="1" t="s">
        <v>5552</v>
      </c>
      <c r="C581" s="1" t="s">
        <v>5553</v>
      </c>
      <c r="D581" s="1" t="s">
        <v>14428</v>
      </c>
      <c r="E581" s="1">
        <v>2</v>
      </c>
      <c r="F581" s="1"/>
      <c r="G581" s="1" t="s">
        <v>12859</v>
      </c>
      <c r="H581" s="1" t="s">
        <v>10905</v>
      </c>
      <c r="I581" s="1" t="s">
        <v>4862</v>
      </c>
      <c r="J581" s="1"/>
      <c r="K581" s="1"/>
      <c r="L581" s="1" t="s">
        <v>12860</v>
      </c>
      <c r="M581" s="1" t="s">
        <v>14429</v>
      </c>
      <c r="N581" s="1" t="s">
        <v>14430</v>
      </c>
      <c r="O581" s="1"/>
      <c r="P581" s="1" t="s">
        <v>12868</v>
      </c>
      <c r="Q581" s="1"/>
      <c r="R581" s="1"/>
      <c r="S581" s="1"/>
      <c r="T581" s="1"/>
      <c r="U581" s="1"/>
      <c r="V581" s="1"/>
      <c r="W581" s="1"/>
      <c r="X581" s="1"/>
      <c r="Y581" s="1"/>
      <c r="Z581" s="1"/>
      <c r="AA581" s="1">
        <f t="shared" si="34"/>
        <v>2</v>
      </c>
      <c r="AB581" s="1" t="str">
        <f t="shared" si="35"/>
        <v>R2 retained</v>
      </c>
      <c r="AC581" s="1"/>
      <c r="AD581" s="1"/>
      <c r="AE581" s="1"/>
      <c r="AF581" s="1"/>
      <c r="AG581" s="1"/>
      <c r="AH581" s="1"/>
      <c r="AI581" s="1">
        <f t="shared" si="36"/>
        <v>0</v>
      </c>
      <c r="AJ581" s="5"/>
      <c r="AK581" s="5"/>
      <c r="AL581" s="7" t="s">
        <v>15077</v>
      </c>
    </row>
    <row r="582" spans="1:38" ht="36" customHeight="1">
      <c r="A582" s="1" t="s">
        <v>5369</v>
      </c>
      <c r="B582" s="1" t="s">
        <v>5557</v>
      </c>
      <c r="C582" s="1" t="s">
        <v>5558</v>
      </c>
      <c r="D582" s="1" t="s">
        <v>10946</v>
      </c>
      <c r="E582" s="1">
        <v>0</v>
      </c>
      <c r="F582" s="1"/>
      <c r="G582" s="1" t="s">
        <v>12859</v>
      </c>
      <c r="H582" s="1" t="s">
        <v>10905</v>
      </c>
      <c r="I582" s="1" t="s">
        <v>4747</v>
      </c>
      <c r="J582" s="1"/>
      <c r="K582" s="1"/>
      <c r="L582" s="1" t="s">
        <v>12860</v>
      </c>
      <c r="M582" s="1" t="s">
        <v>10948</v>
      </c>
      <c r="N582" s="1" t="s">
        <v>14431</v>
      </c>
      <c r="O582" s="1"/>
      <c r="P582" s="1" t="s">
        <v>12863</v>
      </c>
      <c r="Q582" s="1"/>
      <c r="R582" s="1"/>
      <c r="S582" s="1"/>
      <c r="T582" s="1"/>
      <c r="U582" s="1"/>
      <c r="V582" s="1"/>
      <c r="W582" s="1"/>
      <c r="X582" s="1"/>
      <c r="Y582" s="1"/>
      <c r="Z582" s="1"/>
      <c r="AA582" s="1">
        <f t="shared" si="34"/>
        <v>0</v>
      </c>
      <c r="AB582" s="1" t="str">
        <f t="shared" si="35"/>
        <v>R2 retained</v>
      </c>
      <c r="AC582" s="1"/>
      <c r="AD582" s="1"/>
      <c r="AE582" s="1"/>
      <c r="AF582" s="1"/>
      <c r="AG582" s="1"/>
      <c r="AH582" s="1"/>
      <c r="AI582" s="1">
        <f t="shared" si="36"/>
        <v>0</v>
      </c>
      <c r="AJ582" s="5"/>
      <c r="AK582" s="5"/>
      <c r="AL582" s="7" t="s">
        <v>15077</v>
      </c>
    </row>
    <row r="583" spans="1:38" ht="36" customHeight="1">
      <c r="A583" s="1" t="s">
        <v>5369</v>
      </c>
      <c r="B583" s="1" t="s">
        <v>5562</v>
      </c>
      <c r="C583" s="1" t="s">
        <v>5563</v>
      </c>
      <c r="D583" s="1" t="s">
        <v>10950</v>
      </c>
      <c r="E583" s="1">
        <v>2</v>
      </c>
      <c r="F583" s="1"/>
      <c r="G583" s="1" t="s">
        <v>12859</v>
      </c>
      <c r="H583" s="1" t="s">
        <v>10905</v>
      </c>
      <c r="I583" s="1" t="s">
        <v>4935</v>
      </c>
      <c r="J583" s="1"/>
      <c r="K583" s="1"/>
      <c r="L583" s="1" t="s">
        <v>12860</v>
      </c>
      <c r="M583" s="1" t="s">
        <v>10953</v>
      </c>
      <c r="N583" s="1" t="s">
        <v>14432</v>
      </c>
      <c r="O583" s="1"/>
      <c r="P583" s="1" t="s">
        <v>12868</v>
      </c>
      <c r="Q583" s="1"/>
      <c r="R583" s="1"/>
      <c r="S583" s="1"/>
      <c r="T583" s="1"/>
      <c r="U583" s="1"/>
      <c r="V583" s="1"/>
      <c r="W583" s="1"/>
      <c r="X583" s="1"/>
      <c r="Y583" s="1"/>
      <c r="Z583" s="1"/>
      <c r="AA583" s="1">
        <f t="shared" si="34"/>
        <v>2</v>
      </c>
      <c r="AB583" s="1" t="str">
        <f t="shared" si="35"/>
        <v>R2 retained</v>
      </c>
      <c r="AC583" s="1">
        <v>2</v>
      </c>
      <c r="AD583" s="1" t="s">
        <v>12884</v>
      </c>
      <c r="AE583" s="1" t="s">
        <v>14433</v>
      </c>
      <c r="AF583" s="1" t="s">
        <v>14434</v>
      </c>
      <c r="AG583" s="1" t="s">
        <v>10912</v>
      </c>
      <c r="AH583" s="1" t="s">
        <v>6096</v>
      </c>
      <c r="AI583" s="1">
        <f t="shared" si="36"/>
        <v>1</v>
      </c>
      <c r="AJ583" s="5"/>
      <c r="AK583" s="5"/>
      <c r="AL583" s="7" t="s">
        <v>15077</v>
      </c>
    </row>
    <row r="584" spans="1:38" ht="36" customHeight="1">
      <c r="A584" s="1" t="s">
        <v>5369</v>
      </c>
      <c r="B584" s="1" t="s">
        <v>5567</v>
      </c>
      <c r="C584" s="1" t="s">
        <v>5568</v>
      </c>
      <c r="D584" s="1" t="s">
        <v>14435</v>
      </c>
      <c r="E584" s="1">
        <v>2</v>
      </c>
      <c r="F584" s="1"/>
      <c r="G584" s="1" t="s">
        <v>12859</v>
      </c>
      <c r="H584" s="1" t="s">
        <v>10905</v>
      </c>
      <c r="I584" s="1" t="s">
        <v>4717</v>
      </c>
      <c r="J584" s="1"/>
      <c r="K584" s="1"/>
      <c r="L584" s="1" t="s">
        <v>12860</v>
      </c>
      <c r="M584" s="1" t="s">
        <v>14436</v>
      </c>
      <c r="N584" s="1" t="s">
        <v>14437</v>
      </c>
      <c r="O584" s="1"/>
      <c r="P584" s="1" t="s">
        <v>12868</v>
      </c>
      <c r="Q584" s="1"/>
      <c r="R584" s="1"/>
      <c r="S584" s="1"/>
      <c r="T584" s="1"/>
      <c r="U584" s="1"/>
      <c r="V584" s="1"/>
      <c r="W584" s="1"/>
      <c r="X584" s="1"/>
      <c r="Y584" s="1"/>
      <c r="Z584" s="1"/>
      <c r="AA584" s="1">
        <f t="shared" si="34"/>
        <v>2</v>
      </c>
      <c r="AB584" s="1" t="str">
        <f t="shared" si="35"/>
        <v>R2 retained</v>
      </c>
      <c r="AC584" s="1"/>
      <c r="AD584" s="1"/>
      <c r="AE584" s="1"/>
      <c r="AF584" s="1"/>
      <c r="AG584" s="1"/>
      <c r="AH584" s="1"/>
      <c r="AI584" s="1">
        <f t="shared" si="36"/>
        <v>0</v>
      </c>
      <c r="AJ584" s="5"/>
      <c r="AK584" s="5"/>
      <c r="AL584" s="7" t="s">
        <v>15077</v>
      </c>
    </row>
    <row r="585" spans="1:38" ht="36" customHeight="1">
      <c r="A585" s="1" t="s">
        <v>5369</v>
      </c>
      <c r="B585" s="1" t="s">
        <v>5572</v>
      </c>
      <c r="C585" s="1" t="s">
        <v>5573</v>
      </c>
      <c r="D585" s="1" t="s">
        <v>14438</v>
      </c>
      <c r="E585" s="1">
        <v>2</v>
      </c>
      <c r="F585" s="1"/>
      <c r="G585" s="1" t="s">
        <v>12859</v>
      </c>
      <c r="H585" s="1" t="s">
        <v>10905</v>
      </c>
      <c r="I585" s="1" t="s">
        <v>4862</v>
      </c>
      <c r="J585" s="1"/>
      <c r="K585" s="1"/>
      <c r="L585" s="1" t="s">
        <v>12860</v>
      </c>
      <c r="M585" s="1" t="s">
        <v>14439</v>
      </c>
      <c r="N585" s="1" t="s">
        <v>14440</v>
      </c>
      <c r="O585" s="1"/>
      <c r="P585" s="1" t="s">
        <v>12868</v>
      </c>
      <c r="Q585" s="1"/>
      <c r="R585" s="1"/>
      <c r="S585" s="1"/>
      <c r="T585" s="1"/>
      <c r="U585" s="1"/>
      <c r="V585" s="1"/>
      <c r="W585" s="1"/>
      <c r="X585" s="1"/>
      <c r="Y585" s="1"/>
      <c r="Z585" s="1"/>
      <c r="AA585" s="1">
        <f t="shared" si="34"/>
        <v>2</v>
      </c>
      <c r="AB585" s="1" t="str">
        <f t="shared" si="35"/>
        <v>R2 retained</v>
      </c>
      <c r="AC585" s="1"/>
      <c r="AD585" s="1"/>
      <c r="AE585" s="1"/>
      <c r="AF585" s="1"/>
      <c r="AG585" s="1"/>
      <c r="AH585" s="1"/>
      <c r="AI585" s="1">
        <f t="shared" si="36"/>
        <v>0</v>
      </c>
      <c r="AJ585" s="5"/>
      <c r="AK585" s="5"/>
      <c r="AL585" s="7" t="s">
        <v>15077</v>
      </c>
    </row>
    <row r="586" spans="1:38" ht="36" customHeight="1">
      <c r="A586" s="1" t="s">
        <v>5369</v>
      </c>
      <c r="B586" s="1" t="s">
        <v>5577</v>
      </c>
      <c r="C586" s="1" t="s">
        <v>5578</v>
      </c>
      <c r="D586" s="1" t="s">
        <v>14441</v>
      </c>
      <c r="E586" s="1">
        <v>2</v>
      </c>
      <c r="F586" s="1"/>
      <c r="G586" s="1" t="s">
        <v>12859</v>
      </c>
      <c r="H586" s="1" t="s">
        <v>10905</v>
      </c>
      <c r="I586" s="1" t="s">
        <v>4717</v>
      </c>
      <c r="J586" s="1"/>
      <c r="K586" s="1"/>
      <c r="L586" s="1" t="s">
        <v>12860</v>
      </c>
      <c r="M586" s="1" t="s">
        <v>14442</v>
      </c>
      <c r="N586" s="1" t="s">
        <v>14443</v>
      </c>
      <c r="O586" s="1"/>
      <c r="P586" s="1" t="s">
        <v>12868</v>
      </c>
      <c r="Q586" s="1"/>
      <c r="R586" s="1"/>
      <c r="S586" s="1"/>
      <c r="T586" s="1"/>
      <c r="U586" s="1"/>
      <c r="V586" s="1"/>
      <c r="W586" s="1"/>
      <c r="X586" s="1"/>
      <c r="Y586" s="1"/>
      <c r="Z586" s="1"/>
      <c r="AA586" s="1">
        <f t="shared" si="34"/>
        <v>2</v>
      </c>
      <c r="AB586" s="1" t="str">
        <f t="shared" si="35"/>
        <v>R2 retained</v>
      </c>
      <c r="AC586" s="1"/>
      <c r="AD586" s="1"/>
      <c r="AE586" s="1"/>
      <c r="AF586" s="1"/>
      <c r="AG586" s="1"/>
      <c r="AH586" s="1"/>
      <c r="AI586" s="1">
        <f t="shared" si="36"/>
        <v>0</v>
      </c>
      <c r="AJ586" s="5"/>
      <c r="AK586" s="5"/>
      <c r="AL586" s="7" t="s">
        <v>15077</v>
      </c>
    </row>
    <row r="587" spans="1:38" ht="36" customHeight="1">
      <c r="A587" s="1" t="s">
        <v>5369</v>
      </c>
      <c r="B587" s="1" t="s">
        <v>5582</v>
      </c>
      <c r="C587" s="1" t="s">
        <v>5583</v>
      </c>
      <c r="D587" s="1" t="s">
        <v>10989</v>
      </c>
      <c r="E587" s="1">
        <v>0</v>
      </c>
      <c r="F587" s="1"/>
      <c r="G587" s="1" t="s">
        <v>12859</v>
      </c>
      <c r="H587" s="1" t="s">
        <v>10905</v>
      </c>
      <c r="I587" s="1" t="s">
        <v>4747</v>
      </c>
      <c r="J587" s="1"/>
      <c r="K587" s="1"/>
      <c r="L587" s="1" t="s">
        <v>12860</v>
      </c>
      <c r="M587" s="1" t="s">
        <v>10991</v>
      </c>
      <c r="N587" s="1" t="s">
        <v>14444</v>
      </c>
      <c r="O587" s="1"/>
      <c r="P587" s="1" t="s">
        <v>12863</v>
      </c>
      <c r="Q587" s="1"/>
      <c r="R587" s="1"/>
      <c r="S587" s="1"/>
      <c r="T587" s="1"/>
      <c r="U587" s="1"/>
      <c r="V587" s="1"/>
      <c r="W587" s="1"/>
      <c r="X587" s="1"/>
      <c r="Y587" s="1"/>
      <c r="Z587" s="1"/>
      <c r="AA587" s="1">
        <f t="shared" si="34"/>
        <v>0</v>
      </c>
      <c r="AB587" s="1" t="str">
        <f t="shared" si="35"/>
        <v>R2 retained</v>
      </c>
      <c r="AC587" s="1">
        <v>0</v>
      </c>
      <c r="AD587" s="1" t="s">
        <v>12884</v>
      </c>
      <c r="AE587" s="1" t="s">
        <v>14445</v>
      </c>
      <c r="AF587" s="1" t="s">
        <v>14446</v>
      </c>
      <c r="AG587" s="1" t="s">
        <v>10912</v>
      </c>
      <c r="AH587" s="1" t="s">
        <v>6096</v>
      </c>
      <c r="AI587" s="1">
        <f t="shared" si="36"/>
        <v>1</v>
      </c>
      <c r="AJ587" s="5" t="s">
        <v>12898</v>
      </c>
      <c r="AK587" s="5" t="s">
        <v>12899</v>
      </c>
      <c r="AL587" s="7" t="s">
        <v>15077</v>
      </c>
    </row>
    <row r="588" spans="1:38" ht="36" customHeight="1">
      <c r="A588" s="1" t="s">
        <v>5369</v>
      </c>
      <c r="B588" s="1" t="s">
        <v>5586</v>
      </c>
      <c r="C588" s="1" t="s">
        <v>5587</v>
      </c>
      <c r="D588" s="1" t="s">
        <v>13619</v>
      </c>
      <c r="E588" s="1">
        <v>0</v>
      </c>
      <c r="F588" s="1"/>
      <c r="G588" s="1" t="s">
        <v>12859</v>
      </c>
      <c r="H588" s="1" t="s">
        <v>10905</v>
      </c>
      <c r="I588" s="1" t="s">
        <v>4747</v>
      </c>
      <c r="J588" s="1"/>
      <c r="K588" s="1"/>
      <c r="L588" s="1" t="s">
        <v>12860</v>
      </c>
      <c r="M588" s="1" t="s">
        <v>14447</v>
      </c>
      <c r="N588" s="1" t="s">
        <v>14448</v>
      </c>
      <c r="O588" s="1"/>
      <c r="P588" s="1" t="s">
        <v>12863</v>
      </c>
      <c r="Q588" s="1"/>
      <c r="R588" s="1"/>
      <c r="S588" s="1"/>
      <c r="T588" s="1"/>
      <c r="U588" s="1"/>
      <c r="V588" s="1"/>
      <c r="W588" s="1"/>
      <c r="X588" s="1"/>
      <c r="Y588" s="1"/>
      <c r="Z588" s="1"/>
      <c r="AA588" s="1">
        <f t="shared" si="34"/>
        <v>0</v>
      </c>
      <c r="AB588" s="1" t="str">
        <f t="shared" si="35"/>
        <v>R2 retained</v>
      </c>
      <c r="AC588" s="1"/>
      <c r="AD588" s="1"/>
      <c r="AE588" s="1"/>
      <c r="AF588" s="1"/>
      <c r="AG588" s="1"/>
      <c r="AH588" s="1"/>
      <c r="AI588" s="1">
        <f t="shared" si="36"/>
        <v>0</v>
      </c>
      <c r="AJ588" s="5"/>
      <c r="AK588" s="5"/>
      <c r="AL588" s="7" t="s">
        <v>15077</v>
      </c>
    </row>
    <row r="589" spans="1:38" ht="72" customHeight="1">
      <c r="A589" s="1" t="s">
        <v>5369</v>
      </c>
      <c r="B589" s="1" t="s">
        <v>5591</v>
      </c>
      <c r="C589" s="1" t="s">
        <v>5592</v>
      </c>
      <c r="D589" s="1" t="s">
        <v>4747</v>
      </c>
      <c r="E589" s="1">
        <v>0</v>
      </c>
      <c r="F589" s="1"/>
      <c r="G589" s="1" t="s">
        <v>12859</v>
      </c>
      <c r="H589" s="1" t="s">
        <v>10905</v>
      </c>
      <c r="I589" s="1" t="s">
        <v>4747</v>
      </c>
      <c r="J589" s="1"/>
      <c r="K589" s="1"/>
      <c r="L589" s="1" t="s">
        <v>12860</v>
      </c>
      <c r="M589" s="1" t="s">
        <v>14449</v>
      </c>
      <c r="N589" s="1" t="s">
        <v>14450</v>
      </c>
      <c r="O589" s="1"/>
      <c r="P589" s="1" t="s">
        <v>12863</v>
      </c>
      <c r="Q589" s="1">
        <v>0</v>
      </c>
      <c r="R589" s="1" t="s">
        <v>12904</v>
      </c>
      <c r="S589" s="1" t="s">
        <v>14451</v>
      </c>
      <c r="T589" s="1" t="s">
        <v>14452</v>
      </c>
      <c r="U589" s="1" t="s">
        <v>10912</v>
      </c>
      <c r="V589" s="1" t="s">
        <v>6096</v>
      </c>
      <c r="W589" s="1" t="s">
        <v>12907</v>
      </c>
      <c r="X589" s="1"/>
      <c r="Y589" s="1"/>
      <c r="Z589" s="1" t="s">
        <v>12908</v>
      </c>
      <c r="AA589" s="1">
        <f t="shared" si="34"/>
        <v>0</v>
      </c>
      <c r="AB589" s="1" t="str">
        <f t="shared" si="35"/>
        <v>R2 retained</v>
      </c>
      <c r="AC589" s="1">
        <v>0</v>
      </c>
      <c r="AD589" s="1" t="s">
        <v>12884</v>
      </c>
      <c r="AE589" s="1" t="s">
        <v>14451</v>
      </c>
      <c r="AF589" s="1" t="s">
        <v>14452</v>
      </c>
      <c r="AG589" s="1" t="s">
        <v>10912</v>
      </c>
      <c r="AH589" s="1" t="s">
        <v>6096</v>
      </c>
      <c r="AI589" s="1">
        <f t="shared" si="36"/>
        <v>1</v>
      </c>
      <c r="AJ589" s="5" t="s">
        <v>12898</v>
      </c>
      <c r="AK589" s="5" t="s">
        <v>12899</v>
      </c>
      <c r="AL589" s="7" t="s">
        <v>15077</v>
      </c>
    </row>
    <row r="590" spans="1:38" ht="36" customHeight="1">
      <c r="A590" s="1" t="s">
        <v>5369</v>
      </c>
      <c r="B590" s="1" t="s">
        <v>5596</v>
      </c>
      <c r="C590" s="1" t="s">
        <v>5597</v>
      </c>
      <c r="D590" s="1" t="s">
        <v>14453</v>
      </c>
      <c r="E590" s="1">
        <v>0</v>
      </c>
      <c r="F590" s="1"/>
      <c r="G590" s="1" t="s">
        <v>12859</v>
      </c>
      <c r="H590" s="1" t="s">
        <v>10905</v>
      </c>
      <c r="I590" s="1" t="s">
        <v>4747</v>
      </c>
      <c r="J590" s="1"/>
      <c r="K590" s="1"/>
      <c r="L590" s="1" t="s">
        <v>12860</v>
      </c>
      <c r="M590" s="1" t="s">
        <v>14454</v>
      </c>
      <c r="N590" s="1" t="s">
        <v>14455</v>
      </c>
      <c r="O590" s="1"/>
      <c r="P590" s="1" t="s">
        <v>12863</v>
      </c>
      <c r="Q590" s="1"/>
      <c r="R590" s="1"/>
      <c r="S590" s="1"/>
      <c r="T590" s="1"/>
      <c r="U590" s="1"/>
      <c r="V590" s="1"/>
      <c r="W590" s="1"/>
      <c r="X590" s="1"/>
      <c r="Y590" s="1"/>
      <c r="Z590" s="1"/>
      <c r="AA590" s="1">
        <f t="shared" si="34"/>
        <v>0</v>
      </c>
      <c r="AB590" s="1" t="str">
        <f t="shared" si="35"/>
        <v>R2 retained</v>
      </c>
      <c r="AC590" s="1"/>
      <c r="AD590" s="1"/>
      <c r="AE590" s="1"/>
      <c r="AF590" s="1"/>
      <c r="AG590" s="1"/>
      <c r="AH590" s="1"/>
      <c r="AI590" s="1">
        <f t="shared" si="36"/>
        <v>0</v>
      </c>
      <c r="AJ590" s="5"/>
      <c r="AK590" s="5"/>
      <c r="AL590" s="7" t="s">
        <v>15077</v>
      </c>
    </row>
    <row r="591" spans="1:38" ht="36" customHeight="1">
      <c r="A591" s="1" t="s">
        <v>5369</v>
      </c>
      <c r="B591" s="1" t="s">
        <v>5601</v>
      </c>
      <c r="C591" s="1" t="s">
        <v>5602</v>
      </c>
      <c r="D591" s="1" t="s">
        <v>11003</v>
      </c>
      <c r="E591" s="1">
        <v>2</v>
      </c>
      <c r="F591" s="1"/>
      <c r="G591" s="1" t="s">
        <v>12859</v>
      </c>
      <c r="H591" s="1" t="s">
        <v>10905</v>
      </c>
      <c r="I591" s="1" t="s">
        <v>4959</v>
      </c>
      <c r="J591" s="1"/>
      <c r="K591" s="1"/>
      <c r="L591" s="1" t="s">
        <v>12860</v>
      </c>
      <c r="M591" s="1" t="s">
        <v>11005</v>
      </c>
      <c r="N591" s="1" t="s">
        <v>14456</v>
      </c>
      <c r="O591" s="1"/>
      <c r="P591" s="1" t="s">
        <v>12868</v>
      </c>
      <c r="Q591" s="1"/>
      <c r="R591" s="1"/>
      <c r="S591" s="1"/>
      <c r="T591" s="1"/>
      <c r="U591" s="1"/>
      <c r="V591" s="1"/>
      <c r="W591" s="1"/>
      <c r="X591" s="1"/>
      <c r="Y591" s="1"/>
      <c r="Z591" s="1"/>
      <c r="AA591" s="1">
        <f t="shared" si="34"/>
        <v>2</v>
      </c>
      <c r="AB591" s="1" t="str">
        <f t="shared" si="35"/>
        <v>R2 retained</v>
      </c>
      <c r="AC591" s="1"/>
      <c r="AD591" s="1"/>
      <c r="AE591" s="1"/>
      <c r="AF591" s="1"/>
      <c r="AG591" s="1"/>
      <c r="AH591" s="1"/>
      <c r="AI591" s="1">
        <f t="shared" si="36"/>
        <v>0</v>
      </c>
      <c r="AJ591" s="5"/>
      <c r="AK591" s="5"/>
      <c r="AL591" s="7" t="s">
        <v>15077</v>
      </c>
    </row>
    <row r="592" spans="1:38" ht="36" customHeight="1">
      <c r="A592" s="1" t="s">
        <v>5369</v>
      </c>
      <c r="B592" s="1" t="s">
        <v>5606</v>
      </c>
      <c r="C592" s="1" t="s">
        <v>5607</v>
      </c>
      <c r="D592" s="1" t="s">
        <v>11007</v>
      </c>
      <c r="E592" s="1">
        <v>2</v>
      </c>
      <c r="F592" s="1"/>
      <c r="G592" s="1" t="s">
        <v>12859</v>
      </c>
      <c r="H592" s="1" t="s">
        <v>10905</v>
      </c>
      <c r="I592" s="1" t="s">
        <v>4717</v>
      </c>
      <c r="J592" s="1"/>
      <c r="K592" s="1"/>
      <c r="L592" s="1" t="s">
        <v>12860</v>
      </c>
      <c r="M592" s="1" t="s">
        <v>11008</v>
      </c>
      <c r="N592" s="1" t="s">
        <v>14457</v>
      </c>
      <c r="O592" s="1"/>
      <c r="P592" s="1" t="s">
        <v>12868</v>
      </c>
      <c r="Q592" s="1"/>
      <c r="R592" s="1"/>
      <c r="S592" s="1"/>
      <c r="T592" s="1"/>
      <c r="U592" s="1"/>
      <c r="V592" s="1"/>
      <c r="W592" s="1"/>
      <c r="X592" s="1"/>
      <c r="Y592" s="1"/>
      <c r="Z592" s="1"/>
      <c r="AA592" s="1">
        <f t="shared" si="34"/>
        <v>2</v>
      </c>
      <c r="AB592" s="1" t="str">
        <f t="shared" si="35"/>
        <v>R2 retained</v>
      </c>
      <c r="AC592" s="1"/>
      <c r="AD592" s="1"/>
      <c r="AE592" s="1"/>
      <c r="AF592" s="1"/>
      <c r="AG592" s="1"/>
      <c r="AH592" s="1"/>
      <c r="AI592" s="1">
        <f t="shared" si="36"/>
        <v>0</v>
      </c>
      <c r="AJ592" s="5"/>
      <c r="AK592" s="5"/>
      <c r="AL592" s="7" t="s">
        <v>15077</v>
      </c>
    </row>
    <row r="593" spans="1:38" ht="72" customHeight="1">
      <c r="A593" s="1" t="s">
        <v>5369</v>
      </c>
      <c r="B593" s="1" t="s">
        <v>5454</v>
      </c>
      <c r="C593" s="1" t="s">
        <v>5455</v>
      </c>
      <c r="D593" s="1" t="s">
        <v>4747</v>
      </c>
      <c r="E593" s="1">
        <v>1</v>
      </c>
      <c r="F593" s="1">
        <v>0</v>
      </c>
      <c r="G593" s="1" t="s">
        <v>4691</v>
      </c>
      <c r="H593" s="1" t="s">
        <v>10905</v>
      </c>
      <c r="I593" s="1" t="s">
        <v>4904</v>
      </c>
      <c r="J593" s="1"/>
      <c r="K593" s="1"/>
      <c r="L593" s="1" t="s">
        <v>12860</v>
      </c>
      <c r="M593" s="1" t="s">
        <v>11010</v>
      </c>
      <c r="N593" s="1" t="s">
        <v>14458</v>
      </c>
      <c r="O593" s="1" t="s">
        <v>14459</v>
      </c>
      <c r="P593" s="1" t="s">
        <v>12917</v>
      </c>
      <c r="Q593" s="1"/>
      <c r="R593" s="1"/>
      <c r="S593" s="1"/>
      <c r="T593" s="1"/>
      <c r="U593" s="1"/>
      <c r="V593" s="1"/>
      <c r="W593" s="1"/>
      <c r="X593" s="1"/>
      <c r="Y593" s="1" t="s">
        <v>5793</v>
      </c>
      <c r="Z593" s="1" t="s">
        <v>12918</v>
      </c>
      <c r="AA593" s="1">
        <f t="shared" si="34"/>
        <v>0</v>
      </c>
      <c r="AB593" s="1" t="str">
        <f t="shared" si="35"/>
        <v>Reviewer confirmed</v>
      </c>
      <c r="AC593" s="1">
        <v>0</v>
      </c>
      <c r="AD593" s="1" t="s">
        <v>12936</v>
      </c>
      <c r="AE593" s="1" t="s">
        <v>5793</v>
      </c>
      <c r="AF593" s="1" t="s">
        <v>5792</v>
      </c>
      <c r="AG593" s="1" t="s">
        <v>5794</v>
      </c>
      <c r="AH593" s="1" t="s">
        <v>5461</v>
      </c>
      <c r="AI593" s="1">
        <f t="shared" si="36"/>
        <v>1</v>
      </c>
      <c r="AJ593" s="5" t="s">
        <v>12898</v>
      </c>
      <c r="AK593" s="5" t="s">
        <v>12899</v>
      </c>
      <c r="AL593" s="7" t="s">
        <v>15077</v>
      </c>
    </row>
    <row r="594" spans="1:38" ht="36" customHeight="1">
      <c r="A594" s="1" t="s">
        <v>5389</v>
      </c>
      <c r="B594" s="1" t="s">
        <v>5537</v>
      </c>
      <c r="C594" s="1" t="s">
        <v>5538</v>
      </c>
      <c r="D594" s="1" t="s">
        <v>4747</v>
      </c>
      <c r="E594" s="1">
        <v>0</v>
      </c>
      <c r="F594" s="1"/>
      <c r="G594" s="1" t="s">
        <v>12859</v>
      </c>
      <c r="H594" s="1" t="s">
        <v>11025</v>
      </c>
      <c r="I594" s="1" t="s">
        <v>4747</v>
      </c>
      <c r="J594" s="1"/>
      <c r="K594" s="1"/>
      <c r="L594" s="1" t="s">
        <v>12860</v>
      </c>
      <c r="M594" s="1" t="s">
        <v>14460</v>
      </c>
      <c r="N594" s="1" t="s">
        <v>14461</v>
      </c>
      <c r="O594" s="1"/>
      <c r="P594" s="1" t="s">
        <v>12863</v>
      </c>
      <c r="Q594" s="1"/>
      <c r="R594" s="1"/>
      <c r="S594" s="1"/>
      <c r="T594" s="1"/>
      <c r="U594" s="1"/>
      <c r="V594" s="1"/>
      <c r="W594" s="1"/>
      <c r="X594" s="1"/>
      <c r="Y594" s="1"/>
      <c r="Z594" s="1"/>
      <c r="AA594" s="1">
        <f t="shared" si="34"/>
        <v>0</v>
      </c>
      <c r="AB594" s="1" t="str">
        <f t="shared" si="35"/>
        <v>R2 retained</v>
      </c>
      <c r="AC594" s="1"/>
      <c r="AD594" s="1"/>
      <c r="AE594" s="1"/>
      <c r="AF594" s="1"/>
      <c r="AG594" s="1"/>
      <c r="AH594" s="1"/>
      <c r="AI594" s="1">
        <f t="shared" si="36"/>
        <v>0</v>
      </c>
      <c r="AJ594" s="5"/>
      <c r="AK594" s="5"/>
      <c r="AL594" s="7" t="s">
        <v>15077</v>
      </c>
    </row>
    <row r="595" spans="1:38" ht="36" customHeight="1">
      <c r="A595" s="1" t="s">
        <v>5389</v>
      </c>
      <c r="B595" s="1" t="s">
        <v>5542</v>
      </c>
      <c r="C595" s="1" t="s">
        <v>5543</v>
      </c>
      <c r="D595" s="1" t="s">
        <v>4747</v>
      </c>
      <c r="E595" s="1">
        <v>0</v>
      </c>
      <c r="F595" s="1"/>
      <c r="G595" s="1" t="s">
        <v>12859</v>
      </c>
      <c r="H595" s="1" t="s">
        <v>11025</v>
      </c>
      <c r="I595" s="1" t="s">
        <v>4747</v>
      </c>
      <c r="J595" s="1"/>
      <c r="K595" s="1"/>
      <c r="L595" s="1" t="s">
        <v>12860</v>
      </c>
      <c r="M595" s="1" t="s">
        <v>14462</v>
      </c>
      <c r="N595" s="1" t="s">
        <v>14463</v>
      </c>
      <c r="O595" s="1"/>
      <c r="P595" s="1" t="s">
        <v>12863</v>
      </c>
      <c r="Q595" s="1"/>
      <c r="R595" s="1"/>
      <c r="S595" s="1"/>
      <c r="T595" s="1"/>
      <c r="U595" s="1"/>
      <c r="V595" s="1"/>
      <c r="W595" s="1"/>
      <c r="X595" s="1"/>
      <c r="Y595" s="1"/>
      <c r="Z595" s="1"/>
      <c r="AA595" s="1">
        <f t="shared" si="34"/>
        <v>0</v>
      </c>
      <c r="AB595" s="1" t="str">
        <f t="shared" si="35"/>
        <v>R2 retained</v>
      </c>
      <c r="AC595" s="1"/>
      <c r="AD595" s="1"/>
      <c r="AE595" s="1"/>
      <c r="AF595" s="1"/>
      <c r="AG595" s="1"/>
      <c r="AH595" s="1"/>
      <c r="AI595" s="1">
        <f t="shared" si="36"/>
        <v>0</v>
      </c>
      <c r="AJ595" s="5"/>
      <c r="AK595" s="5"/>
      <c r="AL595" s="7" t="s">
        <v>15077</v>
      </c>
    </row>
    <row r="596" spans="1:38" ht="36" customHeight="1">
      <c r="A596" s="1" t="s">
        <v>5389</v>
      </c>
      <c r="B596" s="1" t="s">
        <v>5547</v>
      </c>
      <c r="C596" s="1" t="s">
        <v>5548</v>
      </c>
      <c r="D596" s="1" t="s">
        <v>14464</v>
      </c>
      <c r="E596" s="1">
        <v>1</v>
      </c>
      <c r="F596" s="1"/>
      <c r="G596" s="1" t="s">
        <v>12859</v>
      </c>
      <c r="H596" s="1" t="s">
        <v>11025</v>
      </c>
      <c r="I596" s="1"/>
      <c r="J596" s="1"/>
      <c r="K596" s="1"/>
      <c r="L596" s="1" t="s">
        <v>12860</v>
      </c>
      <c r="M596" s="1" t="s">
        <v>14465</v>
      </c>
      <c r="N596" s="1" t="s">
        <v>14466</v>
      </c>
      <c r="O596" s="1"/>
      <c r="P596" s="1" t="s">
        <v>12876</v>
      </c>
      <c r="Q596" s="1">
        <v>1</v>
      </c>
      <c r="R596" s="1" t="s">
        <v>12981</v>
      </c>
      <c r="S596" s="1" t="s">
        <v>14467</v>
      </c>
      <c r="T596" s="1" t="s">
        <v>14468</v>
      </c>
      <c r="U596" s="1" t="s">
        <v>11030</v>
      </c>
      <c r="V596" s="1" t="s">
        <v>6096</v>
      </c>
      <c r="W596" s="1"/>
      <c r="X596" s="1"/>
      <c r="Y596" s="1"/>
      <c r="Z596" s="1" t="s">
        <v>12908</v>
      </c>
      <c r="AA596" s="1">
        <f t="shared" si="34"/>
        <v>1</v>
      </c>
      <c r="AB596" s="1" t="str">
        <f t="shared" si="35"/>
        <v>R2 retained</v>
      </c>
      <c r="AC596" s="1"/>
      <c r="AD596" s="1"/>
      <c r="AE596" s="1"/>
      <c r="AF596" s="1"/>
      <c r="AG596" s="1"/>
      <c r="AH596" s="1"/>
      <c r="AI596" s="1">
        <f t="shared" si="36"/>
        <v>1</v>
      </c>
      <c r="AJ596" s="5"/>
      <c r="AK596" s="5"/>
      <c r="AL596" s="7" t="s">
        <v>15077</v>
      </c>
    </row>
    <row r="597" spans="1:38" ht="36" customHeight="1">
      <c r="A597" s="1" t="s">
        <v>5389</v>
      </c>
      <c r="B597" s="1" t="s">
        <v>5552</v>
      </c>
      <c r="C597" s="1" t="s">
        <v>5553</v>
      </c>
      <c r="D597" s="1" t="s">
        <v>14469</v>
      </c>
      <c r="E597" s="1">
        <v>2</v>
      </c>
      <c r="F597" s="1"/>
      <c r="G597" s="1" t="s">
        <v>12859</v>
      </c>
      <c r="H597" s="1" t="s">
        <v>11025</v>
      </c>
      <c r="I597" s="1"/>
      <c r="J597" s="1"/>
      <c r="K597" s="1"/>
      <c r="L597" s="1" t="s">
        <v>12860</v>
      </c>
      <c r="M597" s="1" t="s">
        <v>14470</v>
      </c>
      <c r="N597" s="1" t="s">
        <v>14471</v>
      </c>
      <c r="O597" s="1"/>
      <c r="P597" s="1" t="s">
        <v>12876</v>
      </c>
      <c r="Q597" s="1">
        <v>2</v>
      </c>
      <c r="R597" s="1" t="s">
        <v>12981</v>
      </c>
      <c r="S597" s="1" t="s">
        <v>14472</v>
      </c>
      <c r="T597" s="1" t="s">
        <v>14473</v>
      </c>
      <c r="U597" s="1" t="s">
        <v>11030</v>
      </c>
      <c r="V597" s="1" t="s">
        <v>6096</v>
      </c>
      <c r="W597" s="1"/>
      <c r="X597" s="1"/>
      <c r="Y597" s="1"/>
      <c r="Z597" s="1" t="s">
        <v>12908</v>
      </c>
      <c r="AA597" s="1">
        <f t="shared" si="34"/>
        <v>2</v>
      </c>
      <c r="AB597" s="1" t="str">
        <f t="shared" si="35"/>
        <v>R2 retained</v>
      </c>
      <c r="AC597" s="1"/>
      <c r="AD597" s="1"/>
      <c r="AE597" s="1"/>
      <c r="AF597" s="1"/>
      <c r="AG597" s="1"/>
      <c r="AH597" s="1"/>
      <c r="AI597" s="1">
        <f t="shared" si="36"/>
        <v>1</v>
      </c>
      <c r="AJ597" s="5"/>
      <c r="AK597" s="5"/>
      <c r="AL597" s="7" t="s">
        <v>15077</v>
      </c>
    </row>
    <row r="598" spans="1:38" ht="36" customHeight="1">
      <c r="A598" s="1" t="s">
        <v>5389</v>
      </c>
      <c r="B598" s="1" t="s">
        <v>5557</v>
      </c>
      <c r="C598" s="1" t="s">
        <v>5558</v>
      </c>
      <c r="D598" s="1" t="s">
        <v>11063</v>
      </c>
      <c r="E598" s="1">
        <v>0</v>
      </c>
      <c r="F598" s="1"/>
      <c r="G598" s="1" t="s">
        <v>12859</v>
      </c>
      <c r="H598" s="1" t="s">
        <v>11025</v>
      </c>
      <c r="I598" s="1" t="s">
        <v>4747</v>
      </c>
      <c r="J598" s="1"/>
      <c r="K598" s="1"/>
      <c r="L598" s="1" t="s">
        <v>12860</v>
      </c>
      <c r="M598" s="1" t="s">
        <v>11065</v>
      </c>
      <c r="N598" s="1" t="s">
        <v>14474</v>
      </c>
      <c r="O598" s="1"/>
      <c r="P598" s="1" t="s">
        <v>12863</v>
      </c>
      <c r="Q598" s="1"/>
      <c r="R598" s="1"/>
      <c r="S598" s="1"/>
      <c r="T598" s="1"/>
      <c r="U598" s="1"/>
      <c r="V598" s="1"/>
      <c r="W598" s="1"/>
      <c r="X598" s="1"/>
      <c r="Y598" s="1"/>
      <c r="Z598" s="1"/>
      <c r="AA598" s="1">
        <f t="shared" si="34"/>
        <v>0</v>
      </c>
      <c r="AB598" s="1" t="str">
        <f t="shared" si="35"/>
        <v>R2 retained</v>
      </c>
      <c r="AC598" s="1"/>
      <c r="AD598" s="1"/>
      <c r="AE598" s="1"/>
      <c r="AF598" s="1"/>
      <c r="AG598" s="1"/>
      <c r="AH598" s="1"/>
      <c r="AI598" s="1">
        <f t="shared" si="36"/>
        <v>0</v>
      </c>
      <c r="AJ598" s="5"/>
      <c r="AK598" s="5"/>
      <c r="AL598" s="7" t="s">
        <v>15077</v>
      </c>
    </row>
    <row r="599" spans="1:38" ht="36" customHeight="1">
      <c r="A599" s="1" t="s">
        <v>5389</v>
      </c>
      <c r="B599" s="1" t="s">
        <v>5562</v>
      </c>
      <c r="C599" s="1" t="s">
        <v>5563</v>
      </c>
      <c r="D599" s="1" t="s">
        <v>11067</v>
      </c>
      <c r="E599" s="1">
        <v>2</v>
      </c>
      <c r="F599" s="1"/>
      <c r="G599" s="1" t="s">
        <v>12859</v>
      </c>
      <c r="H599" s="1" t="s">
        <v>11025</v>
      </c>
      <c r="I599" s="1" t="s">
        <v>4862</v>
      </c>
      <c r="J599" s="1"/>
      <c r="K599" s="1"/>
      <c r="L599" s="1" t="s">
        <v>12860</v>
      </c>
      <c r="M599" s="1" t="s">
        <v>11070</v>
      </c>
      <c r="N599" s="1" t="s">
        <v>14475</v>
      </c>
      <c r="O599" s="1"/>
      <c r="P599" s="1" t="s">
        <v>12868</v>
      </c>
      <c r="Q599" s="1"/>
      <c r="R599" s="1"/>
      <c r="S599" s="1"/>
      <c r="T599" s="1"/>
      <c r="U599" s="1"/>
      <c r="V599" s="1"/>
      <c r="W599" s="1"/>
      <c r="X599" s="1"/>
      <c r="Y599" s="1"/>
      <c r="Z599" s="1"/>
      <c r="AA599" s="1">
        <f t="shared" si="34"/>
        <v>2</v>
      </c>
      <c r="AB599" s="1" t="str">
        <f t="shared" si="35"/>
        <v>R2 retained</v>
      </c>
      <c r="AC599" s="1">
        <v>2</v>
      </c>
      <c r="AD599" s="1" t="s">
        <v>12884</v>
      </c>
      <c r="AE599" s="1" t="s">
        <v>14476</v>
      </c>
      <c r="AF599" s="1" t="s">
        <v>14477</v>
      </c>
      <c r="AG599" s="1" t="s">
        <v>11030</v>
      </c>
      <c r="AH599" s="1" t="s">
        <v>6096</v>
      </c>
      <c r="AI599" s="1">
        <f t="shared" si="36"/>
        <v>1</v>
      </c>
      <c r="AJ599" s="5"/>
      <c r="AK599" s="5"/>
      <c r="AL599" s="7" t="s">
        <v>15077</v>
      </c>
    </row>
    <row r="600" spans="1:38" ht="36" customHeight="1">
      <c r="A600" s="1" t="s">
        <v>5389</v>
      </c>
      <c r="B600" s="1" t="s">
        <v>5567</v>
      </c>
      <c r="C600" s="1" t="s">
        <v>5568</v>
      </c>
      <c r="D600" s="1" t="s">
        <v>14478</v>
      </c>
      <c r="E600" s="1">
        <v>2</v>
      </c>
      <c r="F600" s="1"/>
      <c r="G600" s="1" t="s">
        <v>12859</v>
      </c>
      <c r="H600" s="1" t="s">
        <v>11025</v>
      </c>
      <c r="I600" s="1" t="s">
        <v>4862</v>
      </c>
      <c r="J600" s="1"/>
      <c r="K600" s="1"/>
      <c r="L600" s="1" t="s">
        <v>12860</v>
      </c>
      <c r="M600" s="1" t="s">
        <v>14479</v>
      </c>
      <c r="N600" s="1" t="s">
        <v>14480</v>
      </c>
      <c r="O600" s="1"/>
      <c r="P600" s="1" t="s">
        <v>12868</v>
      </c>
      <c r="Q600" s="1"/>
      <c r="R600" s="1"/>
      <c r="S600" s="1"/>
      <c r="T600" s="1"/>
      <c r="U600" s="1"/>
      <c r="V600" s="1"/>
      <c r="W600" s="1"/>
      <c r="X600" s="1"/>
      <c r="Y600" s="1"/>
      <c r="Z600" s="1"/>
      <c r="AA600" s="1">
        <f t="shared" si="34"/>
        <v>2</v>
      </c>
      <c r="AB600" s="1" t="str">
        <f t="shared" si="35"/>
        <v>R2 retained</v>
      </c>
      <c r="AC600" s="1"/>
      <c r="AD600" s="1"/>
      <c r="AE600" s="1"/>
      <c r="AF600" s="1"/>
      <c r="AG600" s="1"/>
      <c r="AH600" s="1"/>
      <c r="AI600" s="1">
        <f t="shared" si="36"/>
        <v>0</v>
      </c>
      <c r="AJ600" s="5"/>
      <c r="AK600" s="5"/>
      <c r="AL600" s="7" t="s">
        <v>15077</v>
      </c>
    </row>
    <row r="601" spans="1:38" ht="36" customHeight="1">
      <c r="A601" s="1" t="s">
        <v>5389</v>
      </c>
      <c r="B601" s="1" t="s">
        <v>5572</v>
      </c>
      <c r="C601" s="1" t="s">
        <v>5573</v>
      </c>
      <c r="D601" s="1" t="s">
        <v>14481</v>
      </c>
      <c r="E601" s="1">
        <v>1</v>
      </c>
      <c r="F601" s="1"/>
      <c r="G601" s="1" t="s">
        <v>12859</v>
      </c>
      <c r="H601" s="1" t="s">
        <v>11025</v>
      </c>
      <c r="I601" s="1" t="s">
        <v>4959</v>
      </c>
      <c r="J601" s="1"/>
      <c r="K601" s="1"/>
      <c r="L601" s="1" t="s">
        <v>12860</v>
      </c>
      <c r="M601" s="1" t="s">
        <v>14482</v>
      </c>
      <c r="N601" s="1" t="s">
        <v>14483</v>
      </c>
      <c r="O601" s="1"/>
      <c r="P601" s="1" t="s">
        <v>12868</v>
      </c>
      <c r="Q601" s="1"/>
      <c r="R601" s="1"/>
      <c r="S601" s="1"/>
      <c r="T601" s="1"/>
      <c r="U601" s="1"/>
      <c r="V601" s="1"/>
      <c r="W601" s="1"/>
      <c r="X601" s="1"/>
      <c r="Y601" s="1"/>
      <c r="Z601" s="1"/>
      <c r="AA601" s="1">
        <f t="shared" si="34"/>
        <v>1</v>
      </c>
      <c r="AB601" s="1" t="str">
        <f t="shared" si="35"/>
        <v>R2 retained</v>
      </c>
      <c r="AC601" s="1"/>
      <c r="AD601" s="1"/>
      <c r="AE601" s="1"/>
      <c r="AF601" s="1"/>
      <c r="AG601" s="1"/>
      <c r="AH601" s="1"/>
      <c r="AI601" s="1">
        <f t="shared" si="36"/>
        <v>0</v>
      </c>
      <c r="AJ601" s="5"/>
      <c r="AK601" s="5"/>
      <c r="AL601" s="7" t="s">
        <v>15077</v>
      </c>
    </row>
    <row r="602" spans="1:38" ht="36" customHeight="1">
      <c r="A602" s="1" t="s">
        <v>5389</v>
      </c>
      <c r="B602" s="1" t="s">
        <v>5577</v>
      </c>
      <c r="C602" s="1" t="s">
        <v>5578</v>
      </c>
      <c r="D602" s="1" t="s">
        <v>14484</v>
      </c>
      <c r="E602" s="1">
        <v>2</v>
      </c>
      <c r="F602" s="1"/>
      <c r="G602" s="1" t="s">
        <v>12859</v>
      </c>
      <c r="H602" s="1" t="s">
        <v>11025</v>
      </c>
      <c r="I602" s="1" t="s">
        <v>4959</v>
      </c>
      <c r="J602" s="1"/>
      <c r="K602" s="1"/>
      <c r="L602" s="1" t="s">
        <v>12860</v>
      </c>
      <c r="M602" s="1" t="s">
        <v>14485</v>
      </c>
      <c r="N602" s="1" t="s">
        <v>14486</v>
      </c>
      <c r="O602" s="1"/>
      <c r="P602" s="1" t="s">
        <v>12868</v>
      </c>
      <c r="Q602" s="1"/>
      <c r="R602" s="1"/>
      <c r="S602" s="1"/>
      <c r="T602" s="1"/>
      <c r="U602" s="1"/>
      <c r="V602" s="1"/>
      <c r="W602" s="1"/>
      <c r="X602" s="1"/>
      <c r="Y602" s="1"/>
      <c r="Z602" s="1"/>
      <c r="AA602" s="1">
        <f t="shared" si="34"/>
        <v>2</v>
      </c>
      <c r="AB602" s="1" t="str">
        <f t="shared" si="35"/>
        <v>R2 retained</v>
      </c>
      <c r="AC602" s="1"/>
      <c r="AD602" s="1"/>
      <c r="AE602" s="1"/>
      <c r="AF602" s="1"/>
      <c r="AG602" s="1"/>
      <c r="AH602" s="1"/>
      <c r="AI602" s="1">
        <f t="shared" si="36"/>
        <v>0</v>
      </c>
      <c r="AJ602" s="5"/>
      <c r="AK602" s="5"/>
      <c r="AL602" s="7" t="s">
        <v>15077</v>
      </c>
    </row>
    <row r="603" spans="1:38" ht="36" customHeight="1">
      <c r="A603" s="1" t="s">
        <v>5389</v>
      </c>
      <c r="B603" s="1" t="s">
        <v>5582</v>
      </c>
      <c r="C603" s="1" t="s">
        <v>5583</v>
      </c>
      <c r="D603" s="1" t="s">
        <v>11112</v>
      </c>
      <c r="E603" s="1">
        <v>0</v>
      </c>
      <c r="F603" s="1"/>
      <c r="G603" s="1" t="s">
        <v>12859</v>
      </c>
      <c r="H603" s="1" t="s">
        <v>11025</v>
      </c>
      <c r="I603" s="1" t="s">
        <v>4747</v>
      </c>
      <c r="J603" s="1"/>
      <c r="K603" s="1"/>
      <c r="L603" s="1" t="s">
        <v>12860</v>
      </c>
      <c r="M603" s="1" t="s">
        <v>11114</v>
      </c>
      <c r="N603" s="1" t="s">
        <v>14487</v>
      </c>
      <c r="O603" s="1"/>
      <c r="P603" s="1" t="s">
        <v>12863</v>
      </c>
      <c r="Q603" s="1"/>
      <c r="R603" s="1"/>
      <c r="S603" s="1"/>
      <c r="T603" s="1"/>
      <c r="U603" s="1"/>
      <c r="V603" s="1"/>
      <c r="W603" s="1"/>
      <c r="X603" s="1"/>
      <c r="Y603" s="1"/>
      <c r="Z603" s="1"/>
      <c r="AA603" s="1">
        <f t="shared" si="34"/>
        <v>0</v>
      </c>
      <c r="AB603" s="1" t="str">
        <f t="shared" si="35"/>
        <v>R2 retained</v>
      </c>
      <c r="AC603" s="1">
        <v>0</v>
      </c>
      <c r="AD603" s="1" t="s">
        <v>12884</v>
      </c>
      <c r="AE603" s="1" t="s">
        <v>14488</v>
      </c>
      <c r="AF603" s="1" t="s">
        <v>14489</v>
      </c>
      <c r="AG603" s="1" t="s">
        <v>11030</v>
      </c>
      <c r="AH603" s="1" t="s">
        <v>6096</v>
      </c>
      <c r="AI603" s="1">
        <f t="shared" si="36"/>
        <v>1</v>
      </c>
      <c r="AJ603" s="5" t="s">
        <v>12898</v>
      </c>
      <c r="AK603" s="5" t="s">
        <v>12899</v>
      </c>
      <c r="AL603" s="7" t="s">
        <v>15077</v>
      </c>
    </row>
    <row r="604" spans="1:38" ht="36" customHeight="1">
      <c r="A604" s="1" t="s">
        <v>5389</v>
      </c>
      <c r="B604" s="1" t="s">
        <v>5586</v>
      </c>
      <c r="C604" s="1" t="s">
        <v>5587</v>
      </c>
      <c r="D604" s="1" t="s">
        <v>13619</v>
      </c>
      <c r="E604" s="1">
        <v>0</v>
      </c>
      <c r="F604" s="1"/>
      <c r="G604" s="1" t="s">
        <v>12859</v>
      </c>
      <c r="H604" s="1" t="s">
        <v>11025</v>
      </c>
      <c r="I604" s="1" t="s">
        <v>4747</v>
      </c>
      <c r="J604" s="1"/>
      <c r="K604" s="1"/>
      <c r="L604" s="1" t="s">
        <v>12860</v>
      </c>
      <c r="M604" s="1" t="s">
        <v>14490</v>
      </c>
      <c r="N604" s="1" t="s">
        <v>14491</v>
      </c>
      <c r="O604" s="1"/>
      <c r="P604" s="1" t="s">
        <v>12863</v>
      </c>
      <c r="Q604" s="1"/>
      <c r="R604" s="1"/>
      <c r="S604" s="1"/>
      <c r="T604" s="1"/>
      <c r="U604" s="1"/>
      <c r="V604" s="1"/>
      <c r="W604" s="1"/>
      <c r="X604" s="1"/>
      <c r="Y604" s="1"/>
      <c r="Z604" s="1"/>
      <c r="AA604" s="1">
        <f t="shared" si="34"/>
        <v>0</v>
      </c>
      <c r="AB604" s="1" t="str">
        <f t="shared" si="35"/>
        <v>R2 retained</v>
      </c>
      <c r="AC604" s="1"/>
      <c r="AD604" s="1"/>
      <c r="AE604" s="1"/>
      <c r="AF604" s="1"/>
      <c r="AG604" s="1"/>
      <c r="AH604" s="1"/>
      <c r="AI604" s="1">
        <f t="shared" si="36"/>
        <v>0</v>
      </c>
      <c r="AJ604" s="5"/>
      <c r="AK604" s="5"/>
      <c r="AL604" s="7" t="s">
        <v>15077</v>
      </c>
    </row>
    <row r="605" spans="1:38" ht="60" customHeight="1">
      <c r="A605" s="1" t="s">
        <v>5389</v>
      </c>
      <c r="B605" s="1" t="s">
        <v>5591</v>
      </c>
      <c r="C605" s="1" t="s">
        <v>5592</v>
      </c>
      <c r="D605" s="1" t="s">
        <v>14492</v>
      </c>
      <c r="E605" s="1">
        <v>0</v>
      </c>
      <c r="F605" s="1"/>
      <c r="G605" s="1" t="s">
        <v>12859</v>
      </c>
      <c r="H605" s="1" t="s">
        <v>11025</v>
      </c>
      <c r="I605" s="1" t="s">
        <v>4747</v>
      </c>
      <c r="J605" s="1"/>
      <c r="K605" s="1"/>
      <c r="L605" s="1" t="s">
        <v>12860</v>
      </c>
      <c r="M605" s="1" t="s">
        <v>14493</v>
      </c>
      <c r="N605" s="1" t="s">
        <v>14494</v>
      </c>
      <c r="O605" s="1"/>
      <c r="P605" s="1" t="s">
        <v>12863</v>
      </c>
      <c r="Q605" s="1">
        <v>0</v>
      </c>
      <c r="R605" s="1" t="s">
        <v>12904</v>
      </c>
      <c r="S605" s="1" t="s">
        <v>14495</v>
      </c>
      <c r="T605" s="1" t="s">
        <v>14496</v>
      </c>
      <c r="U605" s="1" t="s">
        <v>11030</v>
      </c>
      <c r="V605" s="1" t="s">
        <v>6096</v>
      </c>
      <c r="W605" s="1" t="s">
        <v>12907</v>
      </c>
      <c r="X605" s="1"/>
      <c r="Y605" s="1"/>
      <c r="Z605" s="1" t="s">
        <v>12908</v>
      </c>
      <c r="AA605" s="1">
        <f t="shared" si="34"/>
        <v>0</v>
      </c>
      <c r="AB605" s="1" t="str">
        <f t="shared" si="35"/>
        <v>R2 retained</v>
      </c>
      <c r="AC605" s="1">
        <v>0</v>
      </c>
      <c r="AD605" s="1" t="s">
        <v>12884</v>
      </c>
      <c r="AE605" s="1" t="s">
        <v>14495</v>
      </c>
      <c r="AF605" s="1" t="s">
        <v>14496</v>
      </c>
      <c r="AG605" s="1" t="s">
        <v>11030</v>
      </c>
      <c r="AH605" s="1" t="s">
        <v>6096</v>
      </c>
      <c r="AI605" s="1">
        <f t="shared" si="36"/>
        <v>1</v>
      </c>
      <c r="AJ605" s="5" t="s">
        <v>12898</v>
      </c>
      <c r="AK605" s="5" t="s">
        <v>12899</v>
      </c>
      <c r="AL605" s="7" t="s">
        <v>15077</v>
      </c>
    </row>
    <row r="606" spans="1:38" ht="84" customHeight="1">
      <c r="A606" s="1" t="s">
        <v>5389</v>
      </c>
      <c r="B606" s="1" t="s">
        <v>5596</v>
      </c>
      <c r="C606" s="1" t="s">
        <v>5597</v>
      </c>
      <c r="D606" s="1" t="s">
        <v>14497</v>
      </c>
      <c r="E606" s="1">
        <v>1</v>
      </c>
      <c r="F606" s="1">
        <v>0</v>
      </c>
      <c r="G606" s="1" t="s">
        <v>12873</v>
      </c>
      <c r="H606" s="1" t="s">
        <v>11025</v>
      </c>
      <c r="I606" s="1"/>
      <c r="J606" s="1"/>
      <c r="K606" s="1"/>
      <c r="L606" s="1" t="s">
        <v>12860</v>
      </c>
      <c r="M606" s="1" t="s">
        <v>14498</v>
      </c>
      <c r="N606" s="1" t="s">
        <v>14499</v>
      </c>
      <c r="O606" s="1" t="s">
        <v>14500</v>
      </c>
      <c r="P606" s="1" t="s">
        <v>12876</v>
      </c>
      <c r="Q606" s="1">
        <v>0</v>
      </c>
      <c r="R606" s="1" t="s">
        <v>12877</v>
      </c>
      <c r="S606" s="1" t="s">
        <v>14501</v>
      </c>
      <c r="T606" s="1" t="s">
        <v>14502</v>
      </c>
      <c r="U606" s="1" t="s">
        <v>11030</v>
      </c>
      <c r="V606" s="1" t="s">
        <v>6096</v>
      </c>
      <c r="W606" s="1"/>
      <c r="X606" s="1"/>
      <c r="Y606" s="1" t="s">
        <v>14503</v>
      </c>
      <c r="Z606" s="1" t="s">
        <v>12883</v>
      </c>
      <c r="AA606" s="1">
        <f t="shared" si="34"/>
        <v>0</v>
      </c>
      <c r="AB606" s="1" t="str">
        <f t="shared" si="35"/>
        <v>Reviewer confirmed</v>
      </c>
      <c r="AC606" s="1"/>
      <c r="AD606" s="1"/>
      <c r="AE606" s="1"/>
      <c r="AF606" s="1"/>
      <c r="AG606" s="1"/>
      <c r="AH606" s="1"/>
      <c r="AI606" s="1">
        <f t="shared" si="36"/>
        <v>1</v>
      </c>
      <c r="AJ606" s="5"/>
      <c r="AK606" s="5"/>
      <c r="AL606" s="7" t="s">
        <v>15077</v>
      </c>
    </row>
    <row r="607" spans="1:38" ht="36" customHeight="1">
      <c r="A607" s="1" t="s">
        <v>5389</v>
      </c>
      <c r="B607" s="1" t="s">
        <v>5601</v>
      </c>
      <c r="C607" s="1" t="s">
        <v>5602</v>
      </c>
      <c r="D607" s="1" t="s">
        <v>11126</v>
      </c>
      <c r="E607" s="1">
        <v>1</v>
      </c>
      <c r="F607" s="1"/>
      <c r="G607" s="1" t="s">
        <v>12859</v>
      </c>
      <c r="H607" s="1" t="s">
        <v>11025</v>
      </c>
      <c r="I607" s="1" t="s">
        <v>4862</v>
      </c>
      <c r="J607" s="1"/>
      <c r="K607" s="1"/>
      <c r="L607" s="1" t="s">
        <v>12860</v>
      </c>
      <c r="M607" s="1" t="s">
        <v>11128</v>
      </c>
      <c r="N607" s="1" t="s">
        <v>14504</v>
      </c>
      <c r="O607" s="1"/>
      <c r="P607" s="1" t="s">
        <v>12868</v>
      </c>
      <c r="Q607" s="1"/>
      <c r="R607" s="1"/>
      <c r="S607" s="1"/>
      <c r="T607" s="1"/>
      <c r="U607" s="1"/>
      <c r="V607" s="1"/>
      <c r="W607" s="1"/>
      <c r="X607" s="1"/>
      <c r="Y607" s="1"/>
      <c r="Z607" s="1"/>
      <c r="AA607" s="1">
        <f t="shared" si="34"/>
        <v>1</v>
      </c>
      <c r="AB607" s="1" t="str">
        <f t="shared" si="35"/>
        <v>R2 retained</v>
      </c>
      <c r="AC607" s="1"/>
      <c r="AD607" s="1"/>
      <c r="AE607" s="1"/>
      <c r="AF607" s="1"/>
      <c r="AG607" s="1"/>
      <c r="AH607" s="1"/>
      <c r="AI607" s="1">
        <f t="shared" si="36"/>
        <v>0</v>
      </c>
      <c r="AJ607" s="5"/>
      <c r="AK607" s="5"/>
      <c r="AL607" s="7" t="s">
        <v>15077</v>
      </c>
    </row>
    <row r="608" spans="1:38" ht="36" customHeight="1">
      <c r="A608" s="1" t="s">
        <v>5389</v>
      </c>
      <c r="B608" s="1" t="s">
        <v>5606</v>
      </c>
      <c r="C608" s="1" t="s">
        <v>5607</v>
      </c>
      <c r="D608" s="1" t="s">
        <v>11130</v>
      </c>
      <c r="E608" s="1">
        <v>2</v>
      </c>
      <c r="F608" s="1"/>
      <c r="G608" s="1" t="s">
        <v>12859</v>
      </c>
      <c r="H608" s="1" t="s">
        <v>11025</v>
      </c>
      <c r="I608" s="1" t="s">
        <v>4959</v>
      </c>
      <c r="J608" s="1"/>
      <c r="K608" s="1"/>
      <c r="L608" s="1" t="s">
        <v>12860</v>
      </c>
      <c r="M608" s="1" t="s">
        <v>11132</v>
      </c>
      <c r="N608" s="1" t="s">
        <v>14505</v>
      </c>
      <c r="O608" s="1"/>
      <c r="P608" s="1" t="s">
        <v>12868</v>
      </c>
      <c r="Q608" s="1"/>
      <c r="R608" s="1"/>
      <c r="S608" s="1"/>
      <c r="T608" s="1"/>
      <c r="U608" s="1"/>
      <c r="V608" s="1"/>
      <c r="W608" s="1"/>
      <c r="X608" s="1"/>
      <c r="Y608" s="1"/>
      <c r="Z608" s="1"/>
      <c r="AA608" s="1">
        <f t="shared" si="34"/>
        <v>2</v>
      </c>
      <c r="AB608" s="1" t="str">
        <f t="shared" si="35"/>
        <v>R2 retained</v>
      </c>
      <c r="AC608" s="1"/>
      <c r="AD608" s="1"/>
      <c r="AE608" s="1"/>
      <c r="AF608" s="1"/>
      <c r="AG608" s="1"/>
      <c r="AH608" s="1"/>
      <c r="AI608" s="1">
        <f t="shared" si="36"/>
        <v>0</v>
      </c>
      <c r="AJ608" s="5"/>
      <c r="AK608" s="5"/>
      <c r="AL608" s="7" t="s">
        <v>15077</v>
      </c>
    </row>
    <row r="609" spans="1:38" ht="36" customHeight="1">
      <c r="A609" s="1" t="s">
        <v>5389</v>
      </c>
      <c r="B609" s="1" t="s">
        <v>5454</v>
      </c>
      <c r="C609" s="1" t="s">
        <v>5455</v>
      </c>
      <c r="D609" s="1" t="s">
        <v>4747</v>
      </c>
      <c r="E609" s="1">
        <v>0</v>
      </c>
      <c r="F609" s="1"/>
      <c r="G609" s="1" t="s">
        <v>12859</v>
      </c>
      <c r="H609" s="1" t="s">
        <v>11025</v>
      </c>
      <c r="I609" s="1" t="s">
        <v>4747</v>
      </c>
      <c r="J609" s="1"/>
      <c r="K609" s="1"/>
      <c r="L609" s="1" t="s">
        <v>12860</v>
      </c>
      <c r="M609" s="1" t="s">
        <v>11134</v>
      </c>
      <c r="N609" s="1" t="s">
        <v>14506</v>
      </c>
      <c r="O609" s="1"/>
      <c r="P609" s="1" t="s">
        <v>12863</v>
      </c>
      <c r="Q609" s="1"/>
      <c r="R609" s="1"/>
      <c r="S609" s="1"/>
      <c r="T609" s="1"/>
      <c r="U609" s="1"/>
      <c r="V609" s="1"/>
      <c r="W609" s="1"/>
      <c r="X609" s="1"/>
      <c r="Y609" s="1"/>
      <c r="Z609" s="1"/>
      <c r="AA609" s="1">
        <f t="shared" si="34"/>
        <v>0</v>
      </c>
      <c r="AB609" s="1" t="str">
        <f t="shared" si="35"/>
        <v>R2 retained</v>
      </c>
      <c r="AC609" s="1">
        <v>0</v>
      </c>
      <c r="AD609" s="1" t="s">
        <v>12884</v>
      </c>
      <c r="AE609" s="1" t="s">
        <v>13947</v>
      </c>
      <c r="AF609" s="1" t="s">
        <v>14507</v>
      </c>
      <c r="AG609" s="1" t="s">
        <v>11030</v>
      </c>
      <c r="AH609" s="1" t="s">
        <v>6096</v>
      </c>
      <c r="AI609" s="1">
        <f t="shared" si="36"/>
        <v>1</v>
      </c>
      <c r="AJ609" s="5" t="s">
        <v>12898</v>
      </c>
      <c r="AK609" s="5" t="s">
        <v>12899</v>
      </c>
      <c r="AL609" s="7" t="s">
        <v>15077</v>
      </c>
    </row>
    <row r="610" spans="1:38" ht="36" customHeight="1">
      <c r="A610" s="1" t="s">
        <v>5413</v>
      </c>
      <c r="B610" s="1" t="s">
        <v>5537</v>
      </c>
      <c r="C610" s="1" t="s">
        <v>5538</v>
      </c>
      <c r="D610" s="1" t="s">
        <v>14508</v>
      </c>
      <c r="E610" s="1">
        <v>0</v>
      </c>
      <c r="F610" s="1"/>
      <c r="G610" s="1" t="s">
        <v>12859</v>
      </c>
      <c r="H610" s="1" t="s">
        <v>11148</v>
      </c>
      <c r="I610" s="1" t="s">
        <v>4747</v>
      </c>
      <c r="J610" s="1"/>
      <c r="K610" s="1"/>
      <c r="L610" s="1" t="s">
        <v>12860</v>
      </c>
      <c r="M610" s="1" t="s">
        <v>14509</v>
      </c>
      <c r="N610" s="1" t="s">
        <v>14510</v>
      </c>
      <c r="O610" s="1"/>
      <c r="P610" s="1" t="s">
        <v>12863</v>
      </c>
      <c r="Q610" s="1"/>
      <c r="R610" s="1"/>
      <c r="S610" s="1"/>
      <c r="T610" s="1"/>
      <c r="U610" s="1"/>
      <c r="V610" s="1"/>
      <c r="W610" s="1"/>
      <c r="X610" s="1"/>
      <c r="Y610" s="1"/>
      <c r="Z610" s="1"/>
      <c r="AA610" s="1">
        <f t="shared" si="34"/>
        <v>0</v>
      </c>
      <c r="AB610" s="1" t="str">
        <f t="shared" si="35"/>
        <v>R2 retained</v>
      </c>
      <c r="AC610" s="1"/>
      <c r="AD610" s="1"/>
      <c r="AE610" s="1"/>
      <c r="AF610" s="1"/>
      <c r="AG610" s="1"/>
      <c r="AH610" s="1"/>
      <c r="AI610" s="1">
        <f t="shared" si="36"/>
        <v>0</v>
      </c>
      <c r="AJ610" s="5"/>
      <c r="AK610" s="5"/>
      <c r="AL610" s="7" t="s">
        <v>15077</v>
      </c>
    </row>
    <row r="611" spans="1:38" ht="36" customHeight="1">
      <c r="A611" s="1" t="s">
        <v>5413</v>
      </c>
      <c r="B611" s="1" t="s">
        <v>5542</v>
      </c>
      <c r="C611" s="1" t="s">
        <v>5543</v>
      </c>
      <c r="D611" s="1" t="s">
        <v>4747</v>
      </c>
      <c r="E611" s="1">
        <v>0</v>
      </c>
      <c r="F611" s="1"/>
      <c r="G611" s="1" t="s">
        <v>12859</v>
      </c>
      <c r="H611" s="1" t="s">
        <v>11148</v>
      </c>
      <c r="I611" s="1" t="s">
        <v>4747</v>
      </c>
      <c r="J611" s="1"/>
      <c r="K611" s="1"/>
      <c r="L611" s="1" t="s">
        <v>12860</v>
      </c>
      <c r="M611" s="1" t="s">
        <v>14511</v>
      </c>
      <c r="N611" s="1" t="s">
        <v>14512</v>
      </c>
      <c r="O611" s="1"/>
      <c r="P611" s="1" t="s">
        <v>12863</v>
      </c>
      <c r="Q611" s="1"/>
      <c r="R611" s="1"/>
      <c r="S611" s="1"/>
      <c r="T611" s="1"/>
      <c r="U611" s="1"/>
      <c r="V611" s="1"/>
      <c r="W611" s="1"/>
      <c r="X611" s="1"/>
      <c r="Y611" s="1"/>
      <c r="Z611" s="1"/>
      <c r="AA611" s="1">
        <f t="shared" si="34"/>
        <v>0</v>
      </c>
      <c r="AB611" s="1" t="str">
        <f t="shared" si="35"/>
        <v>R2 retained</v>
      </c>
      <c r="AC611" s="1"/>
      <c r="AD611" s="1"/>
      <c r="AE611" s="1"/>
      <c r="AF611" s="1"/>
      <c r="AG611" s="1"/>
      <c r="AH611" s="1"/>
      <c r="AI611" s="1">
        <f t="shared" si="36"/>
        <v>0</v>
      </c>
      <c r="AJ611" s="5"/>
      <c r="AK611" s="5"/>
      <c r="AL611" s="7" t="s">
        <v>15077</v>
      </c>
    </row>
    <row r="612" spans="1:38" ht="36" customHeight="1">
      <c r="A612" s="1" t="s">
        <v>5413</v>
      </c>
      <c r="B612" s="1" t="s">
        <v>5547</v>
      </c>
      <c r="C612" s="1" t="s">
        <v>5548</v>
      </c>
      <c r="D612" s="1" t="s">
        <v>14513</v>
      </c>
      <c r="E612" s="1">
        <v>1</v>
      </c>
      <c r="F612" s="1"/>
      <c r="G612" s="1" t="s">
        <v>12859</v>
      </c>
      <c r="H612" s="1" t="s">
        <v>11148</v>
      </c>
      <c r="I612" s="1"/>
      <c r="J612" s="1"/>
      <c r="K612" s="1"/>
      <c r="L612" s="1" t="s">
        <v>12860</v>
      </c>
      <c r="M612" s="1" t="s">
        <v>14514</v>
      </c>
      <c r="N612" s="1" t="s">
        <v>14515</v>
      </c>
      <c r="O612" s="1"/>
      <c r="P612" s="1" t="s">
        <v>12876</v>
      </c>
      <c r="Q612" s="1">
        <v>1</v>
      </c>
      <c r="R612" s="1" t="s">
        <v>12981</v>
      </c>
      <c r="S612" s="1" t="s">
        <v>14516</v>
      </c>
      <c r="T612" s="1" t="s">
        <v>14517</v>
      </c>
      <c r="U612" s="1" t="s">
        <v>11153</v>
      </c>
      <c r="V612" s="1" t="s">
        <v>6096</v>
      </c>
      <c r="W612" s="1"/>
      <c r="X612" s="1"/>
      <c r="Y612" s="1"/>
      <c r="Z612" s="1" t="s">
        <v>12908</v>
      </c>
      <c r="AA612" s="1">
        <f t="shared" si="34"/>
        <v>1</v>
      </c>
      <c r="AB612" s="1" t="str">
        <f t="shared" si="35"/>
        <v>R2 retained</v>
      </c>
      <c r="AC612" s="1"/>
      <c r="AD612" s="1"/>
      <c r="AE612" s="1"/>
      <c r="AF612" s="1"/>
      <c r="AG612" s="1"/>
      <c r="AH612" s="1"/>
      <c r="AI612" s="1">
        <f t="shared" si="36"/>
        <v>1</v>
      </c>
      <c r="AJ612" s="5"/>
      <c r="AK612" s="5"/>
      <c r="AL612" s="7" t="s">
        <v>15077</v>
      </c>
    </row>
    <row r="613" spans="1:38" ht="36" customHeight="1">
      <c r="A613" s="1" t="s">
        <v>5413</v>
      </c>
      <c r="B613" s="1" t="s">
        <v>5552</v>
      </c>
      <c r="C613" s="1" t="s">
        <v>5553</v>
      </c>
      <c r="D613" s="1" t="s">
        <v>14518</v>
      </c>
      <c r="E613" s="1">
        <v>2</v>
      </c>
      <c r="F613" s="1"/>
      <c r="G613" s="1" t="s">
        <v>12859</v>
      </c>
      <c r="H613" s="1" t="s">
        <v>11148</v>
      </c>
      <c r="I613" s="1" t="s">
        <v>5215</v>
      </c>
      <c r="J613" s="1"/>
      <c r="K613" s="1"/>
      <c r="L613" s="1" t="s">
        <v>12860</v>
      </c>
      <c r="M613" s="1" t="s">
        <v>14519</v>
      </c>
      <c r="N613" s="1" t="s">
        <v>14520</v>
      </c>
      <c r="O613" s="1"/>
      <c r="P613" s="1" t="s">
        <v>12868</v>
      </c>
      <c r="Q613" s="1"/>
      <c r="R613" s="1"/>
      <c r="S613" s="1"/>
      <c r="T613" s="1"/>
      <c r="U613" s="1"/>
      <c r="V613" s="1"/>
      <c r="W613" s="1"/>
      <c r="X613" s="1"/>
      <c r="Y613" s="1"/>
      <c r="Z613" s="1"/>
      <c r="AA613" s="1">
        <f t="shared" si="34"/>
        <v>2</v>
      </c>
      <c r="AB613" s="1" t="str">
        <f t="shared" si="35"/>
        <v>R2 retained</v>
      </c>
      <c r="AC613" s="1"/>
      <c r="AD613" s="1"/>
      <c r="AE613" s="1"/>
      <c r="AF613" s="1"/>
      <c r="AG613" s="1"/>
      <c r="AH613" s="1"/>
      <c r="AI613" s="1">
        <f t="shared" si="36"/>
        <v>0</v>
      </c>
      <c r="AJ613" s="5"/>
      <c r="AK613" s="5"/>
      <c r="AL613" s="7" t="s">
        <v>15077</v>
      </c>
    </row>
    <row r="614" spans="1:38" ht="36" customHeight="1">
      <c r="A614" s="1" t="s">
        <v>5413</v>
      </c>
      <c r="B614" s="1" t="s">
        <v>5557</v>
      </c>
      <c r="C614" s="1" t="s">
        <v>5558</v>
      </c>
      <c r="D614" s="1" t="s">
        <v>11189</v>
      </c>
      <c r="E614" s="1">
        <v>0</v>
      </c>
      <c r="F614" s="1"/>
      <c r="G614" s="1" t="s">
        <v>12859</v>
      </c>
      <c r="H614" s="1" t="s">
        <v>11148</v>
      </c>
      <c r="I614" s="1" t="s">
        <v>4747</v>
      </c>
      <c r="J614" s="1"/>
      <c r="K614" s="1"/>
      <c r="L614" s="1" t="s">
        <v>12860</v>
      </c>
      <c r="M614" s="1" t="s">
        <v>11192</v>
      </c>
      <c r="N614" s="1" t="s">
        <v>14521</v>
      </c>
      <c r="O614" s="1"/>
      <c r="P614" s="1" t="s">
        <v>12863</v>
      </c>
      <c r="Q614" s="1"/>
      <c r="R614" s="1"/>
      <c r="S614" s="1"/>
      <c r="T614" s="1"/>
      <c r="U614" s="1"/>
      <c r="V614" s="1"/>
      <c r="W614" s="1"/>
      <c r="X614" s="1"/>
      <c r="Y614" s="1"/>
      <c r="Z614" s="1"/>
      <c r="AA614" s="1">
        <f t="shared" si="34"/>
        <v>0</v>
      </c>
      <c r="AB614" s="1" t="str">
        <f t="shared" si="35"/>
        <v>R2 retained</v>
      </c>
      <c r="AC614" s="1"/>
      <c r="AD614" s="1"/>
      <c r="AE614" s="1"/>
      <c r="AF614" s="1"/>
      <c r="AG614" s="1"/>
      <c r="AH614" s="1"/>
      <c r="AI614" s="1">
        <f t="shared" si="36"/>
        <v>0</v>
      </c>
      <c r="AJ614" s="5"/>
      <c r="AK614" s="5"/>
      <c r="AL614" s="7" t="s">
        <v>15077</v>
      </c>
    </row>
    <row r="615" spans="1:38" ht="36" customHeight="1">
      <c r="A615" s="1" t="s">
        <v>5413</v>
      </c>
      <c r="B615" s="1" t="s">
        <v>5562</v>
      </c>
      <c r="C615" s="1" t="s">
        <v>5563</v>
      </c>
      <c r="D615" s="1" t="s">
        <v>11194</v>
      </c>
      <c r="E615" s="1">
        <v>2</v>
      </c>
      <c r="F615" s="1"/>
      <c r="G615" s="1" t="s">
        <v>12859</v>
      </c>
      <c r="H615" s="1" t="s">
        <v>11148</v>
      </c>
      <c r="I615" s="1" t="s">
        <v>4959</v>
      </c>
      <c r="J615" s="1"/>
      <c r="K615" s="1"/>
      <c r="L615" s="1" t="s">
        <v>12860</v>
      </c>
      <c r="M615" s="1" t="s">
        <v>11197</v>
      </c>
      <c r="N615" s="1" t="s">
        <v>14522</v>
      </c>
      <c r="O615" s="1"/>
      <c r="P615" s="1" t="s">
        <v>12868</v>
      </c>
      <c r="Q615" s="1"/>
      <c r="R615" s="1"/>
      <c r="S615" s="1"/>
      <c r="T615" s="1"/>
      <c r="U615" s="1"/>
      <c r="V615" s="1"/>
      <c r="W615" s="1"/>
      <c r="X615" s="1"/>
      <c r="Y615" s="1"/>
      <c r="Z615" s="1"/>
      <c r="AA615" s="1">
        <f t="shared" si="34"/>
        <v>2</v>
      </c>
      <c r="AB615" s="1" t="str">
        <f t="shared" si="35"/>
        <v>R2 retained</v>
      </c>
      <c r="AC615" s="1">
        <v>2</v>
      </c>
      <c r="AD615" s="1" t="s">
        <v>12884</v>
      </c>
      <c r="AE615" s="1" t="s">
        <v>14523</v>
      </c>
      <c r="AF615" s="1" t="s">
        <v>14524</v>
      </c>
      <c r="AG615" s="1" t="s">
        <v>11153</v>
      </c>
      <c r="AH615" s="1" t="s">
        <v>6096</v>
      </c>
      <c r="AI615" s="1">
        <f t="shared" si="36"/>
        <v>1</v>
      </c>
      <c r="AJ615" s="5"/>
      <c r="AK615" s="5"/>
      <c r="AL615" s="7" t="s">
        <v>15077</v>
      </c>
    </row>
    <row r="616" spans="1:38" ht="48" customHeight="1">
      <c r="A616" s="1" t="s">
        <v>5413</v>
      </c>
      <c r="B616" s="1" t="s">
        <v>5567</v>
      </c>
      <c r="C616" s="1" t="s">
        <v>5568</v>
      </c>
      <c r="D616" s="1" t="s">
        <v>14525</v>
      </c>
      <c r="E616" s="1">
        <v>1</v>
      </c>
      <c r="F616" s="1"/>
      <c r="G616" s="1" t="s">
        <v>12859</v>
      </c>
      <c r="H616" s="1" t="s">
        <v>11148</v>
      </c>
      <c r="I616" s="1"/>
      <c r="J616" s="1"/>
      <c r="K616" s="1"/>
      <c r="L616" s="1" t="s">
        <v>12860</v>
      </c>
      <c r="M616" s="1" t="s">
        <v>14526</v>
      </c>
      <c r="N616" s="1" t="s">
        <v>14527</v>
      </c>
      <c r="O616" s="1"/>
      <c r="P616" s="1" t="s">
        <v>12876</v>
      </c>
      <c r="Q616" s="1">
        <v>1</v>
      </c>
      <c r="R616" s="1" t="s">
        <v>12981</v>
      </c>
      <c r="S616" s="1" t="s">
        <v>14528</v>
      </c>
      <c r="T616" s="1" t="s">
        <v>14529</v>
      </c>
      <c r="U616" s="1" t="s">
        <v>11153</v>
      </c>
      <c r="V616" s="1" t="s">
        <v>6096</v>
      </c>
      <c r="W616" s="1"/>
      <c r="X616" s="1"/>
      <c r="Y616" s="1"/>
      <c r="Z616" s="1" t="s">
        <v>12908</v>
      </c>
      <c r="AA616" s="1">
        <f t="shared" si="34"/>
        <v>1</v>
      </c>
      <c r="AB616" s="1" t="str">
        <f t="shared" si="35"/>
        <v>R2 retained</v>
      </c>
      <c r="AC616" s="1"/>
      <c r="AD616" s="1"/>
      <c r="AE616" s="1"/>
      <c r="AF616" s="1"/>
      <c r="AG616" s="1"/>
      <c r="AH616" s="1"/>
      <c r="AI616" s="1">
        <f t="shared" si="36"/>
        <v>1</v>
      </c>
      <c r="AJ616" s="5"/>
      <c r="AK616" s="5"/>
      <c r="AL616" s="7" t="s">
        <v>15077</v>
      </c>
    </row>
    <row r="617" spans="1:38" ht="36" customHeight="1">
      <c r="A617" s="1" t="s">
        <v>5413</v>
      </c>
      <c r="B617" s="1" t="s">
        <v>5572</v>
      </c>
      <c r="C617" s="1" t="s">
        <v>5573</v>
      </c>
      <c r="D617" s="1" t="s">
        <v>14530</v>
      </c>
      <c r="E617" s="1">
        <v>1</v>
      </c>
      <c r="F617" s="1"/>
      <c r="G617" s="1" t="s">
        <v>12859</v>
      </c>
      <c r="H617" s="1" t="s">
        <v>11148</v>
      </c>
      <c r="I617" s="1" t="s">
        <v>4935</v>
      </c>
      <c r="J617" s="1"/>
      <c r="K617" s="1"/>
      <c r="L617" s="1" t="s">
        <v>12860</v>
      </c>
      <c r="M617" s="1" t="s">
        <v>14531</v>
      </c>
      <c r="N617" s="1" t="s">
        <v>14532</v>
      </c>
      <c r="O617" s="1"/>
      <c r="P617" s="1" t="s">
        <v>12868</v>
      </c>
      <c r="Q617" s="1"/>
      <c r="R617" s="1"/>
      <c r="S617" s="1"/>
      <c r="T617" s="1"/>
      <c r="U617" s="1"/>
      <c r="V617" s="1"/>
      <c r="W617" s="1"/>
      <c r="X617" s="1"/>
      <c r="Y617" s="1"/>
      <c r="Z617" s="1"/>
      <c r="AA617" s="1">
        <f t="shared" si="34"/>
        <v>1</v>
      </c>
      <c r="AB617" s="1" t="str">
        <f t="shared" si="35"/>
        <v>R2 retained</v>
      </c>
      <c r="AC617" s="1"/>
      <c r="AD617" s="1"/>
      <c r="AE617" s="1"/>
      <c r="AF617" s="1"/>
      <c r="AG617" s="1"/>
      <c r="AH617" s="1"/>
      <c r="AI617" s="1">
        <f t="shared" si="36"/>
        <v>0</v>
      </c>
      <c r="AJ617" s="5"/>
      <c r="AK617" s="5"/>
      <c r="AL617" s="7" t="s">
        <v>15077</v>
      </c>
    </row>
    <row r="618" spans="1:38" ht="36" customHeight="1">
      <c r="A618" s="1" t="s">
        <v>5413</v>
      </c>
      <c r="B618" s="1" t="s">
        <v>5577</v>
      </c>
      <c r="C618" s="1" t="s">
        <v>5578</v>
      </c>
      <c r="D618" s="1" t="s">
        <v>14533</v>
      </c>
      <c r="E618" s="1">
        <v>2</v>
      </c>
      <c r="F618" s="1"/>
      <c r="G618" s="1" t="s">
        <v>12859</v>
      </c>
      <c r="H618" s="1" t="s">
        <v>11148</v>
      </c>
      <c r="I618" s="1" t="s">
        <v>4717</v>
      </c>
      <c r="J618" s="1"/>
      <c r="K618" s="1"/>
      <c r="L618" s="1" t="s">
        <v>12860</v>
      </c>
      <c r="M618" s="1" t="s">
        <v>14534</v>
      </c>
      <c r="N618" s="1" t="s">
        <v>14535</v>
      </c>
      <c r="O618" s="1"/>
      <c r="P618" s="1" t="s">
        <v>12868</v>
      </c>
      <c r="Q618" s="1"/>
      <c r="R618" s="1"/>
      <c r="S618" s="1"/>
      <c r="T618" s="1"/>
      <c r="U618" s="1"/>
      <c r="V618" s="1"/>
      <c r="W618" s="1"/>
      <c r="X618" s="1"/>
      <c r="Y618" s="1"/>
      <c r="Z618" s="1"/>
      <c r="AA618" s="1">
        <f t="shared" si="34"/>
        <v>2</v>
      </c>
      <c r="AB618" s="1" t="str">
        <f t="shared" si="35"/>
        <v>R2 retained</v>
      </c>
      <c r="AC618" s="1"/>
      <c r="AD618" s="1"/>
      <c r="AE618" s="1"/>
      <c r="AF618" s="1"/>
      <c r="AG618" s="1"/>
      <c r="AH618" s="1"/>
      <c r="AI618" s="1">
        <f t="shared" si="36"/>
        <v>0</v>
      </c>
      <c r="AJ618" s="5"/>
      <c r="AK618" s="5"/>
      <c r="AL618" s="7" t="s">
        <v>15077</v>
      </c>
    </row>
    <row r="619" spans="1:38" ht="36" customHeight="1">
      <c r="A619" s="1" t="s">
        <v>5413</v>
      </c>
      <c r="B619" s="1" t="s">
        <v>5582</v>
      </c>
      <c r="C619" s="1" t="s">
        <v>5583</v>
      </c>
      <c r="D619" s="1" t="s">
        <v>11226</v>
      </c>
      <c r="E619" s="1">
        <v>0</v>
      </c>
      <c r="F619" s="1"/>
      <c r="G619" s="1" t="s">
        <v>12859</v>
      </c>
      <c r="H619" s="1" t="s">
        <v>11148</v>
      </c>
      <c r="I619" s="1" t="s">
        <v>4747</v>
      </c>
      <c r="J619" s="1"/>
      <c r="K619" s="1"/>
      <c r="L619" s="1" t="s">
        <v>12860</v>
      </c>
      <c r="M619" s="1" t="s">
        <v>11228</v>
      </c>
      <c r="N619" s="1" t="s">
        <v>14536</v>
      </c>
      <c r="O619" s="1"/>
      <c r="P619" s="1" t="s">
        <v>12863</v>
      </c>
      <c r="Q619" s="1"/>
      <c r="R619" s="1"/>
      <c r="S619" s="1"/>
      <c r="T619" s="1"/>
      <c r="U619" s="1"/>
      <c r="V619" s="1"/>
      <c r="W619" s="1"/>
      <c r="X619" s="1"/>
      <c r="Y619" s="1"/>
      <c r="Z619" s="1"/>
      <c r="AA619" s="1">
        <f t="shared" si="34"/>
        <v>0</v>
      </c>
      <c r="AB619" s="1" t="str">
        <f t="shared" si="35"/>
        <v>R2 retained</v>
      </c>
      <c r="AC619" s="1">
        <v>0</v>
      </c>
      <c r="AD619" s="1" t="s">
        <v>12884</v>
      </c>
      <c r="AE619" s="1" t="s">
        <v>14537</v>
      </c>
      <c r="AF619" s="1" t="s">
        <v>14538</v>
      </c>
      <c r="AG619" s="1" t="s">
        <v>11153</v>
      </c>
      <c r="AH619" s="1" t="s">
        <v>6096</v>
      </c>
      <c r="AI619" s="1">
        <f t="shared" si="36"/>
        <v>1</v>
      </c>
      <c r="AJ619" s="5" t="s">
        <v>12898</v>
      </c>
      <c r="AK619" s="5" t="s">
        <v>12899</v>
      </c>
      <c r="AL619" s="7" t="s">
        <v>15077</v>
      </c>
    </row>
    <row r="620" spans="1:38" ht="36" customHeight="1">
      <c r="A620" s="1" t="s">
        <v>5413</v>
      </c>
      <c r="B620" s="1" t="s">
        <v>5586</v>
      </c>
      <c r="C620" s="1" t="s">
        <v>5587</v>
      </c>
      <c r="D620" s="1" t="s">
        <v>13619</v>
      </c>
      <c r="E620" s="1">
        <v>0</v>
      </c>
      <c r="F620" s="1"/>
      <c r="G620" s="1" t="s">
        <v>12859</v>
      </c>
      <c r="H620" s="1" t="s">
        <v>11148</v>
      </c>
      <c r="I620" s="1" t="s">
        <v>4747</v>
      </c>
      <c r="J620" s="1"/>
      <c r="K620" s="1"/>
      <c r="L620" s="1" t="s">
        <v>12860</v>
      </c>
      <c r="M620" s="1" t="s">
        <v>14539</v>
      </c>
      <c r="N620" s="1" t="s">
        <v>14540</v>
      </c>
      <c r="O620" s="1"/>
      <c r="P620" s="1" t="s">
        <v>12863</v>
      </c>
      <c r="Q620" s="1"/>
      <c r="R620" s="1"/>
      <c r="S620" s="1"/>
      <c r="T620" s="1"/>
      <c r="U620" s="1"/>
      <c r="V620" s="1"/>
      <c r="W620" s="1"/>
      <c r="X620" s="1"/>
      <c r="Y620" s="1"/>
      <c r="Z620" s="1"/>
      <c r="AA620" s="1">
        <f t="shared" si="34"/>
        <v>0</v>
      </c>
      <c r="AB620" s="1" t="str">
        <f t="shared" si="35"/>
        <v>R2 retained</v>
      </c>
      <c r="AC620" s="1"/>
      <c r="AD620" s="1"/>
      <c r="AE620" s="1"/>
      <c r="AF620" s="1"/>
      <c r="AG620" s="1"/>
      <c r="AH620" s="1"/>
      <c r="AI620" s="1">
        <f t="shared" si="36"/>
        <v>0</v>
      </c>
      <c r="AJ620" s="5"/>
      <c r="AK620" s="5"/>
      <c r="AL620" s="7" t="s">
        <v>15077</v>
      </c>
    </row>
    <row r="621" spans="1:38" ht="84" customHeight="1">
      <c r="A621" s="1" t="s">
        <v>5413</v>
      </c>
      <c r="B621" s="1" t="s">
        <v>5591</v>
      </c>
      <c r="C621" s="1" t="s">
        <v>5592</v>
      </c>
      <c r="D621" s="1" t="s">
        <v>14541</v>
      </c>
      <c r="E621" s="1">
        <v>1</v>
      </c>
      <c r="F621" s="1">
        <v>0</v>
      </c>
      <c r="G621" s="1" t="s">
        <v>12873</v>
      </c>
      <c r="H621" s="1" t="s">
        <v>11148</v>
      </c>
      <c r="I621" s="1" t="s">
        <v>4935</v>
      </c>
      <c r="J621" s="1"/>
      <c r="K621" s="1"/>
      <c r="L621" s="1" t="s">
        <v>12860</v>
      </c>
      <c r="M621" s="1" t="s">
        <v>14542</v>
      </c>
      <c r="N621" s="1" t="s">
        <v>14543</v>
      </c>
      <c r="O621" s="1" t="s">
        <v>14544</v>
      </c>
      <c r="P621" s="1" t="s">
        <v>12868</v>
      </c>
      <c r="Q621" s="1">
        <v>0</v>
      </c>
      <c r="R621" s="1" t="s">
        <v>12877</v>
      </c>
      <c r="S621" s="1" t="s">
        <v>14545</v>
      </c>
      <c r="T621" s="1" t="s">
        <v>14546</v>
      </c>
      <c r="U621" s="1" t="s">
        <v>11153</v>
      </c>
      <c r="V621" s="1" t="s">
        <v>6096</v>
      </c>
      <c r="W621" s="1" t="s">
        <v>12880</v>
      </c>
      <c r="X621" s="1"/>
      <c r="Y621" s="1" t="s">
        <v>14547</v>
      </c>
      <c r="Z621" s="1" t="s">
        <v>12883</v>
      </c>
      <c r="AA621" s="1">
        <f t="shared" si="34"/>
        <v>0</v>
      </c>
      <c r="AB621" s="1" t="str">
        <f t="shared" si="35"/>
        <v>Reviewer confirmed</v>
      </c>
      <c r="AC621" s="1">
        <v>0</v>
      </c>
      <c r="AD621" s="1" t="s">
        <v>12936</v>
      </c>
      <c r="AE621" s="1" t="s">
        <v>14548</v>
      </c>
      <c r="AF621" s="1" t="s">
        <v>14546</v>
      </c>
      <c r="AG621" s="1" t="s">
        <v>11153</v>
      </c>
      <c r="AH621" s="1" t="s">
        <v>6096</v>
      </c>
      <c r="AI621" s="1">
        <f t="shared" si="36"/>
        <v>1</v>
      </c>
      <c r="AJ621" s="5" t="s">
        <v>12898</v>
      </c>
      <c r="AK621" s="5" t="s">
        <v>12899</v>
      </c>
      <c r="AL621" s="7" t="s">
        <v>15077</v>
      </c>
    </row>
    <row r="622" spans="1:38" ht="36" customHeight="1">
      <c r="A622" s="1" t="s">
        <v>5413</v>
      </c>
      <c r="B622" s="1" t="s">
        <v>5596</v>
      </c>
      <c r="C622" s="1" t="s">
        <v>5597</v>
      </c>
      <c r="D622" s="1" t="s">
        <v>14549</v>
      </c>
      <c r="E622" s="1">
        <v>0</v>
      </c>
      <c r="F622" s="1"/>
      <c r="G622" s="1" t="s">
        <v>12859</v>
      </c>
      <c r="H622" s="1" t="s">
        <v>11148</v>
      </c>
      <c r="I622" s="1" t="s">
        <v>4747</v>
      </c>
      <c r="J622" s="1"/>
      <c r="K622" s="1"/>
      <c r="L622" s="1" t="s">
        <v>12860</v>
      </c>
      <c r="M622" s="1" t="s">
        <v>14550</v>
      </c>
      <c r="N622" s="1" t="s">
        <v>14551</v>
      </c>
      <c r="O622" s="1"/>
      <c r="P622" s="1" t="s">
        <v>12863</v>
      </c>
      <c r="Q622" s="1"/>
      <c r="R622" s="1"/>
      <c r="S622" s="1"/>
      <c r="T622" s="1"/>
      <c r="U622" s="1"/>
      <c r="V622" s="1"/>
      <c r="W622" s="1"/>
      <c r="X622" s="1"/>
      <c r="Y622" s="1"/>
      <c r="Z622" s="1"/>
      <c r="AA622" s="1">
        <f t="shared" si="34"/>
        <v>0</v>
      </c>
      <c r="AB622" s="1" t="str">
        <f t="shared" si="35"/>
        <v>R2 retained</v>
      </c>
      <c r="AC622" s="1"/>
      <c r="AD622" s="1"/>
      <c r="AE622" s="1"/>
      <c r="AF622" s="1"/>
      <c r="AG622" s="1"/>
      <c r="AH622" s="1"/>
      <c r="AI622" s="1">
        <f t="shared" si="36"/>
        <v>0</v>
      </c>
      <c r="AJ622" s="5"/>
      <c r="AK622" s="5"/>
      <c r="AL622" s="7" t="s">
        <v>15077</v>
      </c>
    </row>
    <row r="623" spans="1:38" ht="36" customHeight="1">
      <c r="A623" s="1" t="s">
        <v>5413</v>
      </c>
      <c r="B623" s="1" t="s">
        <v>5601</v>
      </c>
      <c r="C623" s="1" t="s">
        <v>5602</v>
      </c>
      <c r="D623" s="1" t="s">
        <v>11240</v>
      </c>
      <c r="E623" s="1">
        <v>1</v>
      </c>
      <c r="F623" s="1"/>
      <c r="G623" s="1" t="s">
        <v>12859</v>
      </c>
      <c r="H623" s="1" t="s">
        <v>11148</v>
      </c>
      <c r="I623" s="1"/>
      <c r="J623" s="1"/>
      <c r="K623" s="1"/>
      <c r="L623" s="1" t="s">
        <v>12860</v>
      </c>
      <c r="M623" s="1" t="s">
        <v>11241</v>
      </c>
      <c r="N623" s="1" t="s">
        <v>14552</v>
      </c>
      <c r="O623" s="1"/>
      <c r="P623" s="1" t="s">
        <v>12876</v>
      </c>
      <c r="Q623" s="1">
        <v>1</v>
      </c>
      <c r="R623" s="1" t="s">
        <v>12981</v>
      </c>
      <c r="S623" s="1" t="s">
        <v>14553</v>
      </c>
      <c r="T623" s="1" t="s">
        <v>14517</v>
      </c>
      <c r="U623" s="1" t="s">
        <v>11153</v>
      </c>
      <c r="V623" s="1" t="s">
        <v>6096</v>
      </c>
      <c r="W623" s="1"/>
      <c r="X623" s="1"/>
      <c r="Y623" s="1"/>
      <c r="Z623" s="1" t="s">
        <v>12908</v>
      </c>
      <c r="AA623" s="1">
        <f t="shared" si="34"/>
        <v>1</v>
      </c>
      <c r="AB623" s="1" t="str">
        <f t="shared" si="35"/>
        <v>R2 retained</v>
      </c>
      <c r="AC623" s="1"/>
      <c r="AD623" s="1"/>
      <c r="AE623" s="1"/>
      <c r="AF623" s="1"/>
      <c r="AG623" s="1"/>
      <c r="AH623" s="1"/>
      <c r="AI623" s="1">
        <f t="shared" si="36"/>
        <v>1</v>
      </c>
      <c r="AJ623" s="5"/>
      <c r="AK623" s="5"/>
      <c r="AL623" s="7" t="s">
        <v>15077</v>
      </c>
    </row>
    <row r="624" spans="1:38" ht="36" customHeight="1">
      <c r="A624" s="1" t="s">
        <v>5413</v>
      </c>
      <c r="B624" s="1" t="s">
        <v>5606</v>
      </c>
      <c r="C624" s="1" t="s">
        <v>5607</v>
      </c>
      <c r="D624" s="1" t="s">
        <v>11243</v>
      </c>
      <c r="E624" s="1">
        <v>2</v>
      </c>
      <c r="F624" s="1"/>
      <c r="G624" s="1" t="s">
        <v>12859</v>
      </c>
      <c r="H624" s="1" t="s">
        <v>11148</v>
      </c>
      <c r="I624" s="1" t="s">
        <v>4862</v>
      </c>
      <c r="J624" s="1"/>
      <c r="K624" s="1"/>
      <c r="L624" s="1" t="s">
        <v>12860</v>
      </c>
      <c r="M624" s="1" t="s">
        <v>11244</v>
      </c>
      <c r="N624" s="1" t="s">
        <v>14554</v>
      </c>
      <c r="O624" s="1"/>
      <c r="P624" s="1" t="s">
        <v>12868</v>
      </c>
      <c r="Q624" s="1"/>
      <c r="R624" s="1"/>
      <c r="S624" s="1"/>
      <c r="T624" s="1"/>
      <c r="U624" s="1"/>
      <c r="V624" s="1"/>
      <c r="W624" s="1"/>
      <c r="X624" s="1"/>
      <c r="Y624" s="1"/>
      <c r="Z624" s="1"/>
      <c r="AA624" s="1">
        <f t="shared" si="34"/>
        <v>2</v>
      </c>
      <c r="AB624" s="1" t="str">
        <f t="shared" si="35"/>
        <v>R2 retained</v>
      </c>
      <c r="AC624" s="1"/>
      <c r="AD624" s="1"/>
      <c r="AE624" s="1"/>
      <c r="AF624" s="1"/>
      <c r="AG624" s="1"/>
      <c r="AH624" s="1"/>
      <c r="AI624" s="1">
        <f t="shared" si="36"/>
        <v>0</v>
      </c>
      <c r="AJ624" s="5"/>
      <c r="AK624" s="5"/>
      <c r="AL624" s="7" t="s">
        <v>15077</v>
      </c>
    </row>
    <row r="625" spans="1:38" ht="60" customHeight="1">
      <c r="A625" s="1" t="s">
        <v>5413</v>
      </c>
      <c r="B625" s="1" t="s">
        <v>5454</v>
      </c>
      <c r="C625" s="1" t="s">
        <v>5455</v>
      </c>
      <c r="D625" s="1" t="s">
        <v>5795</v>
      </c>
      <c r="E625" s="1">
        <v>1</v>
      </c>
      <c r="F625" s="1">
        <v>0</v>
      </c>
      <c r="G625" s="1" t="s">
        <v>4691</v>
      </c>
      <c r="H625" s="1" t="s">
        <v>11148</v>
      </c>
      <c r="I625" s="1" t="s">
        <v>4904</v>
      </c>
      <c r="J625" s="1"/>
      <c r="K625" s="1"/>
      <c r="L625" s="1" t="s">
        <v>12860</v>
      </c>
      <c r="M625" s="1" t="s">
        <v>11246</v>
      </c>
      <c r="N625" s="1" t="s">
        <v>14555</v>
      </c>
      <c r="O625" s="1" t="s">
        <v>14556</v>
      </c>
      <c r="P625" s="1" t="s">
        <v>12917</v>
      </c>
      <c r="Q625" s="1"/>
      <c r="R625" s="1"/>
      <c r="S625" s="1"/>
      <c r="T625" s="1"/>
      <c r="U625" s="1"/>
      <c r="V625" s="1"/>
      <c r="W625" s="1"/>
      <c r="X625" s="1"/>
      <c r="Y625" s="1" t="s">
        <v>5797</v>
      </c>
      <c r="Z625" s="1" t="s">
        <v>12918</v>
      </c>
      <c r="AA625" s="1">
        <f t="shared" si="34"/>
        <v>0</v>
      </c>
      <c r="AB625" s="1" t="str">
        <f t="shared" si="35"/>
        <v>Reviewer confirmed</v>
      </c>
      <c r="AC625" s="1">
        <v>0</v>
      </c>
      <c r="AD625" s="1" t="s">
        <v>12936</v>
      </c>
      <c r="AE625" s="1" t="s">
        <v>5797</v>
      </c>
      <c r="AF625" s="1" t="s">
        <v>5796</v>
      </c>
      <c r="AG625" s="1" t="s">
        <v>5798</v>
      </c>
      <c r="AH625" s="1" t="s">
        <v>5461</v>
      </c>
      <c r="AI625" s="1">
        <f t="shared" si="36"/>
        <v>1</v>
      </c>
      <c r="AJ625" s="5" t="s">
        <v>12898</v>
      </c>
      <c r="AK625" s="5" t="s">
        <v>12899</v>
      </c>
      <c r="AL625" s="7" t="s">
        <v>15077</v>
      </c>
    </row>
    <row r="626" spans="1:38" ht="60" customHeight="1">
      <c r="A626" s="1" t="s">
        <v>5465</v>
      </c>
      <c r="B626" s="1" t="s">
        <v>5537</v>
      </c>
      <c r="C626" s="1" t="s">
        <v>5538</v>
      </c>
      <c r="D626" s="1"/>
      <c r="E626" s="1"/>
      <c r="F626" s="1">
        <v>2</v>
      </c>
      <c r="G626" s="1" t="s">
        <v>4691</v>
      </c>
      <c r="H626" s="1"/>
      <c r="I626" s="1"/>
      <c r="J626" s="1"/>
      <c r="K626" s="1"/>
      <c r="L626" s="1" t="s">
        <v>14557</v>
      </c>
      <c r="M626" s="1"/>
      <c r="N626" s="1"/>
      <c r="O626" s="1" t="s">
        <v>14558</v>
      </c>
      <c r="P626" s="1" t="s">
        <v>12917</v>
      </c>
      <c r="Q626" s="1">
        <v>2</v>
      </c>
      <c r="R626" s="1" t="s">
        <v>14559</v>
      </c>
      <c r="S626" s="1" t="s">
        <v>14560</v>
      </c>
      <c r="T626" s="1" t="s">
        <v>5539</v>
      </c>
      <c r="U626" s="1" t="s">
        <v>11262</v>
      </c>
      <c r="V626" s="1" t="s">
        <v>11263</v>
      </c>
      <c r="W626" s="1"/>
      <c r="X626" s="1"/>
      <c r="Y626" s="1" t="s">
        <v>5540</v>
      </c>
      <c r="Z626" s="1" t="s">
        <v>12918</v>
      </c>
      <c r="AA626" s="1">
        <f t="shared" ref="AA626:AA657" si="37">IF(OR(ISNUMBER(F626),F626="NA"),F626,AC626)</f>
        <v>2</v>
      </c>
      <c r="AB626" s="1" t="str">
        <f t="shared" ref="AB626:AB657" si="38">IF(OR(ISNUMBER(F626),F626="NA"),"Reviewer confirmed","New study author assessment")</f>
        <v>Reviewer confirmed</v>
      </c>
      <c r="AC626" s="1">
        <v>2</v>
      </c>
      <c r="AD626" s="1" t="s">
        <v>14561</v>
      </c>
      <c r="AE626" s="1" t="s">
        <v>5540</v>
      </c>
      <c r="AF626" s="1" t="s">
        <v>5539</v>
      </c>
      <c r="AG626" s="1" t="s">
        <v>5541</v>
      </c>
      <c r="AH626" s="1" t="s">
        <v>5461</v>
      </c>
      <c r="AI626" s="1">
        <f>1</f>
        <v>1</v>
      </c>
      <c r="AJ626" s="5"/>
      <c r="AK626" s="5"/>
      <c r="AL626" s="7" t="s">
        <v>15077</v>
      </c>
    </row>
    <row r="627" spans="1:38" ht="60" customHeight="1">
      <c r="A627" s="1" t="s">
        <v>5465</v>
      </c>
      <c r="B627" s="1" t="s">
        <v>5542</v>
      </c>
      <c r="C627" s="1" t="s">
        <v>5543</v>
      </c>
      <c r="D627" s="1"/>
      <c r="E627" s="1"/>
      <c r="F627" s="1">
        <v>0</v>
      </c>
      <c r="G627" s="1" t="s">
        <v>4691</v>
      </c>
      <c r="H627" s="1"/>
      <c r="I627" s="1"/>
      <c r="J627" s="1"/>
      <c r="K627" s="1"/>
      <c r="L627" s="1" t="s">
        <v>14557</v>
      </c>
      <c r="M627" s="1"/>
      <c r="N627" s="1"/>
      <c r="O627" s="1" t="s">
        <v>14562</v>
      </c>
      <c r="P627" s="1" t="s">
        <v>12917</v>
      </c>
      <c r="Q627" s="1">
        <v>0</v>
      </c>
      <c r="R627" s="1" t="s">
        <v>14559</v>
      </c>
      <c r="S627" s="1" t="s">
        <v>14563</v>
      </c>
      <c r="T627" s="1" t="s">
        <v>5544</v>
      </c>
      <c r="U627" s="1" t="s">
        <v>11262</v>
      </c>
      <c r="V627" s="1" t="s">
        <v>11263</v>
      </c>
      <c r="W627" s="1"/>
      <c r="X627" s="1"/>
      <c r="Y627" s="1" t="s">
        <v>5545</v>
      </c>
      <c r="Z627" s="1" t="s">
        <v>12918</v>
      </c>
      <c r="AA627" s="1">
        <f t="shared" si="37"/>
        <v>0</v>
      </c>
      <c r="AB627" s="1" t="str">
        <f t="shared" si="38"/>
        <v>Reviewer confirmed</v>
      </c>
      <c r="AC627" s="1">
        <v>0</v>
      </c>
      <c r="AD627" s="1" t="s">
        <v>14561</v>
      </c>
      <c r="AE627" s="1" t="s">
        <v>5545</v>
      </c>
      <c r="AF627" s="1" t="s">
        <v>5544</v>
      </c>
      <c r="AG627" s="1" t="s">
        <v>5546</v>
      </c>
      <c r="AH627" s="1" t="s">
        <v>5461</v>
      </c>
      <c r="AI627" s="1">
        <f>1</f>
        <v>1</v>
      </c>
      <c r="AJ627" s="5"/>
      <c r="AK627" s="5"/>
      <c r="AL627" s="7" t="s">
        <v>15077</v>
      </c>
    </row>
    <row r="628" spans="1:38" ht="36" customHeight="1">
      <c r="A628" s="1" t="s">
        <v>5465</v>
      </c>
      <c r="B628" s="1" t="s">
        <v>5547</v>
      </c>
      <c r="C628" s="1" t="s">
        <v>5548</v>
      </c>
      <c r="D628" s="1"/>
      <c r="E628" s="1"/>
      <c r="F628" s="1">
        <v>1</v>
      </c>
      <c r="G628" s="1" t="s">
        <v>4691</v>
      </c>
      <c r="H628" s="1"/>
      <c r="I628" s="1"/>
      <c r="J628" s="1"/>
      <c r="K628" s="1"/>
      <c r="L628" s="1" t="s">
        <v>14557</v>
      </c>
      <c r="M628" s="1"/>
      <c r="N628" s="1"/>
      <c r="O628" s="1" t="s">
        <v>14564</v>
      </c>
      <c r="P628" s="1" t="s">
        <v>12917</v>
      </c>
      <c r="Q628" s="1">
        <v>1</v>
      </c>
      <c r="R628" s="1" t="s">
        <v>14559</v>
      </c>
      <c r="S628" s="1" t="s">
        <v>14565</v>
      </c>
      <c r="T628" s="1" t="s">
        <v>5549</v>
      </c>
      <c r="U628" s="1" t="s">
        <v>11262</v>
      </c>
      <c r="V628" s="1" t="s">
        <v>11263</v>
      </c>
      <c r="W628" s="1"/>
      <c r="X628" s="1"/>
      <c r="Y628" s="1" t="s">
        <v>5550</v>
      </c>
      <c r="Z628" s="1" t="s">
        <v>12918</v>
      </c>
      <c r="AA628" s="1">
        <f t="shared" si="37"/>
        <v>1</v>
      </c>
      <c r="AB628" s="1" t="str">
        <f t="shared" si="38"/>
        <v>Reviewer confirmed</v>
      </c>
      <c r="AC628" s="1">
        <v>1</v>
      </c>
      <c r="AD628" s="1" t="s">
        <v>14561</v>
      </c>
      <c r="AE628" s="1" t="s">
        <v>5550</v>
      </c>
      <c r="AF628" s="1" t="s">
        <v>5549</v>
      </c>
      <c r="AG628" s="1" t="s">
        <v>5551</v>
      </c>
      <c r="AH628" s="1" t="s">
        <v>5461</v>
      </c>
      <c r="AI628" s="1">
        <f>1</f>
        <v>1</v>
      </c>
      <c r="AJ628" s="5"/>
      <c r="AK628" s="5"/>
      <c r="AL628" s="7" t="s">
        <v>15077</v>
      </c>
    </row>
    <row r="629" spans="1:38" ht="48" customHeight="1">
      <c r="A629" s="1" t="s">
        <v>5465</v>
      </c>
      <c r="B629" s="1" t="s">
        <v>5552</v>
      </c>
      <c r="C629" s="1" t="s">
        <v>5553</v>
      </c>
      <c r="D629" s="1"/>
      <c r="E629" s="1"/>
      <c r="F629" s="1">
        <v>0</v>
      </c>
      <c r="G629" s="1" t="s">
        <v>4691</v>
      </c>
      <c r="H629" s="1"/>
      <c r="I629" s="1"/>
      <c r="J629" s="1"/>
      <c r="K629" s="1"/>
      <c r="L629" s="1" t="s">
        <v>14557</v>
      </c>
      <c r="M629" s="1"/>
      <c r="N629" s="1"/>
      <c r="O629" s="1" t="s">
        <v>14566</v>
      </c>
      <c r="P629" s="1" t="s">
        <v>12917</v>
      </c>
      <c r="Q629" s="1">
        <v>0</v>
      </c>
      <c r="R629" s="1" t="s">
        <v>14559</v>
      </c>
      <c r="S629" s="1" t="s">
        <v>14567</v>
      </c>
      <c r="T629" s="1" t="s">
        <v>5554</v>
      </c>
      <c r="U629" s="1" t="s">
        <v>11262</v>
      </c>
      <c r="V629" s="1" t="s">
        <v>11263</v>
      </c>
      <c r="W629" s="1"/>
      <c r="X629" s="1"/>
      <c r="Y629" s="1" t="s">
        <v>5555</v>
      </c>
      <c r="Z629" s="1" t="s">
        <v>12918</v>
      </c>
      <c r="AA629" s="1">
        <f t="shared" si="37"/>
        <v>0</v>
      </c>
      <c r="AB629" s="1" t="str">
        <f t="shared" si="38"/>
        <v>Reviewer confirmed</v>
      </c>
      <c r="AC629" s="1">
        <v>0</v>
      </c>
      <c r="AD629" s="1" t="s">
        <v>14561</v>
      </c>
      <c r="AE629" s="1" t="s">
        <v>5555</v>
      </c>
      <c r="AF629" s="1" t="s">
        <v>5554</v>
      </c>
      <c r="AG629" s="1" t="s">
        <v>5556</v>
      </c>
      <c r="AH629" s="1" t="s">
        <v>5461</v>
      </c>
      <c r="AI629" s="1">
        <f>1</f>
        <v>1</v>
      </c>
      <c r="AJ629" s="5"/>
      <c r="AK629" s="5"/>
      <c r="AL629" s="7" t="s">
        <v>15077</v>
      </c>
    </row>
    <row r="630" spans="1:38" ht="48" customHeight="1">
      <c r="A630" s="1" t="s">
        <v>5465</v>
      </c>
      <c r="B630" s="1" t="s">
        <v>5557</v>
      </c>
      <c r="C630" s="1" t="s">
        <v>5558</v>
      </c>
      <c r="D630" s="1"/>
      <c r="E630" s="1"/>
      <c r="F630" s="1">
        <v>0</v>
      </c>
      <c r="G630" s="1" t="s">
        <v>4691</v>
      </c>
      <c r="H630" s="1"/>
      <c r="I630" s="1"/>
      <c r="J630" s="1"/>
      <c r="K630" s="1"/>
      <c r="L630" s="1" t="s">
        <v>14557</v>
      </c>
      <c r="M630" s="1"/>
      <c r="N630" s="1"/>
      <c r="O630" s="1" t="s">
        <v>14568</v>
      </c>
      <c r="P630" s="1" t="s">
        <v>12917</v>
      </c>
      <c r="Q630" s="1">
        <v>0</v>
      </c>
      <c r="R630" s="1" t="s">
        <v>14559</v>
      </c>
      <c r="S630" s="1" t="s">
        <v>14569</v>
      </c>
      <c r="T630" s="1" t="s">
        <v>5559</v>
      </c>
      <c r="U630" s="1" t="s">
        <v>11262</v>
      </c>
      <c r="V630" s="1" t="s">
        <v>11263</v>
      </c>
      <c r="W630" s="1"/>
      <c r="X630" s="1"/>
      <c r="Y630" s="1" t="s">
        <v>5560</v>
      </c>
      <c r="Z630" s="1" t="s">
        <v>12918</v>
      </c>
      <c r="AA630" s="1">
        <f t="shared" si="37"/>
        <v>0</v>
      </c>
      <c r="AB630" s="1" t="str">
        <f t="shared" si="38"/>
        <v>Reviewer confirmed</v>
      </c>
      <c r="AC630" s="1">
        <v>0</v>
      </c>
      <c r="AD630" s="1" t="s">
        <v>14561</v>
      </c>
      <c r="AE630" s="1" t="s">
        <v>5560</v>
      </c>
      <c r="AF630" s="1" t="s">
        <v>5559</v>
      </c>
      <c r="AG630" s="1" t="s">
        <v>5561</v>
      </c>
      <c r="AH630" s="1" t="s">
        <v>5461</v>
      </c>
      <c r="AI630" s="1">
        <f>1</f>
        <v>1</v>
      </c>
      <c r="AJ630" s="5"/>
      <c r="AK630" s="5"/>
      <c r="AL630" s="7" t="s">
        <v>15077</v>
      </c>
    </row>
    <row r="631" spans="1:38" ht="84" customHeight="1">
      <c r="A631" s="1" t="s">
        <v>5465</v>
      </c>
      <c r="B631" s="1" t="s">
        <v>5562</v>
      </c>
      <c r="C631" s="1" t="s">
        <v>5563</v>
      </c>
      <c r="D631" s="1"/>
      <c r="E631" s="1"/>
      <c r="F631" s="1">
        <v>1</v>
      </c>
      <c r="G631" s="1" t="s">
        <v>4691</v>
      </c>
      <c r="H631" s="1"/>
      <c r="I631" s="1"/>
      <c r="J631" s="1"/>
      <c r="K631" s="1"/>
      <c r="L631" s="1" t="s">
        <v>14557</v>
      </c>
      <c r="M631" s="1"/>
      <c r="N631" s="1"/>
      <c r="O631" s="1" t="s">
        <v>14570</v>
      </c>
      <c r="P631" s="1" t="s">
        <v>12917</v>
      </c>
      <c r="Q631" s="1">
        <v>1</v>
      </c>
      <c r="R631" s="1" t="s">
        <v>14559</v>
      </c>
      <c r="S631" s="1" t="s">
        <v>14571</v>
      </c>
      <c r="T631" s="1" t="s">
        <v>5564</v>
      </c>
      <c r="U631" s="1" t="s">
        <v>11262</v>
      </c>
      <c r="V631" s="1" t="s">
        <v>11263</v>
      </c>
      <c r="W631" s="1"/>
      <c r="X631" s="1"/>
      <c r="Y631" s="1" t="s">
        <v>5565</v>
      </c>
      <c r="Z631" s="1" t="s">
        <v>12918</v>
      </c>
      <c r="AA631" s="1">
        <f t="shared" si="37"/>
        <v>1</v>
      </c>
      <c r="AB631" s="1" t="str">
        <f t="shared" si="38"/>
        <v>Reviewer confirmed</v>
      </c>
      <c r="AC631" s="1">
        <v>1</v>
      </c>
      <c r="AD631" s="1" t="s">
        <v>14561</v>
      </c>
      <c r="AE631" s="1" t="s">
        <v>5565</v>
      </c>
      <c r="AF631" s="1" t="s">
        <v>5564</v>
      </c>
      <c r="AG631" s="1" t="s">
        <v>5566</v>
      </c>
      <c r="AH631" s="1" t="s">
        <v>5461</v>
      </c>
      <c r="AI631" s="1">
        <f>1</f>
        <v>1</v>
      </c>
      <c r="AJ631" s="5"/>
      <c r="AK631" s="5"/>
      <c r="AL631" s="7" t="s">
        <v>15077</v>
      </c>
    </row>
    <row r="632" spans="1:38" ht="48" customHeight="1">
      <c r="A632" s="1" t="s">
        <v>5465</v>
      </c>
      <c r="B632" s="1" t="s">
        <v>5567</v>
      </c>
      <c r="C632" s="1" t="s">
        <v>5568</v>
      </c>
      <c r="D632" s="1"/>
      <c r="E632" s="1"/>
      <c r="F632" s="1">
        <v>0</v>
      </c>
      <c r="G632" s="1" t="s">
        <v>4691</v>
      </c>
      <c r="H632" s="1"/>
      <c r="I632" s="1"/>
      <c r="J632" s="1"/>
      <c r="K632" s="1"/>
      <c r="L632" s="1" t="s">
        <v>14557</v>
      </c>
      <c r="M632" s="1"/>
      <c r="N632" s="1"/>
      <c r="O632" s="1" t="s">
        <v>14572</v>
      </c>
      <c r="P632" s="1" t="s">
        <v>12917</v>
      </c>
      <c r="Q632" s="1">
        <v>0</v>
      </c>
      <c r="R632" s="1" t="s">
        <v>14559</v>
      </c>
      <c r="S632" s="1" t="s">
        <v>14573</v>
      </c>
      <c r="T632" s="1" t="s">
        <v>5569</v>
      </c>
      <c r="U632" s="1" t="s">
        <v>11262</v>
      </c>
      <c r="V632" s="1" t="s">
        <v>11263</v>
      </c>
      <c r="W632" s="1"/>
      <c r="X632" s="1"/>
      <c r="Y632" s="1" t="s">
        <v>5570</v>
      </c>
      <c r="Z632" s="1" t="s">
        <v>12918</v>
      </c>
      <c r="AA632" s="1">
        <f t="shared" si="37"/>
        <v>0</v>
      </c>
      <c r="AB632" s="1" t="str">
        <f t="shared" si="38"/>
        <v>Reviewer confirmed</v>
      </c>
      <c r="AC632" s="1">
        <v>0</v>
      </c>
      <c r="AD632" s="1" t="s">
        <v>14561</v>
      </c>
      <c r="AE632" s="1" t="s">
        <v>5570</v>
      </c>
      <c r="AF632" s="1" t="s">
        <v>5569</v>
      </c>
      <c r="AG632" s="1" t="s">
        <v>5571</v>
      </c>
      <c r="AH632" s="1" t="s">
        <v>5461</v>
      </c>
      <c r="AI632" s="1">
        <f>1</f>
        <v>1</v>
      </c>
      <c r="AJ632" s="5"/>
      <c r="AK632" s="5"/>
      <c r="AL632" s="7" t="s">
        <v>15077</v>
      </c>
    </row>
    <row r="633" spans="1:38" ht="48" customHeight="1">
      <c r="A633" s="1" t="s">
        <v>5465</v>
      </c>
      <c r="B633" s="1" t="s">
        <v>5572</v>
      </c>
      <c r="C633" s="1" t="s">
        <v>5573</v>
      </c>
      <c r="D633" s="1"/>
      <c r="E633" s="1"/>
      <c r="F633" s="1">
        <v>1</v>
      </c>
      <c r="G633" s="1" t="s">
        <v>4691</v>
      </c>
      <c r="H633" s="1"/>
      <c r="I633" s="1"/>
      <c r="J633" s="1"/>
      <c r="K633" s="1"/>
      <c r="L633" s="1" t="s">
        <v>14557</v>
      </c>
      <c r="M633" s="1"/>
      <c r="N633" s="1"/>
      <c r="O633" s="1" t="s">
        <v>14574</v>
      </c>
      <c r="P633" s="1" t="s">
        <v>12917</v>
      </c>
      <c r="Q633" s="1">
        <v>1</v>
      </c>
      <c r="R633" s="1" t="s">
        <v>14559</v>
      </c>
      <c r="S633" s="1" t="s">
        <v>14575</v>
      </c>
      <c r="T633" s="1" t="s">
        <v>5574</v>
      </c>
      <c r="U633" s="1" t="s">
        <v>11262</v>
      </c>
      <c r="V633" s="1" t="s">
        <v>11263</v>
      </c>
      <c r="W633" s="1"/>
      <c r="X633" s="1"/>
      <c r="Y633" s="1" t="s">
        <v>5575</v>
      </c>
      <c r="Z633" s="1" t="s">
        <v>12918</v>
      </c>
      <c r="AA633" s="1">
        <f t="shared" si="37"/>
        <v>1</v>
      </c>
      <c r="AB633" s="1" t="str">
        <f t="shared" si="38"/>
        <v>Reviewer confirmed</v>
      </c>
      <c r="AC633" s="1">
        <v>1</v>
      </c>
      <c r="AD633" s="1" t="s">
        <v>14561</v>
      </c>
      <c r="AE633" s="1" t="s">
        <v>5575</v>
      </c>
      <c r="AF633" s="1" t="s">
        <v>5574</v>
      </c>
      <c r="AG633" s="1" t="s">
        <v>5576</v>
      </c>
      <c r="AH633" s="1" t="s">
        <v>5461</v>
      </c>
      <c r="AI633" s="1">
        <f>1</f>
        <v>1</v>
      </c>
      <c r="AJ633" s="5"/>
      <c r="AK633" s="5"/>
      <c r="AL633" s="7" t="s">
        <v>15077</v>
      </c>
    </row>
    <row r="634" spans="1:38" ht="48" customHeight="1">
      <c r="A634" s="1" t="s">
        <v>5465</v>
      </c>
      <c r="B634" s="1" t="s">
        <v>5577</v>
      </c>
      <c r="C634" s="1" t="s">
        <v>5578</v>
      </c>
      <c r="D634" s="1"/>
      <c r="E634" s="1"/>
      <c r="F634" s="1">
        <v>2</v>
      </c>
      <c r="G634" s="1" t="s">
        <v>4691</v>
      </c>
      <c r="H634" s="1"/>
      <c r="I634" s="1"/>
      <c r="J634" s="1"/>
      <c r="K634" s="1"/>
      <c r="L634" s="1" t="s">
        <v>14557</v>
      </c>
      <c r="M634" s="1"/>
      <c r="N634" s="1"/>
      <c r="O634" s="1" t="s">
        <v>14576</v>
      </c>
      <c r="P634" s="1" t="s">
        <v>12917</v>
      </c>
      <c r="Q634" s="1">
        <v>2</v>
      </c>
      <c r="R634" s="1" t="s">
        <v>14559</v>
      </c>
      <c r="S634" s="1" t="s">
        <v>14577</v>
      </c>
      <c r="T634" s="1" t="s">
        <v>5579</v>
      </c>
      <c r="U634" s="1" t="s">
        <v>11262</v>
      </c>
      <c r="V634" s="1" t="s">
        <v>11263</v>
      </c>
      <c r="W634" s="1"/>
      <c r="X634" s="1"/>
      <c r="Y634" s="1" t="s">
        <v>5580</v>
      </c>
      <c r="Z634" s="1" t="s">
        <v>12918</v>
      </c>
      <c r="AA634" s="1">
        <f t="shared" si="37"/>
        <v>2</v>
      </c>
      <c r="AB634" s="1" t="str">
        <f t="shared" si="38"/>
        <v>Reviewer confirmed</v>
      </c>
      <c r="AC634" s="1">
        <v>2</v>
      </c>
      <c r="AD634" s="1" t="s">
        <v>14561</v>
      </c>
      <c r="AE634" s="1" t="s">
        <v>5580</v>
      </c>
      <c r="AF634" s="1" t="s">
        <v>5579</v>
      </c>
      <c r="AG634" s="1" t="s">
        <v>5581</v>
      </c>
      <c r="AH634" s="1" t="s">
        <v>5461</v>
      </c>
      <c r="AI634" s="1">
        <f>1</f>
        <v>1</v>
      </c>
      <c r="AJ634" s="5"/>
      <c r="AK634" s="5"/>
      <c r="AL634" s="7" t="s">
        <v>15077</v>
      </c>
    </row>
    <row r="635" spans="1:38" ht="72" customHeight="1">
      <c r="A635" s="1" t="s">
        <v>5465</v>
      </c>
      <c r="B635" s="1" t="s">
        <v>5582</v>
      </c>
      <c r="C635" s="1" t="s">
        <v>5583</v>
      </c>
      <c r="D635" s="1"/>
      <c r="E635" s="1"/>
      <c r="F635" s="1">
        <v>1</v>
      </c>
      <c r="G635" s="1" t="s">
        <v>4691</v>
      </c>
      <c r="H635" s="1"/>
      <c r="I635" s="1"/>
      <c r="J635" s="1"/>
      <c r="K635" s="1"/>
      <c r="L635" s="1" t="s">
        <v>14557</v>
      </c>
      <c r="M635" s="1"/>
      <c r="N635" s="1"/>
      <c r="O635" s="1" t="s">
        <v>14578</v>
      </c>
      <c r="P635" s="1" t="s">
        <v>12917</v>
      </c>
      <c r="Q635" s="1">
        <v>1</v>
      </c>
      <c r="R635" s="1" t="s">
        <v>14559</v>
      </c>
      <c r="S635" s="1" t="s">
        <v>14579</v>
      </c>
      <c r="T635" s="1" t="s">
        <v>5574</v>
      </c>
      <c r="U635" s="1" t="s">
        <v>11262</v>
      </c>
      <c r="V635" s="1" t="s">
        <v>11263</v>
      </c>
      <c r="W635" s="1"/>
      <c r="X635" s="1"/>
      <c r="Y635" s="1" t="s">
        <v>5584</v>
      </c>
      <c r="Z635" s="1" t="s">
        <v>12918</v>
      </c>
      <c r="AA635" s="1">
        <f t="shared" si="37"/>
        <v>1</v>
      </c>
      <c r="AB635" s="1" t="str">
        <f t="shared" si="38"/>
        <v>Reviewer confirmed</v>
      </c>
      <c r="AC635" s="1">
        <v>1</v>
      </c>
      <c r="AD635" s="1" t="s">
        <v>14561</v>
      </c>
      <c r="AE635" s="1" t="s">
        <v>5584</v>
      </c>
      <c r="AF635" s="1" t="s">
        <v>5574</v>
      </c>
      <c r="AG635" s="1" t="s">
        <v>5585</v>
      </c>
      <c r="AH635" s="1" t="s">
        <v>5461</v>
      </c>
      <c r="AI635" s="1">
        <f>1</f>
        <v>1</v>
      </c>
      <c r="AJ635" s="5" t="s">
        <v>12898</v>
      </c>
      <c r="AK635" s="5" t="s">
        <v>12899</v>
      </c>
      <c r="AL635" s="7" t="s">
        <v>15077</v>
      </c>
    </row>
    <row r="636" spans="1:38" ht="60" customHeight="1">
      <c r="A636" s="1" t="s">
        <v>5465</v>
      </c>
      <c r="B636" s="1" t="s">
        <v>5586</v>
      </c>
      <c r="C636" s="1" t="s">
        <v>5587</v>
      </c>
      <c r="D636" s="1"/>
      <c r="E636" s="1"/>
      <c r="F636" s="1">
        <v>2</v>
      </c>
      <c r="G636" s="1" t="s">
        <v>4691</v>
      </c>
      <c r="H636" s="1"/>
      <c r="I636" s="1"/>
      <c r="J636" s="1"/>
      <c r="K636" s="1"/>
      <c r="L636" s="1" t="s">
        <v>14557</v>
      </c>
      <c r="M636" s="1"/>
      <c r="N636" s="1"/>
      <c r="O636" s="1" t="s">
        <v>14580</v>
      </c>
      <c r="P636" s="1" t="s">
        <v>12917</v>
      </c>
      <c r="Q636" s="1">
        <v>2</v>
      </c>
      <c r="R636" s="1" t="s">
        <v>14559</v>
      </c>
      <c r="S636" s="1" t="s">
        <v>14581</v>
      </c>
      <c r="T636" s="1" t="s">
        <v>5588</v>
      </c>
      <c r="U636" s="1" t="s">
        <v>11262</v>
      </c>
      <c r="V636" s="1" t="s">
        <v>11263</v>
      </c>
      <c r="W636" s="1"/>
      <c r="X636" s="1"/>
      <c r="Y636" s="1" t="s">
        <v>5589</v>
      </c>
      <c r="Z636" s="1" t="s">
        <v>12918</v>
      </c>
      <c r="AA636" s="1">
        <f t="shared" si="37"/>
        <v>2</v>
      </c>
      <c r="AB636" s="1" t="str">
        <f t="shared" si="38"/>
        <v>Reviewer confirmed</v>
      </c>
      <c r="AC636" s="1">
        <v>2</v>
      </c>
      <c r="AD636" s="1" t="s">
        <v>14561</v>
      </c>
      <c r="AE636" s="1" t="s">
        <v>5589</v>
      </c>
      <c r="AF636" s="1" t="s">
        <v>5588</v>
      </c>
      <c r="AG636" s="1" t="s">
        <v>5590</v>
      </c>
      <c r="AH636" s="1" t="s">
        <v>5461</v>
      </c>
      <c r="AI636" s="1">
        <f>1</f>
        <v>1</v>
      </c>
      <c r="AJ636" s="5"/>
      <c r="AK636" s="5"/>
      <c r="AL636" s="7" t="s">
        <v>15077</v>
      </c>
    </row>
    <row r="637" spans="1:38" ht="60" customHeight="1">
      <c r="A637" s="1" t="s">
        <v>5465</v>
      </c>
      <c r="B637" s="1" t="s">
        <v>5591</v>
      </c>
      <c r="C637" s="1" t="s">
        <v>5592</v>
      </c>
      <c r="D637" s="1"/>
      <c r="E637" s="1"/>
      <c r="F637" s="1">
        <v>0</v>
      </c>
      <c r="G637" s="1" t="s">
        <v>4691</v>
      </c>
      <c r="H637" s="1"/>
      <c r="I637" s="1"/>
      <c r="J637" s="1"/>
      <c r="K637" s="1"/>
      <c r="L637" s="1" t="s">
        <v>14557</v>
      </c>
      <c r="M637" s="1"/>
      <c r="N637" s="1"/>
      <c r="O637" s="1" t="s">
        <v>14582</v>
      </c>
      <c r="P637" s="1" t="s">
        <v>12917</v>
      </c>
      <c r="Q637" s="1">
        <v>0</v>
      </c>
      <c r="R637" s="1" t="s">
        <v>14559</v>
      </c>
      <c r="S637" s="1" t="s">
        <v>14583</v>
      </c>
      <c r="T637" s="1" t="s">
        <v>5593</v>
      </c>
      <c r="U637" s="1" t="s">
        <v>11262</v>
      </c>
      <c r="V637" s="1" t="s">
        <v>11263</v>
      </c>
      <c r="W637" s="1"/>
      <c r="X637" s="1"/>
      <c r="Y637" s="1" t="s">
        <v>5594</v>
      </c>
      <c r="Z637" s="1" t="s">
        <v>12918</v>
      </c>
      <c r="AA637" s="1">
        <f t="shared" si="37"/>
        <v>0</v>
      </c>
      <c r="AB637" s="1" t="str">
        <f t="shared" si="38"/>
        <v>Reviewer confirmed</v>
      </c>
      <c r="AC637" s="1">
        <v>0</v>
      </c>
      <c r="AD637" s="1" t="s">
        <v>14561</v>
      </c>
      <c r="AE637" s="1" t="s">
        <v>5594</v>
      </c>
      <c r="AF637" s="1" t="s">
        <v>5593</v>
      </c>
      <c r="AG637" s="1" t="s">
        <v>5595</v>
      </c>
      <c r="AH637" s="1" t="s">
        <v>5461</v>
      </c>
      <c r="AI637" s="1">
        <f>1</f>
        <v>1</v>
      </c>
      <c r="AJ637" s="5" t="s">
        <v>12898</v>
      </c>
      <c r="AK637" s="5" t="s">
        <v>12899</v>
      </c>
      <c r="AL637" s="7" t="s">
        <v>15077</v>
      </c>
    </row>
    <row r="638" spans="1:38" ht="48" customHeight="1">
      <c r="A638" s="1" t="s">
        <v>5465</v>
      </c>
      <c r="B638" s="1" t="s">
        <v>5596</v>
      </c>
      <c r="C638" s="1" t="s">
        <v>5597</v>
      </c>
      <c r="D638" s="1"/>
      <c r="E638" s="1"/>
      <c r="F638" s="1">
        <v>0</v>
      </c>
      <c r="G638" s="1" t="s">
        <v>4691</v>
      </c>
      <c r="H638" s="1"/>
      <c r="I638" s="1"/>
      <c r="J638" s="1"/>
      <c r="K638" s="1"/>
      <c r="L638" s="1" t="s">
        <v>14557</v>
      </c>
      <c r="M638" s="1"/>
      <c r="N638" s="1"/>
      <c r="O638" s="1" t="s">
        <v>14584</v>
      </c>
      <c r="P638" s="1" t="s">
        <v>12917</v>
      </c>
      <c r="Q638" s="1">
        <v>0</v>
      </c>
      <c r="R638" s="1" t="s">
        <v>14559</v>
      </c>
      <c r="S638" s="1" t="s">
        <v>14585</v>
      </c>
      <c r="T638" s="1" t="s">
        <v>5598</v>
      </c>
      <c r="U638" s="1" t="s">
        <v>11262</v>
      </c>
      <c r="V638" s="1" t="s">
        <v>11263</v>
      </c>
      <c r="W638" s="1"/>
      <c r="X638" s="1"/>
      <c r="Y638" s="1" t="s">
        <v>5599</v>
      </c>
      <c r="Z638" s="1" t="s">
        <v>12918</v>
      </c>
      <c r="AA638" s="1">
        <f t="shared" si="37"/>
        <v>0</v>
      </c>
      <c r="AB638" s="1" t="str">
        <f t="shared" si="38"/>
        <v>Reviewer confirmed</v>
      </c>
      <c r="AC638" s="1">
        <v>0</v>
      </c>
      <c r="AD638" s="1" t="s">
        <v>14561</v>
      </c>
      <c r="AE638" s="1" t="s">
        <v>5599</v>
      </c>
      <c r="AF638" s="1" t="s">
        <v>5598</v>
      </c>
      <c r="AG638" s="1" t="s">
        <v>5600</v>
      </c>
      <c r="AH638" s="1" t="s">
        <v>5461</v>
      </c>
      <c r="AI638" s="1">
        <f>1</f>
        <v>1</v>
      </c>
      <c r="AJ638" s="5"/>
      <c r="AK638" s="5"/>
      <c r="AL638" s="7" t="s">
        <v>15077</v>
      </c>
    </row>
    <row r="639" spans="1:38" ht="48" customHeight="1">
      <c r="A639" s="1" t="s">
        <v>5465</v>
      </c>
      <c r="B639" s="1" t="s">
        <v>5601</v>
      </c>
      <c r="C639" s="1" t="s">
        <v>5602</v>
      </c>
      <c r="D639" s="1"/>
      <c r="E639" s="1"/>
      <c r="F639" s="1">
        <v>2</v>
      </c>
      <c r="G639" s="1" t="s">
        <v>4691</v>
      </c>
      <c r="H639" s="1"/>
      <c r="I639" s="1"/>
      <c r="J639" s="1"/>
      <c r="K639" s="1"/>
      <c r="L639" s="1" t="s">
        <v>14557</v>
      </c>
      <c r="M639" s="1"/>
      <c r="N639" s="1"/>
      <c r="O639" s="1" t="s">
        <v>14586</v>
      </c>
      <c r="P639" s="1" t="s">
        <v>12917</v>
      </c>
      <c r="Q639" s="1">
        <v>2</v>
      </c>
      <c r="R639" s="1" t="s">
        <v>14559</v>
      </c>
      <c r="S639" s="1" t="s">
        <v>14587</v>
      </c>
      <c r="T639" s="1" t="s">
        <v>5603</v>
      </c>
      <c r="U639" s="1" t="s">
        <v>11262</v>
      </c>
      <c r="V639" s="1" t="s">
        <v>11263</v>
      </c>
      <c r="W639" s="1"/>
      <c r="X639" s="1"/>
      <c r="Y639" s="1" t="s">
        <v>5604</v>
      </c>
      <c r="Z639" s="1" t="s">
        <v>12918</v>
      </c>
      <c r="AA639" s="1">
        <f t="shared" si="37"/>
        <v>2</v>
      </c>
      <c r="AB639" s="1" t="str">
        <f t="shared" si="38"/>
        <v>Reviewer confirmed</v>
      </c>
      <c r="AC639" s="1">
        <v>2</v>
      </c>
      <c r="AD639" s="1" t="s">
        <v>14561</v>
      </c>
      <c r="AE639" s="1" t="s">
        <v>5604</v>
      </c>
      <c r="AF639" s="1" t="s">
        <v>5603</v>
      </c>
      <c r="AG639" s="1" t="s">
        <v>5605</v>
      </c>
      <c r="AH639" s="1" t="s">
        <v>5461</v>
      </c>
      <c r="AI639" s="1">
        <f>1</f>
        <v>1</v>
      </c>
      <c r="AJ639" s="5"/>
      <c r="AK639" s="5"/>
      <c r="AL639" s="7" t="s">
        <v>15077</v>
      </c>
    </row>
    <row r="640" spans="1:38" ht="48" customHeight="1">
      <c r="A640" s="1" t="s">
        <v>5465</v>
      </c>
      <c r="B640" s="1" t="s">
        <v>5606</v>
      </c>
      <c r="C640" s="1" t="s">
        <v>5607</v>
      </c>
      <c r="D640" s="1"/>
      <c r="E640" s="1"/>
      <c r="F640" s="1">
        <v>1</v>
      </c>
      <c r="G640" s="1" t="s">
        <v>4691</v>
      </c>
      <c r="H640" s="1"/>
      <c r="I640" s="1"/>
      <c r="J640" s="1"/>
      <c r="K640" s="1"/>
      <c r="L640" s="1" t="s">
        <v>14557</v>
      </c>
      <c r="M640" s="1"/>
      <c r="N640" s="1"/>
      <c r="O640" s="1" t="s">
        <v>14588</v>
      </c>
      <c r="P640" s="1" t="s">
        <v>12917</v>
      </c>
      <c r="Q640" s="1">
        <v>1</v>
      </c>
      <c r="R640" s="1" t="s">
        <v>14559</v>
      </c>
      <c r="S640" s="1" t="s">
        <v>14589</v>
      </c>
      <c r="T640" s="1" t="s">
        <v>5608</v>
      </c>
      <c r="U640" s="1" t="s">
        <v>11262</v>
      </c>
      <c r="V640" s="1" t="s">
        <v>11263</v>
      </c>
      <c r="W640" s="1"/>
      <c r="X640" s="1"/>
      <c r="Y640" s="1" t="s">
        <v>5609</v>
      </c>
      <c r="Z640" s="1" t="s">
        <v>12918</v>
      </c>
      <c r="AA640" s="1">
        <f t="shared" si="37"/>
        <v>1</v>
      </c>
      <c r="AB640" s="1" t="str">
        <f t="shared" si="38"/>
        <v>Reviewer confirmed</v>
      </c>
      <c r="AC640" s="1">
        <v>1</v>
      </c>
      <c r="AD640" s="1" t="s">
        <v>14561</v>
      </c>
      <c r="AE640" s="1" t="s">
        <v>5609</v>
      </c>
      <c r="AF640" s="1" t="s">
        <v>5608</v>
      </c>
      <c r="AG640" s="1" t="s">
        <v>5610</v>
      </c>
      <c r="AH640" s="1" t="s">
        <v>5461</v>
      </c>
      <c r="AI640" s="1">
        <f>1</f>
        <v>1</v>
      </c>
      <c r="AJ640" s="5"/>
      <c r="AK640" s="5"/>
      <c r="AL640" s="7" t="s">
        <v>15077</v>
      </c>
    </row>
    <row r="641" spans="1:38" ht="72" customHeight="1">
      <c r="A641" s="1" t="s">
        <v>5465</v>
      </c>
      <c r="B641" s="1" t="s">
        <v>5454</v>
      </c>
      <c r="C641" s="1" t="s">
        <v>5455</v>
      </c>
      <c r="D641" s="1"/>
      <c r="E641" s="1"/>
      <c r="F641" s="1">
        <v>0</v>
      </c>
      <c r="G641" s="1" t="s">
        <v>4691</v>
      </c>
      <c r="H641" s="1"/>
      <c r="I641" s="1"/>
      <c r="J641" s="1"/>
      <c r="K641" s="1"/>
      <c r="L641" s="1" t="s">
        <v>14557</v>
      </c>
      <c r="M641" s="1"/>
      <c r="N641" s="1"/>
      <c r="O641" s="1" t="s">
        <v>14590</v>
      </c>
      <c r="P641" s="1" t="s">
        <v>12917</v>
      </c>
      <c r="Q641" s="1">
        <v>0</v>
      </c>
      <c r="R641" s="1" t="s">
        <v>14559</v>
      </c>
      <c r="S641" s="1" t="s">
        <v>14591</v>
      </c>
      <c r="T641" s="1" t="s">
        <v>5611</v>
      </c>
      <c r="U641" s="1" t="s">
        <v>11262</v>
      </c>
      <c r="V641" s="1" t="s">
        <v>11263</v>
      </c>
      <c r="W641" s="1"/>
      <c r="X641" s="1"/>
      <c r="Y641" s="1" t="s">
        <v>5612</v>
      </c>
      <c r="Z641" s="1" t="s">
        <v>12918</v>
      </c>
      <c r="AA641" s="1">
        <f t="shared" si="37"/>
        <v>0</v>
      </c>
      <c r="AB641" s="1" t="str">
        <f t="shared" si="38"/>
        <v>Reviewer confirmed</v>
      </c>
      <c r="AC641" s="1">
        <v>0</v>
      </c>
      <c r="AD641" s="1" t="s">
        <v>14561</v>
      </c>
      <c r="AE641" s="1" t="s">
        <v>5612</v>
      </c>
      <c r="AF641" s="1" t="s">
        <v>5611</v>
      </c>
      <c r="AG641" s="1" t="s">
        <v>5613</v>
      </c>
      <c r="AH641" s="1" t="s">
        <v>5461</v>
      </c>
      <c r="AI641" s="1">
        <f>1</f>
        <v>1</v>
      </c>
      <c r="AJ641" s="5" t="s">
        <v>12898</v>
      </c>
      <c r="AK641" s="5" t="s">
        <v>12899</v>
      </c>
      <c r="AL641" s="7" t="s">
        <v>15077</v>
      </c>
    </row>
    <row r="642" spans="1:38" ht="48" customHeight="1">
      <c r="A642" s="1" t="s">
        <v>5504</v>
      </c>
      <c r="B642" s="1" t="s">
        <v>5537</v>
      </c>
      <c r="C642" s="1" t="s">
        <v>5538</v>
      </c>
      <c r="D642" s="1"/>
      <c r="E642" s="1"/>
      <c r="F642" s="1">
        <v>0</v>
      </c>
      <c r="G642" s="1" t="s">
        <v>4691</v>
      </c>
      <c r="H642" s="1"/>
      <c r="I642" s="1"/>
      <c r="J642" s="1"/>
      <c r="K642" s="1"/>
      <c r="L642" s="1" t="s">
        <v>14557</v>
      </c>
      <c r="M642" s="1"/>
      <c r="N642" s="1"/>
      <c r="O642" s="1" t="s">
        <v>14592</v>
      </c>
      <c r="P642" s="1" t="s">
        <v>12917</v>
      </c>
      <c r="Q642" s="1">
        <v>0</v>
      </c>
      <c r="R642" s="1" t="s">
        <v>14559</v>
      </c>
      <c r="S642" s="1" t="s">
        <v>14593</v>
      </c>
      <c r="T642" s="1" t="s">
        <v>5614</v>
      </c>
      <c r="U642" s="1" t="s">
        <v>11320</v>
      </c>
      <c r="V642" s="1" t="s">
        <v>11263</v>
      </c>
      <c r="W642" s="1"/>
      <c r="X642" s="1"/>
      <c r="Y642" s="1" t="s">
        <v>5615</v>
      </c>
      <c r="Z642" s="1" t="s">
        <v>12918</v>
      </c>
      <c r="AA642" s="1">
        <f t="shared" si="37"/>
        <v>0</v>
      </c>
      <c r="AB642" s="1" t="str">
        <f t="shared" si="38"/>
        <v>Reviewer confirmed</v>
      </c>
      <c r="AC642" s="1">
        <v>0</v>
      </c>
      <c r="AD642" s="1" t="s">
        <v>14561</v>
      </c>
      <c r="AE642" s="1" t="s">
        <v>5615</v>
      </c>
      <c r="AF642" s="1" t="s">
        <v>5614</v>
      </c>
      <c r="AG642" s="1" t="s">
        <v>5616</v>
      </c>
      <c r="AH642" s="1" t="s">
        <v>5461</v>
      </c>
      <c r="AI642" s="1">
        <f>1</f>
        <v>1</v>
      </c>
      <c r="AJ642" s="5"/>
      <c r="AK642" s="5"/>
      <c r="AL642" s="7" t="s">
        <v>15077</v>
      </c>
    </row>
    <row r="643" spans="1:38" ht="24" customHeight="1">
      <c r="A643" s="1" t="s">
        <v>5504</v>
      </c>
      <c r="B643" s="1" t="s">
        <v>5542</v>
      </c>
      <c r="C643" s="1" t="s">
        <v>5543</v>
      </c>
      <c r="D643" s="1"/>
      <c r="E643" s="1"/>
      <c r="F643" s="1">
        <v>0</v>
      </c>
      <c r="G643" s="1" t="s">
        <v>4691</v>
      </c>
      <c r="H643" s="1"/>
      <c r="I643" s="1"/>
      <c r="J643" s="1"/>
      <c r="K643" s="1"/>
      <c r="L643" s="1" t="s">
        <v>14557</v>
      </c>
      <c r="M643" s="1"/>
      <c r="N643" s="1"/>
      <c r="O643" s="1" t="s">
        <v>14594</v>
      </c>
      <c r="P643" s="1" t="s">
        <v>12917</v>
      </c>
      <c r="Q643" s="1">
        <v>0</v>
      </c>
      <c r="R643" s="1" t="s">
        <v>14559</v>
      </c>
      <c r="S643" s="1" t="s">
        <v>14595</v>
      </c>
      <c r="T643" s="1" t="s">
        <v>5617</v>
      </c>
      <c r="U643" s="1" t="s">
        <v>11320</v>
      </c>
      <c r="V643" s="1" t="s">
        <v>11263</v>
      </c>
      <c r="W643" s="1"/>
      <c r="X643" s="1"/>
      <c r="Y643" s="1" t="s">
        <v>5618</v>
      </c>
      <c r="Z643" s="1" t="s">
        <v>12918</v>
      </c>
      <c r="AA643" s="1">
        <f t="shared" si="37"/>
        <v>0</v>
      </c>
      <c r="AB643" s="1" t="str">
        <f t="shared" si="38"/>
        <v>Reviewer confirmed</v>
      </c>
      <c r="AC643" s="1">
        <v>0</v>
      </c>
      <c r="AD643" s="1" t="s">
        <v>14561</v>
      </c>
      <c r="AE643" s="1" t="s">
        <v>5618</v>
      </c>
      <c r="AF643" s="1" t="s">
        <v>5617</v>
      </c>
      <c r="AG643" s="1" t="s">
        <v>5619</v>
      </c>
      <c r="AH643" s="1" t="s">
        <v>5461</v>
      </c>
      <c r="AI643" s="1">
        <f>1</f>
        <v>1</v>
      </c>
      <c r="AJ643" s="5"/>
      <c r="AK643" s="5"/>
      <c r="AL643" s="7" t="s">
        <v>15077</v>
      </c>
    </row>
    <row r="644" spans="1:38" ht="36" customHeight="1">
      <c r="A644" s="1" t="s">
        <v>5504</v>
      </c>
      <c r="B644" s="1" t="s">
        <v>5547</v>
      </c>
      <c r="C644" s="1" t="s">
        <v>5548</v>
      </c>
      <c r="D644" s="1"/>
      <c r="E644" s="1"/>
      <c r="F644" s="1">
        <v>1</v>
      </c>
      <c r="G644" s="1" t="s">
        <v>4691</v>
      </c>
      <c r="H644" s="1"/>
      <c r="I644" s="1"/>
      <c r="J644" s="1"/>
      <c r="K644" s="1"/>
      <c r="L644" s="1" t="s">
        <v>14557</v>
      </c>
      <c r="M644" s="1"/>
      <c r="N644" s="1"/>
      <c r="O644" s="1" t="s">
        <v>14596</v>
      </c>
      <c r="P644" s="1" t="s">
        <v>12917</v>
      </c>
      <c r="Q644" s="1">
        <v>1</v>
      </c>
      <c r="R644" s="1" t="s">
        <v>14559</v>
      </c>
      <c r="S644" s="1" t="s">
        <v>14597</v>
      </c>
      <c r="T644" s="1" t="s">
        <v>5620</v>
      </c>
      <c r="U644" s="1" t="s">
        <v>11320</v>
      </c>
      <c r="V644" s="1" t="s">
        <v>11263</v>
      </c>
      <c r="W644" s="1"/>
      <c r="X644" s="1"/>
      <c r="Y644" s="1" t="s">
        <v>5621</v>
      </c>
      <c r="Z644" s="1" t="s">
        <v>12918</v>
      </c>
      <c r="AA644" s="1">
        <f t="shared" si="37"/>
        <v>1</v>
      </c>
      <c r="AB644" s="1" t="str">
        <f t="shared" si="38"/>
        <v>Reviewer confirmed</v>
      </c>
      <c r="AC644" s="1">
        <v>1</v>
      </c>
      <c r="AD644" s="1" t="s">
        <v>14561</v>
      </c>
      <c r="AE644" s="1" t="s">
        <v>5621</v>
      </c>
      <c r="AF644" s="1" t="s">
        <v>5620</v>
      </c>
      <c r="AG644" s="1" t="s">
        <v>5622</v>
      </c>
      <c r="AH644" s="1" t="s">
        <v>5461</v>
      </c>
      <c r="AI644" s="1">
        <f>1</f>
        <v>1</v>
      </c>
      <c r="AJ644" s="5"/>
      <c r="AK644" s="5"/>
      <c r="AL644" s="7" t="s">
        <v>15077</v>
      </c>
    </row>
    <row r="645" spans="1:38" ht="48" customHeight="1">
      <c r="A645" s="1" t="s">
        <v>5504</v>
      </c>
      <c r="B645" s="1" t="s">
        <v>5552</v>
      </c>
      <c r="C645" s="1" t="s">
        <v>5553</v>
      </c>
      <c r="D645" s="1"/>
      <c r="E645" s="1"/>
      <c r="F645" s="1">
        <v>0</v>
      </c>
      <c r="G645" s="1" t="s">
        <v>4691</v>
      </c>
      <c r="H645" s="1"/>
      <c r="I645" s="1"/>
      <c r="J645" s="1"/>
      <c r="K645" s="1"/>
      <c r="L645" s="1" t="s">
        <v>14557</v>
      </c>
      <c r="M645" s="1"/>
      <c r="N645" s="1"/>
      <c r="O645" s="1" t="s">
        <v>14598</v>
      </c>
      <c r="P645" s="1" t="s">
        <v>12917</v>
      </c>
      <c r="Q645" s="1">
        <v>0</v>
      </c>
      <c r="R645" s="1" t="s">
        <v>14559</v>
      </c>
      <c r="S645" s="1" t="s">
        <v>14599</v>
      </c>
      <c r="T645" s="1" t="s">
        <v>5623</v>
      </c>
      <c r="U645" s="1" t="s">
        <v>11320</v>
      </c>
      <c r="V645" s="1" t="s">
        <v>11263</v>
      </c>
      <c r="W645" s="1"/>
      <c r="X645" s="1"/>
      <c r="Y645" s="1" t="s">
        <v>5624</v>
      </c>
      <c r="Z645" s="1" t="s">
        <v>12918</v>
      </c>
      <c r="AA645" s="1">
        <f t="shared" si="37"/>
        <v>0</v>
      </c>
      <c r="AB645" s="1" t="str">
        <f t="shared" si="38"/>
        <v>Reviewer confirmed</v>
      </c>
      <c r="AC645" s="1">
        <v>0</v>
      </c>
      <c r="AD645" s="1" t="s">
        <v>14561</v>
      </c>
      <c r="AE645" s="1" t="s">
        <v>5624</v>
      </c>
      <c r="AF645" s="1" t="s">
        <v>5623</v>
      </c>
      <c r="AG645" s="1" t="s">
        <v>5625</v>
      </c>
      <c r="AH645" s="1" t="s">
        <v>5461</v>
      </c>
      <c r="AI645" s="1">
        <f>1</f>
        <v>1</v>
      </c>
      <c r="AJ645" s="5"/>
      <c r="AK645" s="5"/>
      <c r="AL645" s="7" t="s">
        <v>15077</v>
      </c>
    </row>
    <row r="646" spans="1:38" ht="24" customHeight="1">
      <c r="A646" s="1" t="s">
        <v>5504</v>
      </c>
      <c r="B646" s="1" t="s">
        <v>5557</v>
      </c>
      <c r="C646" s="1" t="s">
        <v>5558</v>
      </c>
      <c r="D646" s="1"/>
      <c r="E646" s="1"/>
      <c r="F646" s="1">
        <v>0</v>
      </c>
      <c r="G646" s="1" t="s">
        <v>4691</v>
      </c>
      <c r="H646" s="1"/>
      <c r="I646" s="1"/>
      <c r="J646" s="1"/>
      <c r="K646" s="1"/>
      <c r="L646" s="1" t="s">
        <v>14557</v>
      </c>
      <c r="M646" s="1"/>
      <c r="N646" s="1"/>
      <c r="O646" s="1" t="s">
        <v>14600</v>
      </c>
      <c r="P646" s="1" t="s">
        <v>12917</v>
      </c>
      <c r="Q646" s="1">
        <v>0</v>
      </c>
      <c r="R646" s="1" t="s">
        <v>14559</v>
      </c>
      <c r="S646" s="1" t="s">
        <v>14601</v>
      </c>
      <c r="T646" s="1" t="s">
        <v>5620</v>
      </c>
      <c r="U646" s="1" t="s">
        <v>11320</v>
      </c>
      <c r="V646" s="1" t="s">
        <v>11263</v>
      </c>
      <c r="W646" s="1"/>
      <c r="X646" s="1"/>
      <c r="Y646" s="1" t="s">
        <v>5626</v>
      </c>
      <c r="Z646" s="1" t="s">
        <v>12918</v>
      </c>
      <c r="AA646" s="1">
        <f t="shared" si="37"/>
        <v>0</v>
      </c>
      <c r="AB646" s="1" t="str">
        <f t="shared" si="38"/>
        <v>Reviewer confirmed</v>
      </c>
      <c r="AC646" s="1">
        <v>0</v>
      </c>
      <c r="AD646" s="1" t="s">
        <v>14561</v>
      </c>
      <c r="AE646" s="1" t="s">
        <v>5626</v>
      </c>
      <c r="AF646" s="1" t="s">
        <v>5620</v>
      </c>
      <c r="AG646" s="1" t="s">
        <v>5627</v>
      </c>
      <c r="AH646" s="1" t="s">
        <v>5461</v>
      </c>
      <c r="AI646" s="1">
        <f>1</f>
        <v>1</v>
      </c>
      <c r="AJ646" s="5"/>
      <c r="AK646" s="5"/>
      <c r="AL646" s="7" t="s">
        <v>15077</v>
      </c>
    </row>
    <row r="647" spans="1:38" ht="60" customHeight="1">
      <c r="A647" s="1" t="s">
        <v>5504</v>
      </c>
      <c r="B647" s="1" t="s">
        <v>5562</v>
      </c>
      <c r="C647" s="1" t="s">
        <v>5563</v>
      </c>
      <c r="D647" s="1"/>
      <c r="E647" s="1"/>
      <c r="F647" s="1">
        <v>1</v>
      </c>
      <c r="G647" s="1" t="s">
        <v>4691</v>
      </c>
      <c r="H647" s="1"/>
      <c r="I647" s="1"/>
      <c r="J647" s="1"/>
      <c r="K647" s="1"/>
      <c r="L647" s="1" t="s">
        <v>14557</v>
      </c>
      <c r="M647" s="1"/>
      <c r="N647" s="1"/>
      <c r="O647" s="1" t="s">
        <v>14602</v>
      </c>
      <c r="P647" s="1" t="s">
        <v>12917</v>
      </c>
      <c r="Q647" s="1">
        <v>1</v>
      </c>
      <c r="R647" s="1" t="s">
        <v>14559</v>
      </c>
      <c r="S647" s="1" t="s">
        <v>14603</v>
      </c>
      <c r="T647" s="1" t="s">
        <v>5628</v>
      </c>
      <c r="U647" s="1" t="s">
        <v>11320</v>
      </c>
      <c r="V647" s="1" t="s">
        <v>11263</v>
      </c>
      <c r="W647" s="1"/>
      <c r="X647" s="1"/>
      <c r="Y647" s="1" t="s">
        <v>5629</v>
      </c>
      <c r="Z647" s="1" t="s">
        <v>12918</v>
      </c>
      <c r="AA647" s="1">
        <f t="shared" si="37"/>
        <v>1</v>
      </c>
      <c r="AB647" s="1" t="str">
        <f t="shared" si="38"/>
        <v>Reviewer confirmed</v>
      </c>
      <c r="AC647" s="1">
        <v>1</v>
      </c>
      <c r="AD647" s="1" t="s">
        <v>14561</v>
      </c>
      <c r="AE647" s="1" t="s">
        <v>5629</v>
      </c>
      <c r="AF647" s="1" t="s">
        <v>5628</v>
      </c>
      <c r="AG647" s="1" t="s">
        <v>5630</v>
      </c>
      <c r="AH647" s="1" t="s">
        <v>5461</v>
      </c>
      <c r="AI647" s="1">
        <f>1</f>
        <v>1</v>
      </c>
      <c r="AJ647" s="5"/>
      <c r="AK647" s="5"/>
      <c r="AL647" s="7" t="s">
        <v>15077</v>
      </c>
    </row>
    <row r="648" spans="1:38" ht="48" customHeight="1">
      <c r="A648" s="1" t="s">
        <v>5504</v>
      </c>
      <c r="B648" s="1" t="s">
        <v>5567</v>
      </c>
      <c r="C648" s="1" t="s">
        <v>5568</v>
      </c>
      <c r="D648" s="1"/>
      <c r="E648" s="1"/>
      <c r="F648" s="1">
        <v>0</v>
      </c>
      <c r="G648" s="1" t="s">
        <v>4691</v>
      </c>
      <c r="H648" s="1"/>
      <c r="I648" s="1"/>
      <c r="J648" s="1"/>
      <c r="K648" s="1"/>
      <c r="L648" s="1" t="s">
        <v>14557</v>
      </c>
      <c r="M648" s="1"/>
      <c r="N648" s="1"/>
      <c r="O648" s="1" t="s">
        <v>14604</v>
      </c>
      <c r="P648" s="1" t="s">
        <v>12917</v>
      </c>
      <c r="Q648" s="1">
        <v>0</v>
      </c>
      <c r="R648" s="1" t="s">
        <v>14559</v>
      </c>
      <c r="S648" s="1" t="s">
        <v>14605</v>
      </c>
      <c r="T648" s="1" t="s">
        <v>5534</v>
      </c>
      <c r="U648" s="1" t="s">
        <v>11320</v>
      </c>
      <c r="V648" s="1" t="s">
        <v>11263</v>
      </c>
      <c r="W648" s="1"/>
      <c r="X648" s="1"/>
      <c r="Y648" s="1" t="s">
        <v>5631</v>
      </c>
      <c r="Z648" s="1" t="s">
        <v>12918</v>
      </c>
      <c r="AA648" s="1">
        <f t="shared" si="37"/>
        <v>0</v>
      </c>
      <c r="AB648" s="1" t="str">
        <f t="shared" si="38"/>
        <v>Reviewer confirmed</v>
      </c>
      <c r="AC648" s="1">
        <v>0</v>
      </c>
      <c r="AD648" s="1" t="s">
        <v>14561</v>
      </c>
      <c r="AE648" s="1" t="s">
        <v>5631</v>
      </c>
      <c r="AF648" s="1" t="s">
        <v>5534</v>
      </c>
      <c r="AG648" s="1" t="s">
        <v>5632</v>
      </c>
      <c r="AH648" s="1" t="s">
        <v>5461</v>
      </c>
      <c r="AI648" s="1">
        <f>1</f>
        <v>1</v>
      </c>
      <c r="AJ648" s="5"/>
      <c r="AK648" s="5"/>
      <c r="AL648" s="7" t="s">
        <v>15077</v>
      </c>
    </row>
    <row r="649" spans="1:38" ht="48" customHeight="1">
      <c r="A649" s="1" t="s">
        <v>5504</v>
      </c>
      <c r="B649" s="1" t="s">
        <v>5572</v>
      </c>
      <c r="C649" s="1" t="s">
        <v>5573</v>
      </c>
      <c r="D649" s="1"/>
      <c r="E649" s="1"/>
      <c r="F649" s="1">
        <v>0</v>
      </c>
      <c r="G649" s="1" t="s">
        <v>4691</v>
      </c>
      <c r="H649" s="1"/>
      <c r="I649" s="1"/>
      <c r="J649" s="1"/>
      <c r="K649" s="1"/>
      <c r="L649" s="1" t="s">
        <v>14557</v>
      </c>
      <c r="M649" s="1"/>
      <c r="N649" s="1"/>
      <c r="O649" s="1" t="s">
        <v>14606</v>
      </c>
      <c r="P649" s="1" t="s">
        <v>12917</v>
      </c>
      <c r="Q649" s="1">
        <v>0</v>
      </c>
      <c r="R649" s="1" t="s">
        <v>14559</v>
      </c>
      <c r="S649" s="1" t="s">
        <v>14607</v>
      </c>
      <c r="T649" s="1" t="s">
        <v>5633</v>
      </c>
      <c r="U649" s="1" t="s">
        <v>11320</v>
      </c>
      <c r="V649" s="1" t="s">
        <v>11263</v>
      </c>
      <c r="W649" s="1"/>
      <c r="X649" s="1"/>
      <c r="Y649" s="1" t="s">
        <v>5634</v>
      </c>
      <c r="Z649" s="1" t="s">
        <v>12918</v>
      </c>
      <c r="AA649" s="1">
        <f t="shared" si="37"/>
        <v>0</v>
      </c>
      <c r="AB649" s="1" t="str">
        <f t="shared" si="38"/>
        <v>Reviewer confirmed</v>
      </c>
      <c r="AC649" s="1">
        <v>0</v>
      </c>
      <c r="AD649" s="1" t="s">
        <v>14561</v>
      </c>
      <c r="AE649" s="1" t="s">
        <v>5634</v>
      </c>
      <c r="AF649" s="1" t="s">
        <v>5633</v>
      </c>
      <c r="AG649" s="1" t="s">
        <v>5635</v>
      </c>
      <c r="AH649" s="1" t="s">
        <v>5461</v>
      </c>
      <c r="AI649" s="1">
        <f>1</f>
        <v>1</v>
      </c>
      <c r="AJ649" s="5"/>
      <c r="AK649" s="5"/>
      <c r="AL649" s="7" t="s">
        <v>15077</v>
      </c>
    </row>
    <row r="650" spans="1:38" ht="36" customHeight="1">
      <c r="A650" s="1" t="s">
        <v>5504</v>
      </c>
      <c r="B650" s="1" t="s">
        <v>5577</v>
      </c>
      <c r="C650" s="1" t="s">
        <v>5578</v>
      </c>
      <c r="D650" s="1"/>
      <c r="E650" s="1"/>
      <c r="F650" s="1">
        <v>2</v>
      </c>
      <c r="G650" s="1" t="s">
        <v>4691</v>
      </c>
      <c r="H650" s="1"/>
      <c r="I650" s="1"/>
      <c r="J650" s="1"/>
      <c r="K650" s="1"/>
      <c r="L650" s="1" t="s">
        <v>14557</v>
      </c>
      <c r="M650" s="1"/>
      <c r="N650" s="1"/>
      <c r="O650" s="1" t="s">
        <v>14608</v>
      </c>
      <c r="P650" s="1" t="s">
        <v>12917</v>
      </c>
      <c r="Q650" s="1">
        <v>2</v>
      </c>
      <c r="R650" s="1" t="s">
        <v>14559</v>
      </c>
      <c r="S650" s="1" t="s">
        <v>14609</v>
      </c>
      <c r="T650" s="1" t="s">
        <v>5636</v>
      </c>
      <c r="U650" s="1" t="s">
        <v>11320</v>
      </c>
      <c r="V650" s="1" t="s">
        <v>11263</v>
      </c>
      <c r="W650" s="1"/>
      <c r="X650" s="1"/>
      <c r="Y650" s="1" t="s">
        <v>5637</v>
      </c>
      <c r="Z650" s="1" t="s">
        <v>12918</v>
      </c>
      <c r="AA650" s="1">
        <f t="shared" si="37"/>
        <v>2</v>
      </c>
      <c r="AB650" s="1" t="str">
        <f t="shared" si="38"/>
        <v>Reviewer confirmed</v>
      </c>
      <c r="AC650" s="1">
        <v>2</v>
      </c>
      <c r="AD650" s="1" t="s">
        <v>14561</v>
      </c>
      <c r="AE650" s="1" t="s">
        <v>5637</v>
      </c>
      <c r="AF650" s="1" t="s">
        <v>5636</v>
      </c>
      <c r="AG650" s="1" t="s">
        <v>5638</v>
      </c>
      <c r="AH650" s="1" t="s">
        <v>5461</v>
      </c>
      <c r="AI650" s="1">
        <f>1</f>
        <v>1</v>
      </c>
      <c r="AJ650" s="5"/>
      <c r="AK650" s="5"/>
      <c r="AL650" s="7" t="s">
        <v>15077</v>
      </c>
    </row>
    <row r="651" spans="1:38" ht="48" customHeight="1">
      <c r="A651" s="1" t="s">
        <v>5504</v>
      </c>
      <c r="B651" s="1" t="s">
        <v>5582</v>
      </c>
      <c r="C651" s="1" t="s">
        <v>5583</v>
      </c>
      <c r="D651" s="1"/>
      <c r="E651" s="1"/>
      <c r="F651" s="1">
        <v>0</v>
      </c>
      <c r="G651" s="1" t="s">
        <v>4691</v>
      </c>
      <c r="H651" s="1"/>
      <c r="I651" s="1"/>
      <c r="J651" s="1"/>
      <c r="K651" s="1"/>
      <c r="L651" s="1" t="s">
        <v>14557</v>
      </c>
      <c r="M651" s="1"/>
      <c r="N651" s="1"/>
      <c r="O651" s="1" t="s">
        <v>14610</v>
      </c>
      <c r="P651" s="1" t="s">
        <v>12917</v>
      </c>
      <c r="Q651" s="1">
        <v>0</v>
      </c>
      <c r="R651" s="1" t="s">
        <v>14559</v>
      </c>
      <c r="S651" s="1" t="s">
        <v>14611</v>
      </c>
      <c r="T651" s="1" t="s">
        <v>5639</v>
      </c>
      <c r="U651" s="1" t="s">
        <v>11320</v>
      </c>
      <c r="V651" s="1" t="s">
        <v>11263</v>
      </c>
      <c r="W651" s="1"/>
      <c r="X651" s="1"/>
      <c r="Y651" s="1" t="s">
        <v>5640</v>
      </c>
      <c r="Z651" s="1" t="s">
        <v>12918</v>
      </c>
      <c r="AA651" s="1">
        <f t="shared" si="37"/>
        <v>0</v>
      </c>
      <c r="AB651" s="1" t="str">
        <f t="shared" si="38"/>
        <v>Reviewer confirmed</v>
      </c>
      <c r="AC651" s="1">
        <v>0</v>
      </c>
      <c r="AD651" s="1" t="s">
        <v>14561</v>
      </c>
      <c r="AE651" s="1" t="s">
        <v>5640</v>
      </c>
      <c r="AF651" s="1" t="s">
        <v>5639</v>
      </c>
      <c r="AG651" s="1" t="s">
        <v>5641</v>
      </c>
      <c r="AH651" s="1" t="s">
        <v>5461</v>
      </c>
      <c r="AI651" s="1">
        <f>1</f>
        <v>1</v>
      </c>
      <c r="AJ651" s="5" t="s">
        <v>12898</v>
      </c>
      <c r="AK651" s="5" t="s">
        <v>12899</v>
      </c>
      <c r="AL651" s="7" t="s">
        <v>15077</v>
      </c>
    </row>
    <row r="652" spans="1:38" ht="48" customHeight="1">
      <c r="A652" s="1" t="s">
        <v>5504</v>
      </c>
      <c r="B652" s="1" t="s">
        <v>5586</v>
      </c>
      <c r="C652" s="1" t="s">
        <v>5587</v>
      </c>
      <c r="D652" s="1"/>
      <c r="E652" s="1"/>
      <c r="F652" s="1">
        <v>0</v>
      </c>
      <c r="G652" s="1" t="s">
        <v>4691</v>
      </c>
      <c r="H652" s="1"/>
      <c r="I652" s="1"/>
      <c r="J652" s="1"/>
      <c r="K652" s="1"/>
      <c r="L652" s="1" t="s">
        <v>14557</v>
      </c>
      <c r="M652" s="1"/>
      <c r="N652" s="1"/>
      <c r="O652" s="1" t="s">
        <v>14612</v>
      </c>
      <c r="P652" s="1" t="s">
        <v>12917</v>
      </c>
      <c r="Q652" s="1">
        <v>0</v>
      </c>
      <c r="R652" s="1" t="s">
        <v>14559</v>
      </c>
      <c r="S652" s="1" t="s">
        <v>14613</v>
      </c>
      <c r="T652" s="1" t="s">
        <v>5642</v>
      </c>
      <c r="U652" s="1" t="s">
        <v>11320</v>
      </c>
      <c r="V652" s="1" t="s">
        <v>11263</v>
      </c>
      <c r="W652" s="1"/>
      <c r="X652" s="1"/>
      <c r="Y652" s="1" t="s">
        <v>5643</v>
      </c>
      <c r="Z652" s="1" t="s">
        <v>12918</v>
      </c>
      <c r="AA652" s="1">
        <f t="shared" si="37"/>
        <v>0</v>
      </c>
      <c r="AB652" s="1" t="str">
        <f t="shared" si="38"/>
        <v>Reviewer confirmed</v>
      </c>
      <c r="AC652" s="1">
        <v>0</v>
      </c>
      <c r="AD652" s="1" t="s">
        <v>14561</v>
      </c>
      <c r="AE652" s="1" t="s">
        <v>5643</v>
      </c>
      <c r="AF652" s="1" t="s">
        <v>5642</v>
      </c>
      <c r="AG652" s="1" t="s">
        <v>5644</v>
      </c>
      <c r="AH652" s="1" t="s">
        <v>5461</v>
      </c>
      <c r="AI652" s="1">
        <f>1</f>
        <v>1</v>
      </c>
      <c r="AJ652" s="5"/>
      <c r="AK652" s="5"/>
      <c r="AL652" s="7" t="s">
        <v>15077</v>
      </c>
    </row>
    <row r="653" spans="1:38" ht="48" customHeight="1">
      <c r="A653" s="1" t="s">
        <v>5504</v>
      </c>
      <c r="B653" s="1" t="s">
        <v>5591</v>
      </c>
      <c r="C653" s="1" t="s">
        <v>5592</v>
      </c>
      <c r="D653" s="1"/>
      <c r="E653" s="1"/>
      <c r="F653" s="1">
        <v>0</v>
      </c>
      <c r="G653" s="1" t="s">
        <v>4691</v>
      </c>
      <c r="H653" s="1"/>
      <c r="I653" s="1"/>
      <c r="J653" s="1"/>
      <c r="K653" s="1"/>
      <c r="L653" s="1" t="s">
        <v>14557</v>
      </c>
      <c r="M653" s="1"/>
      <c r="N653" s="1"/>
      <c r="O653" s="1" t="s">
        <v>14614</v>
      </c>
      <c r="P653" s="1" t="s">
        <v>12917</v>
      </c>
      <c r="Q653" s="1">
        <v>0</v>
      </c>
      <c r="R653" s="1" t="s">
        <v>14559</v>
      </c>
      <c r="S653" s="1" t="s">
        <v>14615</v>
      </c>
      <c r="T653" s="1" t="s">
        <v>5645</v>
      </c>
      <c r="U653" s="1" t="s">
        <v>11320</v>
      </c>
      <c r="V653" s="1" t="s">
        <v>11263</v>
      </c>
      <c r="W653" s="1"/>
      <c r="X653" s="1"/>
      <c r="Y653" s="1" t="s">
        <v>5646</v>
      </c>
      <c r="Z653" s="1" t="s">
        <v>12918</v>
      </c>
      <c r="AA653" s="1">
        <f t="shared" si="37"/>
        <v>0</v>
      </c>
      <c r="AB653" s="1" t="str">
        <f t="shared" si="38"/>
        <v>Reviewer confirmed</v>
      </c>
      <c r="AC653" s="1">
        <v>0</v>
      </c>
      <c r="AD653" s="1" t="s">
        <v>14561</v>
      </c>
      <c r="AE653" s="1" t="s">
        <v>5646</v>
      </c>
      <c r="AF653" s="1" t="s">
        <v>5645</v>
      </c>
      <c r="AG653" s="1" t="s">
        <v>5647</v>
      </c>
      <c r="AH653" s="1" t="s">
        <v>5461</v>
      </c>
      <c r="AI653" s="1">
        <f>1</f>
        <v>1</v>
      </c>
      <c r="AJ653" s="5" t="s">
        <v>12898</v>
      </c>
      <c r="AK653" s="5" t="s">
        <v>12899</v>
      </c>
      <c r="AL653" s="7" t="s">
        <v>15077</v>
      </c>
    </row>
    <row r="654" spans="1:38" ht="36" customHeight="1">
      <c r="A654" s="1" t="s">
        <v>5504</v>
      </c>
      <c r="B654" s="1" t="s">
        <v>5596</v>
      </c>
      <c r="C654" s="1" t="s">
        <v>5597</v>
      </c>
      <c r="D654" s="1"/>
      <c r="E654" s="1"/>
      <c r="F654" s="1">
        <v>0</v>
      </c>
      <c r="G654" s="1" t="s">
        <v>4691</v>
      </c>
      <c r="H654" s="1"/>
      <c r="I654" s="1"/>
      <c r="J654" s="1"/>
      <c r="K654" s="1"/>
      <c r="L654" s="1" t="s">
        <v>14557</v>
      </c>
      <c r="M654" s="1"/>
      <c r="N654" s="1"/>
      <c r="O654" s="1" t="s">
        <v>14616</v>
      </c>
      <c r="P654" s="1" t="s">
        <v>12917</v>
      </c>
      <c r="Q654" s="1">
        <v>0</v>
      </c>
      <c r="R654" s="1" t="s">
        <v>14559</v>
      </c>
      <c r="S654" s="1" t="s">
        <v>14617</v>
      </c>
      <c r="T654" s="1" t="s">
        <v>5534</v>
      </c>
      <c r="U654" s="1" t="s">
        <v>11320</v>
      </c>
      <c r="V654" s="1" t="s">
        <v>11263</v>
      </c>
      <c r="W654" s="1"/>
      <c r="X654" s="1"/>
      <c r="Y654" s="1" t="s">
        <v>5648</v>
      </c>
      <c r="Z654" s="1" t="s">
        <v>12918</v>
      </c>
      <c r="AA654" s="1">
        <f t="shared" si="37"/>
        <v>0</v>
      </c>
      <c r="AB654" s="1" t="str">
        <f t="shared" si="38"/>
        <v>Reviewer confirmed</v>
      </c>
      <c r="AC654" s="1">
        <v>0</v>
      </c>
      <c r="AD654" s="1" t="s">
        <v>14561</v>
      </c>
      <c r="AE654" s="1" t="s">
        <v>5648</v>
      </c>
      <c r="AF654" s="1" t="s">
        <v>5534</v>
      </c>
      <c r="AG654" s="1" t="s">
        <v>5649</v>
      </c>
      <c r="AH654" s="1" t="s">
        <v>5461</v>
      </c>
      <c r="AI654" s="1">
        <f>1</f>
        <v>1</v>
      </c>
      <c r="AJ654" s="5"/>
      <c r="AK654" s="5"/>
      <c r="AL654" s="7" t="s">
        <v>15077</v>
      </c>
    </row>
    <row r="655" spans="1:38" ht="36" customHeight="1">
      <c r="A655" s="1" t="s">
        <v>5504</v>
      </c>
      <c r="B655" s="1" t="s">
        <v>5601</v>
      </c>
      <c r="C655" s="1" t="s">
        <v>5602</v>
      </c>
      <c r="D655" s="1"/>
      <c r="E655" s="1"/>
      <c r="F655" s="1">
        <v>1</v>
      </c>
      <c r="G655" s="1" t="s">
        <v>4691</v>
      </c>
      <c r="H655" s="1"/>
      <c r="I655" s="1"/>
      <c r="J655" s="1"/>
      <c r="K655" s="1"/>
      <c r="L655" s="1" t="s">
        <v>14557</v>
      </c>
      <c r="M655" s="1"/>
      <c r="N655" s="1"/>
      <c r="O655" s="1" t="s">
        <v>14618</v>
      </c>
      <c r="P655" s="1" t="s">
        <v>12917</v>
      </c>
      <c r="Q655" s="1">
        <v>1</v>
      </c>
      <c r="R655" s="1" t="s">
        <v>14559</v>
      </c>
      <c r="S655" s="1" t="s">
        <v>14619</v>
      </c>
      <c r="T655" s="1" t="s">
        <v>5650</v>
      </c>
      <c r="U655" s="1" t="s">
        <v>11320</v>
      </c>
      <c r="V655" s="1" t="s">
        <v>11263</v>
      </c>
      <c r="W655" s="1"/>
      <c r="X655" s="1"/>
      <c r="Y655" s="1" t="s">
        <v>5651</v>
      </c>
      <c r="Z655" s="1" t="s">
        <v>12918</v>
      </c>
      <c r="AA655" s="1">
        <f t="shared" si="37"/>
        <v>1</v>
      </c>
      <c r="AB655" s="1" t="str">
        <f t="shared" si="38"/>
        <v>Reviewer confirmed</v>
      </c>
      <c r="AC655" s="1">
        <v>1</v>
      </c>
      <c r="AD655" s="1" t="s">
        <v>14561</v>
      </c>
      <c r="AE655" s="1" t="s">
        <v>5651</v>
      </c>
      <c r="AF655" s="1" t="s">
        <v>5650</v>
      </c>
      <c r="AG655" s="1" t="s">
        <v>5652</v>
      </c>
      <c r="AH655" s="1" t="s">
        <v>5461</v>
      </c>
      <c r="AI655" s="1">
        <f>1</f>
        <v>1</v>
      </c>
      <c r="AJ655" s="5"/>
      <c r="AK655" s="5"/>
      <c r="AL655" s="7" t="s">
        <v>15077</v>
      </c>
    </row>
    <row r="656" spans="1:38" ht="48" customHeight="1">
      <c r="A656" s="1" t="s">
        <v>5504</v>
      </c>
      <c r="B656" s="1" t="s">
        <v>5606</v>
      </c>
      <c r="C656" s="1" t="s">
        <v>5607</v>
      </c>
      <c r="D656" s="1"/>
      <c r="E656" s="1"/>
      <c r="F656" s="1">
        <v>1</v>
      </c>
      <c r="G656" s="1" t="s">
        <v>4691</v>
      </c>
      <c r="H656" s="1"/>
      <c r="I656" s="1"/>
      <c r="J656" s="1"/>
      <c r="K656" s="1"/>
      <c r="L656" s="1" t="s">
        <v>14557</v>
      </c>
      <c r="M656" s="1"/>
      <c r="N656" s="1"/>
      <c r="O656" s="1" t="s">
        <v>14620</v>
      </c>
      <c r="P656" s="1" t="s">
        <v>12917</v>
      </c>
      <c r="Q656" s="1">
        <v>1</v>
      </c>
      <c r="R656" s="1" t="s">
        <v>14559</v>
      </c>
      <c r="S656" s="1" t="s">
        <v>14621</v>
      </c>
      <c r="T656" s="1" t="s">
        <v>5653</v>
      </c>
      <c r="U656" s="1" t="s">
        <v>11320</v>
      </c>
      <c r="V656" s="1" t="s">
        <v>11263</v>
      </c>
      <c r="W656" s="1"/>
      <c r="X656" s="1"/>
      <c r="Y656" s="1" t="s">
        <v>5654</v>
      </c>
      <c r="Z656" s="1" t="s">
        <v>12918</v>
      </c>
      <c r="AA656" s="1">
        <f t="shared" si="37"/>
        <v>1</v>
      </c>
      <c r="AB656" s="1" t="str">
        <f t="shared" si="38"/>
        <v>Reviewer confirmed</v>
      </c>
      <c r="AC656" s="1">
        <v>1</v>
      </c>
      <c r="AD656" s="1" t="s">
        <v>14561</v>
      </c>
      <c r="AE656" s="1" t="s">
        <v>5654</v>
      </c>
      <c r="AF656" s="1" t="s">
        <v>5653</v>
      </c>
      <c r="AG656" s="1" t="s">
        <v>5655</v>
      </c>
      <c r="AH656" s="1" t="s">
        <v>5461</v>
      </c>
      <c r="AI656" s="1">
        <f>1</f>
        <v>1</v>
      </c>
      <c r="AJ656" s="5"/>
      <c r="AK656" s="5"/>
      <c r="AL656" s="7" t="s">
        <v>15077</v>
      </c>
    </row>
    <row r="657" spans="1:38" ht="72" customHeight="1">
      <c r="A657" s="1" t="s">
        <v>5504</v>
      </c>
      <c r="B657" s="1" t="s">
        <v>5454</v>
      </c>
      <c r="C657" s="1" t="s">
        <v>5455</v>
      </c>
      <c r="D657" s="1"/>
      <c r="E657" s="1"/>
      <c r="F657" s="1">
        <v>1</v>
      </c>
      <c r="G657" s="1" t="s">
        <v>4691</v>
      </c>
      <c r="H657" s="1"/>
      <c r="I657" s="1"/>
      <c r="J657" s="1"/>
      <c r="K657" s="1"/>
      <c r="L657" s="1" t="s">
        <v>14557</v>
      </c>
      <c r="M657" s="1"/>
      <c r="N657" s="1"/>
      <c r="O657" s="1" t="s">
        <v>14622</v>
      </c>
      <c r="P657" s="1" t="s">
        <v>12917</v>
      </c>
      <c r="Q657" s="1">
        <v>1</v>
      </c>
      <c r="R657" s="1" t="s">
        <v>14559</v>
      </c>
      <c r="S657" s="1" t="s">
        <v>14623</v>
      </c>
      <c r="T657" s="1" t="s">
        <v>5656</v>
      </c>
      <c r="U657" s="1" t="s">
        <v>11320</v>
      </c>
      <c r="V657" s="1" t="s">
        <v>11263</v>
      </c>
      <c r="W657" s="1"/>
      <c r="X657" s="1"/>
      <c r="Y657" s="1" t="s">
        <v>5657</v>
      </c>
      <c r="Z657" s="1" t="s">
        <v>12918</v>
      </c>
      <c r="AA657" s="1">
        <f t="shared" si="37"/>
        <v>1</v>
      </c>
      <c r="AB657" s="1" t="str">
        <f t="shared" si="38"/>
        <v>Reviewer confirmed</v>
      </c>
      <c r="AC657" s="1">
        <v>1</v>
      </c>
      <c r="AD657" s="1" t="s">
        <v>14561</v>
      </c>
      <c r="AE657" s="1" t="s">
        <v>5657</v>
      </c>
      <c r="AF657" s="1" t="s">
        <v>5656</v>
      </c>
      <c r="AG657" s="1" t="s">
        <v>5658</v>
      </c>
      <c r="AH657" s="1" t="s">
        <v>5461</v>
      </c>
      <c r="AI657" s="1">
        <f>1</f>
        <v>1</v>
      </c>
      <c r="AJ657" s="5" t="s">
        <v>12898</v>
      </c>
      <c r="AK657" s="5" t="s">
        <v>12899</v>
      </c>
      <c r="AL657" s="7" t="s">
        <v>15077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O29"/>
  <sheetViews>
    <sheetView showGridLines="0" workbookViewId="0">
      <pane xSplit="1" ySplit="1" topLeftCell="B2" activePane="bottomRight" state="frozen"/>
      <selection pane="topRight"/>
      <selection pane="bottomLeft"/>
      <selection pane="bottomRight" activeCell="B2" sqref="B2"/>
    </sheetView>
  </sheetViews>
  <sheetFormatPr baseColWidth="10" defaultColWidth="8.83203125" defaultRowHeight="15"/>
  <cols>
    <col min="1" max="6" width="34" customWidth="1"/>
    <col min="7" max="8" width="16" customWidth="1"/>
    <col min="9" max="14" width="34" customWidth="1"/>
    <col min="15" max="15" width="58" customWidth="1"/>
  </cols>
  <sheetData>
    <row r="1" spans="1:15" ht="38" customHeight="1">
      <c r="A1" s="2" t="s">
        <v>5453</v>
      </c>
      <c r="B1" s="2" t="s">
        <v>14624</v>
      </c>
      <c r="C1" s="2"/>
      <c r="D1" s="2"/>
      <c r="E1" s="2"/>
      <c r="F1" s="2"/>
      <c r="G1" s="2"/>
      <c r="H1" s="2"/>
      <c r="I1" s="2"/>
      <c r="J1" s="2"/>
      <c r="K1" s="2"/>
      <c r="L1" s="2"/>
      <c r="M1" s="2"/>
      <c r="N1" s="2"/>
      <c r="O1" s="2"/>
    </row>
    <row r="2" spans="1:15" ht="72" customHeight="1">
      <c r="A2" s="1" t="s">
        <v>14625</v>
      </c>
      <c r="B2" s="1" t="s">
        <v>14626</v>
      </c>
      <c r="C2" s="1"/>
      <c r="D2" s="1"/>
      <c r="E2" s="1"/>
      <c r="F2" s="1"/>
      <c r="G2" s="1"/>
      <c r="H2" s="1"/>
      <c r="I2" s="1"/>
      <c r="J2" s="1"/>
      <c r="K2" s="1"/>
      <c r="L2" s="1"/>
      <c r="M2" s="1"/>
      <c r="N2" s="1"/>
      <c r="O2" s="1"/>
    </row>
    <row r="3" spans="1:15" ht="60" customHeight="1">
      <c r="A3" s="1" t="s">
        <v>14627</v>
      </c>
      <c r="B3" s="1" t="s">
        <v>14628</v>
      </c>
      <c r="C3" s="1"/>
      <c r="D3" s="1"/>
      <c r="E3" s="1"/>
      <c r="F3" s="1"/>
      <c r="G3" s="1"/>
      <c r="H3" s="1"/>
      <c r="I3" s="1"/>
      <c r="J3" s="1"/>
      <c r="K3" s="1"/>
      <c r="L3" s="1"/>
      <c r="M3" s="1"/>
      <c r="N3" s="1"/>
      <c r="O3" s="1"/>
    </row>
    <row r="4" spans="1:15" ht="48" customHeight="1">
      <c r="A4" s="1" t="s">
        <v>14629</v>
      </c>
      <c r="B4" s="1" t="s">
        <v>14630</v>
      </c>
      <c r="C4" s="1"/>
      <c r="D4" s="1"/>
      <c r="E4" s="1"/>
      <c r="F4" s="1"/>
      <c r="G4" s="1"/>
      <c r="H4" s="1"/>
      <c r="I4" s="1"/>
      <c r="J4" s="1"/>
      <c r="K4" s="1"/>
      <c r="L4" s="1"/>
      <c r="M4" s="1"/>
      <c r="N4" s="1"/>
      <c r="O4" s="1"/>
    </row>
    <row r="5" spans="1:15" ht="15" customHeight="1">
      <c r="A5" s="1"/>
      <c r="B5" s="1"/>
      <c r="C5" s="1"/>
      <c r="D5" s="1"/>
      <c r="E5" s="1"/>
      <c r="F5" s="1"/>
      <c r="G5" s="1"/>
      <c r="H5" s="1"/>
      <c r="I5" s="1"/>
      <c r="J5" s="1"/>
      <c r="K5" s="1"/>
      <c r="L5" s="1"/>
      <c r="M5" s="1"/>
      <c r="N5" s="1"/>
      <c r="O5" s="1"/>
    </row>
    <row r="6" spans="1:15" ht="15" customHeight="1">
      <c r="A6" s="1" t="s">
        <v>11589</v>
      </c>
      <c r="B6" s="1" t="s">
        <v>11580</v>
      </c>
      <c r="C6" s="1" t="s">
        <v>11916</v>
      </c>
      <c r="D6" s="1" t="s">
        <v>11921</v>
      </c>
      <c r="E6" s="1" t="s">
        <v>11925</v>
      </c>
      <c r="F6" s="1" t="s">
        <v>11929</v>
      </c>
      <c r="G6" s="1" t="s">
        <v>14631</v>
      </c>
      <c r="H6" s="1" t="s">
        <v>11373</v>
      </c>
      <c r="I6" s="1" t="s">
        <v>14632</v>
      </c>
      <c r="J6" s="1" t="s">
        <v>12825</v>
      </c>
      <c r="K6" s="1" t="s">
        <v>12827</v>
      </c>
      <c r="L6" s="1" t="s">
        <v>14633</v>
      </c>
      <c r="M6" s="1" t="s">
        <v>14634</v>
      </c>
      <c r="N6" s="1" t="s">
        <v>14635</v>
      </c>
      <c r="O6" s="1" t="s">
        <v>0</v>
      </c>
    </row>
    <row r="7" spans="1:15" ht="15" customHeight="1">
      <c r="A7" s="1" t="s">
        <v>5537</v>
      </c>
      <c r="B7" s="1" t="s">
        <v>5538</v>
      </c>
      <c r="C7" s="1">
        <f>COUNTIFS('S11 quality evidence'!$B$2:$B$657,A7,'S11 quality evidence'!$AA$2:$AA$657,0,'S11 quality evidence'!$AB$2:$AB$657,"&lt;&gt;Unresolved under clarified rule")</f>
        <v>36</v>
      </c>
      <c r="D7" s="1">
        <f>COUNTIFS('S11 quality evidence'!$B$2:$B$657,A7,'S11 quality evidence'!$AA$2:$AA$657,1)</f>
        <v>1</v>
      </c>
      <c r="E7" s="1">
        <f>COUNTIFS('S11 quality evidence'!$B$2:$B$657,A7,'S11 quality evidence'!$AA$2:$AA$657,2)</f>
        <v>4</v>
      </c>
      <c r="F7" s="1">
        <f>COUNTIFS('S11 quality evidence'!$B$2:$B$657,A7,'S11 quality evidence'!$AA$2:$AA$657,"NA")</f>
        <v>0</v>
      </c>
      <c r="G7" s="1">
        <f t="shared" ref="G7:G22" si="0">H7-SUM(C7:F7)</f>
        <v>0</v>
      </c>
      <c r="H7" s="1">
        <f>COUNTIFS('S11 quality evidence'!$B$2:$B$657,A7)</f>
        <v>41</v>
      </c>
      <c r="I7" s="1">
        <f t="shared" ref="I7:I22" si="1">H7-F7</f>
        <v>41</v>
      </c>
      <c r="J7" s="3">
        <f t="shared" ref="J7:J22" si="2">IF(G7&gt;0,"Pending",E7/H7)</f>
        <v>9.7560975609756101E-2</v>
      </c>
      <c r="K7" s="3">
        <f t="shared" ref="K7:K22" si="3">IF(G7&gt;0,"Pending",IF(I7=0,"NA",E7/I7))</f>
        <v>9.7560975609756101E-2</v>
      </c>
      <c r="L7" s="1">
        <f>COUNTIFS('S11 quality evidence'!$B$2:$B$657,A7,'S11 quality evidence'!$F$2:$F$657,"&lt;&gt;")</f>
        <v>5</v>
      </c>
      <c r="M7" s="1">
        <f>COUNTIFS('S11 quality evidence'!$B$2:$B$657,A7,'S11 quality evidence'!$AB$2:$AB$657,"Analyst scope correction")+COUNTIFS('S11 quality evidence'!$B$2:$B$657,A7,'S11 quality evidence'!$AB$2:$AB$657,"Analyst proposed resolution")+COUNTIFS('S11 quality evidence'!$B$2:$B$657,A7,'S11 quality evidence'!$AB$2:$AB$657,"New study author assessment")</f>
        <v>0</v>
      </c>
      <c r="N7" s="1">
        <f>COUNTIFS('S11 quality evidence'!$B$2:$B$657,A7,'S11 quality evidence'!$AB$2:$AB$657,"R2 retained")</f>
        <v>36</v>
      </c>
      <c r="O7" s="1" t="str">
        <f t="shared" ref="O7:O22" si="4">IF(G7&gt;0,"Unscored entries remain",IF(M7&gt;0,"Includes proposals awaiting approval","R2 assessment with targeted confirmed decisions"))</f>
        <v>R2 assessment with targeted confirmed decisions</v>
      </c>
    </row>
    <row r="8" spans="1:15" ht="15" customHeight="1">
      <c r="A8" s="1" t="s">
        <v>5542</v>
      </c>
      <c r="B8" s="1" t="s">
        <v>5543</v>
      </c>
      <c r="C8" s="1">
        <f>COUNTIFS('S11 quality evidence'!$B$2:$B$657,A8,'S11 quality evidence'!$AA$2:$AA$657,0,'S11 quality evidence'!$AB$2:$AB$657,"&lt;&gt;Unresolved under clarified rule")</f>
        <v>40</v>
      </c>
      <c r="D8" s="1">
        <f>COUNTIFS('S11 quality evidence'!$B$2:$B$657,A8,'S11 quality evidence'!$AA$2:$AA$657,1)</f>
        <v>1</v>
      </c>
      <c r="E8" s="1">
        <f>COUNTIFS('S11 quality evidence'!$B$2:$B$657,A8,'S11 quality evidence'!$AA$2:$AA$657,2)</f>
        <v>0</v>
      </c>
      <c r="F8" s="1">
        <f>COUNTIFS('S11 quality evidence'!$B$2:$B$657,A8,'S11 quality evidence'!$AA$2:$AA$657,"NA")</f>
        <v>0</v>
      </c>
      <c r="G8" s="1">
        <f t="shared" si="0"/>
        <v>0</v>
      </c>
      <c r="H8" s="1">
        <f>COUNTIFS('S11 quality evidence'!$B$2:$B$657,A8)</f>
        <v>41</v>
      </c>
      <c r="I8" s="1">
        <f t="shared" si="1"/>
        <v>41</v>
      </c>
      <c r="J8" s="3">
        <f t="shared" si="2"/>
        <v>0</v>
      </c>
      <c r="K8" s="3">
        <f t="shared" si="3"/>
        <v>0</v>
      </c>
      <c r="L8" s="1">
        <f>COUNTIFS('S11 quality evidence'!$B$2:$B$657,A8,'S11 quality evidence'!$F$2:$F$657,"&lt;&gt;")</f>
        <v>2</v>
      </c>
      <c r="M8" s="1">
        <f>COUNTIFS('S11 quality evidence'!$B$2:$B$657,A8,'S11 quality evidence'!$AB$2:$AB$657,"Analyst scope correction")+COUNTIFS('S11 quality evidence'!$B$2:$B$657,A8,'S11 quality evidence'!$AB$2:$AB$657,"Analyst proposed resolution")+COUNTIFS('S11 quality evidence'!$B$2:$B$657,A8,'S11 quality evidence'!$AB$2:$AB$657,"New study author assessment")</f>
        <v>0</v>
      </c>
      <c r="N8" s="1">
        <f>COUNTIFS('S11 quality evidence'!$B$2:$B$657,A8,'S11 quality evidence'!$AB$2:$AB$657,"R2 retained")</f>
        <v>39</v>
      </c>
      <c r="O8" s="1" t="str">
        <f t="shared" si="4"/>
        <v>R2 assessment with targeted confirmed decisions</v>
      </c>
    </row>
    <row r="9" spans="1:15" ht="15" customHeight="1">
      <c r="A9" s="1" t="s">
        <v>5547</v>
      </c>
      <c r="B9" s="1" t="s">
        <v>5548</v>
      </c>
      <c r="C9" s="1">
        <f>COUNTIFS('S11 quality evidence'!$B$2:$B$657,A9,'S11 quality evidence'!$AA$2:$AA$657,0,'S11 quality evidence'!$AB$2:$AB$657,"&lt;&gt;Unresolved under clarified rule")</f>
        <v>0</v>
      </c>
      <c r="D9" s="1">
        <f>COUNTIFS('S11 quality evidence'!$B$2:$B$657,A9,'S11 quality evidence'!$AA$2:$AA$657,1)</f>
        <v>41</v>
      </c>
      <c r="E9" s="1">
        <f>COUNTIFS('S11 quality evidence'!$B$2:$B$657,A9,'S11 quality evidence'!$AA$2:$AA$657,2)</f>
        <v>0</v>
      </c>
      <c r="F9" s="1">
        <f>COUNTIFS('S11 quality evidence'!$B$2:$B$657,A9,'S11 quality evidence'!$AA$2:$AA$657,"NA")</f>
        <v>0</v>
      </c>
      <c r="G9" s="1">
        <f t="shared" si="0"/>
        <v>0</v>
      </c>
      <c r="H9" s="1">
        <f>COUNTIFS('S11 quality evidence'!$B$2:$B$657,A9)</f>
        <v>41</v>
      </c>
      <c r="I9" s="1">
        <f t="shared" si="1"/>
        <v>41</v>
      </c>
      <c r="J9" s="3">
        <f t="shared" si="2"/>
        <v>0</v>
      </c>
      <c r="K9" s="3">
        <f t="shared" si="3"/>
        <v>0</v>
      </c>
      <c r="L9" s="1">
        <f>COUNTIFS('S11 quality evidence'!$B$2:$B$657,A9,'S11 quality evidence'!$F$2:$F$657,"&lt;&gt;")</f>
        <v>2</v>
      </c>
      <c r="M9" s="1">
        <f>COUNTIFS('S11 quality evidence'!$B$2:$B$657,A9,'S11 quality evidence'!$AB$2:$AB$657,"Analyst scope correction")+COUNTIFS('S11 quality evidence'!$B$2:$B$657,A9,'S11 quality evidence'!$AB$2:$AB$657,"Analyst proposed resolution")+COUNTIFS('S11 quality evidence'!$B$2:$B$657,A9,'S11 quality evidence'!$AB$2:$AB$657,"New study author assessment")</f>
        <v>0</v>
      </c>
      <c r="N9" s="1">
        <f>COUNTIFS('S11 quality evidence'!$B$2:$B$657,A9,'S11 quality evidence'!$AB$2:$AB$657,"R2 retained")</f>
        <v>39</v>
      </c>
      <c r="O9" s="1" t="str">
        <f t="shared" si="4"/>
        <v>R2 assessment with targeted confirmed decisions</v>
      </c>
    </row>
    <row r="10" spans="1:15" ht="15" customHeight="1">
      <c r="A10" s="1" t="s">
        <v>5552</v>
      </c>
      <c r="B10" s="1" t="s">
        <v>5553</v>
      </c>
      <c r="C10" s="1">
        <f>COUNTIFS('S11 quality evidence'!$B$2:$B$657,A10,'S11 quality evidence'!$AA$2:$AA$657,0,'S11 quality evidence'!$AB$2:$AB$657,"&lt;&gt;Unresolved under clarified rule")</f>
        <v>18</v>
      </c>
      <c r="D10" s="1">
        <f>COUNTIFS('S11 quality evidence'!$B$2:$B$657,A10,'S11 quality evidence'!$AA$2:$AA$657,1)</f>
        <v>14</v>
      </c>
      <c r="E10" s="1">
        <f>COUNTIFS('S11 quality evidence'!$B$2:$B$657,A10,'S11 quality evidence'!$AA$2:$AA$657,2)</f>
        <v>9</v>
      </c>
      <c r="F10" s="1">
        <f>COUNTIFS('S11 quality evidence'!$B$2:$B$657,A10,'S11 quality evidence'!$AA$2:$AA$657,"NA")</f>
        <v>0</v>
      </c>
      <c r="G10" s="1">
        <f t="shared" si="0"/>
        <v>0</v>
      </c>
      <c r="H10" s="1">
        <f>COUNTIFS('S11 quality evidence'!$B$2:$B$657,A10)</f>
        <v>41</v>
      </c>
      <c r="I10" s="1">
        <f t="shared" si="1"/>
        <v>41</v>
      </c>
      <c r="J10" s="3">
        <f t="shared" si="2"/>
        <v>0.21951219512195122</v>
      </c>
      <c r="K10" s="3">
        <f t="shared" si="3"/>
        <v>0.21951219512195122</v>
      </c>
      <c r="L10" s="1">
        <f>COUNTIFS('S11 quality evidence'!$B$2:$B$657,A10,'S11 quality evidence'!$F$2:$F$657,"&lt;&gt;")</f>
        <v>6</v>
      </c>
      <c r="M10" s="1">
        <f>COUNTIFS('S11 quality evidence'!$B$2:$B$657,A10,'S11 quality evidence'!$AB$2:$AB$657,"Analyst scope correction")+COUNTIFS('S11 quality evidence'!$B$2:$B$657,A10,'S11 quality evidence'!$AB$2:$AB$657,"Analyst proposed resolution")+COUNTIFS('S11 quality evidence'!$B$2:$B$657,A10,'S11 quality evidence'!$AB$2:$AB$657,"New study author assessment")</f>
        <v>0</v>
      </c>
      <c r="N10" s="1">
        <f>COUNTIFS('S11 quality evidence'!$B$2:$B$657,A10,'S11 quality evidence'!$AB$2:$AB$657,"R2 retained")</f>
        <v>35</v>
      </c>
      <c r="O10" s="1" t="str">
        <f t="shared" si="4"/>
        <v>R2 assessment with targeted confirmed decisions</v>
      </c>
    </row>
    <row r="11" spans="1:15" ht="15" customHeight="1">
      <c r="A11" s="1" t="s">
        <v>5557</v>
      </c>
      <c r="B11" s="1" t="s">
        <v>5558</v>
      </c>
      <c r="C11" s="1">
        <f>COUNTIFS('S11 quality evidence'!$B$2:$B$657,A11,'S11 quality evidence'!$AA$2:$AA$657,0,'S11 quality evidence'!$AB$2:$AB$657,"&lt;&gt;Unresolved under clarified rule")</f>
        <v>36</v>
      </c>
      <c r="D11" s="1">
        <f>COUNTIFS('S11 quality evidence'!$B$2:$B$657,A11,'S11 quality evidence'!$AA$2:$AA$657,1)</f>
        <v>1</v>
      </c>
      <c r="E11" s="1">
        <f>COUNTIFS('S11 quality evidence'!$B$2:$B$657,A11,'S11 quality evidence'!$AA$2:$AA$657,2)</f>
        <v>4</v>
      </c>
      <c r="F11" s="1">
        <f>COUNTIFS('S11 quality evidence'!$B$2:$B$657,A11,'S11 quality evidence'!$AA$2:$AA$657,"NA")</f>
        <v>0</v>
      </c>
      <c r="G11" s="1">
        <f t="shared" si="0"/>
        <v>0</v>
      </c>
      <c r="H11" s="1">
        <f>COUNTIFS('S11 quality evidence'!$B$2:$B$657,A11)</f>
        <v>41</v>
      </c>
      <c r="I11" s="1">
        <f t="shared" si="1"/>
        <v>41</v>
      </c>
      <c r="J11" s="3">
        <f t="shared" si="2"/>
        <v>9.7560975609756101E-2</v>
      </c>
      <c r="K11" s="3">
        <f t="shared" si="3"/>
        <v>9.7560975609756101E-2</v>
      </c>
      <c r="L11" s="1">
        <f>COUNTIFS('S11 quality evidence'!$B$2:$B$657,A11,'S11 quality evidence'!$F$2:$F$657,"&lt;&gt;")</f>
        <v>3</v>
      </c>
      <c r="M11" s="1">
        <f>COUNTIFS('S11 quality evidence'!$B$2:$B$657,A11,'S11 quality evidence'!$AB$2:$AB$657,"Analyst scope correction")+COUNTIFS('S11 quality evidence'!$B$2:$B$657,A11,'S11 quality evidence'!$AB$2:$AB$657,"Analyst proposed resolution")+COUNTIFS('S11 quality evidence'!$B$2:$B$657,A11,'S11 quality evidence'!$AB$2:$AB$657,"New study author assessment")</f>
        <v>0</v>
      </c>
      <c r="N11" s="1">
        <f>COUNTIFS('S11 quality evidence'!$B$2:$B$657,A11,'S11 quality evidence'!$AB$2:$AB$657,"R2 retained")</f>
        <v>38</v>
      </c>
      <c r="O11" s="1" t="str">
        <f t="shared" si="4"/>
        <v>R2 assessment with targeted confirmed decisions</v>
      </c>
    </row>
    <row r="12" spans="1:15" ht="15" customHeight="1">
      <c r="A12" s="1" t="s">
        <v>5562</v>
      </c>
      <c r="B12" s="1" t="s">
        <v>5563</v>
      </c>
      <c r="C12" s="1">
        <f>COUNTIFS('S11 quality evidence'!$B$2:$B$657,A12,'S11 quality evidence'!$AA$2:$AA$657,0,'S11 quality evidence'!$AB$2:$AB$657,"&lt;&gt;Unresolved under clarified rule")</f>
        <v>1</v>
      </c>
      <c r="D12" s="1">
        <f>COUNTIFS('S11 quality evidence'!$B$2:$B$657,A12,'S11 quality evidence'!$AA$2:$AA$657,1)</f>
        <v>26</v>
      </c>
      <c r="E12" s="1">
        <f>COUNTIFS('S11 quality evidence'!$B$2:$B$657,A12,'S11 quality evidence'!$AA$2:$AA$657,2)</f>
        <v>14</v>
      </c>
      <c r="F12" s="1">
        <f>COUNTIFS('S11 quality evidence'!$B$2:$B$657,A12,'S11 quality evidence'!$AA$2:$AA$657,"NA")</f>
        <v>0</v>
      </c>
      <c r="G12" s="1">
        <f t="shared" si="0"/>
        <v>0</v>
      </c>
      <c r="H12" s="1">
        <f>COUNTIFS('S11 quality evidence'!$B$2:$B$657,A12)</f>
        <v>41</v>
      </c>
      <c r="I12" s="1">
        <f t="shared" si="1"/>
        <v>41</v>
      </c>
      <c r="J12" s="3">
        <f t="shared" si="2"/>
        <v>0.34146341463414637</v>
      </c>
      <c r="K12" s="3">
        <f t="shared" si="3"/>
        <v>0.34146341463414637</v>
      </c>
      <c r="L12" s="1">
        <f>COUNTIFS('S11 quality evidence'!$B$2:$B$657,A12,'S11 quality evidence'!$F$2:$F$657,"&lt;&gt;")</f>
        <v>22</v>
      </c>
      <c r="M12" s="1">
        <f>COUNTIFS('S11 quality evidence'!$B$2:$B$657,A12,'S11 quality evidence'!$AB$2:$AB$657,"Analyst scope correction")+COUNTIFS('S11 quality evidence'!$B$2:$B$657,A12,'S11 quality evidence'!$AB$2:$AB$657,"Analyst proposed resolution")+COUNTIFS('S11 quality evidence'!$B$2:$B$657,A12,'S11 quality evidence'!$AB$2:$AB$657,"New study author assessment")</f>
        <v>0</v>
      </c>
      <c r="N12" s="1">
        <f>COUNTIFS('S11 quality evidence'!$B$2:$B$657,A12,'S11 quality evidence'!$AB$2:$AB$657,"R2 retained")</f>
        <v>19</v>
      </c>
      <c r="O12" s="1" t="str">
        <f t="shared" si="4"/>
        <v>R2 assessment with targeted confirmed decisions</v>
      </c>
    </row>
    <row r="13" spans="1:15" ht="15" customHeight="1">
      <c r="A13" s="1" t="s">
        <v>5567</v>
      </c>
      <c r="B13" s="1" t="s">
        <v>5568</v>
      </c>
      <c r="C13" s="1">
        <f>COUNTIFS('S11 quality evidence'!$B$2:$B$657,A13,'S11 quality evidence'!$AA$2:$AA$657,0,'S11 quality evidence'!$AB$2:$AB$657,"&lt;&gt;Unresolved under clarified rule")</f>
        <v>22</v>
      </c>
      <c r="D13" s="1">
        <f>COUNTIFS('S11 quality evidence'!$B$2:$B$657,A13,'S11 quality evidence'!$AA$2:$AA$657,1)</f>
        <v>5</v>
      </c>
      <c r="E13" s="1">
        <f>COUNTIFS('S11 quality evidence'!$B$2:$B$657,A13,'S11 quality evidence'!$AA$2:$AA$657,2)</f>
        <v>14</v>
      </c>
      <c r="F13" s="1">
        <f>COUNTIFS('S11 quality evidence'!$B$2:$B$657,A13,'S11 quality evidence'!$AA$2:$AA$657,"NA")</f>
        <v>0</v>
      </c>
      <c r="G13" s="1">
        <f t="shared" si="0"/>
        <v>0</v>
      </c>
      <c r="H13" s="1">
        <f>COUNTIFS('S11 quality evidence'!$B$2:$B$657,A13)</f>
        <v>41</v>
      </c>
      <c r="I13" s="1">
        <f t="shared" si="1"/>
        <v>41</v>
      </c>
      <c r="J13" s="3">
        <f t="shared" si="2"/>
        <v>0.34146341463414637</v>
      </c>
      <c r="K13" s="3">
        <f t="shared" si="3"/>
        <v>0.34146341463414637</v>
      </c>
      <c r="L13" s="1">
        <f>COUNTIFS('S11 quality evidence'!$B$2:$B$657,A13,'S11 quality evidence'!$F$2:$F$657,"&lt;&gt;")</f>
        <v>3</v>
      </c>
      <c r="M13" s="1">
        <f>COUNTIFS('S11 quality evidence'!$B$2:$B$657,A13,'S11 quality evidence'!$AB$2:$AB$657,"Analyst scope correction")+COUNTIFS('S11 quality evidence'!$B$2:$B$657,A13,'S11 quality evidence'!$AB$2:$AB$657,"Analyst proposed resolution")+COUNTIFS('S11 quality evidence'!$B$2:$B$657,A13,'S11 quality evidence'!$AB$2:$AB$657,"New study author assessment")</f>
        <v>0</v>
      </c>
      <c r="N13" s="1">
        <f>COUNTIFS('S11 quality evidence'!$B$2:$B$657,A13,'S11 quality evidence'!$AB$2:$AB$657,"R2 retained")</f>
        <v>38</v>
      </c>
      <c r="O13" s="1" t="str">
        <f t="shared" si="4"/>
        <v>R2 assessment with targeted confirmed decisions</v>
      </c>
    </row>
    <row r="14" spans="1:15" ht="15" customHeight="1">
      <c r="A14" s="1" t="s">
        <v>5572</v>
      </c>
      <c r="B14" s="1" t="s">
        <v>5573</v>
      </c>
      <c r="C14" s="1">
        <f>COUNTIFS('S11 quality evidence'!$B$2:$B$657,A14,'S11 quality evidence'!$AA$2:$AA$657,0,'S11 quality evidence'!$AB$2:$AB$657,"&lt;&gt;Unresolved under clarified rule")</f>
        <v>16</v>
      </c>
      <c r="D14" s="1">
        <f>COUNTIFS('S11 quality evidence'!$B$2:$B$657,A14,'S11 quality evidence'!$AA$2:$AA$657,1)</f>
        <v>16</v>
      </c>
      <c r="E14" s="1">
        <f>COUNTIFS('S11 quality evidence'!$B$2:$B$657,A14,'S11 quality evidence'!$AA$2:$AA$657,2)</f>
        <v>9</v>
      </c>
      <c r="F14" s="1">
        <f>COUNTIFS('S11 quality evidence'!$B$2:$B$657,A14,'S11 quality evidence'!$AA$2:$AA$657,"NA")</f>
        <v>0</v>
      </c>
      <c r="G14" s="1">
        <f t="shared" si="0"/>
        <v>0</v>
      </c>
      <c r="H14" s="1">
        <f>COUNTIFS('S11 quality evidence'!$B$2:$B$657,A14)</f>
        <v>41</v>
      </c>
      <c r="I14" s="1">
        <f t="shared" si="1"/>
        <v>41</v>
      </c>
      <c r="J14" s="3">
        <f t="shared" si="2"/>
        <v>0.21951219512195122</v>
      </c>
      <c r="K14" s="3">
        <f t="shared" si="3"/>
        <v>0.21951219512195122</v>
      </c>
      <c r="L14" s="1">
        <f>COUNTIFS('S11 quality evidence'!$B$2:$B$657,A14,'S11 quality evidence'!$F$2:$F$657,"&lt;&gt;")</f>
        <v>4</v>
      </c>
      <c r="M14" s="1">
        <f>COUNTIFS('S11 quality evidence'!$B$2:$B$657,A14,'S11 quality evidence'!$AB$2:$AB$657,"Analyst scope correction")+COUNTIFS('S11 quality evidence'!$B$2:$B$657,A14,'S11 quality evidence'!$AB$2:$AB$657,"Analyst proposed resolution")+COUNTIFS('S11 quality evidence'!$B$2:$B$657,A14,'S11 quality evidence'!$AB$2:$AB$657,"New study author assessment")</f>
        <v>0</v>
      </c>
      <c r="N14" s="1">
        <f>COUNTIFS('S11 quality evidence'!$B$2:$B$657,A14,'S11 quality evidence'!$AB$2:$AB$657,"R2 retained")</f>
        <v>37</v>
      </c>
      <c r="O14" s="1" t="str">
        <f t="shared" si="4"/>
        <v>R2 assessment with targeted confirmed decisions</v>
      </c>
    </row>
    <row r="15" spans="1:15" ht="15" customHeight="1">
      <c r="A15" s="1" t="s">
        <v>5577</v>
      </c>
      <c r="B15" s="1" t="s">
        <v>5578</v>
      </c>
      <c r="C15" s="1">
        <f>COUNTIFS('S11 quality evidence'!$B$2:$B$657,A15,'S11 quality evidence'!$AA$2:$AA$657,0,'S11 quality evidence'!$AB$2:$AB$657,"&lt;&gt;Unresolved under clarified rule")</f>
        <v>0</v>
      </c>
      <c r="D15" s="1">
        <f>COUNTIFS('S11 quality evidence'!$B$2:$B$657,A15,'S11 quality evidence'!$AA$2:$AA$657,1)</f>
        <v>6</v>
      </c>
      <c r="E15" s="1">
        <f>COUNTIFS('S11 quality evidence'!$B$2:$B$657,A15,'S11 quality evidence'!$AA$2:$AA$657,2)</f>
        <v>35</v>
      </c>
      <c r="F15" s="1">
        <f>COUNTIFS('S11 quality evidence'!$B$2:$B$657,A15,'S11 quality evidence'!$AA$2:$AA$657,"NA")</f>
        <v>0</v>
      </c>
      <c r="G15" s="1">
        <f t="shared" si="0"/>
        <v>0</v>
      </c>
      <c r="H15" s="1">
        <f>COUNTIFS('S11 quality evidence'!$B$2:$B$657,A15)</f>
        <v>41</v>
      </c>
      <c r="I15" s="1">
        <f t="shared" si="1"/>
        <v>41</v>
      </c>
      <c r="J15" s="3">
        <f t="shared" si="2"/>
        <v>0.85365853658536583</v>
      </c>
      <c r="K15" s="3">
        <f t="shared" si="3"/>
        <v>0.85365853658536583</v>
      </c>
      <c r="L15" s="1">
        <f>COUNTIFS('S11 quality evidence'!$B$2:$B$657,A15,'S11 quality evidence'!$F$2:$F$657,"&lt;&gt;")</f>
        <v>2</v>
      </c>
      <c r="M15" s="1">
        <f>COUNTIFS('S11 quality evidence'!$B$2:$B$657,A15,'S11 quality evidence'!$AB$2:$AB$657,"Analyst scope correction")+COUNTIFS('S11 quality evidence'!$B$2:$B$657,A15,'S11 quality evidence'!$AB$2:$AB$657,"Analyst proposed resolution")+COUNTIFS('S11 quality evidence'!$B$2:$B$657,A15,'S11 quality evidence'!$AB$2:$AB$657,"New study author assessment")</f>
        <v>0</v>
      </c>
      <c r="N15" s="1">
        <f>COUNTIFS('S11 quality evidence'!$B$2:$B$657,A15,'S11 quality evidence'!$AB$2:$AB$657,"R2 retained")</f>
        <v>39</v>
      </c>
      <c r="O15" s="1" t="str">
        <f t="shared" si="4"/>
        <v>R2 assessment with targeted confirmed decisions</v>
      </c>
    </row>
    <row r="16" spans="1:15" ht="15" customHeight="1">
      <c r="A16" s="1" t="s">
        <v>5582</v>
      </c>
      <c r="B16" s="1" t="s">
        <v>5583</v>
      </c>
      <c r="C16" s="1">
        <f>COUNTIFS('S11 quality evidence'!$B$2:$B$657,A16,'S11 quality evidence'!$AA$2:$AA$657,0,'S11 quality evidence'!$AB$2:$AB$657,"&lt;&gt;Unresolved under clarified rule")</f>
        <v>35</v>
      </c>
      <c r="D16" s="1">
        <f>COUNTIFS('S11 quality evidence'!$B$2:$B$657,A16,'S11 quality evidence'!$AA$2:$AA$657,1)</f>
        <v>3</v>
      </c>
      <c r="E16" s="1">
        <f>COUNTIFS('S11 quality evidence'!$B$2:$B$657,A16,'S11 quality evidence'!$AA$2:$AA$657,2)</f>
        <v>3</v>
      </c>
      <c r="F16" s="1">
        <f>COUNTIFS('S11 quality evidence'!$B$2:$B$657,A16,'S11 quality evidence'!$AA$2:$AA$657,"NA")</f>
        <v>0</v>
      </c>
      <c r="G16" s="1">
        <f t="shared" si="0"/>
        <v>0</v>
      </c>
      <c r="H16" s="1">
        <f>COUNTIFS('S11 quality evidence'!$B$2:$B$657,A16)</f>
        <v>41</v>
      </c>
      <c r="I16" s="1">
        <f t="shared" si="1"/>
        <v>41</v>
      </c>
      <c r="J16" s="3">
        <f t="shared" si="2"/>
        <v>7.3170731707317069E-2</v>
      </c>
      <c r="K16" s="3">
        <f t="shared" si="3"/>
        <v>7.3170731707317069E-2</v>
      </c>
      <c r="L16" s="1">
        <f>COUNTIFS('S11 quality evidence'!$B$2:$B$657,A16,'S11 quality evidence'!$F$2:$F$657,"&lt;&gt;")</f>
        <v>9</v>
      </c>
      <c r="M16" s="1">
        <f>COUNTIFS('S11 quality evidence'!$B$2:$B$657,A16,'S11 quality evidence'!$AB$2:$AB$657,"Analyst scope correction")+COUNTIFS('S11 quality evidence'!$B$2:$B$657,A16,'S11 quality evidence'!$AB$2:$AB$657,"Analyst proposed resolution")+COUNTIFS('S11 quality evidence'!$B$2:$B$657,A16,'S11 quality evidence'!$AB$2:$AB$657,"New study author assessment")</f>
        <v>0</v>
      </c>
      <c r="N16" s="1">
        <f>COUNTIFS('S11 quality evidence'!$B$2:$B$657,A16,'S11 quality evidence'!$AB$2:$AB$657,"R2 retained")</f>
        <v>32</v>
      </c>
      <c r="O16" s="1" t="str">
        <f t="shared" si="4"/>
        <v>R2 assessment with targeted confirmed decisions</v>
      </c>
    </row>
    <row r="17" spans="1:15" ht="15" customHeight="1">
      <c r="A17" s="1" t="s">
        <v>5586</v>
      </c>
      <c r="B17" s="1" t="s">
        <v>5587</v>
      </c>
      <c r="C17" s="1">
        <f>COUNTIFS('S11 quality evidence'!$B$2:$B$657,A17,'S11 quality evidence'!$AA$2:$AA$657,0,'S11 quality evidence'!$AB$2:$AB$657,"&lt;&gt;Unresolved under clarified rule")</f>
        <v>30</v>
      </c>
      <c r="D17" s="1">
        <f>COUNTIFS('S11 quality evidence'!$B$2:$B$657,A17,'S11 quality evidence'!$AA$2:$AA$657,1)</f>
        <v>2</v>
      </c>
      <c r="E17" s="1">
        <f>COUNTIFS('S11 quality evidence'!$B$2:$B$657,A17,'S11 quality evidence'!$AA$2:$AA$657,2)</f>
        <v>9</v>
      </c>
      <c r="F17" s="1">
        <f>COUNTIFS('S11 quality evidence'!$B$2:$B$657,A17,'S11 quality evidence'!$AA$2:$AA$657,"NA")</f>
        <v>0</v>
      </c>
      <c r="G17" s="1">
        <f t="shared" si="0"/>
        <v>0</v>
      </c>
      <c r="H17" s="1">
        <f>COUNTIFS('S11 quality evidence'!$B$2:$B$657,A17)</f>
        <v>41</v>
      </c>
      <c r="I17" s="1">
        <f t="shared" si="1"/>
        <v>41</v>
      </c>
      <c r="J17" s="3">
        <f t="shared" si="2"/>
        <v>0.21951219512195122</v>
      </c>
      <c r="K17" s="3">
        <f t="shared" si="3"/>
        <v>0.21951219512195122</v>
      </c>
      <c r="L17" s="1">
        <f>COUNTIFS('S11 quality evidence'!$B$2:$B$657,A17,'S11 quality evidence'!$F$2:$F$657,"&lt;&gt;")</f>
        <v>2</v>
      </c>
      <c r="M17" s="1">
        <f>COUNTIFS('S11 quality evidence'!$B$2:$B$657,A17,'S11 quality evidence'!$AB$2:$AB$657,"Analyst scope correction")+COUNTIFS('S11 quality evidence'!$B$2:$B$657,A17,'S11 quality evidence'!$AB$2:$AB$657,"Analyst proposed resolution")+COUNTIFS('S11 quality evidence'!$B$2:$B$657,A17,'S11 quality evidence'!$AB$2:$AB$657,"New study author assessment")</f>
        <v>0</v>
      </c>
      <c r="N17" s="1">
        <f>COUNTIFS('S11 quality evidence'!$B$2:$B$657,A17,'S11 quality evidence'!$AB$2:$AB$657,"R2 retained")</f>
        <v>39</v>
      </c>
      <c r="O17" s="1" t="str">
        <f t="shared" si="4"/>
        <v>R2 assessment with targeted confirmed decisions</v>
      </c>
    </row>
    <row r="18" spans="1:15" ht="15" customHeight="1">
      <c r="A18" s="1" t="s">
        <v>5591</v>
      </c>
      <c r="B18" s="1" t="s">
        <v>5592</v>
      </c>
      <c r="C18" s="1">
        <f>COUNTIFS('S11 quality evidence'!$B$2:$B$657,A18,'S11 quality evidence'!$AA$2:$AA$657,0,'S11 quality evidence'!$AB$2:$AB$657,"&lt;&gt;Unresolved under clarified rule")</f>
        <v>40</v>
      </c>
      <c r="D18" s="1">
        <f>COUNTIFS('S11 quality evidence'!$B$2:$B$657,A18,'S11 quality evidence'!$AA$2:$AA$657,1)</f>
        <v>0</v>
      </c>
      <c r="E18" s="1">
        <f>COUNTIFS('S11 quality evidence'!$B$2:$B$657,A18,'S11 quality evidence'!$AA$2:$AA$657,2)</f>
        <v>1</v>
      </c>
      <c r="F18" s="1">
        <f>COUNTIFS('S11 quality evidence'!$B$2:$B$657,A18,'S11 quality evidence'!$AA$2:$AA$657,"NA")</f>
        <v>0</v>
      </c>
      <c r="G18" s="1">
        <f t="shared" si="0"/>
        <v>0</v>
      </c>
      <c r="H18" s="1">
        <f>COUNTIFS('S11 quality evidence'!$B$2:$B$657,A18)</f>
        <v>41</v>
      </c>
      <c r="I18" s="1">
        <f t="shared" si="1"/>
        <v>41</v>
      </c>
      <c r="J18" s="3">
        <f t="shared" si="2"/>
        <v>2.4390243902439025E-2</v>
      </c>
      <c r="K18" s="3">
        <f t="shared" si="3"/>
        <v>2.4390243902439025E-2</v>
      </c>
      <c r="L18" s="1">
        <f>COUNTIFS('S11 quality evidence'!$B$2:$B$657,A18,'S11 quality evidence'!$F$2:$F$657,"&lt;&gt;")</f>
        <v>25</v>
      </c>
      <c r="M18" s="1">
        <f>COUNTIFS('S11 quality evidence'!$B$2:$B$657,A18,'S11 quality evidence'!$AB$2:$AB$657,"Analyst scope correction")+COUNTIFS('S11 quality evidence'!$B$2:$B$657,A18,'S11 quality evidence'!$AB$2:$AB$657,"Analyst proposed resolution")+COUNTIFS('S11 quality evidence'!$B$2:$B$657,A18,'S11 quality evidence'!$AB$2:$AB$657,"New study author assessment")</f>
        <v>0</v>
      </c>
      <c r="N18" s="1">
        <f>COUNTIFS('S11 quality evidence'!$B$2:$B$657,A18,'S11 quality evidence'!$AB$2:$AB$657,"R2 retained")</f>
        <v>16</v>
      </c>
      <c r="O18" s="1" t="str">
        <f t="shared" si="4"/>
        <v>R2 assessment with targeted confirmed decisions</v>
      </c>
    </row>
    <row r="19" spans="1:15" ht="15" customHeight="1">
      <c r="A19" s="1" t="s">
        <v>5596</v>
      </c>
      <c r="B19" s="1" t="s">
        <v>5597</v>
      </c>
      <c r="C19" s="1">
        <f>COUNTIFS('S11 quality evidence'!$B$2:$B$657,A19,'S11 quality evidence'!$AA$2:$AA$657,0,'S11 quality evidence'!$AB$2:$AB$657,"&lt;&gt;Unresolved under clarified rule")</f>
        <v>35</v>
      </c>
      <c r="D19" s="1">
        <f>COUNTIFS('S11 quality evidence'!$B$2:$B$657,A19,'S11 quality evidence'!$AA$2:$AA$657,1)</f>
        <v>5</v>
      </c>
      <c r="E19" s="1">
        <f>COUNTIFS('S11 quality evidence'!$B$2:$B$657,A19,'S11 quality evidence'!$AA$2:$AA$657,2)</f>
        <v>1</v>
      </c>
      <c r="F19" s="1">
        <f>COUNTIFS('S11 quality evidence'!$B$2:$B$657,A19,'S11 quality evidence'!$AA$2:$AA$657,"NA")</f>
        <v>0</v>
      </c>
      <c r="G19" s="1">
        <f t="shared" si="0"/>
        <v>0</v>
      </c>
      <c r="H19" s="1">
        <f>COUNTIFS('S11 quality evidence'!$B$2:$B$657,A19)</f>
        <v>41</v>
      </c>
      <c r="I19" s="1">
        <f t="shared" si="1"/>
        <v>41</v>
      </c>
      <c r="J19" s="3">
        <f t="shared" si="2"/>
        <v>2.4390243902439025E-2</v>
      </c>
      <c r="K19" s="3">
        <f t="shared" si="3"/>
        <v>2.4390243902439025E-2</v>
      </c>
      <c r="L19" s="1">
        <f>COUNTIFS('S11 quality evidence'!$B$2:$B$657,A19,'S11 quality evidence'!$F$2:$F$657,"&lt;&gt;")</f>
        <v>3</v>
      </c>
      <c r="M19" s="1">
        <f>COUNTIFS('S11 quality evidence'!$B$2:$B$657,A19,'S11 quality evidence'!$AB$2:$AB$657,"Analyst scope correction")+COUNTIFS('S11 quality evidence'!$B$2:$B$657,A19,'S11 quality evidence'!$AB$2:$AB$657,"Analyst proposed resolution")+COUNTIFS('S11 quality evidence'!$B$2:$B$657,A19,'S11 quality evidence'!$AB$2:$AB$657,"New study author assessment")</f>
        <v>0</v>
      </c>
      <c r="N19" s="1">
        <f>COUNTIFS('S11 quality evidence'!$B$2:$B$657,A19,'S11 quality evidence'!$AB$2:$AB$657,"R2 retained")</f>
        <v>38</v>
      </c>
      <c r="O19" s="1" t="str">
        <f t="shared" si="4"/>
        <v>R2 assessment with targeted confirmed decisions</v>
      </c>
    </row>
    <row r="20" spans="1:15" ht="15" customHeight="1">
      <c r="A20" s="1" t="s">
        <v>5601</v>
      </c>
      <c r="B20" s="1" t="s">
        <v>5602</v>
      </c>
      <c r="C20" s="1">
        <f>COUNTIFS('S11 quality evidence'!$B$2:$B$657,A20,'S11 quality evidence'!$AA$2:$AA$657,0,'S11 quality evidence'!$AB$2:$AB$657,"&lt;&gt;Unresolved under clarified rule")</f>
        <v>1</v>
      </c>
      <c r="D20" s="1">
        <f>COUNTIFS('S11 quality evidence'!$B$2:$B$657,A20,'S11 quality evidence'!$AA$2:$AA$657,1)</f>
        <v>35</v>
      </c>
      <c r="E20" s="1">
        <f>COUNTIFS('S11 quality evidence'!$B$2:$B$657,A20,'S11 quality evidence'!$AA$2:$AA$657,2)</f>
        <v>5</v>
      </c>
      <c r="F20" s="1">
        <f>COUNTIFS('S11 quality evidence'!$B$2:$B$657,A20,'S11 quality evidence'!$AA$2:$AA$657,"NA")</f>
        <v>0</v>
      </c>
      <c r="G20" s="1">
        <f t="shared" si="0"/>
        <v>0</v>
      </c>
      <c r="H20" s="1">
        <f>COUNTIFS('S11 quality evidence'!$B$2:$B$657,A20)</f>
        <v>41</v>
      </c>
      <c r="I20" s="1">
        <f t="shared" si="1"/>
        <v>41</v>
      </c>
      <c r="J20" s="3">
        <f t="shared" si="2"/>
        <v>0.12195121951219512</v>
      </c>
      <c r="K20" s="3">
        <f t="shared" si="3"/>
        <v>0.12195121951219512</v>
      </c>
      <c r="L20" s="1">
        <f>COUNTIFS('S11 quality evidence'!$B$2:$B$657,A20,'S11 quality evidence'!$F$2:$F$657,"&lt;&gt;")</f>
        <v>2</v>
      </c>
      <c r="M20" s="1">
        <f>COUNTIFS('S11 quality evidence'!$B$2:$B$657,A20,'S11 quality evidence'!$AB$2:$AB$657,"Analyst scope correction")+COUNTIFS('S11 quality evidence'!$B$2:$B$657,A20,'S11 quality evidence'!$AB$2:$AB$657,"Analyst proposed resolution")+COUNTIFS('S11 quality evidence'!$B$2:$B$657,A20,'S11 quality evidence'!$AB$2:$AB$657,"New study author assessment")</f>
        <v>0</v>
      </c>
      <c r="N20" s="1">
        <f>COUNTIFS('S11 quality evidence'!$B$2:$B$657,A20,'S11 quality evidence'!$AB$2:$AB$657,"R2 retained")</f>
        <v>39</v>
      </c>
      <c r="O20" s="1" t="str">
        <f t="shared" si="4"/>
        <v>R2 assessment with targeted confirmed decisions</v>
      </c>
    </row>
    <row r="21" spans="1:15" ht="15" customHeight="1">
      <c r="A21" s="1" t="s">
        <v>5606</v>
      </c>
      <c r="B21" s="1" t="s">
        <v>5607</v>
      </c>
      <c r="C21" s="1">
        <f>COUNTIFS('S11 quality evidence'!$B$2:$B$657,A21,'S11 quality evidence'!$AA$2:$AA$657,0,'S11 quality evidence'!$AB$2:$AB$657,"&lt;&gt;Unresolved under clarified rule")</f>
        <v>8</v>
      </c>
      <c r="D21" s="1">
        <f>COUNTIFS('S11 quality evidence'!$B$2:$B$657,A21,'S11 quality evidence'!$AA$2:$AA$657,1)</f>
        <v>13</v>
      </c>
      <c r="E21" s="1">
        <f>COUNTIFS('S11 quality evidence'!$B$2:$B$657,A21,'S11 quality evidence'!$AA$2:$AA$657,2)</f>
        <v>20</v>
      </c>
      <c r="F21" s="1">
        <f>COUNTIFS('S11 quality evidence'!$B$2:$B$657,A21,'S11 quality evidence'!$AA$2:$AA$657,"NA")</f>
        <v>0</v>
      </c>
      <c r="G21" s="1">
        <f t="shared" si="0"/>
        <v>0</v>
      </c>
      <c r="H21" s="1">
        <f>COUNTIFS('S11 quality evidence'!$B$2:$B$657,A21)</f>
        <v>41</v>
      </c>
      <c r="I21" s="1">
        <f t="shared" si="1"/>
        <v>41</v>
      </c>
      <c r="J21" s="3">
        <f t="shared" si="2"/>
        <v>0.48780487804878048</v>
      </c>
      <c r="K21" s="3">
        <f t="shared" si="3"/>
        <v>0.48780487804878048</v>
      </c>
      <c r="L21" s="1">
        <f>COUNTIFS('S11 quality evidence'!$B$2:$B$657,A21,'S11 quality evidence'!$F$2:$F$657,"&lt;&gt;")</f>
        <v>2</v>
      </c>
      <c r="M21" s="1">
        <f>COUNTIFS('S11 quality evidence'!$B$2:$B$657,A21,'S11 quality evidence'!$AB$2:$AB$657,"Analyst scope correction")+COUNTIFS('S11 quality evidence'!$B$2:$B$657,A21,'S11 quality evidence'!$AB$2:$AB$657,"Analyst proposed resolution")+COUNTIFS('S11 quality evidence'!$B$2:$B$657,A21,'S11 quality evidence'!$AB$2:$AB$657,"New study author assessment")</f>
        <v>0</v>
      </c>
      <c r="N21" s="1">
        <f>COUNTIFS('S11 quality evidence'!$B$2:$B$657,A21,'S11 quality evidence'!$AB$2:$AB$657,"R2 retained")</f>
        <v>39</v>
      </c>
      <c r="O21" s="1" t="str">
        <f t="shared" si="4"/>
        <v>R2 assessment with targeted confirmed decisions</v>
      </c>
    </row>
    <row r="22" spans="1:15" ht="15" customHeight="1">
      <c r="A22" s="1" t="s">
        <v>5454</v>
      </c>
      <c r="B22" s="1" t="s">
        <v>5455</v>
      </c>
      <c r="C22" s="1">
        <f>COUNTIFS('S11 quality evidence'!$B$2:$B$657,A22,'S11 quality evidence'!$AA$2:$AA$657,0,'S11 quality evidence'!$AB$2:$AB$657,"&lt;&gt;Unresolved under clarified rule")</f>
        <v>25</v>
      </c>
      <c r="D22" s="1">
        <f>COUNTIFS('S11 quality evidence'!$B$2:$B$657,A22,'S11 quality evidence'!$AA$2:$AA$657,1)</f>
        <v>15</v>
      </c>
      <c r="E22" s="1">
        <f>COUNTIFS('S11 quality evidence'!$B$2:$B$657,A22,'S11 quality evidence'!$AA$2:$AA$657,2)</f>
        <v>1</v>
      </c>
      <c r="F22" s="1">
        <f>COUNTIFS('S11 quality evidence'!$B$2:$B$657,A22,'S11 quality evidence'!$AA$2:$AA$657,"NA")</f>
        <v>0</v>
      </c>
      <c r="G22" s="1">
        <f t="shared" si="0"/>
        <v>0</v>
      </c>
      <c r="H22" s="1">
        <f>COUNTIFS('S11 quality evidence'!$B$2:$B$657,A22)</f>
        <v>41</v>
      </c>
      <c r="I22" s="1">
        <f t="shared" si="1"/>
        <v>41</v>
      </c>
      <c r="J22" s="3">
        <f t="shared" si="2"/>
        <v>2.4390243902439025E-2</v>
      </c>
      <c r="K22" s="3">
        <f t="shared" si="3"/>
        <v>2.4390243902439025E-2</v>
      </c>
      <c r="L22" s="1">
        <f>COUNTIFS('S11 quality evidence'!$B$2:$B$657,A22,'S11 quality evidence'!$F$2:$F$657,"&lt;&gt;")</f>
        <v>22</v>
      </c>
      <c r="M22" s="1">
        <f>COUNTIFS('S11 quality evidence'!$B$2:$B$657,A22,'S11 quality evidence'!$AB$2:$AB$657,"Analyst scope correction")+COUNTIFS('S11 quality evidence'!$B$2:$B$657,A22,'S11 quality evidence'!$AB$2:$AB$657,"Analyst proposed resolution")+COUNTIFS('S11 quality evidence'!$B$2:$B$657,A22,'S11 quality evidence'!$AB$2:$AB$657,"New study author assessment")</f>
        <v>0</v>
      </c>
      <c r="N22" s="1">
        <f>COUNTIFS('S11 quality evidence'!$B$2:$B$657,A22,'S11 quality evidence'!$AB$2:$AB$657,"R2 retained")</f>
        <v>19</v>
      </c>
      <c r="O22" s="1" t="str">
        <f t="shared" si="4"/>
        <v>R2 assessment with targeted confirmed decisions</v>
      </c>
    </row>
    <row r="23" spans="1:15" ht="15" customHeight="1">
      <c r="A23" s="1"/>
      <c r="B23" s="1"/>
      <c r="C23" s="1"/>
      <c r="D23" s="1"/>
      <c r="E23" s="1"/>
      <c r="F23" s="1"/>
      <c r="G23" s="1"/>
      <c r="H23" s="1"/>
      <c r="I23" s="1"/>
      <c r="J23" s="1"/>
      <c r="K23" s="1"/>
      <c r="L23" s="1"/>
      <c r="M23" s="1"/>
      <c r="N23" s="1"/>
      <c r="O23" s="1"/>
    </row>
    <row r="24" spans="1:15" ht="60" customHeight="1">
      <c r="A24" s="1" t="s">
        <v>14636</v>
      </c>
      <c r="B24" s="1"/>
      <c r="C24" s="1"/>
      <c r="D24" s="1"/>
      <c r="E24" s="1"/>
      <c r="F24" s="1"/>
      <c r="G24" s="1"/>
      <c r="H24" s="1"/>
      <c r="I24" s="1"/>
      <c r="J24" s="1"/>
      <c r="K24" s="1"/>
      <c r="L24" s="1"/>
      <c r="M24" s="1"/>
      <c r="N24" s="1"/>
      <c r="O24" s="1"/>
    </row>
    <row r="25" spans="1:15" ht="60" customHeight="1">
      <c r="A25" s="1" t="s">
        <v>14637</v>
      </c>
      <c r="B25" s="1"/>
      <c r="C25" s="1"/>
      <c r="D25" s="1"/>
      <c r="E25" s="1"/>
      <c r="F25" s="1"/>
      <c r="G25" s="1"/>
      <c r="H25" s="1"/>
      <c r="I25" s="1"/>
      <c r="J25" s="1"/>
      <c r="K25" s="1"/>
      <c r="L25" s="1"/>
      <c r="M25" s="1"/>
      <c r="N25" s="1"/>
      <c r="O25" s="1"/>
    </row>
    <row r="26" spans="1:15" ht="60" customHeight="1">
      <c r="A26" s="1" t="s">
        <v>14638</v>
      </c>
      <c r="B26" s="1"/>
      <c r="C26" s="1"/>
      <c r="D26" s="1"/>
      <c r="E26" s="1"/>
      <c r="F26" s="1"/>
      <c r="G26" s="1"/>
      <c r="H26" s="1"/>
      <c r="I26" s="1"/>
      <c r="J26" s="1"/>
      <c r="K26" s="1"/>
      <c r="L26" s="1"/>
      <c r="M26" s="1"/>
      <c r="N26" s="1"/>
      <c r="O26" s="1"/>
    </row>
    <row r="27" spans="1:15" ht="15" customHeight="1">
      <c r="A27" s="1"/>
      <c r="B27" s="1"/>
      <c r="C27" s="1"/>
      <c r="D27" s="1"/>
      <c r="E27" s="1"/>
      <c r="F27" s="1"/>
      <c r="G27" s="1"/>
      <c r="H27" s="1"/>
      <c r="I27" s="1"/>
      <c r="J27" s="1"/>
      <c r="K27" s="1"/>
      <c r="L27" s="1"/>
      <c r="M27" s="1"/>
      <c r="N27" s="1"/>
      <c r="O27" s="1"/>
    </row>
    <row r="28" spans="1:15" ht="48" customHeight="1">
      <c r="A28" s="1" t="s">
        <v>14639</v>
      </c>
      <c r="B28" s="1"/>
      <c r="C28" s="1"/>
      <c r="D28" s="1"/>
      <c r="E28" s="1"/>
      <c r="F28" s="1"/>
      <c r="G28" s="1"/>
      <c r="H28" s="1"/>
      <c r="I28" s="1"/>
      <c r="J28" s="1"/>
      <c r="K28" s="1"/>
      <c r="L28" s="1"/>
      <c r="M28" s="1"/>
      <c r="N28" s="1"/>
      <c r="O28" s="1"/>
    </row>
    <row r="29" spans="1:15" ht="15" customHeight="1">
      <c r="A29" s="1"/>
      <c r="B29" s="1"/>
      <c r="C29" s="1"/>
      <c r="D29" s="1"/>
      <c r="E29" s="1"/>
      <c r="F29" s="1"/>
      <c r="G29" s="1"/>
      <c r="H29" s="1"/>
      <c r="I29" s="1"/>
      <c r="J29" s="1"/>
      <c r="K29" s="1"/>
      <c r="L29" s="1"/>
      <c r="M29" s="1"/>
      <c r="N29" s="1"/>
      <c r="O29" s="1"/>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5"/>
  <sheetViews>
    <sheetView showGridLines="0" workbookViewId="0"/>
  </sheetViews>
  <sheetFormatPr baseColWidth="10" defaultColWidth="8.83203125" defaultRowHeight="15"/>
  <cols>
    <col min="1" max="1" width="34" customWidth="1"/>
    <col min="2" max="2" width="16" customWidth="1"/>
    <col min="3" max="6" width="34" customWidth="1"/>
    <col min="7" max="8" width="16" customWidth="1"/>
    <col min="9" max="10" width="34" customWidth="1"/>
    <col min="11" max="11" width="58" customWidth="1"/>
  </cols>
  <sheetData>
    <row r="1" spans="1:11" ht="38" customHeight="1">
      <c r="A1" s="2" t="s">
        <v>11898</v>
      </c>
      <c r="B1" s="2" t="s">
        <v>11372</v>
      </c>
      <c r="C1" s="2" t="s">
        <v>14640</v>
      </c>
      <c r="D1" s="2" t="s">
        <v>14641</v>
      </c>
      <c r="E1" s="2" t="s">
        <v>14642</v>
      </c>
      <c r="F1" s="2" t="s">
        <v>14643</v>
      </c>
      <c r="G1" s="2" t="s">
        <v>14644</v>
      </c>
      <c r="H1" s="2" t="s">
        <v>14645</v>
      </c>
      <c r="I1" s="2" t="s">
        <v>14646</v>
      </c>
      <c r="J1" s="2" t="s">
        <v>14647</v>
      </c>
      <c r="K1" s="2" t="s">
        <v>0</v>
      </c>
    </row>
    <row r="2" spans="1:11" ht="24" customHeight="1">
      <c r="A2" s="1" t="s">
        <v>14648</v>
      </c>
      <c r="B2" s="1">
        <v>42</v>
      </c>
      <c r="C2" s="1">
        <v>42</v>
      </c>
      <c r="D2" s="1">
        <v>41</v>
      </c>
      <c r="E2" s="4">
        <v>0.97619047619047616</v>
      </c>
      <c r="F2" s="4">
        <v>0.78787878787878796</v>
      </c>
      <c r="G2" s="4">
        <v>0</v>
      </c>
      <c r="H2" s="4">
        <v>1</v>
      </c>
      <c r="I2" s="1" t="s">
        <v>14649</v>
      </c>
      <c r="J2" s="1">
        <v>9573</v>
      </c>
      <c r="K2" s="1" t="s">
        <v>14650</v>
      </c>
    </row>
    <row r="3" spans="1:11" ht="24" customHeight="1">
      <c r="A3" s="1" t="s">
        <v>14651</v>
      </c>
      <c r="B3" s="1">
        <v>39</v>
      </c>
      <c r="C3" s="1">
        <v>78</v>
      </c>
      <c r="D3" s="1">
        <v>60</v>
      </c>
      <c r="E3" s="4">
        <v>0.76923076923076927</v>
      </c>
      <c r="F3" s="4">
        <v>0.77238519428659191</v>
      </c>
      <c r="G3" s="4">
        <v>0.60428729202732878</v>
      </c>
      <c r="H3" s="4">
        <v>0.89777306884454033</v>
      </c>
      <c r="I3" s="1" t="s">
        <v>14652</v>
      </c>
      <c r="J3" s="1">
        <v>10000</v>
      </c>
      <c r="K3" s="1" t="s">
        <v>14650</v>
      </c>
    </row>
    <row r="4" spans="1:11" ht="24" customHeight="1">
      <c r="A4" s="1" t="s">
        <v>4834</v>
      </c>
      <c r="B4" s="1">
        <v>39</v>
      </c>
      <c r="C4" s="1">
        <v>39</v>
      </c>
      <c r="D4" s="1">
        <v>28</v>
      </c>
      <c r="E4" s="4">
        <v>0.71794871794871795</v>
      </c>
      <c r="F4" s="4">
        <v>0.7632058287795993</v>
      </c>
      <c r="G4" s="4">
        <v>0.57965909872231447</v>
      </c>
      <c r="H4" s="4">
        <v>0.8981146854524853</v>
      </c>
      <c r="I4" s="1" t="s">
        <v>14652</v>
      </c>
      <c r="J4" s="1">
        <v>10000</v>
      </c>
      <c r="K4" s="1" t="s">
        <v>14650</v>
      </c>
    </row>
    <row r="5" spans="1:11" ht="24" customHeight="1">
      <c r="A5" s="1" t="s">
        <v>4703</v>
      </c>
      <c r="B5" s="1">
        <v>39</v>
      </c>
      <c r="C5" s="1">
        <v>39</v>
      </c>
      <c r="D5" s="1">
        <v>32</v>
      </c>
      <c r="E5" s="4">
        <v>0.82051282051282048</v>
      </c>
      <c r="F5" s="4">
        <v>0.75053304904051177</v>
      </c>
      <c r="G5" s="4">
        <v>0.47319687334393218</v>
      </c>
      <c r="H5" s="4">
        <v>0.94841610126900355</v>
      </c>
      <c r="I5" s="1" t="s">
        <v>14652</v>
      </c>
      <c r="J5" s="1">
        <v>10000</v>
      </c>
      <c r="K5" s="1" t="s">
        <v>14650</v>
      </c>
    </row>
    <row r="6" spans="1:11" ht="24" customHeight="1">
      <c r="A6" s="1" t="s">
        <v>14653</v>
      </c>
      <c r="B6" s="1">
        <v>39</v>
      </c>
      <c r="C6" s="1">
        <v>351</v>
      </c>
      <c r="D6" s="1">
        <v>276</v>
      </c>
      <c r="E6" s="4">
        <v>0.78632478632478631</v>
      </c>
      <c r="F6" s="4">
        <v>0.71812031538985677</v>
      </c>
      <c r="G6" s="4">
        <v>0.63094064607869949</v>
      </c>
      <c r="H6" s="4">
        <v>0.79830012028823361</v>
      </c>
      <c r="I6" s="1" t="s">
        <v>14652</v>
      </c>
      <c r="J6" s="1">
        <v>10000</v>
      </c>
      <c r="K6" s="1" t="s">
        <v>14650</v>
      </c>
    </row>
    <row r="7" spans="1:11" ht="15" customHeight="1">
      <c r="A7" s="1" t="s">
        <v>5475</v>
      </c>
      <c r="B7" s="1">
        <v>39</v>
      </c>
      <c r="C7" s="1">
        <v>39</v>
      </c>
      <c r="D7" s="1">
        <v>39</v>
      </c>
      <c r="E7" s="4">
        <v>1</v>
      </c>
      <c r="F7" s="4"/>
      <c r="G7" s="4"/>
      <c r="H7" s="4"/>
      <c r="I7" s="1" t="s">
        <v>14652</v>
      </c>
      <c r="J7" s="1">
        <v>0</v>
      </c>
      <c r="K7" s="1" t="s">
        <v>14654</v>
      </c>
    </row>
    <row r="8" spans="1:11" ht="24" customHeight="1">
      <c r="A8" s="1" t="s">
        <v>5390</v>
      </c>
      <c r="B8" s="1">
        <v>39</v>
      </c>
      <c r="C8" s="1">
        <v>39</v>
      </c>
      <c r="D8" s="1">
        <v>38</v>
      </c>
      <c r="E8" s="4">
        <v>0.97435897435897434</v>
      </c>
      <c r="F8" s="4">
        <v>0.78688524590163933</v>
      </c>
      <c r="G8" s="4">
        <v>0</v>
      </c>
      <c r="H8" s="4">
        <v>1</v>
      </c>
      <c r="I8" s="1" t="s">
        <v>14652</v>
      </c>
      <c r="J8" s="1">
        <v>9592</v>
      </c>
      <c r="K8" s="1" t="s">
        <v>14650</v>
      </c>
    </row>
    <row r="9" spans="1:11" ht="24" customHeight="1">
      <c r="A9" s="1" t="s">
        <v>4734</v>
      </c>
      <c r="B9" s="1">
        <v>39</v>
      </c>
      <c r="C9" s="1">
        <v>39</v>
      </c>
      <c r="D9" s="1">
        <v>26</v>
      </c>
      <c r="E9" s="4">
        <v>0.66666666666666663</v>
      </c>
      <c r="F9" s="4">
        <v>0.49397590361445776</v>
      </c>
      <c r="G9" s="4">
        <v>0.19721783793157724</v>
      </c>
      <c r="H9" s="4">
        <v>0.74973262032085564</v>
      </c>
      <c r="I9" s="1" t="s">
        <v>14652</v>
      </c>
      <c r="J9" s="1">
        <v>10000</v>
      </c>
      <c r="K9" s="1" t="s">
        <v>14650</v>
      </c>
    </row>
    <row r="10" spans="1:11" ht="24" customHeight="1">
      <c r="A10" s="1" t="s">
        <v>4893</v>
      </c>
      <c r="B10" s="1">
        <v>39</v>
      </c>
      <c r="C10" s="1">
        <v>39</v>
      </c>
      <c r="D10" s="1">
        <v>30</v>
      </c>
      <c r="E10" s="4">
        <v>0.76923076923076927</v>
      </c>
      <c r="F10" s="4">
        <v>0.80724876441515647</v>
      </c>
      <c r="G10" s="4">
        <v>0.62589635425576939</v>
      </c>
      <c r="H10" s="4">
        <v>0.92742970818132786</v>
      </c>
      <c r="I10" s="1" t="s">
        <v>14652</v>
      </c>
      <c r="J10" s="1">
        <v>10000</v>
      </c>
      <c r="K10" s="1" t="s">
        <v>14650</v>
      </c>
    </row>
    <row r="11" spans="1:11" ht="24" customHeight="1">
      <c r="A11" s="1" t="s">
        <v>4744</v>
      </c>
      <c r="B11" s="1">
        <v>39</v>
      </c>
      <c r="C11" s="1">
        <v>39</v>
      </c>
      <c r="D11" s="1">
        <v>23</v>
      </c>
      <c r="E11" s="4">
        <v>0.58974358974358976</v>
      </c>
      <c r="F11" s="4">
        <v>0.19430485762144045</v>
      </c>
      <c r="G11" s="4">
        <v>-6.0698027314112224E-3</v>
      </c>
      <c r="H11" s="4">
        <v>0.45173896964112714</v>
      </c>
      <c r="I11" s="1" t="s">
        <v>14652</v>
      </c>
      <c r="J11" s="1">
        <v>10000</v>
      </c>
      <c r="K11" s="1" t="s">
        <v>14650</v>
      </c>
    </row>
    <row r="12" spans="1:11" ht="24" customHeight="1">
      <c r="A12" s="1" t="s">
        <v>5117</v>
      </c>
      <c r="B12" s="1">
        <v>39</v>
      </c>
      <c r="C12" s="1">
        <v>39</v>
      </c>
      <c r="D12" s="1">
        <v>37</v>
      </c>
      <c r="E12" s="4">
        <v>0.94871794871794868</v>
      </c>
      <c r="F12" s="4">
        <v>0.9131403118040089</v>
      </c>
      <c r="G12" s="4">
        <v>0.7337883959044369</v>
      </c>
      <c r="H12" s="4">
        <v>1</v>
      </c>
      <c r="I12" s="1" t="s">
        <v>14652</v>
      </c>
      <c r="J12" s="1">
        <v>10000</v>
      </c>
      <c r="K12" s="1" t="s">
        <v>14650</v>
      </c>
    </row>
    <row r="13" spans="1:11" ht="24" customHeight="1">
      <c r="A13" s="1" t="s">
        <v>4810</v>
      </c>
      <c r="B13" s="1">
        <v>39</v>
      </c>
      <c r="C13" s="1">
        <v>39</v>
      </c>
      <c r="D13" s="1">
        <v>30</v>
      </c>
      <c r="E13" s="4">
        <v>0.76923076923076927</v>
      </c>
      <c r="F13" s="4">
        <v>0.71172122492080248</v>
      </c>
      <c r="G13" s="4">
        <v>0.49946594932562666</v>
      </c>
      <c r="H13" s="4">
        <v>0.89189189189189189</v>
      </c>
      <c r="I13" s="1" t="s">
        <v>14652</v>
      </c>
      <c r="J13" s="1">
        <v>10000</v>
      </c>
      <c r="K13" s="1" t="s">
        <v>14650</v>
      </c>
    </row>
    <row r="14" spans="1:11" ht="24" customHeight="1">
      <c r="A14" s="1" t="s">
        <v>4714</v>
      </c>
      <c r="B14" s="1">
        <v>39</v>
      </c>
      <c r="C14" s="1">
        <v>39</v>
      </c>
      <c r="D14" s="1">
        <v>20</v>
      </c>
      <c r="E14" s="4">
        <v>0.51282051282051277</v>
      </c>
      <c r="F14" s="4">
        <v>4.878048780487787E-2</v>
      </c>
      <c r="G14" s="4">
        <v>0</v>
      </c>
      <c r="H14" s="4">
        <v>0.16244264442354908</v>
      </c>
      <c r="I14" s="1" t="s">
        <v>14652</v>
      </c>
      <c r="J14" s="1">
        <v>10000</v>
      </c>
      <c r="K14" s="1" t="s">
        <v>14650</v>
      </c>
    </row>
    <row r="15" spans="1:11" ht="24" customHeight="1">
      <c r="A15" s="1" t="s">
        <v>4689</v>
      </c>
      <c r="B15" s="1">
        <v>39</v>
      </c>
      <c r="C15" s="1">
        <v>39</v>
      </c>
      <c r="D15" s="1">
        <v>33</v>
      </c>
      <c r="E15" s="4">
        <v>0.84615384615384615</v>
      </c>
      <c r="F15" s="4">
        <v>0.85477865122052132</v>
      </c>
      <c r="G15" s="4">
        <v>0.67627588587484821</v>
      </c>
      <c r="H15" s="4">
        <v>0.96708860759493676</v>
      </c>
      <c r="I15" s="1" t="s">
        <v>14652</v>
      </c>
      <c r="J15" s="1">
        <v>10000</v>
      </c>
      <c r="K15" s="1" t="s">
        <v>14650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16"/>
  <sheetViews>
    <sheetView showGridLines="0" workbookViewId="0"/>
  </sheetViews>
  <sheetFormatPr baseColWidth="10" defaultColWidth="8.83203125" defaultRowHeight="15"/>
  <cols>
    <col min="1" max="1" width="34" customWidth="1"/>
    <col min="2" max="2" width="16" customWidth="1"/>
    <col min="3" max="6" width="34" customWidth="1"/>
  </cols>
  <sheetData>
    <row r="1" spans="1:6" ht="38" customHeight="1">
      <c r="A1" s="2" t="s">
        <v>4671</v>
      </c>
      <c r="B1" s="2" t="s">
        <v>14655</v>
      </c>
      <c r="C1" s="2" t="s">
        <v>14656</v>
      </c>
      <c r="D1" s="2" t="s">
        <v>14657</v>
      </c>
      <c r="E1" s="2" t="s">
        <v>14658</v>
      </c>
      <c r="F1" s="2" t="s">
        <v>9</v>
      </c>
    </row>
    <row r="2" spans="1:6" ht="36" customHeight="1">
      <c r="A2" s="1" t="s">
        <v>14659</v>
      </c>
      <c r="B2" s="1" t="s">
        <v>14660</v>
      </c>
      <c r="C2" s="1" t="s">
        <v>14660</v>
      </c>
      <c r="D2" s="1" t="s">
        <v>14660</v>
      </c>
      <c r="E2" s="1" t="s">
        <v>14661</v>
      </c>
      <c r="F2" s="1" t="s">
        <v>14662</v>
      </c>
    </row>
    <row r="3" spans="1:6" ht="36" customHeight="1">
      <c r="A3" s="1" t="s">
        <v>14663</v>
      </c>
      <c r="B3" s="1" t="s">
        <v>14660</v>
      </c>
      <c r="C3" s="1" t="s">
        <v>14660</v>
      </c>
      <c r="D3" s="1" t="s">
        <v>14660</v>
      </c>
      <c r="E3" s="1" t="s">
        <v>14664</v>
      </c>
      <c r="F3" s="1" t="s">
        <v>14662</v>
      </c>
    </row>
    <row r="4" spans="1:6" ht="36" customHeight="1">
      <c r="A4" s="1" t="s">
        <v>6159</v>
      </c>
      <c r="B4" s="1" t="s">
        <v>14660</v>
      </c>
      <c r="C4" s="1" t="s">
        <v>14660</v>
      </c>
      <c r="D4" s="1" t="s">
        <v>14660</v>
      </c>
      <c r="E4" s="1" t="s">
        <v>14665</v>
      </c>
      <c r="F4" s="1" t="s">
        <v>14662</v>
      </c>
    </row>
    <row r="5" spans="1:6" ht="36" customHeight="1">
      <c r="A5" s="1" t="s">
        <v>14666</v>
      </c>
      <c r="B5" s="1" t="s">
        <v>14667</v>
      </c>
      <c r="C5" s="1" t="s">
        <v>14667</v>
      </c>
      <c r="D5" s="1" t="s">
        <v>14667</v>
      </c>
      <c r="E5" s="1" t="s">
        <v>14668</v>
      </c>
      <c r="F5" s="1" t="s">
        <v>14662</v>
      </c>
    </row>
    <row r="6" spans="1:6" ht="36" customHeight="1">
      <c r="A6" s="1" t="s">
        <v>14669</v>
      </c>
      <c r="B6" s="1" t="s">
        <v>14660</v>
      </c>
      <c r="C6" s="1" t="s">
        <v>14660</v>
      </c>
      <c r="D6" s="1" t="s">
        <v>14660</v>
      </c>
      <c r="E6" s="1" t="s">
        <v>14670</v>
      </c>
      <c r="F6" s="1" t="s">
        <v>14662</v>
      </c>
    </row>
    <row r="7" spans="1:6" ht="36" customHeight="1">
      <c r="A7" s="1" t="s">
        <v>14671</v>
      </c>
      <c r="B7" s="1" t="s">
        <v>14672</v>
      </c>
      <c r="C7" s="1" t="s">
        <v>14672</v>
      </c>
      <c r="D7" s="1" t="s">
        <v>14672</v>
      </c>
      <c r="E7" s="1" t="s">
        <v>14673</v>
      </c>
      <c r="F7" s="1" t="s">
        <v>14662</v>
      </c>
    </row>
    <row r="8" spans="1:6" ht="36" customHeight="1">
      <c r="A8" s="1" t="s">
        <v>14674</v>
      </c>
      <c r="B8" s="1" t="s">
        <v>14660</v>
      </c>
      <c r="C8" s="1" t="s">
        <v>14660</v>
      </c>
      <c r="D8" s="1" t="s">
        <v>14660</v>
      </c>
      <c r="E8" s="1" t="s">
        <v>14675</v>
      </c>
      <c r="F8" s="1" t="s">
        <v>14662</v>
      </c>
    </row>
    <row r="9" spans="1:6" ht="36" customHeight="1">
      <c r="A9" s="1" t="s">
        <v>14676</v>
      </c>
      <c r="B9" s="1" t="s">
        <v>14660</v>
      </c>
      <c r="C9" s="1" t="s">
        <v>14660</v>
      </c>
      <c r="D9" s="1" t="s">
        <v>14660</v>
      </c>
      <c r="E9" s="1" t="s">
        <v>14677</v>
      </c>
      <c r="F9" s="1" t="s">
        <v>14662</v>
      </c>
    </row>
    <row r="10" spans="1:6" ht="36" customHeight="1">
      <c r="A10" s="1" t="s">
        <v>14678</v>
      </c>
      <c r="B10" s="1" t="s">
        <v>14679</v>
      </c>
      <c r="C10" s="1" t="s">
        <v>14680</v>
      </c>
      <c r="D10" s="1" t="s">
        <v>14680</v>
      </c>
      <c r="E10" s="1" t="s">
        <v>14681</v>
      </c>
      <c r="F10" s="1" t="s">
        <v>14662</v>
      </c>
    </row>
    <row r="11" spans="1:6" ht="36" customHeight="1">
      <c r="A11" s="1" t="s">
        <v>14682</v>
      </c>
      <c r="B11" s="1" t="s">
        <v>14679</v>
      </c>
      <c r="C11" s="1" t="s">
        <v>14683</v>
      </c>
      <c r="D11" s="1" t="s">
        <v>14683</v>
      </c>
      <c r="E11" s="1" t="s">
        <v>14684</v>
      </c>
      <c r="F11" s="1" t="s">
        <v>14662</v>
      </c>
    </row>
    <row r="12" spans="1:6" ht="36" customHeight="1">
      <c r="A12" s="1" t="s">
        <v>14685</v>
      </c>
      <c r="B12" s="1" t="s">
        <v>14686</v>
      </c>
      <c r="C12" s="1" t="s">
        <v>14660</v>
      </c>
      <c r="D12" s="1" t="s">
        <v>14660</v>
      </c>
      <c r="E12" s="1" t="s">
        <v>14687</v>
      </c>
      <c r="F12" s="1" t="s">
        <v>14662</v>
      </c>
    </row>
    <row r="13" spans="1:6" ht="36" customHeight="1">
      <c r="A13" s="1" t="s">
        <v>14688</v>
      </c>
      <c r="B13" s="1" t="s">
        <v>14689</v>
      </c>
      <c r="C13" s="1" t="s">
        <v>14690</v>
      </c>
      <c r="D13" s="1" t="s">
        <v>14660</v>
      </c>
      <c r="E13" s="1" t="s">
        <v>14691</v>
      </c>
      <c r="F13" s="1" t="s">
        <v>14662</v>
      </c>
    </row>
    <row r="14" spans="1:6" ht="36" customHeight="1">
      <c r="A14" s="1" t="s">
        <v>14692</v>
      </c>
      <c r="B14" s="1" t="s">
        <v>14693</v>
      </c>
      <c r="C14" s="1" t="s">
        <v>14694</v>
      </c>
      <c r="D14" s="1" t="s">
        <v>14660</v>
      </c>
      <c r="E14" s="1" t="s">
        <v>14695</v>
      </c>
      <c r="F14" s="1" t="s">
        <v>14662</v>
      </c>
    </row>
    <row r="15" spans="1:6" ht="36" customHeight="1">
      <c r="A15" s="1" t="s">
        <v>14696</v>
      </c>
      <c r="B15" s="1" t="s">
        <v>14660</v>
      </c>
      <c r="C15" s="1" t="s">
        <v>14660</v>
      </c>
      <c r="D15" s="1" t="s">
        <v>14660</v>
      </c>
      <c r="E15" s="1" t="s">
        <v>14697</v>
      </c>
      <c r="F15" s="1" t="s">
        <v>14662</v>
      </c>
    </row>
    <row r="16" spans="1:6" ht="36" customHeight="1">
      <c r="A16" s="1" t="s">
        <v>5455</v>
      </c>
      <c r="B16" s="1" t="s">
        <v>14660</v>
      </c>
      <c r="C16" s="1" t="s">
        <v>14660</v>
      </c>
      <c r="D16" s="1" t="s">
        <v>14660</v>
      </c>
      <c r="E16" s="1" t="s">
        <v>14698</v>
      </c>
      <c r="F16" s="1" t="s">
        <v>14662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28"/>
  <sheetViews>
    <sheetView showGridLines="0" workbookViewId="0">
      <pane xSplit="1" ySplit="1" topLeftCell="B2" activePane="bottomRight" state="frozen"/>
      <selection pane="topRight"/>
      <selection pane="bottomLeft"/>
      <selection pane="bottomRight" activeCell="B2" sqref="B2"/>
    </sheetView>
  </sheetViews>
  <sheetFormatPr baseColWidth="10" defaultColWidth="8.83203125" defaultRowHeight="15"/>
  <cols>
    <col min="1" max="2" width="34" customWidth="1"/>
    <col min="3" max="3" width="16" customWidth="1"/>
    <col min="4" max="4" width="58" customWidth="1"/>
    <col min="5" max="7" width="34" customWidth="1"/>
  </cols>
  <sheetData>
    <row r="1" spans="1:7" ht="38" customHeight="1">
      <c r="A1" s="2" t="s">
        <v>11588</v>
      </c>
      <c r="B1" s="2" t="s">
        <v>11589</v>
      </c>
      <c r="C1" s="2" t="s">
        <v>11590</v>
      </c>
      <c r="D1" s="2" t="s">
        <v>11591</v>
      </c>
      <c r="E1" s="2" t="s">
        <v>11592</v>
      </c>
      <c r="F1" s="2" t="s">
        <v>11593</v>
      </c>
      <c r="G1" s="2" t="s">
        <v>9</v>
      </c>
    </row>
    <row r="2" spans="1:7" ht="48" customHeight="1">
      <c r="A2" s="1" t="s">
        <v>5429</v>
      </c>
      <c r="B2" s="1" t="s">
        <v>1348</v>
      </c>
      <c r="C2" s="1"/>
      <c r="D2" s="1" t="s">
        <v>14699</v>
      </c>
      <c r="E2" s="1" t="s">
        <v>14700</v>
      </c>
      <c r="F2" s="1" t="s">
        <v>14660</v>
      </c>
      <c r="G2" s="1" t="s">
        <v>14701</v>
      </c>
    </row>
    <row r="3" spans="1:7" ht="24" customHeight="1">
      <c r="A3" s="1" t="s">
        <v>5429</v>
      </c>
      <c r="B3" s="1" t="s">
        <v>1216</v>
      </c>
      <c r="C3" s="1"/>
      <c r="D3" s="1" t="s">
        <v>14702</v>
      </c>
      <c r="E3" s="1" t="s">
        <v>14703</v>
      </c>
      <c r="F3" s="1" t="s">
        <v>14660</v>
      </c>
      <c r="G3" s="1" t="s">
        <v>14704</v>
      </c>
    </row>
    <row r="4" spans="1:7" ht="48" customHeight="1">
      <c r="A4" s="1" t="s">
        <v>5429</v>
      </c>
      <c r="B4" s="1" t="s">
        <v>1256</v>
      </c>
      <c r="C4" s="1"/>
      <c r="D4" s="1" t="s">
        <v>14705</v>
      </c>
      <c r="E4" s="1" t="s">
        <v>14706</v>
      </c>
      <c r="F4" s="1" t="s">
        <v>14660</v>
      </c>
      <c r="G4" s="1" t="s">
        <v>14707</v>
      </c>
    </row>
    <row r="5" spans="1:7" ht="24" customHeight="1">
      <c r="A5" s="1" t="s">
        <v>5429</v>
      </c>
      <c r="B5" s="1" t="s">
        <v>2137</v>
      </c>
      <c r="C5" s="1"/>
      <c r="D5" s="1" t="s">
        <v>14708</v>
      </c>
      <c r="E5" s="1" t="s">
        <v>14709</v>
      </c>
      <c r="F5" s="1" t="s">
        <v>14660</v>
      </c>
      <c r="G5" s="1" t="s">
        <v>14710</v>
      </c>
    </row>
    <row r="6" spans="1:7" ht="36" customHeight="1">
      <c r="A6" s="1" t="s">
        <v>5429</v>
      </c>
      <c r="B6" s="1" t="s">
        <v>1367</v>
      </c>
      <c r="C6" s="1"/>
      <c r="D6" s="1" t="s">
        <v>14711</v>
      </c>
      <c r="E6" s="1" t="s">
        <v>14712</v>
      </c>
      <c r="F6" s="1" t="s">
        <v>14660</v>
      </c>
      <c r="G6" s="1" t="s">
        <v>14713</v>
      </c>
    </row>
    <row r="7" spans="1:7" ht="24" customHeight="1">
      <c r="A7" s="1" t="s">
        <v>5429</v>
      </c>
      <c r="B7" s="1" t="s">
        <v>1224</v>
      </c>
      <c r="C7" s="1"/>
      <c r="D7" s="1" t="s">
        <v>14714</v>
      </c>
      <c r="E7" s="1" t="s">
        <v>14715</v>
      </c>
      <c r="F7" s="1" t="s">
        <v>14660</v>
      </c>
      <c r="G7" s="1" t="s">
        <v>14716</v>
      </c>
    </row>
    <row r="8" spans="1:7" ht="24" customHeight="1">
      <c r="A8" s="1" t="s">
        <v>14717</v>
      </c>
      <c r="B8" s="1" t="s">
        <v>14718</v>
      </c>
      <c r="C8" s="1"/>
      <c r="D8" s="1" t="s">
        <v>14719</v>
      </c>
      <c r="E8" s="1" t="s">
        <v>14720</v>
      </c>
      <c r="F8" s="1" t="s">
        <v>14721</v>
      </c>
      <c r="G8" s="1" t="s">
        <v>14722</v>
      </c>
    </row>
    <row r="9" spans="1:7" ht="24" customHeight="1">
      <c r="A9" s="1" t="s">
        <v>14717</v>
      </c>
      <c r="B9" s="1" t="s">
        <v>14723</v>
      </c>
      <c r="C9" s="1"/>
      <c r="D9" s="1" t="s">
        <v>14724</v>
      </c>
      <c r="E9" s="1" t="s">
        <v>14725</v>
      </c>
      <c r="F9" s="1" t="s">
        <v>14721</v>
      </c>
      <c r="G9" s="1" t="s">
        <v>14726</v>
      </c>
    </row>
    <row r="10" spans="1:7" ht="24" customHeight="1">
      <c r="A10" s="1" t="s">
        <v>14717</v>
      </c>
      <c r="B10" s="1" t="s">
        <v>14727</v>
      </c>
      <c r="C10" s="1"/>
      <c r="D10" s="1" t="s">
        <v>14728</v>
      </c>
      <c r="E10" s="1" t="s">
        <v>14729</v>
      </c>
      <c r="F10" s="1" t="s">
        <v>14721</v>
      </c>
      <c r="G10" s="1" t="s">
        <v>14730</v>
      </c>
    </row>
    <row r="11" spans="1:7" ht="24" customHeight="1">
      <c r="A11" s="1" t="s">
        <v>14717</v>
      </c>
      <c r="B11" s="1" t="s">
        <v>14731</v>
      </c>
      <c r="C11" s="1"/>
      <c r="D11" s="1" t="s">
        <v>14732</v>
      </c>
      <c r="E11" s="1" t="s">
        <v>14733</v>
      </c>
      <c r="F11" s="1" t="s">
        <v>14721</v>
      </c>
      <c r="G11" s="1" t="s">
        <v>14734</v>
      </c>
    </row>
    <row r="12" spans="1:7" ht="24" customHeight="1">
      <c r="A12" s="1" t="s">
        <v>14717</v>
      </c>
      <c r="B12" s="1" t="s">
        <v>14735</v>
      </c>
      <c r="C12" s="1"/>
      <c r="D12" s="1" t="s">
        <v>14736</v>
      </c>
      <c r="E12" s="1" t="s">
        <v>14737</v>
      </c>
      <c r="F12" s="1" t="s">
        <v>14721</v>
      </c>
      <c r="G12" s="1" t="s">
        <v>14738</v>
      </c>
    </row>
    <row r="13" spans="1:7" ht="24" customHeight="1">
      <c r="A13" s="1" t="s">
        <v>14717</v>
      </c>
      <c r="B13" s="1" t="s">
        <v>14739</v>
      </c>
      <c r="C13" s="1"/>
      <c r="D13" s="1" t="s">
        <v>14740</v>
      </c>
      <c r="E13" s="1" t="s">
        <v>14741</v>
      </c>
      <c r="F13" s="1" t="s">
        <v>14721</v>
      </c>
      <c r="G13" s="1" t="s">
        <v>14742</v>
      </c>
    </row>
    <row r="14" spans="1:7" ht="36" customHeight="1">
      <c r="A14" s="1" t="s">
        <v>11594</v>
      </c>
      <c r="B14" s="1" t="s">
        <v>4834</v>
      </c>
      <c r="C14" s="1" t="s">
        <v>11595</v>
      </c>
      <c r="D14" s="1" t="s">
        <v>11596</v>
      </c>
      <c r="E14" s="1" t="s">
        <v>11597</v>
      </c>
      <c r="F14" s="1" t="s">
        <v>11598</v>
      </c>
      <c r="G14" s="1" t="s">
        <v>11599</v>
      </c>
    </row>
    <row r="15" spans="1:7" ht="24" customHeight="1">
      <c r="A15" s="1" t="s">
        <v>11594</v>
      </c>
      <c r="B15" s="1" t="s">
        <v>4834</v>
      </c>
      <c r="C15" s="1" t="s">
        <v>11600</v>
      </c>
      <c r="D15" s="1" t="s">
        <v>11601</v>
      </c>
      <c r="E15" s="1" t="s">
        <v>11602</v>
      </c>
      <c r="F15" s="1" t="s">
        <v>11598</v>
      </c>
      <c r="G15" s="1" t="s">
        <v>11604</v>
      </c>
    </row>
    <row r="16" spans="1:7" ht="24" customHeight="1">
      <c r="A16" s="1" t="s">
        <v>11594</v>
      </c>
      <c r="B16" s="1" t="s">
        <v>4834</v>
      </c>
      <c r="C16" s="1" t="s">
        <v>11605</v>
      </c>
      <c r="D16" s="1" t="s">
        <v>11606</v>
      </c>
      <c r="E16" s="1" t="s">
        <v>11607</v>
      </c>
      <c r="F16" s="1" t="s">
        <v>11598</v>
      </c>
      <c r="G16" s="1" t="s">
        <v>11608</v>
      </c>
    </row>
    <row r="17" spans="1:7" ht="24" customHeight="1">
      <c r="A17" s="1" t="s">
        <v>11594</v>
      </c>
      <c r="B17" s="1" t="s">
        <v>4834</v>
      </c>
      <c r="C17" s="1" t="s">
        <v>11609</v>
      </c>
      <c r="D17" s="1" t="s">
        <v>11610</v>
      </c>
      <c r="E17" s="1" t="s">
        <v>11611</v>
      </c>
      <c r="F17" s="1" t="s">
        <v>11598</v>
      </c>
      <c r="G17" s="1" t="s">
        <v>11612</v>
      </c>
    </row>
    <row r="18" spans="1:7" ht="36" customHeight="1">
      <c r="A18" s="1" t="s">
        <v>11594</v>
      </c>
      <c r="B18" s="1" t="s">
        <v>4834</v>
      </c>
      <c r="C18" s="1" t="s">
        <v>11613</v>
      </c>
      <c r="D18" s="1" t="s">
        <v>11614</v>
      </c>
      <c r="E18" s="1" t="s">
        <v>11615</v>
      </c>
      <c r="F18" s="1" t="s">
        <v>11598</v>
      </c>
      <c r="G18" s="1" t="s">
        <v>11616</v>
      </c>
    </row>
    <row r="19" spans="1:7" ht="24" customHeight="1">
      <c r="A19" s="1" t="s">
        <v>11617</v>
      </c>
      <c r="B19" s="1" t="s">
        <v>4703</v>
      </c>
      <c r="C19" s="1" t="s">
        <v>11618</v>
      </c>
      <c r="D19" s="1" t="s">
        <v>11619</v>
      </c>
      <c r="E19" s="1" t="s">
        <v>11620</v>
      </c>
      <c r="F19" s="1" t="s">
        <v>11598</v>
      </c>
      <c r="G19" s="1" t="s">
        <v>11621</v>
      </c>
    </row>
    <row r="20" spans="1:7" ht="24" customHeight="1">
      <c r="A20" s="1" t="s">
        <v>11617</v>
      </c>
      <c r="B20" s="1" t="s">
        <v>4703</v>
      </c>
      <c r="C20" s="1" t="s">
        <v>11622</v>
      </c>
      <c r="D20" s="1" t="s">
        <v>11623</v>
      </c>
      <c r="E20" s="1" t="s">
        <v>11624</v>
      </c>
      <c r="F20" s="1" t="s">
        <v>11598</v>
      </c>
      <c r="G20" s="1" t="s">
        <v>11625</v>
      </c>
    </row>
    <row r="21" spans="1:7" ht="24" customHeight="1">
      <c r="A21" s="1" t="s">
        <v>11617</v>
      </c>
      <c r="B21" s="1" t="s">
        <v>4703</v>
      </c>
      <c r="C21" s="1" t="s">
        <v>11626</v>
      </c>
      <c r="D21" s="1" t="s">
        <v>11627</v>
      </c>
      <c r="E21" s="1" t="s">
        <v>11628</v>
      </c>
      <c r="F21" s="1" t="s">
        <v>11598</v>
      </c>
      <c r="G21" s="1" t="s">
        <v>11629</v>
      </c>
    </row>
    <row r="22" spans="1:7" ht="24" customHeight="1">
      <c r="A22" s="1" t="s">
        <v>11617</v>
      </c>
      <c r="B22" s="1" t="s">
        <v>4703</v>
      </c>
      <c r="C22" s="1" t="s">
        <v>11630</v>
      </c>
      <c r="D22" s="1" t="s">
        <v>11631</v>
      </c>
      <c r="E22" s="1" t="s">
        <v>11632</v>
      </c>
      <c r="F22" s="1" t="s">
        <v>11598</v>
      </c>
      <c r="G22" s="1" t="s">
        <v>11633</v>
      </c>
    </row>
    <row r="23" spans="1:7" ht="36" customHeight="1">
      <c r="A23" s="1" t="s">
        <v>11617</v>
      </c>
      <c r="B23" s="1" t="s">
        <v>4703</v>
      </c>
      <c r="C23" s="1" t="s">
        <v>11634</v>
      </c>
      <c r="D23" s="1" t="s">
        <v>11635</v>
      </c>
      <c r="E23" s="1" t="s">
        <v>11636</v>
      </c>
      <c r="F23" s="1" t="s">
        <v>11598</v>
      </c>
      <c r="G23" s="1" t="s">
        <v>11637</v>
      </c>
    </row>
    <row r="24" spans="1:7" ht="24" customHeight="1">
      <c r="A24" s="1" t="s">
        <v>11915</v>
      </c>
      <c r="B24" s="1" t="s">
        <v>5475</v>
      </c>
      <c r="C24" s="1" t="s">
        <v>11916</v>
      </c>
      <c r="D24" s="1" t="s">
        <v>11917</v>
      </c>
      <c r="E24" s="1" t="s">
        <v>11918</v>
      </c>
      <c r="F24" s="1" t="s">
        <v>11919</v>
      </c>
      <c r="G24" s="1" t="s">
        <v>11920</v>
      </c>
    </row>
    <row r="25" spans="1:7" ht="36" customHeight="1">
      <c r="A25" s="1" t="s">
        <v>11915</v>
      </c>
      <c r="B25" s="1" t="s">
        <v>5475</v>
      </c>
      <c r="C25" s="1" t="s">
        <v>11921</v>
      </c>
      <c r="D25" s="1" t="s">
        <v>11922</v>
      </c>
      <c r="E25" s="1" t="s">
        <v>11923</v>
      </c>
      <c r="F25" s="1" t="s">
        <v>11919</v>
      </c>
      <c r="G25" s="1" t="s">
        <v>11924</v>
      </c>
    </row>
    <row r="26" spans="1:7" ht="24" customHeight="1">
      <c r="A26" s="1" t="s">
        <v>11915</v>
      </c>
      <c r="B26" s="1" t="s">
        <v>5475</v>
      </c>
      <c r="C26" s="1" t="s">
        <v>11925</v>
      </c>
      <c r="D26" s="1" t="s">
        <v>11926</v>
      </c>
      <c r="E26" s="1" t="s">
        <v>11927</v>
      </c>
      <c r="F26" s="1" t="s">
        <v>11919</v>
      </c>
      <c r="G26" s="1" t="s">
        <v>11928</v>
      </c>
    </row>
    <row r="27" spans="1:7" ht="24" customHeight="1">
      <c r="A27" s="1" t="s">
        <v>11915</v>
      </c>
      <c r="B27" s="1" t="s">
        <v>5475</v>
      </c>
      <c r="C27" s="1" t="s">
        <v>11929</v>
      </c>
      <c r="D27" s="1" t="s">
        <v>11919</v>
      </c>
      <c r="E27" s="1" t="s">
        <v>11963</v>
      </c>
      <c r="F27" s="1" t="s">
        <v>11919</v>
      </c>
      <c r="G27" s="1" t="s">
        <v>14743</v>
      </c>
    </row>
    <row r="28" spans="1:7" ht="24" customHeight="1">
      <c r="A28" s="1" t="s">
        <v>11915</v>
      </c>
      <c r="B28" s="1" t="s">
        <v>5390</v>
      </c>
      <c r="C28" s="1" t="s">
        <v>11916</v>
      </c>
      <c r="D28" s="1" t="s">
        <v>11932</v>
      </c>
      <c r="E28" s="1" t="s">
        <v>11933</v>
      </c>
      <c r="F28" s="1" t="s">
        <v>11919</v>
      </c>
      <c r="G28" s="1" t="s">
        <v>11934</v>
      </c>
    </row>
    <row r="29" spans="1:7" ht="24" customHeight="1">
      <c r="A29" s="1" t="s">
        <v>11915</v>
      </c>
      <c r="B29" s="1" t="s">
        <v>5390</v>
      </c>
      <c r="C29" s="1" t="s">
        <v>11921</v>
      </c>
      <c r="D29" s="1" t="s">
        <v>11935</v>
      </c>
      <c r="E29" s="1" t="s">
        <v>11936</v>
      </c>
      <c r="F29" s="1" t="s">
        <v>11919</v>
      </c>
      <c r="G29" s="1" t="s">
        <v>11937</v>
      </c>
    </row>
    <row r="30" spans="1:7" ht="24" customHeight="1">
      <c r="A30" s="1" t="s">
        <v>11915</v>
      </c>
      <c r="B30" s="1" t="s">
        <v>5390</v>
      </c>
      <c r="C30" s="1" t="s">
        <v>11925</v>
      </c>
      <c r="D30" s="1" t="s">
        <v>11938</v>
      </c>
      <c r="E30" s="1" t="s">
        <v>11939</v>
      </c>
      <c r="F30" s="1" t="s">
        <v>11919</v>
      </c>
      <c r="G30" s="1" t="s">
        <v>11940</v>
      </c>
    </row>
    <row r="31" spans="1:7" ht="24" customHeight="1">
      <c r="A31" s="1" t="s">
        <v>11915</v>
      </c>
      <c r="B31" s="1" t="s">
        <v>5390</v>
      </c>
      <c r="C31" s="1" t="s">
        <v>11929</v>
      </c>
      <c r="D31" s="1" t="s">
        <v>11919</v>
      </c>
      <c r="E31" s="1" t="s">
        <v>11963</v>
      </c>
      <c r="F31" s="1" t="s">
        <v>11919</v>
      </c>
      <c r="G31" s="1" t="s">
        <v>14744</v>
      </c>
    </row>
    <row r="32" spans="1:7" ht="24" customHeight="1">
      <c r="A32" s="1" t="s">
        <v>11915</v>
      </c>
      <c r="B32" s="1" t="s">
        <v>4734</v>
      </c>
      <c r="C32" s="1" t="s">
        <v>11916</v>
      </c>
      <c r="D32" s="1" t="s">
        <v>11942</v>
      </c>
      <c r="E32" s="1" t="s">
        <v>11943</v>
      </c>
      <c r="F32" s="1" t="s">
        <v>11944</v>
      </c>
      <c r="G32" s="1" t="s">
        <v>11945</v>
      </c>
    </row>
    <row r="33" spans="1:7" ht="24" customHeight="1">
      <c r="A33" s="1" t="s">
        <v>11915</v>
      </c>
      <c r="B33" s="1" t="s">
        <v>4734</v>
      </c>
      <c r="C33" s="1" t="s">
        <v>11921</v>
      </c>
      <c r="D33" s="1" t="s">
        <v>11946</v>
      </c>
      <c r="E33" s="1" t="s">
        <v>11947</v>
      </c>
      <c r="F33" s="1" t="s">
        <v>11944</v>
      </c>
      <c r="G33" s="1" t="s">
        <v>11948</v>
      </c>
    </row>
    <row r="34" spans="1:7" ht="24" customHeight="1">
      <c r="A34" s="1" t="s">
        <v>11915</v>
      </c>
      <c r="B34" s="1" t="s">
        <v>4734</v>
      </c>
      <c r="C34" s="1" t="s">
        <v>11925</v>
      </c>
      <c r="D34" s="1" t="s">
        <v>11949</v>
      </c>
      <c r="E34" s="1" t="s">
        <v>11950</v>
      </c>
      <c r="F34" s="1" t="s">
        <v>11944</v>
      </c>
      <c r="G34" s="1" t="s">
        <v>11951</v>
      </c>
    </row>
    <row r="35" spans="1:7" ht="24" customHeight="1">
      <c r="A35" s="1" t="s">
        <v>11915</v>
      </c>
      <c r="B35" s="1" t="s">
        <v>4734</v>
      </c>
      <c r="C35" s="1" t="s">
        <v>11929</v>
      </c>
      <c r="D35" s="1" t="s">
        <v>11944</v>
      </c>
      <c r="E35" s="1" t="s">
        <v>11963</v>
      </c>
      <c r="F35" s="1" t="s">
        <v>11944</v>
      </c>
      <c r="G35" s="1" t="s">
        <v>14745</v>
      </c>
    </row>
    <row r="36" spans="1:7" ht="36" customHeight="1">
      <c r="A36" s="1" t="s">
        <v>11915</v>
      </c>
      <c r="B36" s="1" t="s">
        <v>4893</v>
      </c>
      <c r="C36" s="1" t="s">
        <v>11916</v>
      </c>
      <c r="D36" s="1" t="s">
        <v>11953</v>
      </c>
      <c r="E36" s="1" t="s">
        <v>11954</v>
      </c>
      <c r="F36" s="1" t="s">
        <v>11955</v>
      </c>
      <c r="G36" s="1" t="s">
        <v>11956</v>
      </c>
    </row>
    <row r="37" spans="1:7" ht="36" customHeight="1">
      <c r="A37" s="1" t="s">
        <v>11915</v>
      </c>
      <c r="B37" s="1" t="s">
        <v>4893</v>
      </c>
      <c r="C37" s="1" t="s">
        <v>11921</v>
      </c>
      <c r="D37" s="1" t="s">
        <v>11957</v>
      </c>
      <c r="E37" s="1" t="s">
        <v>11958</v>
      </c>
      <c r="F37" s="1" t="s">
        <v>11955</v>
      </c>
      <c r="G37" s="1" t="s">
        <v>11959</v>
      </c>
    </row>
    <row r="38" spans="1:7" ht="36" customHeight="1">
      <c r="A38" s="1" t="s">
        <v>11915</v>
      </c>
      <c r="B38" s="1" t="s">
        <v>4893</v>
      </c>
      <c r="C38" s="1" t="s">
        <v>11925</v>
      </c>
      <c r="D38" s="1" t="s">
        <v>11960</v>
      </c>
      <c r="E38" s="1" t="s">
        <v>11961</v>
      </c>
      <c r="F38" s="1" t="s">
        <v>11955</v>
      </c>
      <c r="G38" s="1" t="s">
        <v>11962</v>
      </c>
    </row>
    <row r="39" spans="1:7" ht="36" customHeight="1">
      <c r="A39" s="1" t="s">
        <v>11915</v>
      </c>
      <c r="B39" s="1" t="s">
        <v>4893</v>
      </c>
      <c r="C39" s="1" t="s">
        <v>11929</v>
      </c>
      <c r="D39" s="1" t="s">
        <v>11955</v>
      </c>
      <c r="E39" s="1" t="s">
        <v>11963</v>
      </c>
      <c r="F39" s="1" t="s">
        <v>11955</v>
      </c>
      <c r="G39" s="1" t="s">
        <v>11964</v>
      </c>
    </row>
    <row r="40" spans="1:7" ht="24" customHeight="1">
      <c r="A40" s="1" t="s">
        <v>11915</v>
      </c>
      <c r="B40" s="1" t="s">
        <v>4744</v>
      </c>
      <c r="C40" s="1" t="s">
        <v>11916</v>
      </c>
      <c r="D40" s="1" t="s">
        <v>11965</v>
      </c>
      <c r="E40" s="1" t="s">
        <v>11966</v>
      </c>
      <c r="F40" s="1" t="s">
        <v>11975</v>
      </c>
      <c r="G40" s="1" t="s">
        <v>11968</v>
      </c>
    </row>
    <row r="41" spans="1:7" ht="24" customHeight="1">
      <c r="A41" s="1" t="s">
        <v>11915</v>
      </c>
      <c r="B41" s="1" t="s">
        <v>4744</v>
      </c>
      <c r="C41" s="1" t="s">
        <v>11921</v>
      </c>
      <c r="D41" s="1" t="s">
        <v>11969</v>
      </c>
      <c r="E41" s="1" t="s">
        <v>11970</v>
      </c>
      <c r="F41" s="1" t="s">
        <v>11975</v>
      </c>
      <c r="G41" s="1" t="s">
        <v>11971</v>
      </c>
    </row>
    <row r="42" spans="1:7" ht="24" customHeight="1">
      <c r="A42" s="1" t="s">
        <v>11915</v>
      </c>
      <c r="B42" s="1" t="s">
        <v>4744</v>
      </c>
      <c r="C42" s="1" t="s">
        <v>11925</v>
      </c>
      <c r="D42" s="1" t="s">
        <v>11972</v>
      </c>
      <c r="E42" s="1" t="s">
        <v>11973</v>
      </c>
      <c r="F42" s="1" t="s">
        <v>11975</v>
      </c>
      <c r="G42" s="1" t="s">
        <v>11974</v>
      </c>
    </row>
    <row r="43" spans="1:7" ht="24" customHeight="1">
      <c r="A43" s="1" t="s">
        <v>11915</v>
      </c>
      <c r="B43" s="1" t="s">
        <v>4744</v>
      </c>
      <c r="C43" s="1" t="s">
        <v>11929</v>
      </c>
      <c r="D43" s="1" t="s">
        <v>11975</v>
      </c>
      <c r="E43" s="1" t="s">
        <v>11963</v>
      </c>
      <c r="F43" s="1" t="s">
        <v>11975</v>
      </c>
      <c r="G43" s="1" t="s">
        <v>11976</v>
      </c>
    </row>
    <row r="44" spans="1:7" ht="24" customHeight="1">
      <c r="A44" s="1" t="s">
        <v>11915</v>
      </c>
      <c r="B44" s="1" t="s">
        <v>5117</v>
      </c>
      <c r="C44" s="1" t="s">
        <v>11916</v>
      </c>
      <c r="D44" s="1" t="s">
        <v>11977</v>
      </c>
      <c r="E44" s="1" t="s">
        <v>11978</v>
      </c>
      <c r="F44" s="1" t="s">
        <v>11975</v>
      </c>
      <c r="G44" s="1" t="s">
        <v>11979</v>
      </c>
    </row>
    <row r="45" spans="1:7" ht="24" customHeight="1">
      <c r="A45" s="1" t="s">
        <v>11915</v>
      </c>
      <c r="B45" s="1" t="s">
        <v>5117</v>
      </c>
      <c r="C45" s="1" t="s">
        <v>11921</v>
      </c>
      <c r="D45" s="1" t="s">
        <v>11980</v>
      </c>
      <c r="E45" s="1" t="s">
        <v>11981</v>
      </c>
      <c r="F45" s="1" t="s">
        <v>11975</v>
      </c>
      <c r="G45" s="1" t="s">
        <v>11982</v>
      </c>
    </row>
    <row r="46" spans="1:7" ht="24" customHeight="1">
      <c r="A46" s="1" t="s">
        <v>11915</v>
      </c>
      <c r="B46" s="1" t="s">
        <v>5117</v>
      </c>
      <c r="C46" s="1" t="s">
        <v>11925</v>
      </c>
      <c r="D46" s="1" t="s">
        <v>11983</v>
      </c>
      <c r="E46" s="1" t="s">
        <v>11984</v>
      </c>
      <c r="F46" s="1" t="s">
        <v>11975</v>
      </c>
      <c r="G46" s="1" t="s">
        <v>11985</v>
      </c>
    </row>
    <row r="47" spans="1:7" ht="24" customHeight="1">
      <c r="A47" s="1" t="s">
        <v>11915</v>
      </c>
      <c r="B47" s="1" t="s">
        <v>5117</v>
      </c>
      <c r="C47" s="1" t="s">
        <v>11929</v>
      </c>
      <c r="D47" s="1" t="s">
        <v>11975</v>
      </c>
      <c r="E47" s="1" t="s">
        <v>11963</v>
      </c>
      <c r="F47" s="1" t="s">
        <v>11975</v>
      </c>
      <c r="G47" s="1" t="s">
        <v>11986</v>
      </c>
    </row>
    <row r="48" spans="1:7" ht="36" customHeight="1">
      <c r="A48" s="1" t="s">
        <v>11915</v>
      </c>
      <c r="B48" s="1" t="s">
        <v>4810</v>
      </c>
      <c r="C48" s="1" t="s">
        <v>11916</v>
      </c>
      <c r="D48" s="1" t="s">
        <v>11987</v>
      </c>
      <c r="E48" s="1" t="s">
        <v>11988</v>
      </c>
      <c r="F48" s="1" t="s">
        <v>11989</v>
      </c>
      <c r="G48" s="1" t="s">
        <v>11990</v>
      </c>
    </row>
    <row r="49" spans="1:7" ht="36" customHeight="1">
      <c r="A49" s="1" t="s">
        <v>11915</v>
      </c>
      <c r="B49" s="1" t="s">
        <v>4810</v>
      </c>
      <c r="C49" s="1" t="s">
        <v>11921</v>
      </c>
      <c r="D49" s="1" t="s">
        <v>11991</v>
      </c>
      <c r="E49" s="1" t="s">
        <v>11992</v>
      </c>
      <c r="F49" s="1" t="s">
        <v>11989</v>
      </c>
      <c r="G49" s="1" t="s">
        <v>11993</v>
      </c>
    </row>
    <row r="50" spans="1:7" ht="36" customHeight="1">
      <c r="A50" s="1" t="s">
        <v>11915</v>
      </c>
      <c r="B50" s="1" t="s">
        <v>4810</v>
      </c>
      <c r="C50" s="1" t="s">
        <v>11925</v>
      </c>
      <c r="D50" s="1" t="s">
        <v>11994</v>
      </c>
      <c r="E50" s="1" t="s">
        <v>11995</v>
      </c>
      <c r="F50" s="1" t="s">
        <v>11989</v>
      </c>
      <c r="G50" s="1" t="s">
        <v>11996</v>
      </c>
    </row>
    <row r="51" spans="1:7" ht="36" customHeight="1">
      <c r="A51" s="1" t="s">
        <v>11915</v>
      </c>
      <c r="B51" s="1" t="s">
        <v>4810</v>
      </c>
      <c r="C51" s="1" t="s">
        <v>11929</v>
      </c>
      <c r="D51" s="1" t="s">
        <v>11989</v>
      </c>
      <c r="E51" s="1" t="s">
        <v>11963</v>
      </c>
      <c r="F51" s="1" t="s">
        <v>11989</v>
      </c>
      <c r="G51" s="1" t="s">
        <v>11997</v>
      </c>
    </row>
    <row r="52" spans="1:7" ht="36" customHeight="1">
      <c r="A52" s="1" t="s">
        <v>11915</v>
      </c>
      <c r="B52" s="1" t="s">
        <v>4714</v>
      </c>
      <c r="C52" s="1" t="s">
        <v>11916</v>
      </c>
      <c r="D52" s="1" t="s">
        <v>11998</v>
      </c>
      <c r="E52" s="1" t="s">
        <v>11999</v>
      </c>
      <c r="F52" s="1" t="s">
        <v>12000</v>
      </c>
      <c r="G52" s="1" t="s">
        <v>12001</v>
      </c>
    </row>
    <row r="53" spans="1:7" ht="36" customHeight="1">
      <c r="A53" s="1" t="s">
        <v>11915</v>
      </c>
      <c r="B53" s="1" t="s">
        <v>4714</v>
      </c>
      <c r="C53" s="1" t="s">
        <v>11921</v>
      </c>
      <c r="D53" s="1" t="s">
        <v>12002</v>
      </c>
      <c r="E53" s="1" t="s">
        <v>12003</v>
      </c>
      <c r="F53" s="1" t="s">
        <v>12000</v>
      </c>
      <c r="G53" s="1" t="s">
        <v>12004</v>
      </c>
    </row>
    <row r="54" spans="1:7" ht="36" customHeight="1">
      <c r="A54" s="1" t="s">
        <v>11915</v>
      </c>
      <c r="B54" s="1" t="s">
        <v>4714</v>
      </c>
      <c r="C54" s="1" t="s">
        <v>11925</v>
      </c>
      <c r="D54" s="1" t="s">
        <v>12005</v>
      </c>
      <c r="E54" s="1" t="s">
        <v>12006</v>
      </c>
      <c r="F54" s="1" t="s">
        <v>12000</v>
      </c>
      <c r="G54" s="1" t="s">
        <v>12007</v>
      </c>
    </row>
    <row r="55" spans="1:7" ht="36" customHeight="1">
      <c r="A55" s="1" t="s">
        <v>11915</v>
      </c>
      <c r="B55" s="1" t="s">
        <v>4714</v>
      </c>
      <c r="C55" s="1" t="s">
        <v>11929</v>
      </c>
      <c r="D55" s="1" t="s">
        <v>12000</v>
      </c>
      <c r="E55" s="1" t="s">
        <v>11963</v>
      </c>
      <c r="F55" s="1" t="s">
        <v>12000</v>
      </c>
      <c r="G55" s="1" t="s">
        <v>14746</v>
      </c>
    </row>
    <row r="56" spans="1:7" ht="36" customHeight="1">
      <c r="A56" s="1" t="s">
        <v>11915</v>
      </c>
      <c r="B56" s="1" t="s">
        <v>4689</v>
      </c>
      <c r="C56" s="1" t="s">
        <v>11916</v>
      </c>
      <c r="D56" s="1" t="s">
        <v>12009</v>
      </c>
      <c r="E56" s="1" t="s">
        <v>12010</v>
      </c>
      <c r="F56" s="1" t="s">
        <v>12011</v>
      </c>
      <c r="G56" s="1" t="s">
        <v>12012</v>
      </c>
    </row>
    <row r="57" spans="1:7" ht="36" customHeight="1">
      <c r="A57" s="1" t="s">
        <v>11915</v>
      </c>
      <c r="B57" s="1" t="s">
        <v>4689</v>
      </c>
      <c r="C57" s="1" t="s">
        <v>11921</v>
      </c>
      <c r="D57" s="1" t="s">
        <v>12013</v>
      </c>
      <c r="E57" s="1" t="s">
        <v>12014</v>
      </c>
      <c r="F57" s="1" t="s">
        <v>12011</v>
      </c>
      <c r="G57" s="1" t="s">
        <v>12015</v>
      </c>
    </row>
    <row r="58" spans="1:7" ht="36" customHeight="1">
      <c r="A58" s="1" t="s">
        <v>11915</v>
      </c>
      <c r="B58" s="1" t="s">
        <v>4689</v>
      </c>
      <c r="C58" s="1" t="s">
        <v>11925</v>
      </c>
      <c r="D58" s="1" t="s">
        <v>12016</v>
      </c>
      <c r="E58" s="1" t="s">
        <v>12017</v>
      </c>
      <c r="F58" s="1" t="s">
        <v>12011</v>
      </c>
      <c r="G58" s="1" t="s">
        <v>12018</v>
      </c>
    </row>
    <row r="59" spans="1:7" ht="36" customHeight="1">
      <c r="A59" s="1" t="s">
        <v>11915</v>
      </c>
      <c r="B59" s="1" t="s">
        <v>4689</v>
      </c>
      <c r="C59" s="1" t="s">
        <v>11929</v>
      </c>
      <c r="D59" s="1" t="s">
        <v>12011</v>
      </c>
      <c r="E59" s="1" t="s">
        <v>11963</v>
      </c>
      <c r="F59" s="1" t="s">
        <v>12011</v>
      </c>
      <c r="G59" s="1" t="s">
        <v>12019</v>
      </c>
    </row>
    <row r="60" spans="1:7" ht="48" customHeight="1">
      <c r="A60" s="1" t="s">
        <v>14747</v>
      </c>
      <c r="B60" s="1" t="s">
        <v>5537</v>
      </c>
      <c r="C60" s="1" t="s">
        <v>14748</v>
      </c>
      <c r="D60" s="1" t="s">
        <v>14749</v>
      </c>
      <c r="E60" s="1" t="s">
        <v>14750</v>
      </c>
      <c r="F60" s="1" t="s">
        <v>14751</v>
      </c>
      <c r="G60" s="1" t="s">
        <v>14752</v>
      </c>
    </row>
    <row r="61" spans="1:7" ht="48" customHeight="1">
      <c r="A61" s="1" t="s">
        <v>14747</v>
      </c>
      <c r="B61" s="1" t="s">
        <v>5542</v>
      </c>
      <c r="C61" s="1" t="s">
        <v>14748</v>
      </c>
      <c r="D61" s="1" t="s">
        <v>14753</v>
      </c>
      <c r="E61" s="1" t="s">
        <v>14754</v>
      </c>
      <c r="F61" s="1" t="s">
        <v>14751</v>
      </c>
      <c r="G61" s="1" t="s">
        <v>14755</v>
      </c>
    </row>
    <row r="62" spans="1:7" ht="48" customHeight="1">
      <c r="A62" s="1" t="s">
        <v>14747</v>
      </c>
      <c r="B62" s="1" t="s">
        <v>5547</v>
      </c>
      <c r="C62" s="1" t="s">
        <v>14748</v>
      </c>
      <c r="D62" s="1" t="s">
        <v>14756</v>
      </c>
      <c r="E62" s="1" t="s">
        <v>14757</v>
      </c>
      <c r="F62" s="1" t="s">
        <v>14751</v>
      </c>
      <c r="G62" s="1" t="s">
        <v>14758</v>
      </c>
    </row>
    <row r="63" spans="1:7" ht="48" customHeight="1">
      <c r="A63" s="1" t="s">
        <v>14747</v>
      </c>
      <c r="B63" s="1" t="s">
        <v>5552</v>
      </c>
      <c r="C63" s="1" t="s">
        <v>14748</v>
      </c>
      <c r="D63" s="1" t="s">
        <v>14759</v>
      </c>
      <c r="E63" s="1" t="s">
        <v>14760</v>
      </c>
      <c r="F63" s="1" t="s">
        <v>14751</v>
      </c>
      <c r="G63" s="1" t="s">
        <v>14761</v>
      </c>
    </row>
    <row r="64" spans="1:7" ht="48" customHeight="1">
      <c r="A64" s="1" t="s">
        <v>14747</v>
      </c>
      <c r="B64" s="1" t="s">
        <v>5557</v>
      </c>
      <c r="C64" s="1" t="s">
        <v>14748</v>
      </c>
      <c r="D64" s="1" t="s">
        <v>14762</v>
      </c>
      <c r="E64" s="1" t="s">
        <v>14763</v>
      </c>
      <c r="F64" s="1" t="s">
        <v>14751</v>
      </c>
      <c r="G64" s="1" t="s">
        <v>14764</v>
      </c>
    </row>
    <row r="65" spans="1:7" ht="48" customHeight="1">
      <c r="A65" s="1" t="s">
        <v>14747</v>
      </c>
      <c r="B65" s="1" t="s">
        <v>5562</v>
      </c>
      <c r="C65" s="1" t="s">
        <v>14748</v>
      </c>
      <c r="D65" s="1" t="s">
        <v>14765</v>
      </c>
      <c r="E65" s="1" t="s">
        <v>14766</v>
      </c>
      <c r="F65" s="1" t="s">
        <v>14751</v>
      </c>
      <c r="G65" s="1" t="s">
        <v>14767</v>
      </c>
    </row>
    <row r="66" spans="1:7" ht="48" customHeight="1">
      <c r="A66" s="1" t="s">
        <v>14747</v>
      </c>
      <c r="B66" s="1" t="s">
        <v>5567</v>
      </c>
      <c r="C66" s="1" t="s">
        <v>14748</v>
      </c>
      <c r="D66" s="1" t="s">
        <v>14768</v>
      </c>
      <c r="E66" s="1" t="s">
        <v>14769</v>
      </c>
      <c r="F66" s="1" t="s">
        <v>14751</v>
      </c>
      <c r="G66" s="1" t="s">
        <v>14770</v>
      </c>
    </row>
    <row r="67" spans="1:7" ht="48" customHeight="1">
      <c r="A67" s="1" t="s">
        <v>14747</v>
      </c>
      <c r="B67" s="1" t="s">
        <v>5572</v>
      </c>
      <c r="C67" s="1" t="s">
        <v>14748</v>
      </c>
      <c r="D67" s="1" t="s">
        <v>14771</v>
      </c>
      <c r="E67" s="1" t="s">
        <v>14772</v>
      </c>
      <c r="F67" s="1" t="s">
        <v>14751</v>
      </c>
      <c r="G67" s="1" t="s">
        <v>14773</v>
      </c>
    </row>
    <row r="68" spans="1:7" ht="48" customHeight="1">
      <c r="A68" s="1" t="s">
        <v>14747</v>
      </c>
      <c r="B68" s="1" t="s">
        <v>5577</v>
      </c>
      <c r="C68" s="1" t="s">
        <v>14748</v>
      </c>
      <c r="D68" s="1" t="s">
        <v>14774</v>
      </c>
      <c r="E68" s="1" t="s">
        <v>14775</v>
      </c>
      <c r="F68" s="1" t="s">
        <v>14751</v>
      </c>
      <c r="G68" s="1" t="s">
        <v>14776</v>
      </c>
    </row>
    <row r="69" spans="1:7" ht="48" customHeight="1">
      <c r="A69" s="1" t="s">
        <v>14747</v>
      </c>
      <c r="B69" s="1" t="s">
        <v>5582</v>
      </c>
      <c r="C69" s="1" t="s">
        <v>14748</v>
      </c>
      <c r="D69" s="1" t="s">
        <v>14777</v>
      </c>
      <c r="E69" s="1" t="s">
        <v>14778</v>
      </c>
      <c r="F69" s="1" t="s">
        <v>14751</v>
      </c>
      <c r="G69" s="1" t="s">
        <v>14779</v>
      </c>
    </row>
    <row r="70" spans="1:7" ht="48" customHeight="1">
      <c r="A70" s="1" t="s">
        <v>14747</v>
      </c>
      <c r="B70" s="1" t="s">
        <v>5586</v>
      </c>
      <c r="C70" s="1" t="s">
        <v>14748</v>
      </c>
      <c r="D70" s="1" t="s">
        <v>14780</v>
      </c>
      <c r="E70" s="1" t="s">
        <v>14781</v>
      </c>
      <c r="F70" s="1" t="s">
        <v>14751</v>
      </c>
      <c r="G70" s="1" t="s">
        <v>14782</v>
      </c>
    </row>
    <row r="71" spans="1:7" ht="48" customHeight="1">
      <c r="A71" s="1" t="s">
        <v>14747</v>
      </c>
      <c r="B71" s="1" t="s">
        <v>5591</v>
      </c>
      <c r="C71" s="1" t="s">
        <v>14748</v>
      </c>
      <c r="D71" s="1" t="s">
        <v>14783</v>
      </c>
      <c r="E71" s="1" t="s">
        <v>14784</v>
      </c>
      <c r="F71" s="1" t="s">
        <v>14751</v>
      </c>
      <c r="G71" s="1" t="s">
        <v>14785</v>
      </c>
    </row>
    <row r="72" spans="1:7" ht="48" customHeight="1">
      <c r="A72" s="1" t="s">
        <v>14747</v>
      </c>
      <c r="B72" s="1" t="s">
        <v>5596</v>
      </c>
      <c r="C72" s="1" t="s">
        <v>14748</v>
      </c>
      <c r="D72" s="1" t="s">
        <v>14786</v>
      </c>
      <c r="E72" s="1" t="s">
        <v>14787</v>
      </c>
      <c r="F72" s="1" t="s">
        <v>14751</v>
      </c>
      <c r="G72" s="1" t="s">
        <v>14788</v>
      </c>
    </row>
    <row r="73" spans="1:7" ht="48" customHeight="1">
      <c r="A73" s="1" t="s">
        <v>14747</v>
      </c>
      <c r="B73" s="1" t="s">
        <v>5601</v>
      </c>
      <c r="C73" s="1" t="s">
        <v>14748</v>
      </c>
      <c r="D73" s="1" t="s">
        <v>14789</v>
      </c>
      <c r="E73" s="1" t="s">
        <v>14790</v>
      </c>
      <c r="F73" s="1" t="s">
        <v>14751</v>
      </c>
      <c r="G73" s="1" t="s">
        <v>14791</v>
      </c>
    </row>
    <row r="74" spans="1:7" ht="48" customHeight="1">
      <c r="A74" s="1" t="s">
        <v>14747</v>
      </c>
      <c r="B74" s="1" t="s">
        <v>5606</v>
      </c>
      <c r="C74" s="1" t="s">
        <v>14748</v>
      </c>
      <c r="D74" s="1" t="s">
        <v>14792</v>
      </c>
      <c r="E74" s="1" t="s">
        <v>14793</v>
      </c>
      <c r="F74" s="1" t="s">
        <v>14751</v>
      </c>
      <c r="G74" s="1" t="s">
        <v>14794</v>
      </c>
    </row>
    <row r="75" spans="1:7" ht="48" customHeight="1">
      <c r="A75" s="1" t="s">
        <v>14747</v>
      </c>
      <c r="B75" s="1" t="s">
        <v>5454</v>
      </c>
      <c r="C75" s="1" t="s">
        <v>14748</v>
      </c>
      <c r="D75" s="1" t="s">
        <v>14795</v>
      </c>
      <c r="E75" s="1" t="s">
        <v>14796</v>
      </c>
      <c r="F75" s="1" t="s">
        <v>14751</v>
      </c>
      <c r="G75" s="1" t="s">
        <v>14797</v>
      </c>
    </row>
    <row r="76" spans="1:7" ht="24" customHeight="1">
      <c r="A76" s="1" t="s">
        <v>12020</v>
      </c>
      <c r="B76" s="1" t="s">
        <v>4747</v>
      </c>
      <c r="C76" s="1"/>
      <c r="D76" s="1" t="s">
        <v>12021</v>
      </c>
      <c r="E76" s="1" t="s">
        <v>12022</v>
      </c>
      <c r="F76" s="1" t="s">
        <v>12023</v>
      </c>
      <c r="G76" s="1" t="s">
        <v>12024</v>
      </c>
    </row>
    <row r="77" spans="1:7" ht="36" customHeight="1">
      <c r="A77" s="1" t="s">
        <v>12020</v>
      </c>
      <c r="B77" s="1" t="s">
        <v>11929</v>
      </c>
      <c r="C77" s="1"/>
      <c r="D77" s="1" t="s">
        <v>12025</v>
      </c>
      <c r="E77" s="1" t="s">
        <v>12026</v>
      </c>
      <c r="F77" s="1" t="s">
        <v>12027</v>
      </c>
      <c r="G77" s="1" t="s">
        <v>12028</v>
      </c>
    </row>
    <row r="78" spans="1:7" ht="24" customHeight="1">
      <c r="A78" s="1" t="s">
        <v>14798</v>
      </c>
      <c r="B78" s="1" t="s">
        <v>1348</v>
      </c>
      <c r="C78" s="1"/>
      <c r="D78" s="1" t="s">
        <v>14699</v>
      </c>
      <c r="E78" s="1"/>
      <c r="F78" s="1" t="s">
        <v>11640</v>
      </c>
      <c r="G78" s="1" t="s">
        <v>14799</v>
      </c>
    </row>
    <row r="79" spans="1:7" ht="24" customHeight="1">
      <c r="A79" s="1" t="s">
        <v>14798</v>
      </c>
      <c r="B79" s="1" t="s">
        <v>1216</v>
      </c>
      <c r="C79" s="1"/>
      <c r="D79" s="1" t="s">
        <v>14702</v>
      </c>
      <c r="E79" s="1"/>
      <c r="F79" s="1" t="s">
        <v>11640</v>
      </c>
      <c r="G79" s="1" t="s">
        <v>14800</v>
      </c>
    </row>
    <row r="80" spans="1:7" ht="24" customHeight="1">
      <c r="A80" s="1" t="s">
        <v>14798</v>
      </c>
      <c r="B80" s="1" t="s">
        <v>1256</v>
      </c>
      <c r="C80" s="1"/>
      <c r="D80" s="1" t="s">
        <v>14801</v>
      </c>
      <c r="E80" s="1"/>
      <c r="F80" s="1" t="s">
        <v>11640</v>
      </c>
      <c r="G80" s="1" t="s">
        <v>14802</v>
      </c>
    </row>
    <row r="81" spans="1:7" ht="24" customHeight="1">
      <c r="A81" s="1" t="s">
        <v>14798</v>
      </c>
      <c r="B81" s="1" t="s">
        <v>2137</v>
      </c>
      <c r="C81" s="1"/>
      <c r="D81" s="1" t="s">
        <v>14803</v>
      </c>
      <c r="E81" s="1"/>
      <c r="F81" s="1" t="s">
        <v>11640</v>
      </c>
      <c r="G81" s="1" t="s">
        <v>14804</v>
      </c>
    </row>
    <row r="82" spans="1:7" ht="24" customHeight="1">
      <c r="A82" s="1" t="s">
        <v>14798</v>
      </c>
      <c r="B82" s="1" t="s">
        <v>1367</v>
      </c>
      <c r="C82" s="1"/>
      <c r="D82" s="1" t="s">
        <v>14805</v>
      </c>
      <c r="E82" s="1"/>
      <c r="F82" s="1" t="s">
        <v>11640</v>
      </c>
      <c r="G82" s="1" t="s">
        <v>14806</v>
      </c>
    </row>
    <row r="83" spans="1:7" ht="24" customHeight="1">
      <c r="A83" s="1" t="s">
        <v>14798</v>
      </c>
      <c r="B83" s="1" t="s">
        <v>1224</v>
      </c>
      <c r="C83" s="1"/>
      <c r="D83" s="1" t="s">
        <v>14714</v>
      </c>
      <c r="E83" s="1"/>
      <c r="F83" s="1" t="s">
        <v>11640</v>
      </c>
      <c r="G83" s="1" t="s">
        <v>14807</v>
      </c>
    </row>
    <row r="84" spans="1:7" ht="24" customHeight="1">
      <c r="A84" s="1" t="s">
        <v>14808</v>
      </c>
      <c r="B84" s="1" t="s">
        <v>14718</v>
      </c>
      <c r="C84" s="1"/>
      <c r="D84" s="1" t="s">
        <v>14719</v>
      </c>
      <c r="E84" s="1"/>
      <c r="F84" s="1" t="s">
        <v>11640</v>
      </c>
      <c r="G84" s="1" t="s">
        <v>14809</v>
      </c>
    </row>
    <row r="85" spans="1:7" ht="24" customHeight="1">
      <c r="A85" s="1" t="s">
        <v>14808</v>
      </c>
      <c r="B85" s="1" t="s">
        <v>14723</v>
      </c>
      <c r="C85" s="1"/>
      <c r="D85" s="1" t="s">
        <v>14810</v>
      </c>
      <c r="E85" s="1"/>
      <c r="F85" s="1" t="s">
        <v>11640</v>
      </c>
      <c r="G85" s="1" t="s">
        <v>14811</v>
      </c>
    </row>
    <row r="86" spans="1:7" ht="24" customHeight="1">
      <c r="A86" s="1" t="s">
        <v>14808</v>
      </c>
      <c r="B86" s="1" t="s">
        <v>14727</v>
      </c>
      <c r="C86" s="1"/>
      <c r="D86" s="1" t="s">
        <v>14728</v>
      </c>
      <c r="E86" s="1"/>
      <c r="F86" s="1" t="s">
        <v>11640</v>
      </c>
      <c r="G86" s="1" t="s">
        <v>14812</v>
      </c>
    </row>
    <row r="87" spans="1:7" ht="24" customHeight="1">
      <c r="A87" s="1" t="s">
        <v>14808</v>
      </c>
      <c r="B87" s="1" t="s">
        <v>14731</v>
      </c>
      <c r="C87" s="1"/>
      <c r="D87" s="1" t="s">
        <v>14813</v>
      </c>
      <c r="E87" s="1"/>
      <c r="F87" s="1" t="s">
        <v>11640</v>
      </c>
      <c r="G87" s="1" t="s">
        <v>14814</v>
      </c>
    </row>
    <row r="88" spans="1:7" ht="24" customHeight="1">
      <c r="A88" s="1" t="s">
        <v>14808</v>
      </c>
      <c r="B88" s="1" t="s">
        <v>14735</v>
      </c>
      <c r="C88" s="1"/>
      <c r="D88" s="1" t="s">
        <v>14736</v>
      </c>
      <c r="E88" s="1"/>
      <c r="F88" s="1" t="s">
        <v>11640</v>
      </c>
      <c r="G88" s="1" t="s">
        <v>14815</v>
      </c>
    </row>
    <row r="89" spans="1:7" ht="24" customHeight="1">
      <c r="A89" s="1" t="s">
        <v>14808</v>
      </c>
      <c r="B89" s="1" t="s">
        <v>14739</v>
      </c>
      <c r="C89" s="1"/>
      <c r="D89" s="1" t="s">
        <v>14816</v>
      </c>
      <c r="E89" s="1"/>
      <c r="F89" s="1" t="s">
        <v>11640</v>
      </c>
      <c r="G89" s="1" t="s">
        <v>14817</v>
      </c>
    </row>
    <row r="90" spans="1:7" ht="24" customHeight="1">
      <c r="A90" s="1" t="s">
        <v>14818</v>
      </c>
      <c r="B90" s="1" t="s">
        <v>4747</v>
      </c>
      <c r="C90" s="1"/>
      <c r="D90" s="1" t="s">
        <v>14819</v>
      </c>
      <c r="E90" s="1"/>
      <c r="F90" s="1" t="s">
        <v>11640</v>
      </c>
      <c r="G90" s="1" t="s">
        <v>14820</v>
      </c>
    </row>
    <row r="91" spans="1:7" ht="24" customHeight="1">
      <c r="A91" s="1" t="s">
        <v>14818</v>
      </c>
      <c r="B91" s="1" t="s">
        <v>12820</v>
      </c>
      <c r="C91" s="1"/>
      <c r="D91" s="1" t="s">
        <v>14821</v>
      </c>
      <c r="E91" s="1"/>
      <c r="F91" s="1" t="s">
        <v>11640</v>
      </c>
      <c r="G91" s="1" t="s">
        <v>14822</v>
      </c>
    </row>
    <row r="92" spans="1:7" ht="24" customHeight="1">
      <c r="A92" s="1" t="s">
        <v>12029</v>
      </c>
      <c r="B92" s="1" t="s">
        <v>11916</v>
      </c>
      <c r="C92" s="1"/>
      <c r="D92" s="1" t="s">
        <v>12030</v>
      </c>
      <c r="E92" s="1"/>
      <c r="F92" s="1" t="s">
        <v>11640</v>
      </c>
      <c r="G92" s="1" t="s">
        <v>12031</v>
      </c>
    </row>
    <row r="93" spans="1:7" ht="36" customHeight="1">
      <c r="A93" s="1" t="s">
        <v>12029</v>
      </c>
      <c r="B93" s="1" t="s">
        <v>11921</v>
      </c>
      <c r="C93" s="1"/>
      <c r="D93" s="1" t="s">
        <v>12032</v>
      </c>
      <c r="E93" s="1"/>
      <c r="F93" s="1" t="s">
        <v>11640</v>
      </c>
      <c r="G93" s="1" t="s">
        <v>12033</v>
      </c>
    </row>
    <row r="94" spans="1:7" ht="24" customHeight="1">
      <c r="A94" s="1" t="s">
        <v>12029</v>
      </c>
      <c r="B94" s="1" t="s">
        <v>11925</v>
      </c>
      <c r="C94" s="1"/>
      <c r="D94" s="1" t="s">
        <v>12034</v>
      </c>
      <c r="E94" s="1"/>
      <c r="F94" s="1" t="s">
        <v>11640</v>
      </c>
      <c r="G94" s="1" t="s">
        <v>12035</v>
      </c>
    </row>
    <row r="95" spans="1:7" ht="24" customHeight="1">
      <c r="A95" s="1" t="s">
        <v>14823</v>
      </c>
      <c r="B95" s="1" t="s">
        <v>14824</v>
      </c>
      <c r="C95" s="1"/>
      <c r="D95" s="1" t="s">
        <v>14825</v>
      </c>
      <c r="E95" s="1"/>
      <c r="F95" s="1" t="s">
        <v>11640</v>
      </c>
      <c r="G95" s="1" t="s">
        <v>14826</v>
      </c>
    </row>
    <row r="96" spans="1:7" ht="24" customHeight="1">
      <c r="A96" s="1" t="s">
        <v>11638</v>
      </c>
      <c r="B96" s="1" t="s">
        <v>4835</v>
      </c>
      <c r="C96" s="1"/>
      <c r="D96" s="1" t="s">
        <v>11639</v>
      </c>
      <c r="E96" s="1"/>
      <c r="F96" s="1" t="s">
        <v>11640</v>
      </c>
      <c r="G96" s="1" t="s">
        <v>11641</v>
      </c>
    </row>
    <row r="97" spans="1:7" ht="24" customHeight="1">
      <c r="A97" s="1" t="s">
        <v>11638</v>
      </c>
      <c r="B97" s="1" t="s">
        <v>4704</v>
      </c>
      <c r="C97" s="1"/>
      <c r="D97" s="1" t="s">
        <v>11642</v>
      </c>
      <c r="E97" s="1"/>
      <c r="F97" s="1" t="s">
        <v>11640</v>
      </c>
      <c r="G97" s="1" t="s">
        <v>11643</v>
      </c>
    </row>
    <row r="98" spans="1:7" ht="24" customHeight="1">
      <c r="A98" s="1" t="s">
        <v>14827</v>
      </c>
      <c r="B98" s="1" t="s">
        <v>56</v>
      </c>
      <c r="C98" s="1"/>
      <c r="D98" s="1" t="s">
        <v>14828</v>
      </c>
      <c r="E98" s="1"/>
      <c r="F98" s="1" t="s">
        <v>11640</v>
      </c>
      <c r="G98" s="1" t="s">
        <v>14829</v>
      </c>
    </row>
    <row r="99" spans="1:7" ht="24" customHeight="1">
      <c r="A99" s="1" t="s">
        <v>14827</v>
      </c>
      <c r="B99" s="1" t="s">
        <v>14830</v>
      </c>
      <c r="C99" s="1"/>
      <c r="D99" s="1" t="s">
        <v>14831</v>
      </c>
      <c r="E99" s="1"/>
      <c r="F99" s="1" t="s">
        <v>11640</v>
      </c>
      <c r="G99" s="1" t="s">
        <v>14832</v>
      </c>
    </row>
    <row r="100" spans="1:7" ht="24" customHeight="1">
      <c r="A100" s="1" t="s">
        <v>14833</v>
      </c>
      <c r="B100" s="1" t="s">
        <v>14834</v>
      </c>
      <c r="C100" s="1"/>
      <c r="D100" s="1" t="s">
        <v>14835</v>
      </c>
      <c r="E100" s="1"/>
      <c r="F100" s="1" t="s">
        <v>14836</v>
      </c>
      <c r="G100" s="1" t="s">
        <v>12039</v>
      </c>
    </row>
    <row r="101" spans="1:7" ht="24" customHeight="1">
      <c r="A101" s="1" t="s">
        <v>14833</v>
      </c>
      <c r="B101" s="1" t="s">
        <v>14837</v>
      </c>
      <c r="C101" s="1"/>
      <c r="D101" s="1" t="s">
        <v>14838</v>
      </c>
      <c r="E101" s="1"/>
      <c r="F101" s="1" t="s">
        <v>14839</v>
      </c>
      <c r="G101" s="1" t="s">
        <v>12039</v>
      </c>
    </row>
    <row r="102" spans="1:7" ht="24" customHeight="1">
      <c r="A102" s="1" t="s">
        <v>14833</v>
      </c>
      <c r="B102" s="1" t="s">
        <v>12859</v>
      </c>
      <c r="C102" s="1"/>
      <c r="D102" s="1" t="s">
        <v>14840</v>
      </c>
      <c r="E102" s="1"/>
      <c r="F102" s="1" t="s">
        <v>14841</v>
      </c>
      <c r="G102" s="1" t="s">
        <v>12039</v>
      </c>
    </row>
    <row r="103" spans="1:7" ht="24" customHeight="1">
      <c r="A103" s="1" t="s">
        <v>12020</v>
      </c>
      <c r="B103" s="1" t="s">
        <v>12036</v>
      </c>
      <c r="C103" s="1"/>
      <c r="D103" s="1" t="s">
        <v>12037</v>
      </c>
      <c r="E103" s="1"/>
      <c r="F103" s="1" t="s">
        <v>12038</v>
      </c>
      <c r="G103" s="1" t="s">
        <v>12039</v>
      </c>
    </row>
    <row r="104" spans="1:7" ht="24" customHeight="1">
      <c r="A104" s="1" t="s">
        <v>14842</v>
      </c>
      <c r="B104" s="1" t="s">
        <v>14843</v>
      </c>
      <c r="C104" s="1"/>
      <c r="D104" s="1" t="s">
        <v>14844</v>
      </c>
      <c r="E104" s="1"/>
      <c r="F104" s="1" t="s">
        <v>14845</v>
      </c>
      <c r="G104" s="1" t="s">
        <v>14846</v>
      </c>
    </row>
    <row r="105" spans="1:7" ht="36" customHeight="1">
      <c r="A105" s="1" t="s">
        <v>14847</v>
      </c>
      <c r="B105" s="1" t="s">
        <v>5591</v>
      </c>
      <c r="C105" s="1">
        <v>0</v>
      </c>
      <c r="D105" s="1" t="s">
        <v>14848</v>
      </c>
      <c r="E105" s="1" t="s">
        <v>14849</v>
      </c>
      <c r="F105" s="1" t="s">
        <v>14850</v>
      </c>
      <c r="G105" s="1" t="s">
        <v>14851</v>
      </c>
    </row>
    <row r="106" spans="1:7" ht="36" customHeight="1">
      <c r="A106" s="1" t="s">
        <v>14847</v>
      </c>
      <c r="B106" s="1" t="s">
        <v>5591</v>
      </c>
      <c r="C106" s="1">
        <v>1</v>
      </c>
      <c r="D106" s="1" t="s">
        <v>14852</v>
      </c>
      <c r="E106" s="1" t="s">
        <v>14853</v>
      </c>
      <c r="F106" s="1" t="s">
        <v>14850</v>
      </c>
      <c r="G106" s="1" t="s">
        <v>14851</v>
      </c>
    </row>
    <row r="107" spans="1:7" ht="36" customHeight="1">
      <c r="A107" s="1" t="s">
        <v>14847</v>
      </c>
      <c r="B107" s="1" t="s">
        <v>5591</v>
      </c>
      <c r="C107" s="1">
        <v>2</v>
      </c>
      <c r="D107" s="1" t="s">
        <v>14854</v>
      </c>
      <c r="E107" s="1" t="s">
        <v>14855</v>
      </c>
      <c r="F107" s="1" t="s">
        <v>14850</v>
      </c>
      <c r="G107" s="1" t="s">
        <v>14851</v>
      </c>
    </row>
    <row r="108" spans="1:7" ht="24" customHeight="1">
      <c r="A108" s="1" t="s">
        <v>14856</v>
      </c>
      <c r="B108" s="1" t="s">
        <v>14857</v>
      </c>
      <c r="C108" s="1"/>
      <c r="D108" s="1" t="s">
        <v>14858</v>
      </c>
      <c r="E108" s="1" t="s">
        <v>14859</v>
      </c>
      <c r="F108" s="1" t="s">
        <v>14860</v>
      </c>
      <c r="G108" s="1" t="s">
        <v>14861</v>
      </c>
    </row>
    <row r="109" spans="1:7" ht="36" customHeight="1">
      <c r="A109" s="1" t="s">
        <v>14862</v>
      </c>
      <c r="B109" s="1" t="s">
        <v>14863</v>
      </c>
      <c r="C109" s="1"/>
      <c r="D109" s="1" t="s">
        <v>14864</v>
      </c>
      <c r="E109" s="1" t="s">
        <v>14865</v>
      </c>
      <c r="F109" s="1" t="s">
        <v>14866</v>
      </c>
      <c r="G109" s="1" t="s">
        <v>14867</v>
      </c>
    </row>
    <row r="110" spans="1:7" ht="24" customHeight="1">
      <c r="A110" s="1" t="s">
        <v>14847</v>
      </c>
      <c r="B110" s="1" t="s">
        <v>5562</v>
      </c>
      <c r="C110" s="1" t="s">
        <v>14868</v>
      </c>
      <c r="D110" s="1" t="s">
        <v>14869</v>
      </c>
      <c r="E110" s="1" t="s">
        <v>14870</v>
      </c>
      <c r="F110" s="1" t="s">
        <v>14871</v>
      </c>
      <c r="G110" s="1" t="s">
        <v>14872</v>
      </c>
    </row>
    <row r="111" spans="1:7" ht="24" customHeight="1">
      <c r="A111" s="1" t="s">
        <v>14847</v>
      </c>
      <c r="B111" s="1" t="s">
        <v>5582</v>
      </c>
      <c r="C111" s="1" t="s">
        <v>14868</v>
      </c>
      <c r="D111" s="1" t="s">
        <v>14873</v>
      </c>
      <c r="E111" s="1" t="s">
        <v>14874</v>
      </c>
      <c r="F111" s="1" t="s">
        <v>14875</v>
      </c>
      <c r="G111" s="1" t="s">
        <v>14876</v>
      </c>
    </row>
    <row r="112" spans="1:7" ht="24" customHeight="1">
      <c r="A112" s="1" t="s">
        <v>14847</v>
      </c>
      <c r="B112" s="1" t="s">
        <v>5591</v>
      </c>
      <c r="C112" s="1" t="s">
        <v>11929</v>
      </c>
      <c r="D112" s="1" t="s">
        <v>14877</v>
      </c>
      <c r="E112" s="1" t="s">
        <v>14878</v>
      </c>
      <c r="F112" s="1" t="s">
        <v>14879</v>
      </c>
      <c r="G112" s="1" t="s">
        <v>14880</v>
      </c>
    </row>
    <row r="113" spans="1:7" ht="36" customHeight="1">
      <c r="A113" s="1" t="s">
        <v>14847</v>
      </c>
      <c r="B113" s="1" t="s">
        <v>5454</v>
      </c>
      <c r="C113" s="1" t="s">
        <v>14868</v>
      </c>
      <c r="D113" s="1" t="s">
        <v>14881</v>
      </c>
      <c r="E113" s="1" t="s">
        <v>14882</v>
      </c>
      <c r="F113" s="1" t="s">
        <v>14883</v>
      </c>
      <c r="G113" s="1" t="s">
        <v>14884</v>
      </c>
    </row>
    <row r="114" spans="1:7" ht="36" customHeight="1">
      <c r="A114" s="1" t="s">
        <v>14885</v>
      </c>
      <c r="B114" s="1" t="s">
        <v>5582</v>
      </c>
      <c r="C114" s="1" t="s">
        <v>11916</v>
      </c>
      <c r="D114" s="1" t="s">
        <v>14886</v>
      </c>
      <c r="E114" s="1" t="s">
        <v>14887</v>
      </c>
      <c r="F114" s="1" t="s">
        <v>14888</v>
      </c>
      <c r="G114" s="1" t="s">
        <v>14889</v>
      </c>
    </row>
    <row r="115" spans="1:7" ht="24" customHeight="1">
      <c r="A115" s="1" t="s">
        <v>14885</v>
      </c>
      <c r="B115" s="1" t="s">
        <v>5582</v>
      </c>
      <c r="C115" s="1" t="s">
        <v>11921</v>
      </c>
      <c r="D115" s="1" t="s">
        <v>14890</v>
      </c>
      <c r="E115" s="1" t="s">
        <v>14891</v>
      </c>
      <c r="F115" s="1" t="s">
        <v>14892</v>
      </c>
      <c r="G115" s="1" t="s">
        <v>14893</v>
      </c>
    </row>
    <row r="116" spans="1:7" ht="36" customHeight="1">
      <c r="A116" s="1" t="s">
        <v>14885</v>
      </c>
      <c r="B116" s="1" t="s">
        <v>5582</v>
      </c>
      <c r="C116" s="1" t="s">
        <v>11925</v>
      </c>
      <c r="D116" s="1" t="s">
        <v>14894</v>
      </c>
      <c r="E116" s="1" t="s">
        <v>14895</v>
      </c>
      <c r="F116" s="1" t="s">
        <v>14896</v>
      </c>
      <c r="G116" s="1" t="s">
        <v>14893</v>
      </c>
    </row>
    <row r="117" spans="1:7" ht="60" customHeight="1">
      <c r="A117" s="1" t="s">
        <v>14885</v>
      </c>
      <c r="B117" s="1" t="s">
        <v>5454</v>
      </c>
      <c r="C117" s="1" t="s">
        <v>11916</v>
      </c>
      <c r="D117" s="1" t="s">
        <v>14897</v>
      </c>
      <c r="E117" s="1" t="s">
        <v>14898</v>
      </c>
      <c r="F117" s="1" t="s">
        <v>14899</v>
      </c>
      <c r="G117" s="1" t="s">
        <v>14900</v>
      </c>
    </row>
    <row r="118" spans="1:7" ht="72" customHeight="1">
      <c r="A118" s="1" t="s">
        <v>14885</v>
      </c>
      <c r="B118" s="1" t="s">
        <v>5454</v>
      </c>
      <c r="C118" s="1" t="s">
        <v>11921</v>
      </c>
      <c r="D118" s="1" t="s">
        <v>14901</v>
      </c>
      <c r="E118" s="1" t="s">
        <v>14902</v>
      </c>
      <c r="F118" s="1" t="s">
        <v>14899</v>
      </c>
      <c r="G118" s="1" t="s">
        <v>14900</v>
      </c>
    </row>
    <row r="119" spans="1:7" ht="72" customHeight="1">
      <c r="A119" s="1" t="s">
        <v>14885</v>
      </c>
      <c r="B119" s="1" t="s">
        <v>5454</v>
      </c>
      <c r="C119" s="1" t="s">
        <v>11925</v>
      </c>
      <c r="D119" s="1" t="s">
        <v>14903</v>
      </c>
      <c r="E119" s="1" t="s">
        <v>14898</v>
      </c>
      <c r="F119" s="1" t="s">
        <v>14899</v>
      </c>
      <c r="G119" s="1" t="s">
        <v>14900</v>
      </c>
    </row>
    <row r="120" spans="1:7" ht="60" customHeight="1">
      <c r="A120" s="1" t="s">
        <v>14885</v>
      </c>
      <c r="B120" s="1" t="s">
        <v>5454</v>
      </c>
      <c r="C120" s="1" t="s">
        <v>11929</v>
      </c>
      <c r="D120" s="1" t="s">
        <v>14904</v>
      </c>
      <c r="E120" s="1" t="s">
        <v>14898</v>
      </c>
      <c r="F120" s="1" t="s">
        <v>14899</v>
      </c>
      <c r="G120" s="1" t="s">
        <v>14900</v>
      </c>
    </row>
    <row r="121" spans="1:7" ht="48" customHeight="1">
      <c r="A121" s="1" t="s">
        <v>14905</v>
      </c>
      <c r="B121" s="1" t="s">
        <v>5582</v>
      </c>
      <c r="C121" s="1" t="s">
        <v>11916</v>
      </c>
      <c r="D121" s="1" t="s">
        <v>14906</v>
      </c>
      <c r="E121" s="1" t="s">
        <v>14907</v>
      </c>
      <c r="F121" s="1" t="s">
        <v>14908</v>
      </c>
      <c r="G121" s="1" t="s">
        <v>14909</v>
      </c>
    </row>
    <row r="122" spans="1:7" ht="24" customHeight="1">
      <c r="A122" s="1" t="s">
        <v>14905</v>
      </c>
      <c r="B122" s="1" t="s">
        <v>5582</v>
      </c>
      <c r="C122" s="1" t="s">
        <v>11921</v>
      </c>
      <c r="D122" s="1" t="s">
        <v>14910</v>
      </c>
      <c r="E122" s="1" t="s">
        <v>14907</v>
      </c>
      <c r="F122" s="1" t="s">
        <v>14908</v>
      </c>
      <c r="G122" s="1" t="s">
        <v>14909</v>
      </c>
    </row>
    <row r="123" spans="1:7" ht="36" customHeight="1">
      <c r="A123" s="1" t="s">
        <v>14905</v>
      </c>
      <c r="B123" s="1" t="s">
        <v>5582</v>
      </c>
      <c r="C123" s="1" t="s">
        <v>11925</v>
      </c>
      <c r="D123" s="1" t="s">
        <v>14911</v>
      </c>
      <c r="E123" s="1" t="s">
        <v>14907</v>
      </c>
      <c r="F123" s="1" t="s">
        <v>14908</v>
      </c>
      <c r="G123" s="1" t="s">
        <v>14909</v>
      </c>
    </row>
    <row r="124" spans="1:7" ht="24" customHeight="1">
      <c r="A124" s="1" t="s">
        <v>14905</v>
      </c>
      <c r="B124" s="1" t="s">
        <v>5582</v>
      </c>
      <c r="C124" s="1" t="s">
        <v>11929</v>
      </c>
      <c r="D124" s="1" t="s">
        <v>14912</v>
      </c>
      <c r="E124" s="1" t="s">
        <v>14907</v>
      </c>
      <c r="F124" s="1" t="s">
        <v>14908</v>
      </c>
      <c r="G124" s="1" t="s">
        <v>14909</v>
      </c>
    </row>
    <row r="125" spans="1:7" ht="24" customHeight="1">
      <c r="A125" s="1" t="s">
        <v>14905</v>
      </c>
      <c r="B125" s="1" t="s">
        <v>5454</v>
      </c>
      <c r="C125" s="1" t="s">
        <v>11916</v>
      </c>
      <c r="D125" s="1" t="s">
        <v>14913</v>
      </c>
      <c r="E125" s="1" t="s">
        <v>14907</v>
      </c>
      <c r="F125" s="1" t="s">
        <v>14908</v>
      </c>
      <c r="G125" s="1" t="s">
        <v>14909</v>
      </c>
    </row>
    <row r="126" spans="1:7" ht="24" customHeight="1">
      <c r="A126" s="1" t="s">
        <v>14905</v>
      </c>
      <c r="B126" s="1" t="s">
        <v>5454</v>
      </c>
      <c r="C126" s="1" t="s">
        <v>11921</v>
      </c>
      <c r="D126" s="1" t="s">
        <v>14914</v>
      </c>
      <c r="E126" s="1" t="s">
        <v>14907</v>
      </c>
      <c r="F126" s="1" t="s">
        <v>14908</v>
      </c>
      <c r="G126" s="1" t="s">
        <v>14909</v>
      </c>
    </row>
    <row r="127" spans="1:7" ht="24" customHeight="1">
      <c r="A127" s="1" t="s">
        <v>14905</v>
      </c>
      <c r="B127" s="1" t="s">
        <v>5454</v>
      </c>
      <c r="C127" s="1" t="s">
        <v>11925</v>
      </c>
      <c r="D127" s="1" t="s">
        <v>14915</v>
      </c>
      <c r="E127" s="1" t="s">
        <v>14907</v>
      </c>
      <c r="F127" s="1" t="s">
        <v>14908</v>
      </c>
      <c r="G127" s="1" t="s">
        <v>14909</v>
      </c>
    </row>
    <row r="128" spans="1:7" ht="24" customHeight="1">
      <c r="A128" s="1" t="s">
        <v>14905</v>
      </c>
      <c r="B128" s="1" t="s">
        <v>5454</v>
      </c>
      <c r="C128" s="1" t="s">
        <v>11929</v>
      </c>
      <c r="D128" s="1" t="s">
        <v>14916</v>
      </c>
      <c r="E128" s="1" t="s">
        <v>14907</v>
      </c>
      <c r="F128" s="1" t="s">
        <v>14908</v>
      </c>
      <c r="G128" s="1" t="s">
        <v>14909</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76"/>
  <sheetViews>
    <sheetView showGridLines="0" workbookViewId="0">
      <pane xSplit="1" ySplit="1" topLeftCell="B2" activePane="bottomRight" state="frozen"/>
      <selection pane="topRight"/>
      <selection pane="bottomLeft"/>
      <selection pane="bottomRight" activeCell="B2" sqref="B2"/>
    </sheetView>
  </sheetViews>
  <sheetFormatPr baseColWidth="10" defaultColWidth="8.83203125" defaultRowHeight="15"/>
  <cols>
    <col min="1" max="4" width="34" customWidth="1"/>
  </cols>
  <sheetData>
    <row r="1" spans="1:4" ht="38" customHeight="1">
      <c r="A1" s="2" t="s">
        <v>14917</v>
      </c>
      <c r="B1" s="2" t="s">
        <v>14918</v>
      </c>
      <c r="C1" s="2" t="s">
        <v>14919</v>
      </c>
      <c r="D1" s="2" t="s">
        <v>14920</v>
      </c>
    </row>
    <row r="2" spans="1:4" ht="24" customHeight="1">
      <c r="A2" s="1" t="s">
        <v>4810</v>
      </c>
      <c r="B2" s="1" t="s">
        <v>14921</v>
      </c>
      <c r="C2" s="1" t="s">
        <v>14922</v>
      </c>
      <c r="D2" s="1" t="s">
        <v>14923</v>
      </c>
    </row>
    <row r="3" spans="1:4" ht="24" customHeight="1">
      <c r="A3" s="1" t="s">
        <v>14924</v>
      </c>
      <c r="B3" s="1" t="s">
        <v>14925</v>
      </c>
      <c r="C3" s="1" t="s">
        <v>14926</v>
      </c>
      <c r="D3" s="1" t="s">
        <v>14927</v>
      </c>
    </row>
    <row r="4" spans="1:4" ht="24" customHeight="1">
      <c r="A4" s="1" t="s">
        <v>14928</v>
      </c>
      <c r="B4" s="1" t="s">
        <v>14929</v>
      </c>
      <c r="C4" s="1" t="s">
        <v>14930</v>
      </c>
      <c r="D4" s="1" t="s">
        <v>14931</v>
      </c>
    </row>
    <row r="5" spans="1:4" ht="36" customHeight="1">
      <c r="A5" s="1" t="s">
        <v>14932</v>
      </c>
      <c r="B5" s="1" t="s">
        <v>14933</v>
      </c>
      <c r="C5" s="1" t="s">
        <v>14934</v>
      </c>
      <c r="D5" s="1" t="s">
        <v>14935</v>
      </c>
    </row>
    <row r="6" spans="1:4" ht="24" customHeight="1">
      <c r="A6" s="1" t="s">
        <v>14936</v>
      </c>
      <c r="B6" s="1" t="s">
        <v>14937</v>
      </c>
      <c r="C6" s="1" t="s">
        <v>14938</v>
      </c>
      <c r="D6" s="1" t="s">
        <v>14939</v>
      </c>
    </row>
    <row r="7" spans="1:4" ht="36" customHeight="1">
      <c r="A7" s="1" t="s">
        <v>14940</v>
      </c>
      <c r="B7" s="1" t="s">
        <v>14941</v>
      </c>
      <c r="C7" s="1" t="s">
        <v>14942</v>
      </c>
      <c r="D7" s="1" t="s">
        <v>14943</v>
      </c>
    </row>
    <row r="8" spans="1:4" ht="36" customHeight="1">
      <c r="A8" s="1" t="s">
        <v>14944</v>
      </c>
      <c r="B8" s="1" t="s">
        <v>14945</v>
      </c>
      <c r="C8" s="1" t="s">
        <v>14946</v>
      </c>
      <c r="D8" s="1" t="s">
        <v>14947</v>
      </c>
    </row>
    <row r="9" spans="1:4" ht="36" customHeight="1">
      <c r="A9" s="1" t="s">
        <v>14948</v>
      </c>
      <c r="B9" s="1" t="s">
        <v>14949</v>
      </c>
      <c r="C9" s="1"/>
      <c r="D9" s="1" t="s">
        <v>14950</v>
      </c>
    </row>
    <row r="10" spans="1:4" ht="48" customHeight="1">
      <c r="A10" s="1" t="s">
        <v>4868</v>
      </c>
      <c r="B10" s="1" t="s">
        <v>14951</v>
      </c>
      <c r="C10" s="1" t="s">
        <v>14952</v>
      </c>
      <c r="D10" s="1" t="s">
        <v>14953</v>
      </c>
    </row>
    <row r="11" spans="1:4" ht="36" customHeight="1">
      <c r="A11" s="1" t="s">
        <v>5162</v>
      </c>
      <c r="B11" s="1" t="s">
        <v>14954</v>
      </c>
      <c r="C11" s="1" t="s">
        <v>14955</v>
      </c>
      <c r="D11" s="1" t="s">
        <v>14956</v>
      </c>
    </row>
    <row r="12" spans="1:4" ht="36" customHeight="1">
      <c r="A12" s="1" t="s">
        <v>4973</v>
      </c>
      <c r="B12" s="1" t="s">
        <v>14957</v>
      </c>
      <c r="C12" s="1" t="s">
        <v>14958</v>
      </c>
      <c r="D12" s="1" t="s">
        <v>14959</v>
      </c>
    </row>
    <row r="13" spans="1:4" ht="36" customHeight="1">
      <c r="A13" s="1" t="s">
        <v>5012</v>
      </c>
      <c r="B13" s="1" t="s">
        <v>14960</v>
      </c>
      <c r="C13" s="1" t="s">
        <v>14961</v>
      </c>
      <c r="D13" s="1" t="s">
        <v>14962</v>
      </c>
    </row>
    <row r="14" spans="1:4" ht="36" customHeight="1">
      <c r="A14" s="1" t="s">
        <v>5133</v>
      </c>
      <c r="B14" s="1" t="s">
        <v>14963</v>
      </c>
      <c r="C14" s="1" t="s">
        <v>14964</v>
      </c>
      <c r="D14" s="1" t="s">
        <v>14965</v>
      </c>
    </row>
    <row r="15" spans="1:4" ht="36" customHeight="1">
      <c r="A15" s="1" t="s">
        <v>5184</v>
      </c>
      <c r="B15" s="1" t="s">
        <v>14966</v>
      </c>
      <c r="C15" s="1" t="s">
        <v>14967</v>
      </c>
      <c r="D15" s="1" t="s">
        <v>14968</v>
      </c>
    </row>
    <row r="16" spans="1:4" ht="48" customHeight="1">
      <c r="A16" s="1" t="s">
        <v>5268</v>
      </c>
      <c r="B16" s="1" t="s">
        <v>14969</v>
      </c>
      <c r="C16" s="1" t="s">
        <v>14970</v>
      </c>
      <c r="D16" s="1" t="s">
        <v>14971</v>
      </c>
    </row>
    <row r="17" spans="1:4" ht="24" customHeight="1">
      <c r="A17" s="1" t="s">
        <v>14972</v>
      </c>
      <c r="B17" s="1" t="s">
        <v>14973</v>
      </c>
      <c r="C17" s="1" t="s">
        <v>14974</v>
      </c>
      <c r="D17" s="1" t="s">
        <v>14975</v>
      </c>
    </row>
    <row r="18" spans="1:4" ht="24" customHeight="1">
      <c r="A18" s="1" t="s">
        <v>14976</v>
      </c>
      <c r="B18" s="1" t="s">
        <v>14977</v>
      </c>
      <c r="C18" s="1" t="s">
        <v>14978</v>
      </c>
      <c r="D18" s="1" t="s">
        <v>14979</v>
      </c>
    </row>
    <row r="19" spans="1:4" ht="24" customHeight="1">
      <c r="A19" s="1" t="s">
        <v>14980</v>
      </c>
      <c r="B19" s="1" t="s">
        <v>14981</v>
      </c>
      <c r="C19" s="1" t="s">
        <v>14982</v>
      </c>
      <c r="D19" s="1" t="s">
        <v>14983</v>
      </c>
    </row>
    <row r="20" spans="1:4" ht="24" customHeight="1">
      <c r="A20" s="1" t="s">
        <v>14984</v>
      </c>
      <c r="B20" s="1" t="s">
        <v>14985</v>
      </c>
      <c r="C20" s="1" t="s">
        <v>14986</v>
      </c>
      <c r="D20" s="1" t="s">
        <v>14987</v>
      </c>
    </row>
    <row r="21" spans="1:4" ht="24" customHeight="1">
      <c r="A21" s="1" t="s">
        <v>14988</v>
      </c>
      <c r="B21" s="1" t="s">
        <v>14989</v>
      </c>
      <c r="C21" s="1" t="s">
        <v>14990</v>
      </c>
      <c r="D21" s="1" t="s">
        <v>14991</v>
      </c>
    </row>
    <row r="22" spans="1:4" ht="24" customHeight="1">
      <c r="A22" s="1" t="s">
        <v>14992</v>
      </c>
      <c r="B22" s="1" t="s">
        <v>14993</v>
      </c>
      <c r="C22" s="1" t="s">
        <v>14994</v>
      </c>
      <c r="D22" s="1" t="s">
        <v>14995</v>
      </c>
    </row>
    <row r="23" spans="1:4" ht="24" customHeight="1">
      <c r="A23" s="1" t="s">
        <v>14992</v>
      </c>
      <c r="B23" s="1" t="s">
        <v>14996</v>
      </c>
      <c r="C23" s="1" t="s">
        <v>14997</v>
      </c>
      <c r="D23" s="1" t="s">
        <v>14995</v>
      </c>
    </row>
    <row r="24" spans="1:4" ht="24" customHeight="1">
      <c r="A24" s="1" t="s">
        <v>14998</v>
      </c>
      <c r="B24" s="1" t="s">
        <v>14999</v>
      </c>
      <c r="C24" s="1" t="s">
        <v>15000</v>
      </c>
      <c r="D24" s="1" t="s">
        <v>15001</v>
      </c>
    </row>
    <row r="25" spans="1:4" ht="36" customHeight="1">
      <c r="A25" s="1" t="s">
        <v>15002</v>
      </c>
      <c r="B25" s="1" t="s">
        <v>15003</v>
      </c>
      <c r="C25" s="1" t="s">
        <v>15004</v>
      </c>
      <c r="D25" s="1" t="s">
        <v>15005</v>
      </c>
    </row>
    <row r="26" spans="1:4" ht="24" customHeight="1">
      <c r="A26" s="1" t="s">
        <v>15006</v>
      </c>
      <c r="B26" s="1" t="s">
        <v>6095</v>
      </c>
      <c r="C26" s="1" t="s">
        <v>6098</v>
      </c>
      <c r="D26" s="1" t="s">
        <v>15007</v>
      </c>
    </row>
    <row r="27" spans="1:4" ht="24" customHeight="1">
      <c r="A27" s="1" t="s">
        <v>15008</v>
      </c>
      <c r="B27" s="1" t="s">
        <v>6258</v>
      </c>
      <c r="C27" s="1" t="s">
        <v>6259</v>
      </c>
      <c r="D27" s="1" t="s">
        <v>15007</v>
      </c>
    </row>
    <row r="28" spans="1:4" ht="24" customHeight="1">
      <c r="A28" s="1" t="s">
        <v>15009</v>
      </c>
      <c r="B28" s="1" t="s">
        <v>6407</v>
      </c>
      <c r="C28" s="1" t="s">
        <v>6408</v>
      </c>
      <c r="D28" s="1" t="s">
        <v>15007</v>
      </c>
    </row>
    <row r="29" spans="1:4" ht="24" customHeight="1">
      <c r="A29" s="1" t="s">
        <v>15010</v>
      </c>
      <c r="B29" s="1" t="s">
        <v>6547</v>
      </c>
      <c r="C29" s="1" t="s">
        <v>6548</v>
      </c>
      <c r="D29" s="1" t="s">
        <v>15007</v>
      </c>
    </row>
    <row r="30" spans="1:4" ht="24" customHeight="1">
      <c r="A30" s="1" t="s">
        <v>15011</v>
      </c>
      <c r="B30" s="1" t="s">
        <v>6649</v>
      </c>
      <c r="C30" s="1" t="s">
        <v>6650</v>
      </c>
      <c r="D30" s="1" t="s">
        <v>15007</v>
      </c>
    </row>
    <row r="31" spans="1:4" ht="24" customHeight="1">
      <c r="A31" s="1" t="s">
        <v>15012</v>
      </c>
      <c r="B31" s="1" t="s">
        <v>6779</v>
      </c>
      <c r="C31" s="1" t="s">
        <v>6780</v>
      </c>
      <c r="D31" s="1" t="s">
        <v>15007</v>
      </c>
    </row>
    <row r="32" spans="1:4" ht="24" customHeight="1">
      <c r="A32" s="1" t="s">
        <v>15013</v>
      </c>
      <c r="B32" s="1" t="s">
        <v>6917</v>
      </c>
      <c r="C32" s="1" t="s">
        <v>6918</v>
      </c>
      <c r="D32" s="1" t="s">
        <v>15007</v>
      </c>
    </row>
    <row r="33" spans="1:4" ht="24" customHeight="1">
      <c r="A33" s="1" t="s">
        <v>15014</v>
      </c>
      <c r="B33" s="1" t="s">
        <v>7056</v>
      </c>
      <c r="C33" s="1" t="s">
        <v>7057</v>
      </c>
      <c r="D33" s="1" t="s">
        <v>15007</v>
      </c>
    </row>
    <row r="34" spans="1:4" ht="24" customHeight="1">
      <c r="A34" s="1" t="s">
        <v>15015</v>
      </c>
      <c r="B34" s="1" t="s">
        <v>7192</v>
      </c>
      <c r="C34" s="1" t="s">
        <v>7193</v>
      </c>
      <c r="D34" s="1" t="s">
        <v>15007</v>
      </c>
    </row>
    <row r="35" spans="1:4" ht="24" customHeight="1">
      <c r="A35" s="1" t="s">
        <v>15016</v>
      </c>
      <c r="B35" s="1" t="s">
        <v>7333</v>
      </c>
      <c r="C35" s="1" t="s">
        <v>7334</v>
      </c>
      <c r="D35" s="1" t="s">
        <v>15007</v>
      </c>
    </row>
    <row r="36" spans="1:4" ht="24" customHeight="1">
      <c r="A36" s="1" t="s">
        <v>15017</v>
      </c>
      <c r="B36" s="1" t="s">
        <v>7485</v>
      </c>
      <c r="C36" s="1" t="s">
        <v>7486</v>
      </c>
      <c r="D36" s="1" t="s">
        <v>15007</v>
      </c>
    </row>
    <row r="37" spans="1:4" ht="24" customHeight="1">
      <c r="A37" s="1" t="s">
        <v>15018</v>
      </c>
      <c r="B37" s="1" t="s">
        <v>7628</v>
      </c>
      <c r="C37" s="1" t="s">
        <v>7629</v>
      </c>
      <c r="D37" s="1" t="s">
        <v>15007</v>
      </c>
    </row>
    <row r="38" spans="1:4" ht="24" customHeight="1">
      <c r="A38" s="1" t="s">
        <v>15019</v>
      </c>
      <c r="B38" s="1" t="s">
        <v>7757</v>
      </c>
      <c r="C38" s="1" t="s">
        <v>7758</v>
      </c>
      <c r="D38" s="1" t="s">
        <v>15007</v>
      </c>
    </row>
    <row r="39" spans="1:4" ht="24" customHeight="1">
      <c r="A39" s="1" t="s">
        <v>15020</v>
      </c>
      <c r="B39" s="1" t="s">
        <v>7893</v>
      </c>
      <c r="C39" s="1" t="s">
        <v>7894</v>
      </c>
      <c r="D39" s="1" t="s">
        <v>15007</v>
      </c>
    </row>
    <row r="40" spans="1:4" ht="24" customHeight="1">
      <c r="A40" s="1" t="s">
        <v>15021</v>
      </c>
      <c r="B40" s="1" t="s">
        <v>8031</v>
      </c>
      <c r="C40" s="1" t="s">
        <v>8032</v>
      </c>
      <c r="D40" s="1" t="s">
        <v>15007</v>
      </c>
    </row>
    <row r="41" spans="1:4" ht="24" customHeight="1">
      <c r="A41" s="1" t="s">
        <v>15022</v>
      </c>
      <c r="B41" s="1" t="s">
        <v>8158</v>
      </c>
      <c r="C41" s="1" t="s">
        <v>8159</v>
      </c>
      <c r="D41" s="1" t="s">
        <v>15007</v>
      </c>
    </row>
    <row r="42" spans="1:4" ht="24" customHeight="1">
      <c r="A42" s="1" t="s">
        <v>15023</v>
      </c>
      <c r="B42" s="1" t="s">
        <v>8269</v>
      </c>
      <c r="C42" s="1" t="s">
        <v>8270</v>
      </c>
      <c r="D42" s="1" t="s">
        <v>15007</v>
      </c>
    </row>
    <row r="43" spans="1:4" ht="24" customHeight="1">
      <c r="A43" s="1" t="s">
        <v>15024</v>
      </c>
      <c r="B43" s="1" t="s">
        <v>8397</v>
      </c>
      <c r="C43" s="1" t="s">
        <v>8398</v>
      </c>
      <c r="D43" s="1" t="s">
        <v>15007</v>
      </c>
    </row>
    <row r="44" spans="1:4" ht="24" customHeight="1">
      <c r="A44" s="1" t="s">
        <v>15025</v>
      </c>
      <c r="B44" s="1" t="s">
        <v>8527</v>
      </c>
      <c r="C44" s="1" t="s">
        <v>8528</v>
      </c>
      <c r="D44" s="1" t="s">
        <v>15007</v>
      </c>
    </row>
    <row r="45" spans="1:4" ht="24" customHeight="1">
      <c r="A45" s="1" t="s">
        <v>15026</v>
      </c>
      <c r="B45" s="1" t="s">
        <v>8668</v>
      </c>
      <c r="C45" s="1" t="s">
        <v>8669</v>
      </c>
      <c r="D45" s="1" t="s">
        <v>15007</v>
      </c>
    </row>
    <row r="46" spans="1:4" ht="24" customHeight="1">
      <c r="A46" s="1" t="s">
        <v>15027</v>
      </c>
      <c r="B46" s="1" t="s">
        <v>8786</v>
      </c>
      <c r="C46" s="1" t="s">
        <v>8787</v>
      </c>
      <c r="D46" s="1" t="s">
        <v>15007</v>
      </c>
    </row>
    <row r="47" spans="1:4" ht="24" customHeight="1">
      <c r="A47" s="1" t="s">
        <v>15028</v>
      </c>
      <c r="B47" s="1" t="s">
        <v>8916</v>
      </c>
      <c r="C47" s="1" t="s">
        <v>8917</v>
      </c>
      <c r="D47" s="1" t="s">
        <v>15007</v>
      </c>
    </row>
    <row r="48" spans="1:4" ht="24" customHeight="1">
      <c r="A48" s="1" t="s">
        <v>15029</v>
      </c>
      <c r="B48" s="1" t="s">
        <v>9025</v>
      </c>
      <c r="C48" s="1" t="s">
        <v>9026</v>
      </c>
      <c r="D48" s="1" t="s">
        <v>15007</v>
      </c>
    </row>
    <row r="49" spans="1:4" ht="24" customHeight="1">
      <c r="A49" s="1" t="s">
        <v>15030</v>
      </c>
      <c r="B49" s="1" t="s">
        <v>9154</v>
      </c>
      <c r="C49" s="1" t="s">
        <v>9155</v>
      </c>
      <c r="D49" s="1" t="s">
        <v>15007</v>
      </c>
    </row>
    <row r="50" spans="1:4" ht="24" customHeight="1">
      <c r="A50" s="1" t="s">
        <v>15031</v>
      </c>
      <c r="B50" s="1" t="s">
        <v>9303</v>
      </c>
      <c r="C50" s="1" t="s">
        <v>9304</v>
      </c>
      <c r="D50" s="1" t="s">
        <v>15007</v>
      </c>
    </row>
    <row r="51" spans="1:4" ht="24" customHeight="1">
      <c r="A51" s="1" t="s">
        <v>15032</v>
      </c>
      <c r="B51" s="1" t="s">
        <v>9436</v>
      </c>
      <c r="C51" s="1" t="s">
        <v>9437</v>
      </c>
      <c r="D51" s="1" t="s">
        <v>15007</v>
      </c>
    </row>
    <row r="52" spans="1:4" ht="24" customHeight="1">
      <c r="A52" s="1" t="s">
        <v>15033</v>
      </c>
      <c r="B52" s="1" t="s">
        <v>9570</v>
      </c>
      <c r="C52" s="1" t="s">
        <v>9571</v>
      </c>
      <c r="D52" s="1" t="s">
        <v>15007</v>
      </c>
    </row>
    <row r="53" spans="1:4" ht="24" customHeight="1">
      <c r="A53" s="1" t="s">
        <v>15034</v>
      </c>
      <c r="B53" s="1" t="s">
        <v>9713</v>
      </c>
      <c r="C53" s="1" t="s">
        <v>9714</v>
      </c>
      <c r="D53" s="1" t="s">
        <v>15007</v>
      </c>
    </row>
    <row r="54" spans="1:4" ht="24" customHeight="1">
      <c r="A54" s="1" t="s">
        <v>15035</v>
      </c>
      <c r="B54" s="1" t="s">
        <v>9867</v>
      </c>
      <c r="C54" s="1" t="s">
        <v>9868</v>
      </c>
      <c r="D54" s="1" t="s">
        <v>15007</v>
      </c>
    </row>
    <row r="55" spans="1:4" ht="24" customHeight="1">
      <c r="A55" s="1" t="s">
        <v>15036</v>
      </c>
      <c r="B55" s="1" t="s">
        <v>10000</v>
      </c>
      <c r="C55" s="1" t="s">
        <v>10001</v>
      </c>
      <c r="D55" s="1" t="s">
        <v>15007</v>
      </c>
    </row>
    <row r="56" spans="1:4" ht="24" customHeight="1">
      <c r="A56" s="1" t="s">
        <v>15037</v>
      </c>
      <c r="B56" s="1" t="s">
        <v>10138</v>
      </c>
      <c r="C56" s="1" t="s">
        <v>10139</v>
      </c>
      <c r="D56" s="1" t="s">
        <v>15007</v>
      </c>
    </row>
    <row r="57" spans="1:4" ht="24" customHeight="1">
      <c r="A57" s="1" t="s">
        <v>15038</v>
      </c>
      <c r="B57" s="1" t="s">
        <v>10285</v>
      </c>
      <c r="C57" s="1" t="s">
        <v>10286</v>
      </c>
      <c r="D57" s="1" t="s">
        <v>15007</v>
      </c>
    </row>
    <row r="58" spans="1:4" ht="24" customHeight="1">
      <c r="A58" s="1" t="s">
        <v>15039</v>
      </c>
      <c r="B58" s="1" t="s">
        <v>10417</v>
      </c>
      <c r="C58" s="1" t="s">
        <v>10418</v>
      </c>
      <c r="D58" s="1" t="s">
        <v>15007</v>
      </c>
    </row>
    <row r="59" spans="1:4" ht="24" customHeight="1">
      <c r="A59" s="1" t="s">
        <v>15040</v>
      </c>
      <c r="B59" s="1" t="s">
        <v>10562</v>
      </c>
      <c r="C59" s="1" t="s">
        <v>10563</v>
      </c>
      <c r="D59" s="1" t="s">
        <v>15007</v>
      </c>
    </row>
    <row r="60" spans="1:4" ht="24" customHeight="1">
      <c r="A60" s="1" t="s">
        <v>15041</v>
      </c>
      <c r="B60" s="1" t="s">
        <v>10666</v>
      </c>
      <c r="C60" s="1" t="s">
        <v>10667</v>
      </c>
      <c r="D60" s="1" t="s">
        <v>15007</v>
      </c>
    </row>
    <row r="61" spans="1:4" ht="24" customHeight="1">
      <c r="A61" s="1" t="s">
        <v>15042</v>
      </c>
      <c r="B61" s="1" t="s">
        <v>10783</v>
      </c>
      <c r="C61" s="1" t="s">
        <v>10784</v>
      </c>
      <c r="D61" s="1" t="s">
        <v>15007</v>
      </c>
    </row>
    <row r="62" spans="1:4" ht="24" customHeight="1">
      <c r="A62" s="1" t="s">
        <v>15043</v>
      </c>
      <c r="B62" s="1" t="s">
        <v>10912</v>
      </c>
      <c r="C62" s="1" t="s">
        <v>10913</v>
      </c>
      <c r="D62" s="1" t="s">
        <v>15007</v>
      </c>
    </row>
    <row r="63" spans="1:4" ht="24" customHeight="1">
      <c r="A63" s="1" t="s">
        <v>15044</v>
      </c>
      <c r="B63" s="1" t="s">
        <v>11030</v>
      </c>
      <c r="C63" s="1" t="s">
        <v>11031</v>
      </c>
      <c r="D63" s="1" t="s">
        <v>15007</v>
      </c>
    </row>
    <row r="64" spans="1:4" ht="24" customHeight="1">
      <c r="A64" s="1" t="s">
        <v>15045</v>
      </c>
      <c r="B64" s="1" t="s">
        <v>11153</v>
      </c>
      <c r="C64" s="1" t="s">
        <v>11154</v>
      </c>
      <c r="D64" s="1" t="s">
        <v>15007</v>
      </c>
    </row>
    <row r="65" spans="1:4" ht="72" customHeight="1">
      <c r="A65" s="1" t="s">
        <v>15046</v>
      </c>
      <c r="B65" s="1" t="s">
        <v>14249</v>
      </c>
      <c r="C65" s="1" t="s">
        <v>15047</v>
      </c>
      <c r="D65" s="1" t="s">
        <v>15048</v>
      </c>
    </row>
    <row r="66" spans="1:4" ht="48" customHeight="1">
      <c r="A66" s="1" t="s">
        <v>15049</v>
      </c>
      <c r="B66" s="1" t="s">
        <v>15050</v>
      </c>
      <c r="C66" s="1" t="s">
        <v>15051</v>
      </c>
      <c r="D66" s="1" t="s">
        <v>14245</v>
      </c>
    </row>
    <row r="67" spans="1:4" ht="24" customHeight="1">
      <c r="A67" s="1" t="s">
        <v>15052</v>
      </c>
      <c r="B67" s="1" t="s">
        <v>15053</v>
      </c>
      <c r="C67" s="1" t="s">
        <v>15054</v>
      </c>
      <c r="D67" s="1" t="s">
        <v>15055</v>
      </c>
    </row>
    <row r="68" spans="1:4" ht="36" customHeight="1">
      <c r="A68" s="1" t="s">
        <v>15056</v>
      </c>
      <c r="B68" s="1" t="s">
        <v>15057</v>
      </c>
      <c r="C68" s="1" t="s">
        <v>15058</v>
      </c>
      <c r="D68" s="1" t="s">
        <v>15059</v>
      </c>
    </row>
    <row r="69" spans="1:4" ht="36" customHeight="1">
      <c r="A69" s="1" t="s">
        <v>15060</v>
      </c>
      <c r="B69" s="1" t="s">
        <v>15060</v>
      </c>
      <c r="C69" s="1" t="s">
        <v>15061</v>
      </c>
      <c r="D69" s="1" t="s">
        <v>15062</v>
      </c>
    </row>
    <row r="70" spans="1:4" ht="36" customHeight="1">
      <c r="A70" s="1" t="s">
        <v>15063</v>
      </c>
      <c r="B70" s="1" t="s">
        <v>15063</v>
      </c>
      <c r="C70" s="1" t="s">
        <v>15064</v>
      </c>
      <c r="D70" s="1" t="s">
        <v>15062</v>
      </c>
    </row>
    <row r="71" spans="1:4" ht="48" customHeight="1">
      <c r="A71" s="1" t="s">
        <v>15065</v>
      </c>
      <c r="B71" s="1" t="s">
        <v>15065</v>
      </c>
      <c r="C71" s="1" t="s">
        <v>15066</v>
      </c>
      <c r="D71" s="1" t="s">
        <v>15067</v>
      </c>
    </row>
    <row r="72" spans="1:4" ht="48" customHeight="1">
      <c r="A72" s="1" t="s">
        <v>15068</v>
      </c>
      <c r="B72" s="1" t="s">
        <v>15068</v>
      </c>
      <c r="C72" s="1" t="s">
        <v>15069</v>
      </c>
      <c r="D72" s="1" t="s">
        <v>15067</v>
      </c>
    </row>
    <row r="73" spans="1:4" ht="48" customHeight="1">
      <c r="A73" s="1" t="s">
        <v>15070</v>
      </c>
      <c r="B73" s="1" t="s">
        <v>15070</v>
      </c>
      <c r="C73" s="1" t="s">
        <v>15071</v>
      </c>
      <c r="D73" s="1" t="s">
        <v>15067</v>
      </c>
    </row>
    <row r="74" spans="1:4" ht="36" customHeight="1">
      <c r="A74" s="1" t="s">
        <v>5465</v>
      </c>
      <c r="B74" s="1" t="s">
        <v>11574</v>
      </c>
      <c r="C74" s="1" t="s">
        <v>11265</v>
      </c>
      <c r="D74" s="1" t="s">
        <v>15072</v>
      </c>
    </row>
    <row r="75" spans="1:4" ht="36" customHeight="1">
      <c r="A75" s="1" t="s">
        <v>15073</v>
      </c>
      <c r="B75" s="1" t="s">
        <v>15074</v>
      </c>
      <c r="C75" s="1" t="s">
        <v>15075</v>
      </c>
      <c r="D75" s="1" t="s">
        <v>15076</v>
      </c>
    </row>
    <row r="76" spans="1:4" ht="36" customHeight="1">
      <c r="A76" s="1" t="s">
        <v>5504</v>
      </c>
      <c r="B76" s="1" t="s">
        <v>11320</v>
      </c>
      <c r="C76" s="1" t="s">
        <v>11321</v>
      </c>
      <c r="D76" s="1" t="s">
        <v>15072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22</vt:i4>
      </vt:variant>
    </vt:vector>
  </HeadingPairs>
  <TitlesOfParts>
    <vt:vector size="22" baseType="lpstr">
      <vt:lpstr>S1 searches</vt:lpstr>
      <vt:lpstr>S2 recorded exclusions</vt:lpstr>
      <vt:lpstr>S2 not retrieved</vt:lpstr>
      <vt:lpstr>S3 consensus log</vt:lpstr>
      <vt:lpstr>Eligibility corrections</vt:lpstr>
      <vt:lpstr>S4a studies</vt:lpstr>
      <vt:lpstr>S4 extraction</vt:lpstr>
      <vt:lpstr>S4c publication years</vt:lpstr>
      <vt:lpstr>S5 category proposals</vt:lpstr>
      <vt:lpstr>S5 category counts</vt:lpstr>
      <vt:lpstr>S6 readiness rubric</vt:lpstr>
      <vt:lpstr>S7 readiness scores</vt:lpstr>
      <vt:lpstr>S7 readiness counts</vt:lpstr>
      <vt:lpstr>S8 reporting rubric</vt:lpstr>
      <vt:lpstr>S9 reporting scores</vt:lpstr>
      <vt:lpstr>S10 reporting counts</vt:lpstr>
      <vt:lpstr>S11 quality evidence</vt:lpstr>
      <vt:lpstr>S11 quality results</vt:lpstr>
      <vt:lpstr>S12 agreement</vt:lpstr>
      <vt:lpstr>S13 checklist</vt:lpstr>
      <vt:lpstr>Codebook</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Pooja Gurram (Biomedical Engineering &amp; Biotechnology)</cp:lastModifiedBy>
  <dcterms:modified xsi:type="dcterms:W3CDTF">2026-10-17T11:46:48Z</dcterms:modified>
</cp:coreProperties>
</file>