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87a2bdb31e42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763ecb3f11948ae"/>
    <x:sheet xmlns:r="http://schemas.openxmlformats.org/officeDocument/2006/relationships" name="Kappa Summary" sheetId="2" r:id="Re2abfd4ec7b64f61"/>
    <x:sheet xmlns:r="http://schemas.openxmlformats.org/officeDocument/2006/relationships" name="Figure5 Rubric" sheetId="3" r:id="R5c48803affc04044"/>
    <x:sheet xmlns:r="http://schemas.openxmlformats.org/officeDocument/2006/relationships" name="Figure5 Consensus" sheetId="4" r:id="Re86bafd8931040c1"/>
    <x:sheet xmlns:r="http://schemas.openxmlformats.org/officeDocument/2006/relationships" name="Figure5 Counts" sheetId="5" r:id="Rb892b2f9524e470a"/>
    <x:sheet xmlns:r="http://schemas.openxmlformats.org/officeDocument/2006/relationships" name="Figure6 Rubric" sheetId="6" r:id="R3bb4bf83fd3043f1"/>
    <x:sheet xmlns:r="http://schemas.openxmlformats.org/officeDocument/2006/relationships" name="Figure6 Consensus" sheetId="7" r:id="R999d718bfd2c4a58"/>
    <x:sheet xmlns:r="http://schemas.openxmlformats.org/officeDocument/2006/relationships" name="Figure6 Percentages" sheetId="8" r:id="R0636b12dc9214069"/>
    <x:sheet xmlns:r="http://schemas.openxmlformats.org/officeDocument/2006/relationships" name="Disagreement Log" sheetId="9" r:id="R003872afee3d4a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%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F4B63"/>
      </x:patternFill>
    </x:fill>
    <x:fill>
      <x:patternFill patternType="solid">
        <x:fgColor rgb="FFEAF0F4"/>
      </x:patternFill>
    </x:fill>
  </x:fills>
  <x:borders count="10">
    <x:border/>
    <x:border>
      <x:right style="thin">
        <x:color rgb="FFD5DDE3"/>
      </x:right>
      <x:bottom style="thin">
        <x:color rgb="FFD5DDE3"/>
      </x:bottom>
    </x:border>
    <x:border>
      <x:left style="thin">
        <x:color rgb="FFD5DDE3"/>
      </x:left>
      <x:right style="thin">
        <x:color rgb="FFD5DDE3"/>
      </x:right>
      <x:bottom style="thin">
        <x:color rgb="FFD5DDE3"/>
      </x:bottom>
    </x:border>
    <x:border>
      <x:left style="thin">
        <x:color rgb="FFD5DDE3"/>
      </x:left>
      <x:bottom style="thin">
        <x:color rgb="FFD5DDE3"/>
      </x:bottom>
    </x:border>
    <x:border>
      <x:right style="thin">
        <x:color rgb="FFD5DDE3"/>
      </x:right>
      <x:top style="thin">
        <x:color rgb="FFD5DDE3"/>
      </x:top>
      <x:bottom style="thin">
        <x:color rgb="FFD5DDE3"/>
      </x:bottom>
    </x:border>
    <x:border>
      <x:left style="thin">
        <x:color rgb="FFD5DDE3"/>
      </x:left>
      <x:right style="thin">
        <x:color rgb="FFD5DDE3"/>
      </x:right>
      <x:top style="thin">
        <x:color rgb="FFD5DDE3"/>
      </x:top>
      <x:bottom style="thin">
        <x:color rgb="FFD5DDE3"/>
      </x:bottom>
    </x:border>
    <x:border>
      <x:left style="thin">
        <x:color rgb="FFD5DDE3"/>
      </x:left>
      <x:top style="thin">
        <x:color rgb="FFD5DDE3"/>
      </x:top>
      <x:bottom style="thin">
        <x:color rgb="FFD5DDE3"/>
      </x:bottom>
    </x:border>
    <x:border>
      <x:right style="thin">
        <x:color rgb="FFD5DDE3"/>
      </x:right>
      <x:top style="thin">
        <x:color rgb="FFD5DDE3"/>
      </x:top>
    </x:border>
    <x:border>
      <x:left style="thin">
        <x:color rgb="FFD5DDE3"/>
      </x:left>
      <x:right style="thin">
        <x:color rgb="FFD5DDE3"/>
      </x:right>
      <x:top style="thin">
        <x:color rgb="FFD5DDE3"/>
      </x:top>
    </x:border>
    <x:border>
      <x:left style="thin">
        <x:color rgb="FFD5DDE3"/>
      </x:left>
      <x:top style="thin">
        <x:color rgb="FFD5DDE3"/>
      </x:top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201" fontId="0" fillId="0" borderId="0" xfId="0" applyNumberFormat="1" applyFont="1" applyFill="1" applyBorder="1"/>
    <x:xf numFmtId="201" fontId="5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1" fillId="2" borderId="2" xfId="0" applyNumberFormat="1" applyFont="1" applyFill="1" applyBorder="1" applyAlignment="1">
      <x:alignment vertical="top"/>
    </x:xf>
    <x:xf numFmtId="0" fontId="1" fillId="2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2" fillId="3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/>
    </x:xf>
    <x:xf numFmtId="200" fontId="5" fillId="0" borderId="0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/>
    </x:xf>
    <x:xf numFmtId="0" fontId="5" fillId="0" borderId="5" xfId="0" applyNumberFormat="1" applyFont="1" applyFill="1" applyBorder="1" applyAlignment="1">
      <x:alignment vertical="top"/>
    </x:xf>
    <x:xf numFmtId="200" fontId="5" fillId="0" borderId="5" xfId="0" applyNumberFormat="1" applyFont="1" applyFill="1" applyBorder="1" applyAlignment="1">
      <x:alignment vertical="top"/>
    </x:xf>
    <x:xf numFmtId="0" fontId="5" fillId="0" borderId="6" xfId="0" applyNumberFormat="1" applyFont="1" applyFill="1" applyBorder="1" applyAlignment="1">
      <x:alignment vertical="top"/>
    </x:xf>
    <x:xf numFmtId="0" fontId="5" fillId="0" borderId="7" xfId="0" applyNumberFormat="1" applyFont="1" applyFill="1" applyBorder="1" applyAlignment="1">
      <x:alignment vertical="top"/>
    </x:xf>
    <x:xf numFmtId="0" fontId="5" fillId="0" borderId="8" xfId="0" applyNumberFormat="1" applyFont="1" applyFill="1" applyBorder="1" applyAlignment="1">
      <x:alignment vertical="top"/>
    </x:xf>
    <x:xf numFmtId="0" fontId="5" fillId="0" borderId="9" xfId="0" applyNumberFormat="1" applyFont="1" applyFill="1" applyBorder="1" applyAlignment="1">
      <x:alignment vertical="top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/>
    </x:xf>
    <x:xf numFmtId="0" fontId="6" fillId="3" borderId="7" xfId="0" applyNumberFormat="1" applyFont="1" applyFill="1" applyBorder="1" applyAlignment="1">
      <x:alignment vertical="top"/>
    </x:xf>
    <x:xf numFmtId="0" fontId="6" fillId="3" borderId="8" xfId="0" applyNumberFormat="1" applyFont="1" applyFill="1" applyBorder="1" applyAlignment="1">
      <x:alignment vertical="top"/>
    </x:xf>
    <x:xf numFmtId="0" fontId="6" fillId="3" borderId="9" xfId="0" applyNumberFormat="1" applyFont="1" applyFill="1" applyBorder="1" applyAlignment="1">
      <x:alignment vertical="top"/>
    </x:xf>
    <x:xf numFmtId="201" fontId="5" fillId="0" borderId="0" xfId="0" applyNumberFormat="1" applyFont="1" applyFill="1" applyBorder="1" applyAlignment="1">
      <x:alignment vertical="top"/>
    </x:xf>
    <x:xf numFmtId="201" fontId="5" fillId="0" borderId="6" xfId="0" applyNumberFormat="1" applyFont="1" applyFill="1" applyBorder="1" applyAlignment="1">
      <x:alignment vertical="top"/>
    </x:xf>
    <x:xf numFmtId="201" fontId="5" fillId="0" borderId="9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5106dba9c54b12" /><Relationship Type="http://schemas.openxmlformats.org/officeDocument/2006/relationships/theme" Target="/xl/theme/theme1.xml" Id="R755b290f82bb4d92" /><Relationship Type="http://schemas.openxmlformats.org/officeDocument/2006/relationships/sharedStrings" Target="/xl/sharedStrings.xml" Id="R993b83dec3744089" /><Relationship Type="http://schemas.openxmlformats.org/officeDocument/2006/relationships/worksheet" Target="/xl/worksheets/sheet1.xml" Id="R6763ecb3f11948ae" /><Relationship Type="http://schemas.openxmlformats.org/officeDocument/2006/relationships/worksheet" Target="/xl/worksheets/sheet2.xml" Id="Re2abfd4ec7b64f61" /><Relationship Type="http://schemas.openxmlformats.org/officeDocument/2006/relationships/worksheet" Target="/xl/worksheets/sheet3.xml" Id="R5c48803affc04044" /><Relationship Type="http://schemas.openxmlformats.org/officeDocument/2006/relationships/worksheet" Target="/xl/worksheets/sheet4.xml" Id="Re86bafd8931040c1" /><Relationship Type="http://schemas.openxmlformats.org/officeDocument/2006/relationships/worksheet" Target="/xl/worksheets/sheet5.xml" Id="Rb892b2f9524e470a" /><Relationship Type="http://schemas.openxmlformats.org/officeDocument/2006/relationships/worksheet" Target="/xl/worksheets/sheet6.xml" Id="R3bb4bf83fd3043f1" /><Relationship Type="http://schemas.openxmlformats.org/officeDocument/2006/relationships/worksheet" Target="/xl/worksheets/sheet7.xml" Id="R999d718bfd2c4a58" /><Relationship Type="http://schemas.openxmlformats.org/officeDocument/2006/relationships/worksheet" Target="/xl/worksheets/sheet8.xml" Id="R0636b12dc9214069" /><Relationship Type="http://schemas.openxmlformats.org/officeDocument/2006/relationships/worksheet" Target="/xl/worksheets/sheet9.xml" Id="R003872afee3d4a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92" hidden="0" customWidth="1"/>
  </x:cols>
  <x:sheetData>
    <x:row r="1" ht="30" customHeight="1">
      <x:c r="A1" s="24" t="str">
        <x:v>Final consensus and inter-rater agreement data - 29 included studies</x:v>
      </x:c>
      <x:c r="B1" s="25"/>
      <x:c r="C1" s="25"/>
      <x:c r="D1" s="25"/>
      <x:c r="E1" s="25"/>
      <x:c r="F1" s="26"/>
    </x:row>
    <x:row r="2">
      <x:c r="A2" s="27"/>
      <x:c r="B2" s="28"/>
      <x:c r="C2" s="28"/>
      <x:c r="D2" s="28"/>
      <x:c r="E2" s="28"/>
      <x:c r="F2" s="29"/>
    </x:row>
    <x:row r="3" ht="34" customHeight="1">
      <x:c r="A3" s="30" t="str">
        <x:v>Status</x:v>
      </x:c>
      <x:c r="B3" s="31" t="str">
        <x:v>Final consensus dataset after exclusion of Fan et al. (2024).</x:v>
      </x:c>
      <x:c r="C3" s="28"/>
      <x:c r="D3" s="28"/>
      <x:c r="E3" s="28"/>
      <x:c r="F3" s="29"/>
    </x:row>
    <x:row r="4" ht="34" customHeight="1">
      <x:c r="A4" s="30" t="str">
        <x:v>Scope decision</x:v>
      </x:c>
      <x:c r="B4" s="31" t="str">
        <x:v>Fan et al. was excluded because the study primarily evaluates a piezoelectric pressure/self-powered switching sensor rather than a textile strain sensor.</x:v>
      </x:c>
      <x:c r="C4" s="28"/>
      <x:c r="D4" s="28"/>
      <x:c r="E4" s="28"/>
      <x:c r="F4" s="29"/>
    </x:row>
    <x:row r="5" ht="34" customHeight="1">
      <x:c r="A5" s="30" t="str">
        <x:v>Included studies</x:v>
      </x:c>
      <x:c r="B5" s="31" t="n">
        <x:v>29</x:v>
      </x:c>
      <x:c r="C5" s="28"/>
      <x:c r="D5" s="28"/>
      <x:c r="E5" s="28"/>
      <x:c r="F5" s="29"/>
    </x:row>
    <x:row r="6" ht="34" customHeight="1">
      <x:c r="A6" s="30" t="str">
        <x:v>Figure 5</x:v>
      </x:c>
      <x:c r="B6" s="31" t="str">
        <x:v>Two independent ordinal ratings (validation depth and deployment readiness), followed by full-text consensus.</x:v>
      </x:c>
      <x:c r="C6" s="28"/>
      <x:c r="D6" s="28"/>
      <x:c r="E6" s="28"/>
      <x:c r="F6" s="29"/>
    </x:row>
    <x:row r="7" ht="34" customHeight="1">
      <x:c r="A7" s="30" t="str">
        <x:v>Figure 6</x:v>
      </x:c>
      <x:c r="B7" s="31" t="str">
        <x:v>Two independent ratings of nine reporting items using 2/1/0/NA, followed by full-text consensus.</x:v>
      </x:c>
      <x:c r="C7" s="28"/>
      <x:c r="D7" s="28"/>
      <x:c r="E7" s="28"/>
      <x:c r="F7" s="29"/>
    </x:row>
    <x:row r="8" ht="34" customHeight="1">
      <x:c r="A8" s="30" t="str">
        <x:v>Agreement</x:v>
      </x:c>
      <x:c r="B8" s="31" t="str">
        <x:v>Quadratic-weighted Cohen's kappa; NA excluded pairwise for Figure 6; 95% CIs from a 10,000-resample cluster bootstrap over studies.</x:v>
      </x:c>
      <x:c r="C8" s="28"/>
      <x:c r="D8" s="28"/>
      <x:c r="E8" s="28"/>
      <x:c r="F8" s="29"/>
    </x:row>
    <x:row r="9" ht="34" customHeight="1">
      <x:c r="A9" s="30" t="str">
        <x:v>Important interpretation</x:v>
      </x:c>
      <x:c r="B9" s="31" t="str">
        <x:v>Figure 6 primarily assesses reporting completeness. It indicates methodological quality only where sufficient procedural evidence is reported.</x:v>
      </x:c>
      <x:c r="C9" s="28"/>
      <x:c r="D9" s="28"/>
      <x:c r="E9" s="28"/>
      <x:c r="F9" s="29"/>
    </x:row>
    <x:row r="10" ht="34" customHeight="1">
      <x:c r="A10" s="32" t="str">
        <x:v>Audit trail</x:v>
      </x:c>
      <x:c r="B10" s="33" t="str">
        <x:v>The original reviewer-specific workbooks remain unchanged in the supplied kappa folder.</x:v>
      </x:c>
      <x:c r="C10" s="34"/>
      <x:c r="D10" s="34"/>
      <x:c r="E10" s="34"/>
      <x:c r="F10" s="3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38" hidden="0" customWidth="1"/>
  </x:cols>
  <x:sheetData>
    <x:row r="1">
      <x:c r="A1" s="39" t="str">
        <x:v>Analysis</x:v>
      </x:c>
      <x:c r="B1" s="40" t="str">
        <x:v>Weighting</x:v>
      </x:c>
      <x:c r="C1" s="40" t="str">
        <x:v>Kappa</x:v>
      </x:c>
      <x:c r="D1" s="40" t="str">
        <x:v>95% CI</x:v>
      </x:c>
      <x:c r="E1" s="40" t="str">
        <x:v>Exact agreement</x:v>
      </x:c>
      <x:c r="F1" s="41" t="str">
        <x:v>Interpretation</x:v>
      </x:c>
    </x:row>
    <x:row r="2">
      <x:c r="A2" s="42" t="str">
        <x:v>Figure 5 - validation depth</x:v>
      </x:c>
      <x:c r="B2" s="43" t="str">
        <x:v>Quadratic</x:v>
      </x:c>
      <x:c r="C2" s="44" t="n">
        <x:v>0.9763265306</x:v>
      </x:c>
      <x:c r="D2" s="43" t="str">
        <x:v>0.90-1.00</x:v>
      </x:c>
      <x:c r="E2" s="43" t="str">
        <x:v>28/29</x:v>
      </x:c>
      <x:c r="F2" s="45" t="str">
        <x:v>Very high agreement</x:v>
      </x:c>
    </x:row>
    <x:row r="3">
      <x:c r="A3" s="42" t="str">
        <x:v>Figure 5 - deployment readiness</x:v>
      </x:c>
      <x:c r="B3" s="43" t="str">
        <x:v>Quadratic</x:v>
      </x:c>
      <x:c r="C3" s="44" t="n">
        <x:v>0.8714376187</x:v>
      </x:c>
      <x:c r="D3" s="43" t="str">
        <x:v>0.64-0.98</x:v>
      </x:c>
      <x:c r="E3" s="43" t="str">
        <x:v>25/29</x:v>
      </x:c>
      <x:c r="F3" s="45" t="str">
        <x:v>High agreement</x:v>
      </x:c>
    </x:row>
    <x:row r="4">
      <x:c r="A4" s="42" t="str">
        <x:v>Figure 5 - pooled axes</x:v>
      </x:c>
      <x:c r="B4" s="43" t="str">
        <x:v>Quadratic</x:v>
      </x:c>
      <x:c r="C4" s="44" t="n">
        <x:v>0.9283065513</x:v>
      </x:c>
      <x:c r="D4" s="43" t="str">
        <x:v>0.82-0.99</x:v>
      </x:c>
      <x:c r="E4" s="43" t="str">
        <x:v>53/58</x:v>
      </x:c>
      <x:c r="F4" s="45" t="str">
        <x:v>High pooled agreement</x:v>
      </x:c>
    </x:row>
    <x:row r="5">
      <x:c r="A5" s="42" t="str">
        <x:v>Figure 6 - nine items</x:v>
      </x:c>
      <x:c r="B5" s="43" t="str">
        <x:v>Quadratic</x:v>
      </x:c>
      <x:c r="C5" s="44" t="n">
        <x:v>0.9720103346</x:v>
      </x:c>
      <x:c r="D5" s="43" t="str">
        <x:v>0.94-0.99</x:v>
      </x:c>
      <x:c r="E5" s="43" t="str">
        <x:v>253/260</x:v>
      </x:c>
      <x:c r="F5" s="45" t="str">
        <x:v>Very high agreement</x:v>
      </x:c>
    </x:row>
    <x:row r="6">
      <x:c r="A6" s="46" t="str">
        <x:v>Figure 6 - applicable cells</x:v>
      </x:c>
      <x:c r="B6" s="47" t="str">
        <x:v>NA excluded pairwise</x:v>
      </x:c>
      <x:c r="C6" s="47" t="n">
        <x:v>260</x:v>
      </x:c>
      <x:c r="D6" s="47" t="str">
        <x:v>-</x:v>
      </x:c>
      <x:c r="E6" s="47" t="str">
        <x:v>-</x:v>
      </x:c>
      <x:c r="F6" s="48" t="str">
        <x:v>29 studies x 9 items minus one pairwise-NA cell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" hidden="0" customWidth="1"/>
    <x:col min="3" max="3" width="30" hidden="0" customWidth="1"/>
    <x:col min="4" max="4" width="92" hidden="0" customWidth="1"/>
  </x:cols>
  <x:sheetData>
    <x:row r="1">
      <x:c r="A1" s="39" t="str">
        <x:v>Axis</x:v>
      </x:c>
      <x:c r="B1" s="40" t="str">
        <x:v>Level</x:v>
      </x:c>
      <x:c r="C1" s="40" t="str">
        <x:v>Operational label</x:v>
      </x:c>
      <x:c r="D1" s="41" t="str">
        <x:v>Rule used for scoring</x:v>
      </x:c>
    </x:row>
    <x:row r="2" ht="38" customHeight="1">
      <x:c r="A2" s="49" t="str">
        <x:v>Validation depth</x:v>
      </x:c>
      <x:c r="B2" s="50" t="n">
        <x:v>1</x:v>
      </x:c>
      <x:c r="C2" s="50" t="str">
        <x:v>Laboratory proof of concept</x:v>
      </x:c>
      <x:c r="D2" s="51" t="str">
        <x:v>Material, yarn, swatch or textile tested only on laboratory equipment; no original on-body human test.</x:v>
      </x:c>
    </x:row>
    <x:row r="3" ht="38" customHeight="1">
      <x:c r="A3" s="49" t="str">
        <x:v>Validation depth</x:v>
      </x:c>
      <x:c r="B3" s="50" t="n">
        <x:v>2</x:v>
      </x:c>
      <x:c r="C3" s="50" t="str">
        <x:v>On-body feasibility demonstration</x:v>
      </x:c>
      <x:c r="D3" s="51" t="str">
        <x:v>Original on-body signal traces are shown, but there is no predefined quantitative task evaluation, participant protocol or external reference.</x:v>
      </x:c>
    </x:row>
    <x:row r="4" ht="38" customHeight="1">
      <x:c r="A4" s="49" t="str">
        <x:v>Validation depth</x:v>
      </x:c>
      <x:c r="B4" s="50" t="n">
        <x:v>3</x:v>
      </x:c>
      <x:c r="C4" s="50" t="str">
        <x:v>Quantified task-level validation</x:v>
      </x:c>
      <x:c r="D4" s="51" t="str">
        <x:v>A defined movement/task, angle, speed, repetition set or recognition output is evaluated quantitatively, but without a structured multi-participant/session design or a valid external reference.</x:v>
      </x:c>
    </x:row>
    <x:row r="5" ht="38" customHeight="1">
      <x:c r="A5" s="49" t="str">
        <x:v>Validation depth</x:v>
      </x:c>
      <x:c r="B5" s="50" t="n">
        <x:v>4</x:v>
      </x:c>
      <x:c r="C5" s="50" t="str">
        <x:v>Structured evaluation</x:v>
      </x:c>
      <x:c r="D5" s="51" t="str">
        <x:v>At least one strong design feature is present: a defined participant cohort and protocol, repeated sessions with quantitative analysis, or comparison against an independent reference method.</x:v>
      </x:c>
    </x:row>
    <x:row r="6" ht="38" customHeight="1">
      <x:c r="A6" s="49" t="str">
        <x:v>Validation depth</x:v>
      </x:c>
      <x:c r="B6" s="50" t="n">
        <x:v>5</x:v>
      </x:c>
      <x:c r="C6" s="50" t="str">
        <x:v>Near-deployment validation</x:v>
      </x:c>
      <x:c r="D6" s="51" t="str">
        <x:v>Representative intended-use testing combines multiple users and/or sessions, an independent reference, uncertainty/error reporting, and realistic use conditions. Laboratory durability alone cannot earn this level.</x:v>
      </x:c>
    </x:row>
    <x:row r="7" ht="38" customHeight="1">
      <x:c r="A7" s="49" t="str">
        <x:v>Deployment readiness</x:v>
      </x:c>
      <x:c r="B7" s="50" t="n">
        <x:v>1</x:v>
      </x:c>
      <x:c r="C7" s="50" t="str">
        <x:v>Material or sensing element</x:v>
      </x:c>
      <x:c r="D7" s="51" t="str">
        <x:v>Sensor exists as a material, fibre/yarn or unsupported swatch; wearable integration is only proposed.</x:v>
      </x:c>
    </x:row>
    <x:row r="8" ht="38" customHeight="1">
      <x:c r="A8" s="49" t="str">
        <x:v>Deployment readiness</x:v>
      </x:c>
      <x:c r="B8" s="50" t="n">
        <x:v>2</x:v>
      </x:c>
      <x:c r="C8" s="50" t="str">
        <x:v>Textile-integrated prototype</x:v>
      </x:c>
      <x:c r="D8" s="51" t="str">
        <x:v>Sensor is constructed in or on a textile substrate, but the study does not demonstrate a functional worn system.</x:v>
      </x:c>
    </x:row>
    <x:row r="9" ht="38" customHeight="1">
      <x:c r="A9" s="49" t="str">
        <x:v>Deployment readiness</x:v>
      </x:c>
      <x:c r="B9" s="50" t="n">
        <x:v>3</x:v>
      </x:c>
      <x:c r="C9" s="50" t="str">
        <x:v>On-body prototype</x:v>
      </x:c>
      <x:c r="D9" s="51" t="str">
        <x:v>A functional sensor is fixed to the body or used as a body-worn band/patch, but it is not integrated into a complete garment or wearable accessory.</x:v>
      </x:c>
    </x:row>
    <x:row r="10" ht="38" customHeight="1">
      <x:c r="A10" s="49" t="str">
        <x:v>Deployment readiness</x:v>
      </x:c>
      <x:c r="B10" s="50" t="n">
        <x:v>4</x:v>
      </x:c>
      <x:c r="C10" s="50" t="str">
        <x:v>Garment/accessory prototype</x:v>
      </x:c>
      <x:c r="D10" s="51" t="str">
        <x:v>A functional sensor is integrated into an actual garment or wearable accessory, such as a glove, sleeve, brace, tracksuit or trousers, and used on body.</x:v>
      </x:c>
    </x:row>
    <x:row r="11" ht="38" customHeight="1">
      <x:c r="A11" s="49" t="str">
        <x:v>Deployment readiness</x:v>
      </x:c>
      <x:c r="B11" s="50" t="n">
        <x:v>5</x:v>
      </x:c>
      <x:c r="C11" s="50" t="str">
        <x:v>Advanced prototype</x:v>
      </x:c>
      <x:c r="D11" s="51" t="str">
        <x:v>A garment/accessory-level system is combined with repeated-use evidence and at least one textile-relevant robustness test such as washing, sweat, wet use or abrasion.</x:v>
      </x:c>
    </x:row>
    <x:row r="12" ht="38" customHeight="1">
      <x:c r="A12" s="49"/>
      <x:c r="B12" s="50"/>
      <x:c r="C12" s="50"/>
      <x:c r="D12" s="51"/>
    </x:row>
    <x:row r="13" ht="38" customHeight="1">
      <x:c r="A13" s="49" t="str">
        <x:v>Decision rule</x:v>
      </x:c>
      <x:c r="B13" s="50"/>
      <x:c r="C13" s="50"/>
      <x:c r="D13" s="51" t="str">
        <x:v>Score only evidence reported in the full text; do not infer a higher level from the title, abstract claim or proposed future use.</x:v>
      </x:c>
    </x:row>
    <x:row r="14" ht="38" customHeight="1">
      <x:c r="A14" s="49" t="str">
        <x:v>Boundary rule</x:v>
      </x:c>
      <x:c r="B14" s="50"/>
      <x:c r="C14" s="50"/>
      <x:c r="D14" s="51" t="str">
        <x:v>A simple waveform from a worn sensor is level 2 validation. Level 3 requires a defined quantitative task, angle, speed, repetition set or recognition output.</x:v>
      </x:c>
    </x:row>
    <x:row r="15" ht="38" customHeight="1">
      <x:c r="A15" s="49" t="str">
        <x:v>Boundary rule</x:v>
      </x:c>
      <x:c r="B15" s="50"/>
      <x:c r="C15" s="50"/>
      <x:c r="D15" s="51" t="str">
        <x:v>Laboratory cycle testing strengthens durability evidence but does not by itself increase validation depth.</x:v>
      </x:c>
    </x:row>
    <x:row r="16" ht="38" customHeight="1">
      <x:c r="A16" s="52" t="str">
        <x:v>Scope rule</x:v>
      </x:c>
      <x:c r="B16" s="53"/>
      <x:c r="C16" s="53"/>
      <x:c r="D16" s="54" t="str">
        <x:v>Fan et al. 2024 was excluded from the analytical set because the device was primarily evaluated as a piezoelectric pressure/self-powered switching sensor rather than a textile strain sensor.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28" hidden="0" customWidth="1"/>
    <x:col min="4" max="4" width="10" hidden="0" customWidth="1"/>
    <x:col min="5" max="5" width="11" hidden="0" customWidth="1"/>
    <x:col min="6" max="6" width="70" hidden="0" customWidth="1"/>
    <x:col min="7" max="7" width="14" hidden="0" customWidth="1"/>
    <x:col min="8" max="8" width="11" hidden="0" customWidth="1"/>
    <x:col min="9" max="9" width="70" hidden="0" customWidth="1"/>
    <x:col min="10" max="10" width="14" hidden="0" customWidth="1"/>
    <x:col min="11" max="11" width="72" hidden="0" customWidth="1"/>
  </x:cols>
  <x:sheetData>
    <x:row r="1">
      <x:c r="A1" s="39" t="str">
        <x:v>No.</x:v>
      </x:c>
      <x:c r="B1" s="40" t="str">
        <x:v>PDF</x:v>
      </x:c>
      <x:c r="C1" s="40" t="str">
        <x:v>Study</x:v>
      </x:c>
      <x:c r="D1" s="40" t="str">
        <x:v>Year</x:v>
      </x:c>
      <x:c r="E1" s="40" t="str">
        <x:v>Validation</x:v>
      </x:c>
      <x:c r="F1" s="40" t="str">
        <x:v>Validation evidence</x:v>
      </x:c>
      <x:c r="G1" s="40" t="str">
        <x:v>PDF page(s)</x:v>
      </x:c>
      <x:c r="H1" s="40" t="str">
        <x:v>Readiness</x:v>
      </x:c>
      <x:c r="I1" s="40" t="str">
        <x:v>Readiness evidence</x:v>
      </x:c>
      <x:c r="J1" s="40" t="str">
        <x:v>PDF page(s)</x:v>
      </x:c>
      <x:c r="K1" s="41" t="str">
        <x:v>Consensus note</x:v>
      </x:c>
    </x:row>
    <x:row r="2" ht="52" customHeight="1">
      <x:c r="A2" s="49" t="n">
        <x:v>1</x:v>
      </x:c>
      <x:c r="B2" s="50" t="str">
        <x:v>1.pdf</x:v>
      </x:c>
      <x:c r="C2" s="50" t="str">
        <x:v>Tangsirinaruenart &amp; Stylios</x:v>
      </x:c>
      <x:c r="D2" s="50" t="n">
        <x:v>2019</x:v>
      </x:c>
      <x:c r="E2" s="50" t="n">
        <x:v>1</x:v>
      </x:c>
      <x:c r="F2" s="50" t="str">
        <x:v>All reported evaluation is bench electromechanical testing, including 100 tensile cycles; garment use is discussed as a future application.</x:v>
      </x:c>
      <x:c r="G2" s="50" t="str">
        <x:v>pp. 1, 16</x:v>
      </x:c>
      <x:c r="H2" s="50" t="n">
        <x:v>2</x:v>
      </x:c>
      <x:c r="I2" s="50" t="str">
        <x:v>Conductive thread was stitched directly onto knitted fabric substrates, but no worn prototype was evaluated.</x:v>
      </x:c>
      <x:c r="J2" s="50" t="str">
        <x:v>pp. 1, 16</x:v>
      </x:c>
      <x:c r="K2" s="51" t="str">
        <x:v>Independent ratings agreed.</x:v>
      </x:c>
    </x:row>
    <x:row r="3" ht="52" customHeight="1">
      <x:c r="A3" s="49" t="n">
        <x:v>2</x:v>
      </x:c>
      <x:c r="B3" s="50" t="str">
        <x:v>2.pdf</x:v>
      </x:c>
      <x:c r="C3" s="50" t="str">
        <x:v>Li et al.</x:v>
      </x:c>
      <x:c r="D3" s="50" t="n">
        <x:v>2020</x:v>
      </x:c>
      <x:c r="E3" s="50" t="n">
        <x:v>4</x:v>
      </x:c>
      <x:c r="F3" s="50" t="str">
        <x:v>Ten participants (5 male, 5 female) completed four activities under a fixed protocol; gait recognition was evaluated quantitatively.</x:v>
      </x:c>
      <x:c r="G3" s="50" t="str">
        <x:v>pp. 1-3</x:v>
      </x:c>
      <x:c r="H3" s="50" t="n">
        <x:v>4</x:v>
      </x:c>
      <x:c r="I3" s="50" t="str">
        <x:v>Ten sensors were knitted directly into elastic sweatpants and evaluated while worn.</x:v>
      </x:c>
      <x:c r="J3" s="50" t="str">
        <x:v>pp. 1-3</x:v>
      </x:c>
      <x:c r="K3" s="51" t="str">
        <x:v>Independent ratings agreed.</x:v>
      </x:c>
    </x:row>
    <x:row r="4" ht="52" customHeight="1">
      <x:c r="A4" s="49" t="n">
        <x:v>3</x:v>
      </x:c>
      <x:c r="B4" s="50" t="str">
        <x:v>3.pdf</x:v>
      </x:c>
      <x:c r="C4" s="50" t="str">
        <x:v>Bi et al.</x:v>
      </x:c>
      <x:c r="D4" s="50" t="n">
        <x:v>2021</x:v>
      </x:c>
      <x:c r="E4" s="50" t="n">
        <x:v>2</x:v>
      </x:c>
      <x:c r="F4" s="50" t="str">
        <x:v>The study shows signals from several body locations and activities, but no participant protocol, reference measurement or task-level accuracy analysis is reported.</x:v>
      </x:c>
      <x:c r="G4" s="50" t="str">
        <x:v>pp. 6-7</x:v>
      </x:c>
      <x:c r="H4" s="50" t="n">
        <x:v>3</x:v>
      </x:c>
      <x:c r="I4" s="50" t="str">
        <x:v>The fabric sensor was used directly on finger, wrist, elbow, knee, ankle and muscles; it was not integrated into a complete garment.</x:v>
      </x:c>
      <x:c r="J4" s="50" t="str">
        <x:v>pp. 6-7</x:v>
      </x:c>
      <x:c r="K4" s="51" t="str">
        <x:v>Independent ratings agreed.</x:v>
      </x:c>
    </x:row>
    <x:row r="5" ht="52" customHeight="1">
      <x:c r="A5" s="49" t="n">
        <x:v>4</x:v>
      </x:c>
      <x:c r="B5" s="50" t="str">
        <x:v>4.pdf</x:v>
      </x:c>
      <x:c r="C5" s="50" t="str">
        <x:v>Warncke et al.</x:v>
      </x:c>
      <x:c r="D5" s="50" t="n">
        <x:v>2023</x:v>
      </x:c>
      <x:c r="E5" s="50" t="n">
        <x:v>1</x:v>
      </x:c>
      <x:c r="F5" s="50" t="str">
        <x:v>The ethics statement confirms that no humans were involved; sensors were evaluated using controlled laboratory elongation cycles.</x:v>
      </x:c>
      <x:c r="G5" s="50" t="str">
        <x:v>pp. 3-5</x:v>
      </x:c>
      <x:c r="H5" s="50" t="n">
        <x:v>2</x:v>
      </x:c>
      <x:c r="I5" s="50" t="str">
        <x:v>The knitted textile sensor was produced and tested as a laboratory specimen, not as a worn system.</x:v>
      </x:c>
      <x:c r="J5" s="50" t="str">
        <x:v>pp. 3-5</x:v>
      </x:c>
      <x:c r="K5" s="51" t="str">
        <x:v>Independent ratings agreed.</x:v>
      </x:c>
    </x:row>
    <x:row r="6" ht="52" customHeight="1">
      <x:c r="A6" s="49" t="n">
        <x:v>5</x:v>
      </x:c>
      <x:c r="B6" s="50" t="str">
        <x:v>5.pdf</x:v>
      </x:c>
      <x:c r="C6" s="50" t="str">
        <x:v>Ko et al.</x:v>
      </x:c>
      <x:c r="D6" s="50" t="n">
        <x:v>2021</x:v>
      </x:c>
      <x:c r="E6" s="50" t="n">
        <x:v>3</x:v>
      </x:c>
      <x:c r="F6" s="50" t="str">
        <x:v>The glove test used controlled finger angles from 0 to 90 degrees and cyclic finger motion, but no participant cohort or independent reference was reported.</x:v>
      </x:c>
      <x:c r="G6" s="50" t="str">
        <x:v>p. 11</x:v>
      </x:c>
      <x:c r="H6" s="50" t="n">
        <x:v>4</x:v>
      </x:c>
      <x:c r="I6" s="50" t="str">
        <x:v>The sensor was integrated into a functional firefighting glove with readout hardware.</x:v>
      </x:c>
      <x:c r="J6" s="50" t="str">
        <x:v>p. 11</x:v>
      </x:c>
      <x:c r="K6" s="51" t="str">
        <x:v>Readiness 4 retained: the sensor was used in a functional worn firefighting glove, which meets the garment/accessory rule.</x:v>
      </x:c>
    </x:row>
    <x:row r="7" ht="52" customHeight="1">
      <x:c r="A7" s="49" t="n">
        <x:v>6</x:v>
      </x:c>
      <x:c r="B7" s="50" t="str">
        <x:v>6.pdf</x:v>
      </x:c>
      <x:c r="C7" s="50" t="str">
        <x:v>Tang L. et al.</x:v>
      </x:c>
      <x:c r="D7" s="50" t="n">
        <x:v>2025</x:v>
      </x:c>
      <x:c r="E7" s="50" t="n">
        <x:v>3</x:v>
      </x:c>
      <x:c r="F7" s="50" t="str">
        <x:v>On-body motion and physiological signals were tested; repeated-word recognition was quantified above 90%, but no participant cohort or independent comparator was reported.</x:v>
      </x:c>
      <x:c r="G7" s="50" t="str">
        <x:v>pp. 10-11</x:v>
      </x:c>
      <x:c r="H7" s="50" t="n">
        <x:v>3</x:v>
      </x:c>
      <x:c r="I7" s="50" t="str">
        <x:v>The fibre sensor was attached to the wrist, abdomen and throat; no garment-integrated sensing system was demonstrated.</x:v>
      </x:c>
      <x:c r="J7" s="50" t="str">
        <x:v>pp. 10-11</x:v>
      </x:c>
      <x:c r="K7" s="51" t="str">
        <x:v>Independent ratings agreed.</x:v>
      </x:c>
    </x:row>
    <x:row r="8" ht="52" customHeight="1">
      <x:c r="A8" s="49" t="n">
        <x:v>7</x:v>
      </x:c>
      <x:c r="B8" s="50" t="str">
        <x:v>7.pdf</x:v>
      </x:c>
      <x:c r="C8" s="50" t="str">
        <x:v>Yang et al.</x:v>
      </x:c>
      <x:c r="D8" s="50" t="n">
        <x:v>2023</x:v>
      </x:c>
      <x:c r="E8" s="50" t="n">
        <x:v>3</x:v>
      </x:c>
      <x:c r="F8" s="50" t="str">
        <x:v>The study evaluated repeated finger bending, different bending angles and underwater movement, providing a defined task-level test without a structured cohort or external reference.</x:v>
      </x:c>
      <x:c r="G8" s="50" t="str">
        <x:v>p. 8</x:v>
      </x:c>
      <x:c r="H8" s="50" t="n">
        <x:v>3</x:v>
      </x:c>
      <x:c r="I8" s="50" t="str">
        <x:v>The fabric sensor was fixed directly to body locations; no complete garment/accessory prototype was evaluated.</x:v>
      </x:c>
      <x:c r="J8" s="50" t="str">
        <x:v>p. 8</x:v>
      </x:c>
      <x:c r="K8" s="51" t="str">
        <x:v>Independent ratings agreed.</x:v>
      </x:c>
    </x:row>
    <x:row r="9" ht="52" customHeight="1">
      <x:c r="A9" s="49" t="n">
        <x:v>8</x:v>
      </x:c>
      <x:c r="B9" s="50" t="str">
        <x:v>8.pdf</x:v>
      </x:c>
      <x:c r="C9" s="50" t="str">
        <x:v>Park et al.</x:v>
      </x:c>
      <x:c r="D9" s="50" t="n">
        <x:v>2021</x:v>
      </x:c>
      <x:c r="E9" s="50" t="n">
        <x:v>3</x:v>
      </x:c>
      <x:c r="F9" s="50" t="str">
        <x:v>Finger/elbow bending at specified angles and squat classification by angle range with output labels constitute a defined angle/recognition task; single demonstration, no cohort or reference.</x:v>
      </x:c>
      <x:c r="G9" s="50" t="str">
        <x:v>pp. 6-7</x:v>
      </x:c>
      <x:c r="H9" s="50" t="n">
        <x:v>3</x:v>
      </x:c>
      <x:c r="I9" s="50" t="str">
        <x:v>Sensors were attached to the body with sports tape and linked to Bluetooth readout; they were not garment-integrated.</x:v>
      </x:c>
      <x:c r="J9" s="50" t="str">
        <x:v>p. 6</x:v>
      </x:c>
      <x:c r="K9" s="51" t="str">
        <x:v>Validation 3 retained: specified joint angles and squat classification constitute a defined quantitative task.</x:v>
      </x:c>
    </x:row>
    <x:row r="10" ht="52" customHeight="1">
      <x:c r="A10" s="49" t="n">
        <x:v>9</x:v>
      </x:c>
      <x:c r="B10" s="50" t="str">
        <x:v>9.pdf</x:v>
      </x:c>
      <x:c r="C10" s="50" t="str">
        <x:v>Zhang et al.</x:v>
      </x:c>
      <x:c r="D10" s="50" t="n">
        <x:v>2026</x:v>
      </x:c>
      <x:c r="E10" s="50" t="n">
        <x:v>3</x:v>
      </x:c>
      <x:c r="F10" s="50" t="str">
        <x:v>Motion monitoring included controlled joint angles of 30, 60 and 90 degrees, but no structured participant/session protocol or independent comparator was reported.</x:v>
      </x:c>
      <x:c r="G10" s="50" t="str">
        <x:v>p. 8</x:v>
      </x:c>
      <x:c r="H10" s="50" t="n">
        <x:v>3</x:v>
      </x:c>
      <x:c r="I10" s="50" t="str">
        <x:v>The conductive silk textile was applied at several body joints; the sensing demonstration was not a complete garment.</x:v>
      </x:c>
      <x:c r="J10" s="50" t="str">
        <x:v>p. 8</x:v>
      </x:c>
      <x:c r="K10" s="51" t="str">
        <x:v>Independent ratings agreed.</x:v>
      </x:c>
    </x:row>
    <x:row r="11" ht="52" customHeight="1">
      <x:c r="A11" s="49" t="n">
        <x:v>10</x:v>
      </x:c>
      <x:c r="B11" s="50" t="str">
        <x:v>10.pdf</x:v>
      </x:c>
      <x:c r="C11" s="50" t="str">
        <x:v>Zheng et al.</x:v>
      </x:c>
      <x:c r="D11" s="50" t="n">
        <x:v>2020</x:v>
      </x:c>
      <x:c r="E11" s="50" t="n">
        <x:v>2</x:v>
      </x:c>
      <x:c r="F11" s="50" t="str">
        <x:v>Finger, wrist, elbow and squat traces demonstrate feasibility, but the paper does not report a quantitative human protocol, cohort or external reference.</x:v>
      </x:c>
      <x:c r="G11" s="50" t="str">
        <x:v>p. 9</x:v>
      </x:c>
      <x:c r="H11" s="50" t="n">
        <x:v>3</x:v>
      </x:c>
      <x:c r="I11" s="50" t="str">
        <x:v>The fabric sensors were attached directly to the body at several joints, not integrated into a garment.</x:v>
      </x:c>
      <x:c r="J11" s="50" t="str">
        <x:v>p. 9</x:v>
      </x:c>
      <x:c r="K11" s="51" t="str">
        <x:v>Readiness 3 retained: the functional textile sensor was worn directly on the body but not integrated into a garment.</x:v>
      </x:c>
    </x:row>
    <x:row r="12" ht="52" customHeight="1">
      <x:c r="A12" s="49" t="n">
        <x:v>12</x:v>
      </x:c>
      <x:c r="B12" s="50" t="str">
        <x:v>12.pdf</x:v>
      </x:c>
      <x:c r="C12" s="50" t="str">
        <x:v>Verma et al.</x:v>
      </x:c>
      <x:c r="D12" s="50" t="n">
        <x:v>2023</x:v>
      </x:c>
      <x:c r="E12" s="50" t="n">
        <x:v>4</x:v>
      </x:c>
      <x:c r="F12" s="50" t="str">
        <x:v>A dataset from 30 participants at three finger angles was split into training/test sets; KNN achieved 89.82% accuracy, and additional activities were tested.</x:v>
      </x:c>
      <x:c r="G12" s="50" t="str">
        <x:v>pp. 5-6</x:v>
      </x:c>
      <x:c r="H12" s="50" t="n">
        <x:v>3</x:v>
      </x:c>
      <x:c r="I12" s="50" t="str">
        <x:v>The sensor was mounted on the finger, wrist and knee but was not integrated into a complete garment or accessory.</x:v>
      </x:c>
      <x:c r="J12" s="50" t="str">
        <x:v>pp. 5-6</x:v>
      </x:c>
      <x:c r="K12" s="51" t="str">
        <x:v>Independent ratings agreed.</x:v>
      </x:c>
    </x:row>
    <x:row r="13" ht="52" customHeight="1">
      <x:c r="A13" s="49" t="n">
        <x:v>13</x:v>
      </x:c>
      <x:c r="B13" s="50" t="str">
        <x:v>13.pdf</x:v>
      </x:c>
      <x:c r="C13" s="50" t="str">
        <x:v>Yousif et al.</x:v>
      </x:c>
      <x:c r="D13" s="50" t="n">
        <x:v>2026</x:v>
      </x:c>
      <x:c r="E13" s="50" t="n">
        <x:v>3</x:v>
      </x:c>
      <x:c r="F13" s="50" t="str">
        <x:v>Multiple on-body motions and a strain-resistance model were evaluated, but no defined human cohort, repeated-session design or independent human-motion reference was reported.</x:v>
      </x:c>
      <x:c r="G13" s="50" t="str">
        <x:v>pp. 6-7</x:v>
      </x:c>
      <x:c r="H13" s="50" t="n">
        <x:v>3</x:v>
      </x:c>
      <x:c r="I13" s="50" t="str">
        <x:v>The yarn sensor was fixed to skin with medical tape; glove/textile integration was described as an available route rather than the tested human setup.</x:v>
      </x:c>
      <x:c r="J13" s="50" t="str">
        <x:v>pp. 6-7</x:v>
      </x:c>
      <x:c r="K13" s="51" t="str">
        <x:v>Independent ratings agreed.</x:v>
      </x:c>
    </x:row>
    <x:row r="14" ht="52" customHeight="1">
      <x:c r="A14" s="49" t="n">
        <x:v>14</x:v>
      </x:c>
      <x:c r="B14" s="50" t="str">
        <x:v>14.pdf</x:v>
      </x:c>
      <x:c r="C14" s="50" t="str">
        <x:v>Liu et al.</x:v>
      </x:c>
      <x:c r="D14" s="50" t="n">
        <x:v>2022</x:v>
      </x:c>
      <x:c r="E14" s="50" t="n">
        <x:v>2</x:v>
      </x:c>
      <x:c r="F14" s="50" t="str">
        <x:v>Finger bending and voice signals from volunteers were demonstrated, but there was no quantitative task protocol, cohort analysis or external reference.</x:v>
      </x:c>
      <x:c r="G14" s="50" t="str">
        <x:v>pp. 10-11</x:v>
      </x:c>
      <x:c r="H14" s="50" t="n">
        <x:v>3</x:v>
      </x:c>
      <x:c r="I14" s="50" t="str">
        <x:v>The nonwoven sensor was placed on the finger and at the voice-sensing position; it functioned on body but was not garment-integrated.</x:v>
      </x:c>
      <x:c r="J14" s="50" t="str">
        <x:v>pp. 10-11</x:v>
      </x:c>
      <x:c r="K14" s="51" t="str">
        <x:v>Independent ratings agreed.</x:v>
      </x:c>
    </x:row>
    <x:row r="15" ht="52" customHeight="1">
      <x:c r="A15" s="49" t="n">
        <x:v>15</x:v>
      </x:c>
      <x:c r="B15" s="50" t="str">
        <x:v>15.pdf</x:v>
      </x:c>
      <x:c r="C15" s="50" t="str">
        <x:v>Wu et al.</x:v>
      </x:c>
      <x:c r="D15" s="50" t="n">
        <x:v>2016</x:v>
      </x:c>
      <x:c r="E15" s="50" t="n">
        <x:v>2</x:v>
      </x:c>
      <x:c r="F15" s="50" t="str">
        <x:v>Pulse, facial, throat and finger signals were shown as feasibility demonstrations without a structured participant protocol or external reference.</x:v>
      </x:c>
      <x:c r="G15" s="50" t="str">
        <x:v>p. 7</x:v>
      </x:c>
      <x:c r="H15" s="50" t="n">
        <x:v>4</x:v>
      </x:c>
      <x:c r="I15" s="50" t="str">
        <x:v>Five sensing yarns were woven into the finger sections of a functional glove and used to monitor finger motion.</x:v>
      </x:c>
      <x:c r="J15" s="50" t="str">
        <x:v>p. 7</x:v>
      </x:c>
      <x:c r="K15" s="51" t="str">
        <x:v>Readiness 4 retained: sensing yarns were woven into a functional worn glove.</x:v>
      </x:c>
    </x:row>
    <x:row r="16" ht="52" customHeight="1">
      <x:c r="A16" s="49" t="n">
        <x:v>16</x:v>
      </x:c>
      <x:c r="B16" s="50" t="str">
        <x:v>16.pdf</x:v>
      </x:c>
      <x:c r="C16" s="50" t="str">
        <x:v>Lolaki et al.</x:v>
      </x:c>
      <x:c r="D16" s="50" t="n">
        <x:v>2025</x:v>
      </x:c>
      <x:c r="E16" s="50" t="n">
        <x:v>3</x:v>
      </x:c>
      <x:c r="F16" s="50" t="str">
        <x:v>A seated subject completed ten knee flexion-extension cycles over about 12 seconds, providing a defined task but not a structured cohort or reference comparison.</x:v>
      </x:c>
      <x:c r="G16" s="50" t="str">
        <x:v>p. 5</x:v>
      </x:c>
      <x:c r="H16" s="50" t="n">
        <x:v>4</x:v>
      </x:c>
      <x:c r="I16" s="50" t="str">
        <x:v>The sensor was sewn onto an elastic sports knee brace and tested while worn.</x:v>
      </x:c>
      <x:c r="J16" s="50" t="str">
        <x:v>p. 5</x:v>
      </x:c>
      <x:c r="K16" s="51" t="str">
        <x:v>Independent ratings agreed.</x:v>
      </x:c>
    </x:row>
    <x:row r="17" ht="52" customHeight="1">
      <x:c r="A17" s="49" t="n">
        <x:v>17</x:v>
      </x:c>
      <x:c r="B17" s="50" t="str">
        <x:v>17.pdf</x:v>
      </x:c>
      <x:c r="C17" s="50" t="str">
        <x:v>Zhao M. et al.</x:v>
      </x:c>
      <x:c r="D17" s="50" t="n">
        <x:v>2019</x:v>
      </x:c>
      <x:c r="E17" s="50" t="n">
        <x:v>2</x:v>
      </x:c>
      <x:c r="F17" s="50" t="str">
        <x:v>Elbow, wrist and knee signals were demonstrated after direct attachment, without a quantitative task protocol, participant cohort or external reference.</x:v>
      </x:c>
      <x:c r="G17" s="50" t="str">
        <x:v>pp. 1, 6</x:v>
      </x:c>
      <x:c r="H17" s="50" t="n">
        <x:v>3</x:v>
      </x:c>
      <x:c r="I17" s="50" t="str">
        <x:v>The yarn device was attached directly to body joints; no garment/accessory integration was tested.</x:v>
      </x:c>
      <x:c r="J17" s="50" t="str">
        <x:v>pp. 1, 6</x:v>
      </x:c>
      <x:c r="K17" s="51" t="str">
        <x:v>Independent ratings agreed.</x:v>
      </x:c>
    </x:row>
    <x:row r="18" ht="52" customHeight="1">
      <x:c r="A18" s="49" t="n">
        <x:v>18</x:v>
      </x:c>
      <x:c r="B18" s="50" t="str">
        <x:v>18.pdf</x:v>
      </x:c>
      <x:c r="C18" s="50" t="str">
        <x:v>Isaia et al.</x:v>
      </x:c>
      <x:c r="D18" s="50" t="n">
        <x:v>2022</x:v>
      </x:c>
      <x:c r="E18" s="50" t="n">
        <x:v>4</x:v>
      </x:c>
      <x:c r="F18" s="50" t="str">
        <x:v>A consented volunteer completed 50 flexion-extension cycles after defined wash intervals; repeatability, timing and resistance changes were analysed quantitatively.</x:v>
      </x:c>
      <x:c r="G18" s="50" t="str">
        <x:v>pp. 1, 12-18</x:v>
      </x:c>
      <x:c r="H18" s="50" t="n">
        <x:v>5</x:v>
      </x:c>
      <x:c r="I18" s="50" t="str">
        <x:v>A smart elbow sleeve was tested through repeated use after 1, 5, 15, 25, 50 and 75 washes.</x:v>
      </x:c>
      <x:c r="J18" s="50" t="str">
        <x:v>pp. 1, 12-18</x:v>
      </x:c>
      <x:c r="K18" s="51" t="str">
        <x:v>Independent ratings agreed.</x:v>
      </x:c>
    </x:row>
    <x:row r="19" ht="52" customHeight="1">
      <x:c r="A19" s="49" t="n">
        <x:v>19</x:v>
      </x:c>
      <x:c r="B19" s="50" t="str">
        <x:v>19.pdf</x:v>
      </x:c>
      <x:c r="C19" s="50" t="str">
        <x:v>Cho et al.</x:v>
      </x:c>
      <x:c r="D19" s="50" t="n">
        <x:v>2022</x:v>
      </x:c>
      <x:c r="E19" s="50" t="n">
        <x:v>4</x:v>
      </x:c>
      <x:c r="F19" s="50" t="str">
        <x:v>Knee motion was recorded by a 60-fps camera and angle was independently tracked with Kinovea while sensor resistance was measured.</x:v>
      </x:c>
      <x:c r="G19" s="50" t="str">
        <x:v>pp. 1, 9</x:v>
      </x:c>
      <x:c r="H19" s="50" t="n">
        <x:v>4</x:v>
      </x:c>
      <x:c r="I19" s="50" t="str">
        <x:v>The embroidered sensor was stitched onto athletic cloth and used as a worn knee-motion system.</x:v>
      </x:c>
      <x:c r="J19" s="50" t="str">
        <x:v>pp. 1, 9</x:v>
      </x:c>
      <x:c r="K19" s="51" t="str">
        <x:v>Independent ratings agreed.</x:v>
      </x:c>
    </x:row>
    <x:row r="20" ht="52" customHeight="1">
      <x:c r="A20" s="49" t="n">
        <x:v>20</x:v>
      </x:c>
      <x:c r="B20" s="50" t="str">
        <x:v>20.pdf</x:v>
      </x:c>
      <x:c r="C20" s="50" t="str">
        <x:v>Zhou et al.</x:v>
      </x:c>
      <x:c r="D20" s="50" t="n">
        <x:v>2022</x:v>
      </x:c>
      <x:c r="E20" s="50" t="n">
        <x:v>3</x:v>
      </x:c>
      <x:c r="F20" s="50" t="str">
        <x:v>A participant used three wearable products; signal response was related quantitatively to bending angle, but no cohort, repeated-session design or external reference was reported.</x:v>
      </x:c>
      <x:c r="G20" s="50" t="str">
        <x:v>pp. 1, 7-9</x:v>
      </x:c>
      <x:c r="H20" s="50" t="n">
        <x:v>5</x:v>
      </x:c>
      <x:c r="I20" s="50" t="str">
        <x:v>Fingerstall, elbow support and kneecap prototypes were seamlessly knitted and supported by 10,000-cycle plus wet/wash/bend/rub robustness testing.</x:v>
      </x:c>
      <x:c r="J20" s="50" t="str">
        <x:v>pp. 1, 7-9</x:v>
      </x:c>
      <x:c r="K20" s="51" t="str">
        <x:v>Independent ratings agreed.</x:v>
      </x:c>
    </x:row>
    <x:row r="21" ht="52" customHeight="1">
      <x:c r="A21" s="49" t="n">
        <x:v>21</x:v>
      </x:c>
      <x:c r="B21" s="50" t="str">
        <x:v>21.pdf</x:v>
      </x:c>
      <x:c r="C21" s="50" t="str">
        <x:v>Chen et al.</x:v>
      </x:c>
      <x:c r="D21" s="50" t="n">
        <x:v>2025</x:v>
      </x:c>
      <x:c r="E21" s="50" t="n">
        <x:v>3</x:v>
      </x:c>
      <x:c r="F21" s="50" t="str">
        <x:v>Joint motion was assessed at specified angles and included voice and mouse-click tasks, but no structured participant cohort or external reference was reported.</x:v>
      </x:c>
      <x:c r="G21" s="50" t="str">
        <x:v>pp. 7-8</x:v>
      </x:c>
      <x:c r="H21" s="50" t="n">
        <x:v>3</x:v>
      </x:c>
      <x:c r="I21" s="50" t="str">
        <x:v>The graphene woven-fabric sensor was attached to body locations; it was not integrated into a garment/accessory.</x:v>
      </x:c>
      <x:c r="J21" s="50" t="str">
        <x:v>pp. 7-8</x:v>
      </x:c>
      <x:c r="K21" s="51" t="str">
        <x:v>Independent ratings agreed.</x:v>
      </x:c>
    </x:row>
    <x:row r="22" ht="52" customHeight="1">
      <x:c r="A22" s="49" t="n">
        <x:v>22</x:v>
      </x:c>
      <x:c r="B22" s="50" t="str">
        <x:v>22.pdf</x:v>
      </x:c>
      <x:c r="C22" s="50" t="str">
        <x:v>Tang et al.</x:v>
      </x:c>
      <x:c r="D22" s="50" t="n">
        <x:v>2018</x:v>
      </x:c>
      <x:c r="E22" s="50" t="n">
        <x:v>2</x:v>
      </x:c>
      <x:c r="F22" s="50" t="str">
        <x:v>A volunteer demonstrated glove-based finger motion, respiration and joint signals, but the paper did not provide a structured participant protocol or independent reference.</x:v>
      </x:c>
      <x:c r="G22" s="50" t="str">
        <x:v>pp. 8-9</x:v>
      </x:c>
      <x:c r="H22" s="50" t="n">
        <x:v>4</x:v>
      </x:c>
      <x:c r="I22" s="50" t="str">
        <x:v>The fibre sensor was assembled into a commercial glove and a wearable respiration band.</x:v>
      </x:c>
      <x:c r="J22" s="50" t="str">
        <x:v>pp. 8-9</x:v>
      </x:c>
      <x:c r="K22" s="51" t="str">
        <x:v>Independent ratings agreed.</x:v>
      </x:c>
    </x:row>
    <x:row r="23" ht="52" customHeight="1">
      <x:c r="A23" s="49" t="n">
        <x:v>23</x:v>
      </x:c>
      <x:c r="B23" s="50" t="str">
        <x:v>23.pdf</x:v>
      </x:c>
      <x:c r="C23" s="50" t="str">
        <x:v>Wu H. et al.</x:v>
      </x:c>
      <x:c r="D23" s="50" t="n">
        <x:v>2024</x:v>
      </x:c>
      <x:c r="E23" s="50" t="n">
        <x:v>2</x:v>
      </x:c>
      <x:c r="F23" s="50" t="str">
        <x:v>The sensor was taped to several joints for motion and speech demonstrations, without a quantitative human protocol, cohort or external comparator.</x:v>
      </x:c>
      <x:c r="G23" s="50" t="str">
        <x:v>pp. 2-3, 7-8</x:v>
      </x:c>
      <x:c r="H23" s="50" t="n">
        <x:v>3</x:v>
      </x:c>
      <x:c r="I23" s="50" t="str">
        <x:v>The fibre sensor was attached directly to the body with insulating tape; knitted textile fabrication was used for thermal-management demonstrations rather than a sensing garment.</x:v>
      </x:c>
      <x:c r="J23" s="50" t="str">
        <x:v>pp. 2-3, 7-8</x:v>
      </x:c>
      <x:c r="K23" s="51" t="str">
        <x:v>Independent ratings agreed.</x:v>
      </x:c>
    </x:row>
    <x:row r="24" ht="52" customHeight="1">
      <x:c r="A24" s="49" t="n">
        <x:v>24</x:v>
      </x:c>
      <x:c r="B24" s="50" t="str">
        <x:v>24.pdf</x:v>
      </x:c>
      <x:c r="C24" s="50" t="str">
        <x:v>Ai et al.</x:v>
      </x:c>
      <x:c r="D24" s="50" t="n">
        <x:v>2024</x:v>
      </x:c>
      <x:c r="E24" s="50" t="n">
        <x:v>3</x:v>
      </x:c>
      <x:c r="F24" s="50" t="str">
        <x:v>Predefined glove sensing units distinguished gestures and drove a textile display, but no participant cohort, session analysis or external reference was reported.</x:v>
      </x:c>
      <x:c r="G24" s="50" t="str">
        <x:v>pp. 2, 5-8</x:v>
      </x:c>
      <x:c r="H24" s="50" t="n">
        <x:v>5</x:v>
      </x:c>
      <x:c r="I24" s="50" t="str">
        <x:v>A functional electronic glove was combined with 100,000-cycle testing and washing, temperature, bending, pressing and twisting robustness evidence.</x:v>
      </x:c>
      <x:c r="J24" s="50" t="str">
        <x:v>pp. 2, 5-8</x:v>
      </x:c>
      <x:c r="K24" s="51" t="str">
        <x:v>Independent ratings agreed.</x:v>
      </x:c>
    </x:row>
    <x:row r="25" ht="52" customHeight="1">
      <x:c r="A25" s="49" t="n">
        <x:v>25</x:v>
      </x:c>
      <x:c r="B25" s="50" t="str">
        <x:v>25.pdf</x:v>
      </x:c>
      <x:c r="C25" s="50" t="str">
        <x:v>Reddy K. et al.</x:v>
      </x:c>
      <x:c r="D25" s="50" t="n">
        <x:v>2019</x:v>
      </x:c>
      <x:c r="E25" s="50" t="n">
        <x:v>2</x:v>
      </x:c>
      <x:c r="F25" s="50" t="str">
        <x:v>Multiple joint, pulse and respiration signals, including underwater motion, were demonstrated; no defined cohort/task-accuracy or external comparison was reported.</x:v>
      </x:c>
      <x:c r="G25" s="50" t="str">
        <x:v>pp. 7-8</x:v>
      </x:c>
      <x:c r="H25" s="50" t="n">
        <x:v>3</x:v>
      </x:c>
      <x:c r="I25" s="50" t="str">
        <x:v>The knitted elastic-band sensor was mounted directly on body locations, not integrated into a complete garment.</x:v>
      </x:c>
      <x:c r="J25" s="50" t="str">
        <x:v>pp. 7-8</x:v>
      </x:c>
      <x:c r="K25" s="51" t="str">
        <x:v>Independent ratings agreed.</x:v>
      </x:c>
    </x:row>
    <x:row r="26" ht="52" customHeight="1">
      <x:c r="A26" s="49" t="n">
        <x:v>26</x:v>
      </x:c>
      <x:c r="B26" s="50" t="str">
        <x:v>26.pdf</x:v>
      </x:c>
      <x:c r="C26" s="50" t="str">
        <x:v>Tian et al.</x:v>
      </x:c>
      <x:c r="D26" s="50" t="n">
        <x:v>2020</x:v>
      </x:c>
      <x:c r="E26" s="50" t="n">
        <x:v>3</x:v>
      </x:c>
      <x:c r="F26" s="50" t="str">
        <x:v>The smart sleeve-glove was tested at finger angles of 30, 60 and 90 degrees and at three movement speeds with repeated cycles, but without a cohort or external reference.</x:v>
      </x:c>
      <x:c r="G26" s="50" t="str">
        <x:v>pp. 14-16</x:v>
      </x:c>
      <x:c r="H26" s="50" t="n">
        <x:v>4</x:v>
      </x:c>
      <x:c r="I26" s="50" t="str">
        <x:v>A functional smart sleeve-glove incorporating woven sensing fabric was fabricated and worn.</x:v>
      </x:c>
      <x:c r="J26" s="50" t="str">
        <x:v>pp. 14-16</x:v>
      </x:c>
      <x:c r="K26" s="51" t="str">
        <x:v>Independent ratings agreed.</x:v>
      </x:c>
    </x:row>
    <x:row r="27" ht="52" customHeight="1">
      <x:c r="A27" s="49" t="n">
        <x:v>27</x:v>
      </x:c>
      <x:c r="B27" s="50" t="str">
        <x:v>27.pdf</x:v>
      </x:c>
      <x:c r="C27" s="50" t="str">
        <x:v>Zhao K. et al.</x:v>
      </x:c>
      <x:c r="D27" s="50" t="n">
        <x:v>2020</x:v>
      </x:c>
      <x:c r="E27" s="50" t="n">
        <x:v>2</x:v>
      </x:c>
      <x:c r="F27" s="50" t="str">
        <x:v>The study presents signals from several body locations, but no defined quantitative human task, participant cohort or external reference.</x:v>
      </x:c>
      <x:c r="G27" s="50" t="str">
        <x:v>pp. 1, 10-11</x:v>
      </x:c>
      <x:c r="H27" s="50" t="n">
        <x:v>3</x:v>
      </x:c>
      <x:c r="I27" s="50" t="str">
        <x:v>The knitted fabric sensor was attached directly to skin. Sewing it into garments was proposed, not demonstrated.</x:v>
      </x:c>
      <x:c r="J27" s="50" t="str">
        <x:v>pp. 1, 10-11</x:v>
      </x:c>
      <x:c r="K27" s="51" t="str">
        <x:v>Readiness 3 retained: the fabric patch was used on body; garment integration was proposed rather than demonstrated.</x:v>
      </x:c>
    </x:row>
    <x:row r="28" ht="52" customHeight="1">
      <x:c r="A28" s="49" t="n">
        <x:v>28</x:v>
      </x:c>
      <x:c r="B28" s="50" t="str">
        <x:v>28.pdf</x:v>
      </x:c>
      <x:c r="C28" s="50" t="str">
        <x:v>Jang et al.</x:v>
      </x:c>
      <x:c r="D28" s="50" t="n">
        <x:v>2021</x:v>
      </x:c>
      <x:c r="E28" s="50" t="n">
        <x:v>3</x:v>
      </x:c>
      <x:c r="F28" s="50" t="str">
        <x:v>The worn tracksuit measured defined breathing rates and arm motion in both dry and wet conditions, but no cohort-level or external-reference analysis was reported.</x:v>
      </x:c>
      <x:c r="G28" s="50" t="str">
        <x:v>pp. 2-3, 6-8</x:v>
      </x:c>
      <x:c r="H28" s="50" t="n">
        <x:v>5</x:v>
      </x:c>
      <x:c r="I28" s="50" t="str">
        <x:v>Sensors, wireless electronics and readout were integrated into a tracksuit, with more than 10,000 cycles and functional testing under wet conditions.</x:v>
      </x:c>
      <x:c r="J28" s="50" t="str">
        <x:v>pp. 2-3, 6-8</x:v>
      </x:c>
      <x:c r="K28" s="51" t="str">
        <x:v>Independent ratings agreed.</x:v>
      </x:c>
    </x:row>
    <x:row r="29" ht="52" customHeight="1">
      <x:c r="A29" s="49" t="n">
        <x:v>29</x:v>
      </x:c>
      <x:c r="B29" s="50" t="str">
        <x:v>29.pdf</x:v>
      </x:c>
      <x:c r="C29" s="50" t="str">
        <x:v>Wang et al.</x:v>
      </x:c>
      <x:c r="D29" s="50" t="n">
        <x:v>2026</x:v>
      </x:c>
      <x:c r="E29" s="50" t="n">
        <x:v>2</x:v>
      </x:c>
      <x:c r="F29" s="50" t="str">
        <x:v>The embroidered bandage produced repeatable signals at several joints, but no defined participant protocol, quantitative task accuracy or external reference was reported.</x:v>
      </x:c>
      <x:c r="G29" s="50" t="str">
        <x:v>pp. 5, 10-11</x:v>
      </x:c>
      <x:c r="H29" s="50" t="n">
        <x:v>3</x:v>
      </x:c>
      <x:c r="I29" s="50" t="str">
        <x:v>The sensor was embroidered onto an elastic bandage and applied to joints; it was not a complete garment/accessory system.</x:v>
      </x:c>
      <x:c r="J29" s="50" t="str">
        <x:v>pp. 5, 10-11</x:v>
      </x:c>
      <x:c r="K29" s="51" t="str">
        <x:v>Independent ratings agreed.</x:v>
      </x:c>
    </x:row>
    <x:row r="30" ht="52" customHeight="1">
      <x:c r="A30" s="52" t="n">
        <x:v>30</x:v>
      </x:c>
      <x:c r="B30" s="53" t="str">
        <x:v>30.pdf</x:v>
      </x:c>
      <x:c r="C30" s="53" t="str">
        <x:v>Li et al.</x:v>
      </x:c>
      <x:c r="D30" s="53" t="n">
        <x:v>2017</x:v>
      </x:c>
      <x:c r="E30" s="53" t="n">
        <x:v>1</x:v>
      </x:c>
      <x:c r="F30" s="53" t="str">
        <x:v>The work is an electromechanical study of yarn samples; no original on-body evaluation is reported.</x:v>
      </x:c>
      <x:c r="G30" s="53" t="str">
        <x:v>pp. 1, 12</x:v>
      </x:c>
      <x:c r="H30" s="53" t="n">
        <x:v>1</x:v>
      </x:c>
      <x:c r="I30" s="53" t="str">
        <x:v>The sensing element remained a yarn. Incorporation into textiles was described as a future capability, not demonstrated.</x:v>
      </x:c>
      <x:c r="J30" s="53" t="str">
        <x:v>pp. 1, 12</x:v>
      </x:c>
      <x:c r="K30" s="54" t="str">
        <x:v>Independent ratings agreed.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9" t="str">
        <x:v>Validation / readiness</x:v>
      </x:c>
      <x:c r="B1" s="40" t="str">
        <x:v>Readiness 1</x:v>
      </x:c>
      <x:c r="C1" s="40" t="str">
        <x:v>Readiness 2</x:v>
      </x:c>
      <x:c r="D1" s="40" t="str">
        <x:v>Readiness 3</x:v>
      </x:c>
      <x:c r="E1" s="40" t="str">
        <x:v>Readiness 4</x:v>
      </x:c>
      <x:c r="F1" s="40" t="str">
        <x:v>Readiness 5</x:v>
      </x:c>
      <x:c r="G1" s="41" t="str">
        <x:v>Row total</x:v>
      </x:c>
    </x:row>
    <x:row r="2">
      <x:c r="A2" s="42" t="str">
        <x:v>Validation 1</x:v>
      </x:c>
      <x:c r="B2" s="43" t="n">
        <x:f>COUNTIFS('Figure5 Consensus'!$E$2:$E$30,1,'Figure5 Consensus'!$H$2:$H$30,1)</x:f>
        <x:v>1</x:v>
      </x:c>
      <x:c r="C2" s="43" t="n">
        <x:f>COUNTIFS('Figure5 Consensus'!$E$2:$E$30,1,'Figure5 Consensus'!$H$2:$H$30,2)</x:f>
        <x:v>2</x:v>
      </x:c>
      <x:c r="D2" s="43" t="n">
        <x:f>COUNTIFS('Figure5 Consensus'!$E$2:$E$30,1,'Figure5 Consensus'!$H$2:$H$30,3)</x:f>
        <x:v>0</x:v>
      </x:c>
      <x:c r="E2" s="43" t="n">
        <x:f>COUNTIFS('Figure5 Consensus'!$E$2:$E$30,1,'Figure5 Consensus'!$H$2:$H$30,4)</x:f>
        <x:v>0</x:v>
      </x:c>
      <x:c r="F2" s="43" t="n">
        <x:f>COUNTIFS('Figure5 Consensus'!$E$2:$E$30,1,'Figure5 Consensus'!$H$2:$H$30,5)</x:f>
        <x:v>0</x:v>
      </x:c>
      <x:c r="G2" s="45" t="n">
        <x:f>SUM(B2:F2)</x:f>
        <x:v>3</x:v>
      </x:c>
    </x:row>
    <x:row r="3">
      <x:c r="A3" s="42" t="str">
        <x:v>Validation 2</x:v>
      </x:c>
      <x:c r="B3" s="43" t="n">
        <x:f>COUNTIFS('Figure5 Consensus'!$E$2:$E$30,2,'Figure5 Consensus'!$H$2:$H$30,1)</x:f>
        <x:v>0</x:v>
      </x:c>
      <x:c r="C3" s="43" t="n">
        <x:f>COUNTIFS('Figure5 Consensus'!$E$2:$E$30,2,'Figure5 Consensus'!$H$2:$H$30,2)</x:f>
        <x:v>0</x:v>
      </x:c>
      <x:c r="D3" s="43" t="n">
        <x:f>COUNTIFS('Figure5 Consensus'!$E$2:$E$30,2,'Figure5 Consensus'!$H$2:$H$30,3)</x:f>
        <x:v>8</x:v>
      </x:c>
      <x:c r="E3" s="43" t="n">
        <x:f>COUNTIFS('Figure5 Consensus'!$E$2:$E$30,2,'Figure5 Consensus'!$H$2:$H$30,4)</x:f>
        <x:v>2</x:v>
      </x:c>
      <x:c r="F3" s="43" t="n">
        <x:f>COUNTIFS('Figure5 Consensus'!$E$2:$E$30,2,'Figure5 Consensus'!$H$2:$H$30,5)</x:f>
        <x:v>0</x:v>
      </x:c>
      <x:c r="G3" s="45" t="n">
        <x:f>SUM(B3:F3)</x:f>
        <x:v>10</x:v>
      </x:c>
    </x:row>
    <x:row r="4">
      <x:c r="A4" s="42" t="str">
        <x:v>Validation 3</x:v>
      </x:c>
      <x:c r="B4" s="43" t="n">
        <x:f>COUNTIFS('Figure5 Consensus'!$E$2:$E$30,3,'Figure5 Consensus'!$H$2:$H$30,1)</x:f>
        <x:v>0</x:v>
      </x:c>
      <x:c r="C4" s="43" t="n">
        <x:f>COUNTIFS('Figure5 Consensus'!$E$2:$E$30,3,'Figure5 Consensus'!$H$2:$H$30,2)</x:f>
        <x:v>0</x:v>
      </x:c>
      <x:c r="D4" s="43" t="n">
        <x:f>COUNTIFS('Figure5 Consensus'!$E$2:$E$30,3,'Figure5 Consensus'!$H$2:$H$30,3)</x:f>
        <x:v>6</x:v>
      </x:c>
      <x:c r="E4" s="43" t="n">
        <x:f>COUNTIFS('Figure5 Consensus'!$E$2:$E$30,3,'Figure5 Consensus'!$H$2:$H$30,4)</x:f>
        <x:v>3</x:v>
      </x:c>
      <x:c r="F4" s="43" t="n">
        <x:f>COUNTIFS('Figure5 Consensus'!$E$2:$E$30,3,'Figure5 Consensus'!$H$2:$H$30,5)</x:f>
        <x:v>3</x:v>
      </x:c>
      <x:c r="G4" s="45" t="n">
        <x:f>SUM(B4:F4)</x:f>
        <x:v>12</x:v>
      </x:c>
    </x:row>
    <x:row r="5">
      <x:c r="A5" s="42" t="str">
        <x:v>Validation 4</x:v>
      </x:c>
      <x:c r="B5" s="43" t="n">
        <x:f>COUNTIFS('Figure5 Consensus'!$E$2:$E$30,4,'Figure5 Consensus'!$H$2:$H$30,1)</x:f>
        <x:v>0</x:v>
      </x:c>
      <x:c r="C5" s="43" t="n">
        <x:f>COUNTIFS('Figure5 Consensus'!$E$2:$E$30,4,'Figure5 Consensus'!$H$2:$H$30,2)</x:f>
        <x:v>0</x:v>
      </x:c>
      <x:c r="D5" s="43" t="n">
        <x:f>COUNTIFS('Figure5 Consensus'!$E$2:$E$30,4,'Figure5 Consensus'!$H$2:$H$30,3)</x:f>
        <x:v>1</x:v>
      </x:c>
      <x:c r="E5" s="43" t="n">
        <x:f>COUNTIFS('Figure5 Consensus'!$E$2:$E$30,4,'Figure5 Consensus'!$H$2:$H$30,4)</x:f>
        <x:v>2</x:v>
      </x:c>
      <x:c r="F5" s="43" t="n">
        <x:f>COUNTIFS('Figure5 Consensus'!$E$2:$E$30,4,'Figure5 Consensus'!$H$2:$H$30,5)</x:f>
        <x:v>1</x:v>
      </x:c>
      <x:c r="G5" s="45" t="n">
        <x:f>SUM(B5:F5)</x:f>
        <x:v>4</x:v>
      </x:c>
    </x:row>
    <x:row r="6">
      <x:c r="A6" s="42" t="str">
        <x:v>Validation 5</x:v>
      </x:c>
      <x:c r="B6" s="43" t="n">
        <x:f>COUNTIFS('Figure5 Consensus'!$E$2:$E$30,5,'Figure5 Consensus'!$H$2:$H$30,1)</x:f>
        <x:v>0</x:v>
      </x:c>
      <x:c r="C6" s="43" t="n">
        <x:f>COUNTIFS('Figure5 Consensus'!$E$2:$E$30,5,'Figure5 Consensus'!$H$2:$H$30,2)</x:f>
        <x:v>0</x:v>
      </x:c>
      <x:c r="D6" s="43" t="n">
        <x:f>COUNTIFS('Figure5 Consensus'!$E$2:$E$30,5,'Figure5 Consensus'!$H$2:$H$30,3)</x:f>
        <x:v>0</x:v>
      </x:c>
      <x:c r="E6" s="43" t="n">
        <x:f>COUNTIFS('Figure5 Consensus'!$E$2:$E$30,5,'Figure5 Consensus'!$H$2:$H$30,4)</x:f>
        <x:v>0</x:v>
      </x:c>
      <x:c r="F6" s="43" t="n">
        <x:f>COUNTIFS('Figure5 Consensus'!$E$2:$E$30,5,'Figure5 Consensus'!$H$2:$H$30,5)</x:f>
        <x:v>0</x:v>
      </x:c>
      <x:c r="G6" s="45" t="n">
        <x:f>SUM(B6:F6)</x:f>
        <x:v>0</x:v>
      </x:c>
    </x:row>
    <x:row r="7">
      <x:c r="A7" s="56" t="str">
        <x:v>Column total</x:v>
      </x:c>
      <x:c r="B7" s="57" t="n">
        <x:f>SUM(B2:B6)</x:f>
        <x:v>1</x:v>
      </x:c>
      <x:c r="C7" s="57" t="n">
        <x:f>SUM(C2:C6)</x:f>
        <x:v>2</x:v>
      </x:c>
      <x:c r="D7" s="57" t="n">
        <x:f>SUM(D2:D6)</x:f>
        <x:v>15</x:v>
      </x:c>
      <x:c r="E7" s="57" t="n">
        <x:f>SUM(E2:E6)</x:f>
        <x:v>7</x:v>
      </x:c>
      <x:c r="F7" s="57" t="n">
        <x:f>SUM(F2:F6)</x:f>
        <x:v>4</x:v>
      </x:c>
      <x:c r="G7" s="58" t="n">
        <x:f>SUM(G2:G6)</x:f>
        <x:v>29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8" hidden="0" customWidth="1"/>
    <x:col min="3" max="3" width="100" hidden="0" customWidth="1"/>
  </x:cols>
  <x:sheetData>
    <x:row r="1">
      <x:c r="A1" s="39" t="str">
        <x:v>Code</x:v>
      </x:c>
      <x:c r="B1" s="40" t="str">
        <x:v>Item</x:v>
      </x:c>
      <x:c r="C1" s="41" t="str">
        <x:v>Operational 0/1/2/NA rule</x:v>
      </x:c>
    </x:row>
    <x:row r="2" ht="38" customHeight="1">
      <x:c r="A2" s="49" t="str">
        <x:v>F1</x:v>
      </x:c>
      <x:c r="B2" s="50" t="str">
        <x:v>Architecture / integration route</x:v>
      </x:c>
      <x:c r="C2" s="51" t="str">
        <x:v>2 = textile architecture and construction/integration route are explicit; 1 = only one is clear or detail is generic; 0 = absent; NA = not used.</x:v>
      </x:c>
    </x:row>
    <x:row r="3" ht="38" customHeight="1">
      <x:c r="A3" s="49" t="str">
        <x:v>F2</x:v>
      </x:c>
      <x:c r="B3" s="50" t="str">
        <x:v>Material / substrate composition</x:v>
      </x:c>
      <x:c r="C3" s="51" t="str">
        <x:v>2 = sensing/conductive material and textile substrate are explicit; 1 = only one is clear or composition is incomplete; 0 = absent; NA = not used.</x:v>
      </x:c>
    </x:row>
    <x:row r="4" ht="38" customHeight="1">
      <x:c r="A4" s="49" t="str">
        <x:v>E1</x:v>
      </x:c>
      <x:c r="B4" s="50" t="str">
        <x:v>Working strain range</x:v>
      </x:c>
      <x:c r="C4" s="51" t="str">
        <x:v>2 = numerical usable interval or clearly defined limits; 1 = isolated test strain, maximum elongation, or qualitative range only; 0 = absent; NA = tensile strain is not the stimulus.</x:v>
      </x:c>
    </x:row>
    <x:row r="5" ht="38" customHeight="1">
      <x:c r="A5" s="49" t="str">
        <x:v>E2</x:v>
      </x:c>
      <x:c r="B5" s="50" t="str">
        <x:v>Gauge factor with strain regime</x:v>
      </x:c>
      <x:c r="C5" s="51" t="str">
        <x:v>2 = numerical GF/strain sensitivity with corresponding interval(s); 1 = GF/sensitivity is numerical but the regime is incomplete; 0 = absent; NA = GF is not meaningful for the sensing mechanism.</x:v>
      </x:c>
    </x:row>
    <x:row r="6" ht="38" customHeight="1">
      <x:c r="A6" s="49" t="str">
        <x:v>E3</x:v>
      </x:c>
      <x:c r="B6" s="50" t="str">
        <x:v>Signal-quality descriptors</x:v>
      </x:c>
      <x:c r="C6" s="51" t="str">
        <x:v>2 = linearity, hysteresis, drift, or repeatability is quantified; 1 = only qualitative or graph-only assessment; 0 = absent; NA = genuinely inapplicable.</x:v>
      </x:c>
    </x:row>
    <x:row r="7" ht="38" customHeight="1">
      <x:c r="A7" s="49" t="str">
        <x:v>E4</x:v>
      </x:c>
      <x:c r="B7" s="50" t="str">
        <x:v>Dynamic / durability descriptors</x:v>
      </x:c>
      <x:c r="C7" s="51" t="str">
        <x:v>2 = both a numerical dynamic-response measure (response/recovery time) and a numerical endurance test are reported with conditions; 1 = only one of the two domains is clear, or both are incomplete; 0 = neither is reported; NA = genuinely inapplicable.</x:v>
      </x:c>
    </x:row>
    <x:row r="8" ht="38" customHeight="1">
      <x:c r="A8" s="49" t="str">
        <x:v>R1</x:v>
      </x:c>
      <x:c r="B8" s="50" t="str">
        <x:v>Environmental robustness</x:v>
      </x:c>
      <x:c r="C8" s="51" t="str">
        <x:v>2 = quantified wash/wet/sweat/abrasion/rubbing/temperature/humidity test with protocol or outcome; 1 = qualitative or limited environmental demonstration; 0 = no textile-relevant environmental test; NA = genuinely inapplicable.</x:v>
      </x:c>
    </x:row>
    <x:row r="9" ht="38" customHeight="1">
      <x:c r="A9" s="49" t="str">
        <x:v>V1</x:v>
      </x:c>
      <x:c r="B9" s="50" t="str">
        <x:v>On-body / garment evidence</x:v>
      </x:c>
      <x:c r="C9" s="51" t="str">
        <x:v>2 = worn garment/accessory or structured on-body evaluation; 1 = simple on-body feasibility trace or garment integration not actually worn; 0 = no original on-body test; NA = not used.</x:v>
      </x:c>
    </x:row>
    <x:row r="10" ht="38" customHeight="1">
      <x:c r="A10" s="49" t="str">
        <x:v>V2</x:v>
      </x:c>
      <x:c r="B10" s="50" t="str">
        <x:v>Comparator / structured validation</x:v>
      </x:c>
      <x:c r="C10" s="51" t="str">
        <x:v>2 = quantitative agreement with an independent reference; 1 = structured task/angle/participant/model evaluation without independent comparator, or comparator without quantitative agreement; 0 = simple demonstration/no structured validation; NA = not used.</x:v>
      </x:c>
    </x:row>
    <x:row r="11" ht="38" customHeight="1">
      <x:c r="A11" s="49" t="str">
        <x:v>General rule</x:v>
      </x:c>
      <x:c r="B11" s="50" t="str">
        <x:v>Score 2</x:v>
      </x:c>
      <x:c r="C11" s="51" t="str">
        <x:v>Clearly and quantitatively reported with sufficient context for the item-specific rule.</x:v>
      </x:c>
    </x:row>
    <x:row r="12" ht="38" customHeight="1">
      <x:c r="A12" s="49" t="str">
        <x:v>General rule</x:v>
      </x:c>
      <x:c r="B12" s="50" t="str">
        <x:v>Score 1</x:v>
      </x:c>
      <x:c r="C12" s="51" t="str">
        <x:v>Partly, qualitatively, or incompletely reported.</x:v>
      </x:c>
    </x:row>
    <x:row r="13" ht="38" customHeight="1">
      <x:c r="A13" s="49" t="str">
        <x:v>General rule</x:v>
      </x:c>
      <x:c r="B13" s="50" t="str">
        <x:v>Score 0</x:v>
      </x:c>
      <x:c r="C13" s="51" t="str">
        <x:v>Applicable to the study but not reported.</x:v>
      </x:c>
    </x:row>
    <x:row r="14" ht="38" customHeight="1">
      <x:c r="A14" s="49" t="str">
        <x:v>General rule</x:v>
      </x:c>
      <x:c r="B14" s="50" t="str">
        <x:v>NA</x:v>
      </x:c>
      <x:c r="C14" s="51" t="str">
        <x:v>Genuinely not applicable to the sensing mechanism; not used for missing information.</x:v>
      </x:c>
    </x:row>
    <x:row r="15" ht="38" customHeight="1">
      <x:c r="A15" s="52" t="str">
        <x:v>Scope note</x:v>
      </x:c>
      <x:c r="B15" s="53" t="str">
        <x:v>Fan et al. 2024</x:v>
      </x:c>
      <x:c r="C15" s="54" t="str">
        <x:v>Excluded from the final analytical set because the study primarily evaluates a piezoelectric pressure/self-powered switching sensor rather than a textile strain sensor.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3" max="3" width="30" hidden="0" customWidth="1"/>
    <x:col min="16" max="16" width="46" hidden="0" customWidth="1"/>
  </x:cols>
  <x:sheetData>
    <x:row r="1">
      <x:c r="A1" s="39" t="str">
        <x:v>No.</x:v>
      </x:c>
      <x:c r="B1" s="40" t="str">
        <x:v>PDF</x:v>
      </x:c>
      <x:c r="C1" s="40" t="str">
        <x:v>Study</x:v>
      </x:c>
      <x:c r="D1" s="40" t="str">
        <x:v>Year</x:v>
      </x:c>
      <x:c r="E1" s="40" t="str">
        <x:v>F1</x:v>
      </x:c>
      <x:c r="F1" s="40" t="str">
        <x:v>F2</x:v>
      </x:c>
      <x:c r="G1" s="40" t="str">
        <x:v>E1</x:v>
      </x:c>
      <x:c r="H1" s="40" t="str">
        <x:v>E2</x:v>
      </x:c>
      <x:c r="I1" s="40" t="str">
        <x:v>E3</x:v>
      </x:c>
      <x:c r="J1" s="40" t="str">
        <x:v>E4</x:v>
      </x:c>
      <x:c r="K1" s="40" t="str">
        <x:v>R1</x:v>
      </x:c>
      <x:c r="L1" s="40" t="str">
        <x:v>V1</x:v>
      </x:c>
      <x:c r="M1" s="40" t="str">
        <x:v>V2</x:v>
      </x:c>
      <x:c r="N1" s="40" t="str">
        <x:v>Total (NA excluded)</x:v>
      </x:c>
      <x:c r="O1" s="40" t="str">
        <x:v>Applicable items</x:v>
      </x:c>
      <x:c r="P1" s="41" t="str">
        <x:v>Consensus note</x:v>
      </x:c>
    </x:row>
    <x:row r="2" ht="28" customHeight="1">
      <x:c r="A2" s="49" t="n">
        <x:v>1</x:v>
      </x:c>
      <x:c r="B2" s="50" t="str">
        <x:v>1.pdf</x:v>
      </x:c>
      <x:c r="C2" s="50" t="str">
        <x:v>Tangsirinaruenart &amp; Stylios</x:v>
      </x:c>
      <x:c r="D2" s="50" t="n">
        <x:v>2019</x:v>
      </x:c>
      <x:c r="E2" s="50" t="n">
        <x:v>2</x:v>
      </x:c>
      <x:c r="F2" s="50" t="n">
        <x:v>2</x:v>
      </x:c>
      <x:c r="G2" s="50" t="n">
        <x:v>2</x:v>
      </x:c>
      <x:c r="H2" s="50" t="n">
        <x:v>2</x:v>
      </x:c>
      <x:c r="I2" s="50" t="n">
        <x:v>2</x:v>
      </x:c>
      <x:c r="J2" s="50" t="n">
        <x:v>1</x:v>
      </x:c>
      <x:c r="K2" s="50" t="n">
        <x:v>0</x:v>
      </x:c>
      <x:c r="L2" s="50" t="n">
        <x:v>0</x:v>
      </x:c>
      <x:c r="M2" s="50" t="n">
        <x:v>0</x:v>
      </x:c>
      <x:c r="N2" s="50" t="n">
        <x:v>11</x:v>
      </x:c>
      <x:c r="O2" s="50" t="n">
        <x:v>9</x:v>
      </x:c>
      <x:c r="P2" s="51" t="str"/>
    </x:row>
    <x:row r="3" ht="28" customHeight="1">
      <x:c r="A3" s="49" t="n">
        <x:v>2</x:v>
      </x:c>
      <x:c r="B3" s="50" t="str">
        <x:v>2.pdf</x:v>
      </x:c>
      <x:c r="C3" s="50" t="str">
        <x:v>Li et al.</x:v>
      </x:c>
      <x:c r="D3" s="50" t="n">
        <x:v>2020</x:v>
      </x:c>
      <x:c r="E3" s="50" t="n">
        <x:v>2</x:v>
      </x:c>
      <x:c r="F3" s="50" t="n">
        <x:v>2</x:v>
      </x:c>
      <x:c r="G3" s="50" t="n">
        <x:v>2</x:v>
      </x:c>
      <x:c r="H3" s="50" t="n">
        <x:v>2</x:v>
      </x:c>
      <x:c r="I3" s="50" t="n">
        <x:v>1</x:v>
      </x:c>
      <x:c r="J3" s="50" t="n">
        <x:v>1</x:v>
      </x:c>
      <x:c r="K3" s="50" t="n">
        <x:v>0</x:v>
      </x:c>
      <x:c r="L3" s="50" t="n">
        <x:v>2</x:v>
      </x:c>
      <x:c r="M3" s="50" t="n">
        <x:v>1</x:v>
      </x:c>
      <x:c r="N3" s="50" t="n">
        <x:v>13</x:v>
      </x:c>
      <x:c r="O3" s="50" t="n">
        <x:v>9</x:v>
      </x:c>
      <x:c r="P3" s="51" t="str"/>
    </x:row>
    <x:row r="4" ht="28" customHeight="1">
      <x:c r="A4" s="49" t="n">
        <x:v>3</x:v>
      </x:c>
      <x:c r="B4" s="50" t="str">
        <x:v>3.pdf</x:v>
      </x:c>
      <x:c r="C4" s="50" t="str">
        <x:v>Bi et al.</x:v>
      </x:c>
      <x:c r="D4" s="50" t="n">
        <x:v>2021</x:v>
      </x:c>
      <x:c r="E4" s="50" t="n">
        <x:v>2</x:v>
      </x:c>
      <x:c r="F4" s="50" t="n">
        <x:v>2</x:v>
      </x:c>
      <x:c r="G4" s="50" t="n">
        <x:v>2</x:v>
      </x:c>
      <x:c r="H4" s="50" t="n">
        <x:v>1</x:v>
      </x:c>
      <x:c r="I4" s="50" t="n">
        <x:v>1</x:v>
      </x:c>
      <x:c r="J4" s="50" t="n">
        <x:v>1</x:v>
      </x:c>
      <x:c r="K4" s="50" t="n">
        <x:v>1</x:v>
      </x:c>
      <x:c r="L4" s="50" t="n">
        <x:v>1</x:v>
      </x:c>
      <x:c r="M4" s="50" t="n">
        <x:v>0</x:v>
      </x:c>
      <x:c r="N4" s="50" t="n">
        <x:v>11</x:v>
      </x:c>
      <x:c r="O4" s="50" t="n">
        <x:v>9</x:v>
      </x:c>
      <x:c r="P4" s="51" t="str"/>
    </x:row>
    <x:row r="5" ht="28" customHeight="1">
      <x:c r="A5" s="49" t="n">
        <x:v>4</x:v>
      </x:c>
      <x:c r="B5" s="50" t="str">
        <x:v>4.pdf</x:v>
      </x:c>
      <x:c r="C5" s="50" t="str">
        <x:v>Warncke et al.</x:v>
      </x:c>
      <x:c r="D5" s="50" t="n">
        <x:v>2023</x:v>
      </x:c>
      <x:c r="E5" s="50" t="n">
        <x:v>2</x:v>
      </x:c>
      <x:c r="F5" s="50" t="n">
        <x:v>2</x:v>
      </x:c>
      <x:c r="G5" s="50" t="n">
        <x:v>2</x:v>
      </x:c>
      <x:c r="H5" s="50" t="n">
        <x:v>1</x:v>
      </x:c>
      <x:c r="I5" s="50" t="n">
        <x:v>2</x:v>
      </x:c>
      <x:c r="J5" s="50" t="n">
        <x:v>1</x:v>
      </x:c>
      <x:c r="K5" s="50" t="n">
        <x:v>0</x:v>
      </x:c>
      <x:c r="L5" s="50" t="n">
        <x:v>0</x:v>
      </x:c>
      <x:c r="M5" s="50" t="n">
        <x:v>0</x:v>
      </x:c>
      <x:c r="N5" s="50" t="n">
        <x:v>10</x:v>
      </x:c>
      <x:c r="O5" s="50" t="n">
        <x:v>9</x:v>
      </x:c>
      <x:c r="P5" s="51" t="str"/>
    </x:row>
    <x:row r="6" ht="28" customHeight="1">
      <x:c r="A6" s="49" t="n">
        <x:v>5</x:v>
      </x:c>
      <x:c r="B6" s="50" t="str">
        <x:v>5.pdf</x:v>
      </x:c>
      <x:c r="C6" s="50" t="str">
        <x:v>Ko et al.</x:v>
      </x:c>
      <x:c r="D6" s="50" t="n">
        <x:v>2021</x:v>
      </x:c>
      <x:c r="E6" s="50" t="n">
        <x:v>2</x:v>
      </x:c>
      <x:c r="F6" s="50" t="n">
        <x:v>2</x:v>
      </x:c>
      <x:c r="G6" s="50" t="n">
        <x:v>2</x:v>
      </x:c>
      <x:c r="H6" s="50" t="n">
        <x:v>2</x:v>
      </x:c>
      <x:c r="I6" s="50" t="n">
        <x:v>1</x:v>
      </x:c>
      <x:c r="J6" s="50" t="n">
        <x:v>1</x:v>
      </x:c>
      <x:c r="K6" s="50" t="n">
        <x:v>0</x:v>
      </x:c>
      <x:c r="L6" s="50" t="n">
        <x:v>2</x:v>
      </x:c>
      <x:c r="M6" s="50" t="n">
        <x:v>1</x:v>
      </x:c>
      <x:c r="N6" s="50" t="n">
        <x:v>13</x:v>
      </x:c>
      <x:c r="O6" s="50" t="n">
        <x:v>9</x:v>
      </x:c>
      <x:c r="P6" s="51" t="str"/>
    </x:row>
    <x:row r="7" ht="28" customHeight="1">
      <x:c r="A7" s="49" t="n">
        <x:v>6</x:v>
      </x:c>
      <x:c r="B7" s="50" t="str">
        <x:v>6.pdf</x:v>
      </x:c>
      <x:c r="C7" s="50" t="str">
        <x:v>Tang L. et al.</x:v>
      </x:c>
      <x:c r="D7" s="50" t="n">
        <x:v>2025</x:v>
      </x:c>
      <x:c r="E7" s="50" t="n">
        <x:v>2</x:v>
      </x:c>
      <x:c r="F7" s="50" t="n">
        <x:v>2</x:v>
      </x:c>
      <x:c r="G7" s="50" t="n">
        <x:v>2</x:v>
      </x:c>
      <x:c r="H7" s="50" t="n">
        <x:v>2</x:v>
      </x:c>
      <x:c r="I7" s="50" t="n">
        <x:v>1</x:v>
      </x:c>
      <x:c r="J7" s="50" t="n">
        <x:v>2</x:v>
      </x:c>
      <x:c r="K7" s="50" t="n">
        <x:v>2</x:v>
      </x:c>
      <x:c r="L7" s="50" t="n">
        <x:v>1</x:v>
      </x:c>
      <x:c r="M7" s="50" t="n">
        <x:v>1</x:v>
      </x:c>
      <x:c r="N7" s="50" t="n">
        <x:v>15</x:v>
      </x:c>
      <x:c r="O7" s="50" t="n">
        <x:v>9</x:v>
      </x:c>
      <x:c r="P7" s="51" t="str"/>
    </x:row>
    <x:row r="8" ht="28" customHeight="1">
      <x:c r="A8" s="49" t="n">
        <x:v>7</x:v>
      </x:c>
      <x:c r="B8" s="50" t="str">
        <x:v>7.pdf</x:v>
      </x:c>
      <x:c r="C8" s="50" t="str">
        <x:v>Yang et al.</x:v>
      </x:c>
      <x:c r="D8" s="50" t="n">
        <x:v>2023</x:v>
      </x:c>
      <x:c r="E8" s="50" t="n">
        <x:v>2</x:v>
      </x:c>
      <x:c r="F8" s="50" t="n">
        <x:v>2</x:v>
      </x:c>
      <x:c r="G8" s="50" t="n">
        <x:v>2</x:v>
      </x:c>
      <x:c r="H8" s="50" t="n">
        <x:v>2</x:v>
      </x:c>
      <x:c r="I8" s="50" t="n">
        <x:v>1</x:v>
      </x:c>
      <x:c r="J8" s="50" t="n">
        <x:v>2</x:v>
      </x:c>
      <x:c r="K8" s="50" t="n">
        <x:v>2</x:v>
      </x:c>
      <x:c r="L8" s="50" t="n">
        <x:v>1</x:v>
      </x:c>
      <x:c r="M8" s="50" t="n">
        <x:v>1</x:v>
      </x:c>
      <x:c r="N8" s="50" t="n">
        <x:v>15</x:v>
      </x:c>
      <x:c r="O8" s="50" t="n">
        <x:v>9</x:v>
      </x:c>
      <x:c r="P8" s="51" t="str"/>
    </x:row>
    <x:row r="9" ht="28" customHeight="1">
      <x:c r="A9" s="49" t="n">
        <x:v>8</x:v>
      </x:c>
      <x:c r="B9" s="50" t="str">
        <x:v>8.pdf</x:v>
      </x:c>
      <x:c r="C9" s="50" t="str">
        <x:v>Park et al.</x:v>
      </x:c>
      <x:c r="D9" s="50" t="n">
        <x:v>2021</x:v>
      </x:c>
      <x:c r="E9" s="50" t="n">
        <x:v>2</x:v>
      </x:c>
      <x:c r="F9" s="50" t="n">
        <x:v>2</x:v>
      </x:c>
      <x:c r="G9" s="50" t="n">
        <x:v>2</x:v>
      </x:c>
      <x:c r="H9" s="50" t="n">
        <x:v>2</x:v>
      </x:c>
      <x:c r="I9" s="50" t="n">
        <x:v>1</x:v>
      </x:c>
      <x:c r="J9" s="50" t="n">
        <x:v>2</x:v>
      </x:c>
      <x:c r="K9" s="50" t="n">
        <x:v>2</x:v>
      </x:c>
      <x:c r="L9" s="50" t="n">
        <x:v>1</x:v>
      </x:c>
      <x:c r="M9" s="50" t="n">
        <x:v>0</x:v>
      </x:c>
      <x:c r="N9" s="50" t="n">
        <x:v>14</x:v>
      </x:c>
      <x:c r="O9" s="50" t="n">
        <x:v>9</x:v>
      </x:c>
      <x:c r="P9" s="51" t="str"/>
    </x:row>
    <x:row r="10" ht="28" customHeight="1">
      <x:c r="A10" s="49" t="n">
        <x:v>9</x:v>
      </x:c>
      <x:c r="B10" s="50" t="str">
        <x:v>9.pdf</x:v>
      </x:c>
      <x:c r="C10" s="50" t="str">
        <x:v>Zhang et al.</x:v>
      </x:c>
      <x:c r="D10" s="50" t="n">
        <x:v>2026</x:v>
      </x:c>
      <x:c r="E10" s="50" t="n">
        <x:v>2</x:v>
      </x:c>
      <x:c r="F10" s="50" t="n">
        <x:v>2</x:v>
      </x:c>
      <x:c r="G10" s="50" t="n">
        <x:v>2</x:v>
      </x:c>
      <x:c r="H10" s="50" t="n">
        <x:v>2</x:v>
      </x:c>
      <x:c r="I10" s="50" t="n">
        <x:v>2</x:v>
      </x:c>
      <x:c r="J10" s="50" t="n">
        <x:v>1</x:v>
      </x:c>
      <x:c r="K10" s="50" t="n">
        <x:v>2</x:v>
      </x:c>
      <x:c r="L10" s="50" t="n">
        <x:v>2</x:v>
      </x:c>
      <x:c r="M10" s="50" t="n">
        <x:v>1</x:v>
      </x:c>
      <x:c r="N10" s="50" t="n">
        <x:v>16</x:v>
      </x:c>
      <x:c r="O10" s="50" t="n">
        <x:v>9</x:v>
      </x:c>
      <x:c r="P10" s="51" t="str"/>
    </x:row>
    <x:row r="11" ht="28" customHeight="1">
      <x:c r="A11" s="49" t="n">
        <x:v>10</x:v>
      </x:c>
      <x:c r="B11" s="50" t="str">
        <x:v>10.pdf</x:v>
      </x:c>
      <x:c r="C11" s="50" t="str">
        <x:v>Zheng et al.</x:v>
      </x:c>
      <x:c r="D11" s="50" t="n">
        <x:v>2020</x:v>
      </x:c>
      <x:c r="E11" s="50" t="n">
        <x:v>2</x:v>
      </x:c>
      <x:c r="F11" s="50" t="n">
        <x:v>2</x:v>
      </x:c>
      <x:c r="G11" s="50" t="n">
        <x:v>2</x:v>
      </x:c>
      <x:c r="H11" s="50" t="n">
        <x:v>2</x:v>
      </x:c>
      <x:c r="I11" s="50" t="n">
        <x:v>1</x:v>
      </x:c>
      <x:c r="J11" s="50" t="n">
        <x:v>2</x:v>
      </x:c>
      <x:c r="K11" s="50" t="n">
        <x:v>0</x:v>
      </x:c>
      <x:c r="L11" s="50" t="n">
        <x:v>1</x:v>
      </x:c>
      <x:c r="M11" s="50" t="n">
        <x:v>0</x:v>
      </x:c>
      <x:c r="N11" s="50" t="n">
        <x:v>12</x:v>
      </x:c>
      <x:c r="O11" s="50" t="n">
        <x:v>9</x:v>
      </x:c>
      <x:c r="P11" s="51" t="str"/>
    </x:row>
    <x:row r="12" ht="28" customHeight="1">
      <x:c r="A12" s="49" t="n">
        <x:v>12</x:v>
      </x:c>
      <x:c r="B12" s="50" t="str">
        <x:v>12.pdf</x:v>
      </x:c>
      <x:c r="C12" s="50" t="str">
        <x:v>Verma et al.</x:v>
      </x:c>
      <x:c r="D12" s="50" t="n">
        <x:v>2023</x:v>
      </x:c>
      <x:c r="E12" s="50" t="n">
        <x:v>2</x:v>
      </x:c>
      <x:c r="F12" s="50" t="n">
        <x:v>2</x:v>
      </x:c>
      <x:c r="G12" s="50" t="n">
        <x:v>2</x:v>
      </x:c>
      <x:c r="H12" s="50" t="n">
        <x:v>1</x:v>
      </x:c>
      <x:c r="I12" s="50" t="n">
        <x:v>1</x:v>
      </x:c>
      <x:c r="J12" s="50" t="n">
        <x:v>2</x:v>
      </x:c>
      <x:c r="K12" s="50" t="n">
        <x:v>2</x:v>
      </x:c>
      <x:c r="L12" s="50" t="n">
        <x:v>1</x:v>
      </x:c>
      <x:c r="M12" s="50" t="n">
        <x:v>1</x:v>
      </x:c>
      <x:c r="N12" s="50" t="n">
        <x:v>14</x:v>
      </x:c>
      <x:c r="O12" s="50" t="n">
        <x:v>9</x:v>
      </x:c>
      <x:c r="P12" s="51" t="str"/>
    </x:row>
    <x:row r="13" ht="28" customHeight="1">
      <x:c r="A13" s="49" t="n">
        <x:v>13</x:v>
      </x:c>
      <x:c r="B13" s="50" t="str">
        <x:v>13.pdf</x:v>
      </x:c>
      <x:c r="C13" s="50" t="str">
        <x:v>Yousif et al.</x:v>
      </x:c>
      <x:c r="D13" s="50" t="n">
        <x:v>2026</x:v>
      </x:c>
      <x:c r="E13" s="50" t="n">
        <x:v>2</x:v>
      </x:c>
      <x:c r="F13" s="50" t="n">
        <x:v>2</x:v>
      </x:c>
      <x:c r="G13" s="50" t="n">
        <x:v>2</x:v>
      </x:c>
      <x:c r="H13" s="50" t="n">
        <x:v>2</x:v>
      </x:c>
      <x:c r="I13" s="50" t="n">
        <x:v>1</x:v>
      </x:c>
      <x:c r="J13" s="50" t="n">
        <x:v>2</x:v>
      </x:c>
      <x:c r="K13" s="50" t="n">
        <x:v>2</x:v>
      </x:c>
      <x:c r="L13" s="50" t="n">
        <x:v>1</x:v>
      </x:c>
      <x:c r="M13" s="50" t="n">
        <x:v>1</x:v>
      </x:c>
      <x:c r="N13" s="50" t="n">
        <x:v>15</x:v>
      </x:c>
      <x:c r="O13" s="50" t="n">
        <x:v>9</x:v>
      </x:c>
      <x:c r="P13" s="51" t="str"/>
    </x:row>
    <x:row r="14" ht="28" customHeight="1">
      <x:c r="A14" s="49" t="n">
        <x:v>14</x:v>
      </x:c>
      <x:c r="B14" s="50" t="str">
        <x:v>14.pdf</x:v>
      </x:c>
      <x:c r="C14" s="50" t="str">
        <x:v>Liu et al.</x:v>
      </x:c>
      <x:c r="D14" s="50" t="n">
        <x:v>2022</x:v>
      </x:c>
      <x:c r="E14" s="50" t="n">
        <x:v>2</x:v>
      </x:c>
      <x:c r="F14" s="50" t="n">
        <x:v>2</x:v>
      </x:c>
      <x:c r="G14" s="50" t="n">
        <x:v>2</x:v>
      </x:c>
      <x:c r="H14" s="50" t="n">
        <x:v>2</x:v>
      </x:c>
      <x:c r="I14" s="50" t="n">
        <x:v>2</x:v>
      </x:c>
      <x:c r="J14" s="50" t="n">
        <x:v>2</x:v>
      </x:c>
      <x:c r="K14" s="50" t="n">
        <x:v>0</x:v>
      </x:c>
      <x:c r="L14" s="50" t="n">
        <x:v>1</x:v>
      </x:c>
      <x:c r="M14" s="50" t="n">
        <x:v>0</x:v>
      </x:c>
      <x:c r="N14" s="50" t="n">
        <x:v>13</x:v>
      </x:c>
      <x:c r="O14" s="50" t="n">
        <x:v>9</x:v>
      </x:c>
      <x:c r="P14" s="51" t="str"/>
    </x:row>
    <x:row r="15" ht="28" customHeight="1">
      <x:c r="A15" s="49" t="n">
        <x:v>15</x:v>
      </x:c>
      <x:c r="B15" s="50" t="str">
        <x:v>15.pdf</x:v>
      </x:c>
      <x:c r="C15" s="50" t="str">
        <x:v>Wu et al.</x:v>
      </x:c>
      <x:c r="D15" s="50" t="n">
        <x:v>2016</x:v>
      </x:c>
      <x:c r="E15" s="50" t="n">
        <x:v>2</x:v>
      </x:c>
      <x:c r="F15" s="50" t="n">
        <x:v>2</x:v>
      </x:c>
      <x:c r="G15" s="50" t="n">
        <x:v>1</x:v>
      </x:c>
      <x:c r="H15" s="50" t="n">
        <x:v>1</x:v>
      </x:c>
      <x:c r="I15" s="50" t="n">
        <x:v>1</x:v>
      </x:c>
      <x:c r="J15" s="50" t="n">
        <x:v>1</x:v>
      </x:c>
      <x:c r="K15" s="50" t="n">
        <x:v>2</x:v>
      </x:c>
      <x:c r="L15" s="50" t="n">
        <x:v>2</x:v>
      </x:c>
      <x:c r="M15" s="50" t="n">
        <x:v>0</x:v>
      </x:c>
      <x:c r="N15" s="50" t="n">
        <x:v>12</x:v>
      </x:c>
      <x:c r="O15" s="50" t="n">
        <x:v>9</x:v>
      </x:c>
      <x:c r="P15" s="51" t="str"/>
    </x:row>
    <x:row r="16" ht="28" customHeight="1">
      <x:c r="A16" s="49" t="n">
        <x:v>16</x:v>
      </x:c>
      <x:c r="B16" s="50" t="str">
        <x:v>16.pdf</x:v>
      </x:c>
      <x:c r="C16" s="50" t="str">
        <x:v>Lolaki et al.</x:v>
      </x:c>
      <x:c r="D16" s="50" t="n">
        <x:v>2025</x:v>
      </x:c>
      <x:c r="E16" s="50" t="n">
        <x:v>2</x:v>
      </x:c>
      <x:c r="F16" s="50" t="n">
        <x:v>2</x:v>
      </x:c>
      <x:c r="G16" s="50" t="n">
        <x:v>2</x:v>
      </x:c>
      <x:c r="H16" s="50" t="n">
        <x:v>2</x:v>
      </x:c>
      <x:c r="I16" s="50" t="n">
        <x:v>2</x:v>
      </x:c>
      <x:c r="J16" s="50" t="n">
        <x:v>1</x:v>
      </x:c>
      <x:c r="K16" s="50" t="n">
        <x:v>0</x:v>
      </x:c>
      <x:c r="L16" s="50" t="n">
        <x:v>2</x:v>
      </x:c>
      <x:c r="M16" s="50" t="n">
        <x:v>1</x:v>
      </x:c>
      <x:c r="N16" s="50" t="n">
        <x:v>14</x:v>
      </x:c>
      <x:c r="O16" s="50" t="n">
        <x:v>9</x:v>
      </x:c>
      <x:c r="P16" s="51" t="str"/>
    </x:row>
    <x:row r="17" ht="28" customHeight="1">
      <x:c r="A17" s="49" t="n">
        <x:v>17</x:v>
      </x:c>
      <x:c r="B17" s="50" t="str">
        <x:v>17.pdf</x:v>
      </x:c>
      <x:c r="C17" s="50" t="str">
        <x:v>Zhao M. et al.</x:v>
      </x:c>
      <x:c r="D17" s="50" t="n">
        <x:v>2019</x:v>
      </x:c>
      <x:c r="E17" s="50" t="n">
        <x:v>2</x:v>
      </x:c>
      <x:c r="F17" s="50" t="n">
        <x:v>2</x:v>
      </x:c>
      <x:c r="G17" s="50" t="n">
        <x:v>2</x:v>
      </x:c>
      <x:c r="H17" s="50" t="n">
        <x:v>2</x:v>
      </x:c>
      <x:c r="I17" s="50" t="n">
        <x:v>1</x:v>
      </x:c>
      <x:c r="J17" s="50" t="n">
        <x:v>2</x:v>
      </x:c>
      <x:c r="K17" s="50" t="n">
        <x:v>0</x:v>
      </x:c>
      <x:c r="L17" s="50" t="n">
        <x:v>1</x:v>
      </x:c>
      <x:c r="M17" s="50" t="n">
        <x:v>0</x:v>
      </x:c>
      <x:c r="N17" s="50" t="n">
        <x:v>12</x:v>
      </x:c>
      <x:c r="O17" s="50" t="n">
        <x:v>9</x:v>
      </x:c>
      <x:c r="P17" s="51" t="str"/>
    </x:row>
    <x:row r="18" ht="28" customHeight="1">
      <x:c r="A18" s="49" t="n">
        <x:v>18</x:v>
      </x:c>
      <x:c r="B18" s="50" t="str">
        <x:v>18.pdf</x:v>
      </x:c>
      <x:c r="C18" s="50" t="str">
        <x:v>Isaia et al.</x:v>
      </x:c>
      <x:c r="D18" s="50" t="n">
        <x:v>2022</x:v>
      </x:c>
      <x:c r="E18" s="50" t="n">
        <x:v>2</x:v>
      </x:c>
      <x:c r="F18" s="50" t="n">
        <x:v>2</x:v>
      </x:c>
      <x:c r="G18" s="50" t="n">
        <x:v>1</x:v>
      </x:c>
      <x:c r="H18" s="50" t="n">
        <x:v>0</x:v>
      </x:c>
      <x:c r="I18" s="50" t="n">
        <x:v>2</x:v>
      </x:c>
      <x:c r="J18" s="50" t="n">
        <x:v>1</x:v>
      </x:c>
      <x:c r="K18" s="50" t="n">
        <x:v>2</x:v>
      </x:c>
      <x:c r="L18" s="50" t="n">
        <x:v>2</x:v>
      </x:c>
      <x:c r="M18" s="50" t="n">
        <x:v>1</x:v>
      </x:c>
      <x:c r="N18" s="50" t="n">
        <x:v>13</x:v>
      </x:c>
      <x:c r="O18" s="50" t="n">
        <x:v>9</x:v>
      </x:c>
      <x:c r="P18" s="51" t="str"/>
    </x:row>
    <x:row r="19" ht="28" customHeight="1">
      <x:c r="A19" s="49" t="n">
        <x:v>19</x:v>
      </x:c>
      <x:c r="B19" s="50" t="str">
        <x:v>19.pdf</x:v>
      </x:c>
      <x:c r="C19" s="50" t="str">
        <x:v>Cho et al.</x:v>
      </x:c>
      <x:c r="D19" s="50" t="n">
        <x:v>2022</x:v>
      </x:c>
      <x:c r="E19" s="50" t="n">
        <x:v>2</x:v>
      </x:c>
      <x:c r="F19" s="50" t="n">
        <x:v>2</x:v>
      </x:c>
      <x:c r="G19" s="50" t="n">
        <x:v>2</x:v>
      </x:c>
      <x:c r="H19" s="50" t="n">
        <x:v>2</x:v>
      </x:c>
      <x:c r="I19" s="50" t="n">
        <x:v>2</x:v>
      </x:c>
      <x:c r="J19" s="50" t="n">
        <x:v>1</x:v>
      </x:c>
      <x:c r="K19" s="50" t="n">
        <x:v>0</x:v>
      </x:c>
      <x:c r="L19" s="50" t="n">
        <x:v>2</x:v>
      </x:c>
      <x:c r="M19" s="50" t="n">
        <x:v>2</x:v>
      </x:c>
      <x:c r="N19" s="50" t="n">
        <x:v>15</x:v>
      </x:c>
      <x:c r="O19" s="50" t="n">
        <x:v>9</x:v>
      </x:c>
      <x:c r="P19" s="51" t="str"/>
    </x:row>
    <x:row r="20" ht="28" customHeight="1">
      <x:c r="A20" s="49" t="n">
        <x:v>20</x:v>
      </x:c>
      <x:c r="B20" s="50" t="str">
        <x:v>20.pdf</x:v>
      </x:c>
      <x:c r="C20" s="50" t="str">
        <x:v>Zhou et al.</x:v>
      </x:c>
      <x:c r="D20" s="50" t="n">
        <x:v>2022</x:v>
      </x:c>
      <x:c r="E20" s="50" t="n">
        <x:v>2</x:v>
      </x:c>
      <x:c r="F20" s="50" t="n">
        <x:v>2</x:v>
      </x:c>
      <x:c r="G20" s="50" t="n">
        <x:v>2</x:v>
      </x:c>
      <x:c r="H20" s="50" t="n">
        <x:v>2</x:v>
      </x:c>
      <x:c r="I20" s="50" t="n">
        <x:v>1</x:v>
      </x:c>
      <x:c r="J20" s="50" t="n">
        <x:v>2</x:v>
      </x:c>
      <x:c r="K20" s="50" t="n">
        <x:v>2</x:v>
      </x:c>
      <x:c r="L20" s="50" t="n">
        <x:v>2</x:v>
      </x:c>
      <x:c r="M20" s="50" t="n">
        <x:v>1</x:v>
      </x:c>
      <x:c r="N20" s="50" t="n">
        <x:v>16</x:v>
      </x:c>
      <x:c r="O20" s="50" t="n">
        <x:v>9</x:v>
      </x:c>
      <x:c r="P20" s="51" t="str"/>
    </x:row>
    <x:row r="21" ht="28" customHeight="1">
      <x:c r="A21" s="49" t="n">
        <x:v>21</x:v>
      </x:c>
      <x:c r="B21" s="50" t="str">
        <x:v>21.pdf</x:v>
      </x:c>
      <x:c r="C21" s="50" t="str">
        <x:v>Chen et al.</x:v>
      </x:c>
      <x:c r="D21" s="50" t="n">
        <x:v>2025</x:v>
      </x:c>
      <x:c r="E21" s="50" t="n">
        <x:v>2</x:v>
      </x:c>
      <x:c r="F21" s="50" t="n">
        <x:v>2</x:v>
      </x:c>
      <x:c r="G21" s="50" t="n">
        <x:v>2</x:v>
      </x:c>
      <x:c r="H21" s="50" t="n">
        <x:v>2</x:v>
      </x:c>
      <x:c r="I21" s="50" t="n">
        <x:v>2</x:v>
      </x:c>
      <x:c r="J21" s="50" t="n">
        <x:v>1</x:v>
      </x:c>
      <x:c r="K21" s="50" t="n">
        <x:v>0</x:v>
      </x:c>
      <x:c r="L21" s="50" t="n">
        <x:v>1</x:v>
      </x:c>
      <x:c r="M21" s="50" t="n">
        <x:v>1</x:v>
      </x:c>
      <x:c r="N21" s="50" t="n">
        <x:v>13</x:v>
      </x:c>
      <x:c r="O21" s="50" t="n">
        <x:v>9</x:v>
      </x:c>
      <x:c r="P21" s="51" t="str"/>
    </x:row>
    <x:row r="22" ht="28" customHeight="1">
      <x:c r="A22" s="49" t="n">
        <x:v>22</x:v>
      </x:c>
      <x:c r="B22" s="50" t="str">
        <x:v>22.pdf</x:v>
      </x:c>
      <x:c r="C22" s="50" t="str">
        <x:v>Tang et al.</x:v>
      </x:c>
      <x:c r="D22" s="50" t="n">
        <x:v>2018</x:v>
      </x:c>
      <x:c r="E22" s="50" t="n">
        <x:v>2</x:v>
      </x:c>
      <x:c r="F22" s="50" t="n">
        <x:v>2</x:v>
      </x:c>
      <x:c r="G22" s="50" t="n">
        <x:v>2</x:v>
      </x:c>
      <x:c r="H22" s="50" t="n">
        <x:v>2</x:v>
      </x:c>
      <x:c r="I22" s="50" t="n">
        <x:v>1</x:v>
      </x:c>
      <x:c r="J22" s="50" t="n">
        <x:v>2</x:v>
      </x:c>
      <x:c r="K22" s="50" t="n">
        <x:v>2</x:v>
      </x:c>
      <x:c r="L22" s="50" t="n">
        <x:v>2</x:v>
      </x:c>
      <x:c r="M22" s="50" t="n">
        <x:v>0</x:v>
      </x:c>
      <x:c r="N22" s="50" t="n">
        <x:v>15</x:v>
      </x:c>
      <x:c r="O22" s="50" t="n">
        <x:v>9</x:v>
      </x:c>
      <x:c r="P22" s="51" t="str"/>
    </x:row>
    <x:row r="23" ht="28" customHeight="1">
      <x:c r="A23" s="49" t="n">
        <x:v>23</x:v>
      </x:c>
      <x:c r="B23" s="50" t="str">
        <x:v>23.pdf</x:v>
      </x:c>
      <x:c r="C23" s="50" t="str">
        <x:v>Wu H. et al.</x:v>
      </x:c>
      <x:c r="D23" s="50" t="n">
        <x:v>2024</x:v>
      </x:c>
      <x:c r="E23" s="50" t="n">
        <x:v>2</x:v>
      </x:c>
      <x:c r="F23" s="50" t="n">
        <x:v>2</x:v>
      </x:c>
      <x:c r="G23" s="50" t="n">
        <x:v>2</x:v>
      </x:c>
      <x:c r="H23" s="50" t="n">
        <x:v>2</x:v>
      </x:c>
      <x:c r="I23" s="50" t="n">
        <x:v>2</x:v>
      </x:c>
      <x:c r="J23" s="50" t="n">
        <x:v>2</x:v>
      </x:c>
      <x:c r="K23" s="50" t="n">
        <x:v>2</x:v>
      </x:c>
      <x:c r="L23" s="50" t="n">
        <x:v>1</x:v>
      </x:c>
      <x:c r="M23" s="50" t="n">
        <x:v>0</x:v>
      </x:c>
      <x:c r="N23" s="50" t="n">
        <x:v>15</x:v>
      </x:c>
      <x:c r="O23" s="50" t="n">
        <x:v>9</x:v>
      </x:c>
      <x:c r="P23" s="51" t="str"/>
    </x:row>
    <x:row r="24" ht="28" customHeight="1">
      <x:c r="A24" s="49" t="n">
        <x:v>24</x:v>
      </x:c>
      <x:c r="B24" s="50" t="str">
        <x:v>24.pdf</x:v>
      </x:c>
      <x:c r="C24" s="50" t="str">
        <x:v>Ai et al.</x:v>
      </x:c>
      <x:c r="D24" s="50" t="n">
        <x:v>2024</x:v>
      </x:c>
      <x:c r="E24" s="50" t="n">
        <x:v>2</x:v>
      </x:c>
      <x:c r="F24" s="50" t="n">
        <x:v>2</x:v>
      </x:c>
      <x:c r="G24" s="50" t="n">
        <x:v>2</x:v>
      </x:c>
      <x:c r="H24" s="50" t="str">
        <x:v>NA</x:v>
      </x:c>
      <x:c r="I24" s="50" t="n">
        <x:v>2</x:v>
      </x:c>
      <x:c r="J24" s="50" t="n">
        <x:v>2</x:v>
      </x:c>
      <x:c r="K24" s="50" t="n">
        <x:v>2</x:v>
      </x:c>
      <x:c r="L24" s="50" t="n">
        <x:v>2</x:v>
      </x:c>
      <x:c r="M24" s="50" t="n">
        <x:v>1</x:v>
      </x:c>
      <x:c r="N24" s="50" t="n">
        <x:v>15</x:v>
      </x:c>
      <x:c r="O24" s="50" t="n">
        <x:v>8</x:v>
      </x:c>
      <x:c r="P24" s="51" t="str"/>
    </x:row>
    <x:row r="25" ht="28" customHeight="1">
      <x:c r="A25" s="49" t="n">
        <x:v>25</x:v>
      </x:c>
      <x:c r="B25" s="50" t="str">
        <x:v>25.pdf</x:v>
      </x:c>
      <x:c r="C25" s="50" t="str">
        <x:v>Reddy K. et al.</x:v>
      </x:c>
      <x:c r="D25" s="50" t="n">
        <x:v>2019</x:v>
      </x:c>
      <x:c r="E25" s="50" t="n">
        <x:v>2</x:v>
      </x:c>
      <x:c r="F25" s="50" t="n">
        <x:v>2</x:v>
      </x:c>
      <x:c r="G25" s="50" t="n">
        <x:v>2</x:v>
      </x:c>
      <x:c r="H25" s="50" t="n">
        <x:v>2</x:v>
      </x:c>
      <x:c r="I25" s="50" t="n">
        <x:v>1</x:v>
      </x:c>
      <x:c r="J25" s="50" t="n">
        <x:v>1</x:v>
      </x:c>
      <x:c r="K25" s="50" t="n">
        <x:v>2</x:v>
      </x:c>
      <x:c r="L25" s="50" t="n">
        <x:v>1</x:v>
      </x:c>
      <x:c r="M25" s="50" t="n">
        <x:v>0</x:v>
      </x:c>
      <x:c r="N25" s="50" t="n">
        <x:v>13</x:v>
      </x:c>
      <x:c r="O25" s="50" t="n">
        <x:v>9</x:v>
      </x:c>
      <x:c r="P25" s="51" t="str"/>
    </x:row>
    <x:row r="26" ht="28" customHeight="1">
      <x:c r="A26" s="49" t="n">
        <x:v>26</x:v>
      </x:c>
      <x:c r="B26" s="50" t="str">
        <x:v>26.pdf</x:v>
      </x:c>
      <x:c r="C26" s="50" t="str">
        <x:v>Tian et al.</x:v>
      </x:c>
      <x:c r="D26" s="50" t="n">
        <x:v>2020</x:v>
      </x:c>
      <x:c r="E26" s="50" t="n">
        <x:v>2</x:v>
      </x:c>
      <x:c r="F26" s="50" t="n">
        <x:v>2</x:v>
      </x:c>
      <x:c r="G26" s="50" t="n">
        <x:v>2</x:v>
      </x:c>
      <x:c r="H26" s="50" t="n">
        <x:v>2</x:v>
      </x:c>
      <x:c r="I26" s="50" t="n">
        <x:v>2</x:v>
      </x:c>
      <x:c r="J26" s="50" t="n">
        <x:v>1</x:v>
      </x:c>
      <x:c r="K26" s="50" t="n">
        <x:v>0</x:v>
      </x:c>
      <x:c r="L26" s="50" t="n">
        <x:v>2</x:v>
      </x:c>
      <x:c r="M26" s="50" t="n">
        <x:v>1</x:v>
      </x:c>
      <x:c r="N26" s="50" t="n">
        <x:v>14</x:v>
      </x:c>
      <x:c r="O26" s="50" t="n">
        <x:v>9</x:v>
      </x:c>
      <x:c r="P26" s="51" t="str"/>
    </x:row>
    <x:row r="27" ht="28" customHeight="1">
      <x:c r="A27" s="49" t="n">
        <x:v>27</x:v>
      </x:c>
      <x:c r="B27" s="50" t="str">
        <x:v>27.pdf</x:v>
      </x:c>
      <x:c r="C27" s="50" t="str">
        <x:v>Zhao K. et al.</x:v>
      </x:c>
      <x:c r="D27" s="50" t="n">
        <x:v>2020</x:v>
      </x:c>
      <x:c r="E27" s="50" t="n">
        <x:v>2</x:v>
      </x:c>
      <x:c r="F27" s="50" t="n">
        <x:v>2</x:v>
      </x:c>
      <x:c r="G27" s="50" t="n">
        <x:v>2</x:v>
      </x:c>
      <x:c r="H27" s="50" t="n">
        <x:v>2</x:v>
      </x:c>
      <x:c r="I27" s="50" t="n">
        <x:v>1</x:v>
      </x:c>
      <x:c r="J27" s="50" t="n">
        <x:v>1</x:v>
      </x:c>
      <x:c r="K27" s="50" t="n">
        <x:v>2</x:v>
      </x:c>
      <x:c r="L27" s="50" t="n">
        <x:v>1</x:v>
      </x:c>
      <x:c r="M27" s="50" t="n">
        <x:v>0</x:v>
      </x:c>
      <x:c r="N27" s="50" t="n">
        <x:v>13</x:v>
      </x:c>
      <x:c r="O27" s="50" t="n">
        <x:v>9</x:v>
      </x:c>
      <x:c r="P27" s="51" t="str"/>
    </x:row>
    <x:row r="28" ht="28" customHeight="1">
      <x:c r="A28" s="49" t="n">
        <x:v>28</x:v>
      </x:c>
      <x:c r="B28" s="50" t="str">
        <x:v>28.pdf</x:v>
      </x:c>
      <x:c r="C28" s="50" t="str">
        <x:v>Jang et al.</x:v>
      </x:c>
      <x:c r="D28" s="50" t="n">
        <x:v>2021</x:v>
      </x:c>
      <x:c r="E28" s="50" t="n">
        <x:v>2</x:v>
      </x:c>
      <x:c r="F28" s="50" t="n">
        <x:v>2</x:v>
      </x:c>
      <x:c r="G28" s="50" t="n">
        <x:v>2</x:v>
      </x:c>
      <x:c r="H28" s="50" t="n">
        <x:v>1</x:v>
      </x:c>
      <x:c r="I28" s="50" t="n">
        <x:v>1</x:v>
      </x:c>
      <x:c r="J28" s="50" t="n">
        <x:v>2</x:v>
      </x:c>
      <x:c r="K28" s="50" t="n">
        <x:v>2</x:v>
      </x:c>
      <x:c r="L28" s="50" t="n">
        <x:v>2</x:v>
      </x:c>
      <x:c r="M28" s="50" t="n">
        <x:v>1</x:v>
      </x:c>
      <x:c r="N28" s="50" t="n">
        <x:v>15</x:v>
      </x:c>
      <x:c r="O28" s="50" t="n">
        <x:v>9</x:v>
      </x:c>
      <x:c r="P28" s="51" t="str"/>
    </x:row>
    <x:row r="29" ht="28" customHeight="1">
      <x:c r="A29" s="49" t="n">
        <x:v>29</x:v>
      </x:c>
      <x:c r="B29" s="50" t="str">
        <x:v>29.pdf</x:v>
      </x:c>
      <x:c r="C29" s="50" t="str">
        <x:v>Wang et al.</x:v>
      </x:c>
      <x:c r="D29" s="50" t="n">
        <x:v>2026</x:v>
      </x:c>
      <x:c r="E29" s="50" t="n">
        <x:v>2</x:v>
      </x:c>
      <x:c r="F29" s="50" t="n">
        <x:v>2</x:v>
      </x:c>
      <x:c r="G29" s="50" t="n">
        <x:v>2</x:v>
      </x:c>
      <x:c r="H29" s="50" t="n">
        <x:v>2</x:v>
      </x:c>
      <x:c r="I29" s="50" t="n">
        <x:v>2</x:v>
      </x:c>
      <x:c r="J29" s="50" t="n">
        <x:v>2</x:v>
      </x:c>
      <x:c r="K29" s="50" t="n">
        <x:v>2</x:v>
      </x:c>
      <x:c r="L29" s="50" t="n">
        <x:v>1</x:v>
      </x:c>
      <x:c r="M29" s="50" t="n">
        <x:v>0</x:v>
      </x:c>
      <x:c r="N29" s="50" t="n">
        <x:v>15</x:v>
      </x:c>
      <x:c r="O29" s="50" t="n">
        <x:v>9</x:v>
      </x:c>
      <x:c r="P29" s="51" t="str"/>
    </x:row>
    <x:row r="30" ht="28" customHeight="1">
      <x:c r="A30" s="52" t="n">
        <x:v>30</x:v>
      </x:c>
      <x:c r="B30" s="53" t="str">
        <x:v>30.pdf</x:v>
      </x:c>
      <x:c r="C30" s="53" t="str">
        <x:v>Li et al.</x:v>
      </x:c>
      <x:c r="D30" s="53" t="n">
        <x:v>2017</x:v>
      </x:c>
      <x:c r="E30" s="53" t="n">
        <x:v>2</x:v>
      </x:c>
      <x:c r="F30" s="53" t="n">
        <x:v>2</x:v>
      </x:c>
      <x:c r="G30" s="53" t="n">
        <x:v>2</x:v>
      </x:c>
      <x:c r="H30" s="53" t="n">
        <x:v>2</x:v>
      </x:c>
      <x:c r="I30" s="53" t="n">
        <x:v>2</x:v>
      </x:c>
      <x:c r="J30" s="53" t="n">
        <x:v>1</x:v>
      </x:c>
      <x:c r="K30" s="53" t="n">
        <x:v>0</x:v>
      </x:c>
      <x:c r="L30" s="53" t="n">
        <x:v>0</x:v>
      </x:c>
      <x:c r="M30" s="53" t="n">
        <x:v>0</x:v>
      </x:c>
      <x:c r="N30" s="53" t="n">
        <x:v>11</x:v>
      </x:c>
      <x:c r="O30" s="53" t="n">
        <x:v>9</x:v>
      </x:c>
      <x:c r="P30" s="54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9" t="str">
        <x:v>Code</x:v>
      </x:c>
      <x:c r="B1" s="40" t="str">
        <x:v>Item</x:v>
      </x:c>
      <x:c r="C1" s="40" t="str">
        <x:v>Score 2</x:v>
      </x:c>
      <x:c r="D1" s="40" t="str">
        <x:v>Score 1</x:v>
      </x:c>
      <x:c r="E1" s="40" t="str">
        <x:v>Score 0</x:v>
      </x:c>
      <x:c r="F1" s="40" t="str">
        <x:v>NA</x:v>
      </x:c>
      <x:c r="G1" s="40" t="str">
        <x:v>Applicable n</x:v>
      </x:c>
      <x:c r="H1" s="41" t="str">
        <x:v>Score 2 (% applicable)</x:v>
      </x:c>
    </x:row>
    <x:row r="2">
      <x:c r="A2" s="42" t="str">
        <x:v>F1</x:v>
      </x:c>
      <x:c r="B2" s="43" t="str">
        <x:v>Architecture / integration route</x:v>
      </x:c>
      <x:c r="C2" s="43" t="n">
        <x:f>COUNTIF('Figure6 Consensus'!$E$2:$E$30,2)</x:f>
        <x:v>29</x:v>
      </x:c>
      <x:c r="D2" s="43" t="n">
        <x:f>COUNTIF('Figure6 Consensus'!$E$2:$E$30,1)</x:f>
        <x:v>0</x:v>
      </x:c>
      <x:c r="E2" s="43" t="n">
        <x:f>COUNTIF('Figure6 Consensus'!$E$2:$E$30,0)</x:f>
        <x:v>0</x:v>
      </x:c>
      <x:c r="F2" s="43" t="n">
        <x:f>COUNTIF('Figure6 Consensus'!$E$2:$E$30,"NA")</x:f>
        <x:v>0</x:v>
      </x:c>
      <x:c r="G2" s="43" t="n">
        <x:f>29-F2</x:f>
        <x:v>29</x:v>
      </x:c>
      <x:c r="H2" s="60" t="n">
        <x:f>C2/G2</x:f>
        <x:v>1</x:v>
      </x:c>
    </x:row>
    <x:row r="3">
      <x:c r="A3" s="42" t="str">
        <x:v>F2</x:v>
      </x:c>
      <x:c r="B3" s="43" t="str">
        <x:v>Material / substrate composition</x:v>
      </x:c>
      <x:c r="C3" s="43" t="n">
        <x:f>COUNTIF('Figure6 Consensus'!$F$2:$F$30,2)</x:f>
        <x:v>29</x:v>
      </x:c>
      <x:c r="D3" s="43" t="n">
        <x:f>COUNTIF('Figure6 Consensus'!$F$2:$F$30,1)</x:f>
        <x:v>0</x:v>
      </x:c>
      <x:c r="E3" s="43" t="n">
        <x:f>COUNTIF('Figure6 Consensus'!$F$2:$F$30,0)</x:f>
        <x:v>0</x:v>
      </x:c>
      <x:c r="F3" s="43" t="n">
        <x:f>COUNTIF('Figure6 Consensus'!$F$2:$F$30,"NA")</x:f>
        <x:v>0</x:v>
      </x:c>
      <x:c r="G3" s="43" t="n">
        <x:f>29-F3</x:f>
        <x:v>29</x:v>
      </x:c>
      <x:c r="H3" s="60" t="n">
        <x:f>C3/G3</x:f>
        <x:v>1</x:v>
      </x:c>
    </x:row>
    <x:row r="4">
      <x:c r="A4" s="42" t="str">
        <x:v>E1</x:v>
      </x:c>
      <x:c r="B4" s="43" t="str">
        <x:v>Working strain range</x:v>
      </x:c>
      <x:c r="C4" s="43" t="n">
        <x:f>COUNTIF('Figure6 Consensus'!$G$2:$G$30,2)</x:f>
        <x:v>27</x:v>
      </x:c>
      <x:c r="D4" s="43" t="n">
        <x:f>COUNTIF('Figure6 Consensus'!$G$2:$G$30,1)</x:f>
        <x:v>2</x:v>
      </x:c>
      <x:c r="E4" s="43" t="n">
        <x:f>COUNTIF('Figure6 Consensus'!$G$2:$G$30,0)</x:f>
        <x:v>0</x:v>
      </x:c>
      <x:c r="F4" s="43" t="n">
        <x:f>COUNTIF('Figure6 Consensus'!$G$2:$G$30,"NA")</x:f>
        <x:v>0</x:v>
      </x:c>
      <x:c r="G4" s="43" t="n">
        <x:f>29-F4</x:f>
        <x:v>29</x:v>
      </x:c>
      <x:c r="H4" s="60" t="n">
        <x:f>C4/G4</x:f>
        <x:v>0.9310344827586207</x:v>
      </x:c>
    </x:row>
    <x:row r="5">
      <x:c r="A5" s="42" t="str">
        <x:v>E2</x:v>
      </x:c>
      <x:c r="B5" s="43" t="str">
        <x:v>Gauge factor with strain regime</x:v>
      </x:c>
      <x:c r="C5" s="43" t="n">
        <x:f>COUNTIF('Figure6 Consensus'!$H$2:$H$30,2)</x:f>
        <x:v>22</x:v>
      </x:c>
      <x:c r="D5" s="43" t="n">
        <x:f>COUNTIF('Figure6 Consensus'!$H$2:$H$30,1)</x:f>
        <x:v>5</x:v>
      </x:c>
      <x:c r="E5" s="43" t="n">
        <x:f>COUNTIF('Figure6 Consensus'!$H$2:$H$30,0)</x:f>
        <x:v>1</x:v>
      </x:c>
      <x:c r="F5" s="43" t="n">
        <x:f>COUNTIF('Figure6 Consensus'!$H$2:$H$30,"NA")</x:f>
        <x:v>1</x:v>
      </x:c>
      <x:c r="G5" s="43" t="n">
        <x:f>29-F5</x:f>
        <x:v>28</x:v>
      </x:c>
      <x:c r="H5" s="60" t="n">
        <x:f>C5/G5</x:f>
        <x:v>0.7857142857142857</x:v>
      </x:c>
    </x:row>
    <x:row r="6">
      <x:c r="A6" s="42" t="str">
        <x:v>E3</x:v>
      </x:c>
      <x:c r="B6" s="43" t="str">
        <x:v>Signal-quality descriptors</x:v>
      </x:c>
      <x:c r="C6" s="43" t="n">
        <x:f>COUNTIF('Figure6 Consensus'!$I$2:$I$30,2)</x:f>
        <x:v>13</x:v>
      </x:c>
      <x:c r="D6" s="43" t="n">
        <x:f>COUNTIF('Figure6 Consensus'!$I$2:$I$30,1)</x:f>
        <x:v>16</x:v>
      </x:c>
      <x:c r="E6" s="43" t="n">
        <x:f>COUNTIF('Figure6 Consensus'!$I$2:$I$30,0)</x:f>
        <x:v>0</x:v>
      </x:c>
      <x:c r="F6" s="43" t="n">
        <x:f>COUNTIF('Figure6 Consensus'!$I$2:$I$30,"NA")</x:f>
        <x:v>0</x:v>
      </x:c>
      <x:c r="G6" s="43" t="n">
        <x:f>29-F6</x:f>
        <x:v>29</x:v>
      </x:c>
      <x:c r="H6" s="60" t="n">
        <x:f>C6/G6</x:f>
        <x:v>0.4482758620689655</x:v>
      </x:c>
    </x:row>
    <x:row r="7">
      <x:c r="A7" s="42" t="str">
        <x:v>E4</x:v>
      </x:c>
      <x:c r="B7" s="43" t="str">
        <x:v>Dynamic / durability descriptors</x:v>
      </x:c>
      <x:c r="C7" s="43" t="n">
        <x:f>COUNTIF('Figure6 Consensus'!$J$2:$J$30,2)</x:f>
        <x:v>14</x:v>
      </x:c>
      <x:c r="D7" s="43" t="n">
        <x:f>COUNTIF('Figure6 Consensus'!$J$2:$J$30,1)</x:f>
        <x:v>15</x:v>
      </x:c>
      <x:c r="E7" s="43" t="n">
        <x:f>COUNTIF('Figure6 Consensus'!$J$2:$J$30,0)</x:f>
        <x:v>0</x:v>
      </x:c>
      <x:c r="F7" s="43" t="n">
        <x:f>COUNTIF('Figure6 Consensus'!$J$2:$J$30,"NA")</x:f>
        <x:v>0</x:v>
      </x:c>
      <x:c r="G7" s="43" t="n">
        <x:f>29-F7</x:f>
        <x:v>29</x:v>
      </x:c>
      <x:c r="H7" s="60" t="n">
        <x:f>C7/G7</x:f>
        <x:v>0.4827586206896552</x:v>
      </x:c>
    </x:row>
    <x:row r="8">
      <x:c r="A8" s="42" t="str">
        <x:v>R1</x:v>
      </x:c>
      <x:c r="B8" s="43" t="str">
        <x:v>Environmental robustness</x:v>
      </x:c>
      <x:c r="C8" s="43" t="n">
        <x:f>COUNTIF('Figure6 Consensus'!$K$2:$K$30,2)</x:f>
        <x:v>16</x:v>
      </x:c>
      <x:c r="D8" s="43" t="n">
        <x:f>COUNTIF('Figure6 Consensus'!$K$2:$K$30,1)</x:f>
        <x:v>1</x:v>
      </x:c>
      <x:c r="E8" s="43" t="n">
        <x:f>COUNTIF('Figure6 Consensus'!$K$2:$K$30,0)</x:f>
        <x:v>12</x:v>
      </x:c>
      <x:c r="F8" s="43" t="n">
        <x:f>COUNTIF('Figure6 Consensus'!$K$2:$K$30,"NA")</x:f>
        <x:v>0</x:v>
      </x:c>
      <x:c r="G8" s="43" t="n">
        <x:f>29-F8</x:f>
        <x:v>29</x:v>
      </x:c>
      <x:c r="H8" s="60" t="n">
        <x:f>C8/G8</x:f>
        <x:v>0.5517241379310345</x:v>
      </x:c>
    </x:row>
    <x:row r="9">
      <x:c r="A9" s="42" t="str">
        <x:v>V1</x:v>
      </x:c>
      <x:c r="B9" s="43" t="str">
        <x:v>On-body / garment evidence</x:v>
      </x:c>
      <x:c r="C9" s="43" t="n">
        <x:f>COUNTIF('Figure6 Consensus'!$L$2:$L$30,2)</x:f>
        <x:v>12</x:v>
      </x:c>
      <x:c r="D9" s="43" t="n">
        <x:f>COUNTIF('Figure6 Consensus'!$L$2:$L$30,1)</x:f>
        <x:v>14</x:v>
      </x:c>
      <x:c r="E9" s="43" t="n">
        <x:f>COUNTIF('Figure6 Consensus'!$L$2:$L$30,0)</x:f>
        <x:v>3</x:v>
      </x:c>
      <x:c r="F9" s="43" t="n">
        <x:f>COUNTIF('Figure6 Consensus'!$L$2:$L$30,"NA")</x:f>
        <x:v>0</x:v>
      </x:c>
      <x:c r="G9" s="43" t="n">
        <x:f>29-F9</x:f>
        <x:v>29</x:v>
      </x:c>
      <x:c r="H9" s="60" t="n">
        <x:f>C9/G9</x:f>
        <x:v>0.41379310344827586</x:v>
      </x:c>
    </x:row>
    <x:row r="10">
      <x:c r="A10" s="46" t="str">
        <x:v>V2</x:v>
      </x:c>
      <x:c r="B10" s="47" t="str">
        <x:v>Comparator / structured validation</x:v>
      </x:c>
      <x:c r="C10" s="47" t="n">
        <x:f>COUNTIF('Figure6 Consensus'!$M$2:$M$30,2)</x:f>
        <x:v>1</x:v>
      </x:c>
      <x:c r="D10" s="47" t="n">
        <x:f>COUNTIF('Figure6 Consensus'!$M$2:$M$30,1)</x:f>
        <x:v>14</x:v>
      </x:c>
      <x:c r="E10" s="47" t="n">
        <x:f>COUNTIF('Figure6 Consensus'!$M$2:$M$30,0)</x:f>
        <x:v>14</x:v>
      </x:c>
      <x:c r="F10" s="47" t="n">
        <x:f>COUNTIF('Figure6 Consensus'!$M$2:$M$30,"NA")</x:f>
        <x:v>0</x:v>
      </x:c>
      <x:c r="G10" s="47" t="n">
        <x:f>29-F10</x:f>
        <x:v>29</x:v>
      </x:c>
      <x:c r="H10" s="61" t="n">
        <x:f>C10/G10</x:f>
        <x:v>0.034482758620689655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8" hidden="0" customWidth="1"/>
    <x:col min="4" max="4" width="18" hidden="0" customWidth="1"/>
    <x:col min="5" max="5" width="10" hidden="0" customWidth="1"/>
    <x:col min="6" max="6" width="10" hidden="0" customWidth="1"/>
    <x:col min="7" max="7" width="16" hidden="0" customWidth="1"/>
    <x:col min="8" max="8" width="90" hidden="0" customWidth="1"/>
  </x:cols>
  <x:sheetData>
    <x:row r="1">
      <x:c r="A1" s="39" t="str">
        <x:v>Figure</x:v>
      </x:c>
      <x:c r="B1" s="40" t="str">
        <x:v>PDF</x:v>
      </x:c>
      <x:c r="C1" s="40" t="str">
        <x:v>Study</x:v>
      </x:c>
      <x:c r="D1" s="40" t="str">
        <x:v>Item / axis</x:v>
      </x:c>
      <x:c r="E1" s="40" t="str">
        <x:v>Pooja</x:v>
      </x:c>
      <x:c r="F1" s="40" t="str">
        <x:v>Azza</x:v>
      </x:c>
      <x:c r="G1" s="40" t="str">
        <x:v>Final consensus</x:v>
      </x:c>
      <x:c r="H1" s="41" t="str">
        <x:v>Resolution basis</x:v>
      </x:c>
    </x:row>
    <x:row r="2" ht="34" customHeight="1">
      <x:c r="A2" s="49" t="str">
        <x:v>Figure 5</x:v>
      </x:c>
      <x:c r="B2" s="50" t="str">
        <x:v>5.pdf</x:v>
      </x:c>
      <x:c r="C2" s="50" t="str">
        <x:v>Ko et al.</x:v>
      </x:c>
      <x:c r="D2" s="50" t="str">
        <x:v>Readiness</x:v>
      </x:c>
      <x:c r="E2" s="50" t="n">
        <x:v>4</x:v>
      </x:c>
      <x:c r="F2" s="50" t="n">
        <x:v>3</x:v>
      </x:c>
      <x:c r="G2" s="50" t="n">
        <x:v>4</x:v>
      </x:c>
      <x:c r="H2" s="51" t="str">
        <x:v>Readiness 4 retained: the sensor was used in a functional worn firefighting glove, which meets the garment/accessory rule.</x:v>
      </x:c>
    </x:row>
    <x:row r="3" ht="34" customHeight="1">
      <x:c r="A3" s="49" t="str">
        <x:v>Figure 5</x:v>
      </x:c>
      <x:c r="B3" s="50" t="str">
        <x:v>8.pdf</x:v>
      </x:c>
      <x:c r="C3" s="50" t="str">
        <x:v>Park et al.</x:v>
      </x:c>
      <x:c r="D3" s="50" t="str">
        <x:v>Validation</x:v>
      </x:c>
      <x:c r="E3" s="50" t="n">
        <x:v>2</x:v>
      </x:c>
      <x:c r="F3" s="50" t="n">
        <x:v>3</x:v>
      </x:c>
      <x:c r="G3" s="50" t="n">
        <x:v>3</x:v>
      </x:c>
      <x:c r="H3" s="51" t="str">
        <x:v>Validation 3 retained: specified joint angles and squat classification constitute a defined quantitative task.</x:v>
      </x:c>
    </x:row>
    <x:row r="4" ht="34" customHeight="1">
      <x:c r="A4" s="49" t="str">
        <x:v>Figure 5</x:v>
      </x:c>
      <x:c r="B4" s="50" t="str">
        <x:v>10.pdf</x:v>
      </x:c>
      <x:c r="C4" s="50" t="str">
        <x:v>Zheng et al.</x:v>
      </x:c>
      <x:c r="D4" s="50" t="str">
        <x:v>Readiness</x:v>
      </x:c>
      <x:c r="E4" s="50" t="n">
        <x:v>3</x:v>
      </x:c>
      <x:c r="F4" s="50" t="n">
        <x:v>2</x:v>
      </x:c>
      <x:c r="G4" s="50" t="n">
        <x:v>3</x:v>
      </x:c>
      <x:c r="H4" s="51" t="str">
        <x:v>Readiness 3 retained: the functional textile sensor was worn directly on the body but not integrated into a garment.</x:v>
      </x:c>
    </x:row>
    <x:row r="5" ht="34" customHeight="1">
      <x:c r="A5" s="49" t="str">
        <x:v>Figure 5</x:v>
      </x:c>
      <x:c r="B5" s="50" t="str">
        <x:v>15.pdf</x:v>
      </x:c>
      <x:c r="C5" s="50" t="str">
        <x:v>Wu et al.</x:v>
      </x:c>
      <x:c r="D5" s="50" t="str">
        <x:v>Readiness</x:v>
      </x:c>
      <x:c r="E5" s="50" t="n">
        <x:v>4</x:v>
      </x:c>
      <x:c r="F5" s="50" t="n">
        <x:v>2</x:v>
      </x:c>
      <x:c r="G5" s="50" t="n">
        <x:v>4</x:v>
      </x:c>
      <x:c r="H5" s="51" t="str">
        <x:v>Readiness 4 retained: sensing yarns were woven into a functional worn glove.</x:v>
      </x:c>
    </x:row>
    <x:row r="6" ht="34" customHeight="1">
      <x:c r="A6" s="49" t="str">
        <x:v>Figure 5</x:v>
      </x:c>
      <x:c r="B6" s="50" t="str">
        <x:v>27.pdf</x:v>
      </x:c>
      <x:c r="C6" s="50" t="str">
        <x:v>Zhao K. et al.</x:v>
      </x:c>
      <x:c r="D6" s="50" t="str">
        <x:v>Readiness</x:v>
      </x:c>
      <x:c r="E6" s="50" t="n">
        <x:v>3</x:v>
      </x:c>
      <x:c r="F6" s="50" t="n">
        <x:v>2</x:v>
      </x:c>
      <x:c r="G6" s="50" t="n">
        <x:v>3</x:v>
      </x:c>
      <x:c r="H6" s="51" t="str">
        <x:v>Readiness 3 retained: the fabric patch was used on body; garment integration was proposed rather than demonstrated.</x:v>
      </x:c>
    </x:row>
    <x:row r="7" ht="34" customHeight="1">
      <x:c r="A7" s="49" t="str">
        <x:v>Figure 6</x:v>
      </x:c>
      <x:c r="B7" s="50" t="str">
        <x:v>18.pdf</x:v>
      </x:c>
      <x:c r="C7" s="50" t="str">
        <x:v>Isaia et al.</x:v>
      </x:c>
      <x:c r="D7" s="50" t="str">
        <x:v>E3</x:v>
      </x:c>
      <x:c r="E7" s="50" t="str">
        <x:v>2</x:v>
      </x:c>
      <x:c r="F7" s="50" t="n">
        <x:v>1</x:v>
      </x:c>
      <x:c r="G7" s="50" t="n">
        <x:v>2</x:v>
      </x:c>
      <x:c r="H7" s="51" t="str">
        <x:v>Resolved by consensus against the full text.</x:v>
      </x:c>
    </x:row>
    <x:row r="8" ht="34" customHeight="1">
      <x:c r="A8" s="49" t="str">
        <x:v>Figure 6</x:v>
      </x:c>
      <x:c r="B8" s="50" t="str">
        <x:v>20.pdf</x:v>
      </x:c>
      <x:c r="C8" s="50" t="str">
        <x:v>Zhou et al.</x:v>
      </x:c>
      <x:c r="D8" s="50" t="str">
        <x:v>E2</x:v>
      </x:c>
      <x:c r="E8" s="50" t="str">
        <x:v>2</x:v>
      </x:c>
      <x:c r="F8" s="50" t="n">
        <x:v>1</x:v>
      </x:c>
      <x:c r="G8" s="50" t="n">
        <x:v>2</x:v>
      </x:c>
      <x:c r="H8" s="51" t="str">
        <x:v>Resolved by consensus against the full text.</x:v>
      </x:c>
    </x:row>
    <x:row r="9" ht="34" customHeight="1">
      <x:c r="A9" s="49" t="str">
        <x:v>Figure 6</x:v>
      </x:c>
      <x:c r="B9" s="50" t="str">
        <x:v>20.pdf</x:v>
      </x:c>
      <x:c r="C9" s="50" t="str">
        <x:v>Zhou et al.</x:v>
      </x:c>
      <x:c r="D9" s="50" t="str">
        <x:v>E4</x:v>
      </x:c>
      <x:c r="E9" s="50" t="str">
        <x:v>2</x:v>
      </x:c>
      <x:c r="F9" s="50" t="n">
        <x:v>1</x:v>
      </x:c>
      <x:c r="G9" s="50" t="n">
        <x:v>2</x:v>
      </x:c>
      <x:c r="H9" s="51" t="str">
        <x:v>Resolved by consensus against the full text.</x:v>
      </x:c>
    </x:row>
    <x:row r="10" ht="34" customHeight="1">
      <x:c r="A10" s="49" t="str">
        <x:v>Figure 6</x:v>
      </x:c>
      <x:c r="B10" s="50" t="str">
        <x:v>20.pdf</x:v>
      </x:c>
      <x:c r="C10" s="50" t="str">
        <x:v>Zhou et al.</x:v>
      </x:c>
      <x:c r="D10" s="50" t="str">
        <x:v>R1</x:v>
      </x:c>
      <x:c r="E10" s="50" t="str">
        <x:v>2</x:v>
      </x:c>
      <x:c r="F10" s="50" t="n">
        <x:v>1</x:v>
      </x:c>
      <x:c r="G10" s="50" t="n">
        <x:v>2</x:v>
      </x:c>
      <x:c r="H10" s="51" t="str">
        <x:v>Resolved by consensus against the full text.</x:v>
      </x:c>
    </x:row>
    <x:row r="11" ht="34" customHeight="1">
      <x:c r="A11" s="49" t="str">
        <x:v>Figure 6</x:v>
      </x:c>
      <x:c r="B11" s="50" t="str">
        <x:v>26.pdf</x:v>
      </x:c>
      <x:c r="C11" s="50" t="str">
        <x:v>Tian et al.</x:v>
      </x:c>
      <x:c r="D11" s="50" t="str">
        <x:v>V1</x:v>
      </x:c>
      <x:c r="E11" s="50" t="str">
        <x:v>2</x:v>
      </x:c>
      <x:c r="F11" s="50" t="n">
        <x:v>1</x:v>
      </x:c>
      <x:c r="G11" s="50" t="n">
        <x:v>2</x:v>
      </x:c>
      <x:c r="H11" s="51" t="str">
        <x:v>Resolved by consensus against the full text.</x:v>
      </x:c>
    </x:row>
    <x:row r="12" ht="34" customHeight="1">
      <x:c r="A12" s="49" t="str">
        <x:v>Figure 6</x:v>
      </x:c>
      <x:c r="B12" s="50" t="str">
        <x:v>27.pdf</x:v>
      </x:c>
      <x:c r="C12" s="50" t="str">
        <x:v>Zhao K. et al.</x:v>
      </x:c>
      <x:c r="D12" s="50" t="str">
        <x:v>E2</x:v>
      </x:c>
      <x:c r="E12" s="50" t="str">
        <x:v>2</x:v>
      </x:c>
      <x:c r="F12" s="50" t="n">
        <x:v>1</x:v>
      </x:c>
      <x:c r="G12" s="50" t="n">
        <x:v>2</x:v>
      </x:c>
      <x:c r="H12" s="51" t="str">
        <x:v>Resolved by consensus against the full text.</x:v>
      </x:c>
    </x:row>
    <x:row r="13" ht="34" customHeight="1">
      <x:c r="A13" s="52" t="str">
        <x:v>Figure 6</x:v>
      </x:c>
      <x:c r="B13" s="53" t="str">
        <x:v>29.pdf</x:v>
      </x:c>
      <x:c r="C13" s="53" t="str">
        <x:v>Wang et al.</x:v>
      </x:c>
      <x:c r="D13" s="53" t="str">
        <x:v>E4</x:v>
      </x:c>
      <x:c r="E13" s="53" t="str">
        <x:v>2</x:v>
      </x:c>
      <x:c r="F13" s="53" t="n">
        <x:v>1</x:v>
      </x:c>
      <x:c r="G13" s="53" t="n">
        <x:v>2</x:v>
      </x:c>
      <x:c r="H13" s="54" t="str">
        <x:v>Resolved by consensus against the full text.</x:v>
      </x:c>
    </x:row>
  </x:sheetData>
  <x:pageMargins left="0.7" right="0.7" top="0.75" bottom="0.75" header="0.3" footer="0.3"/>
</x:worksheet>
</file>