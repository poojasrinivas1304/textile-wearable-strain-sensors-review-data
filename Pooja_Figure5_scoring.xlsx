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zzae\Downloads\Textile_wearable_strain_sensors_for_human_monitoring__a_systematic_critical_review_of_deployment_readiness__validation__and_standardization\Pooja_kappa\"/>
    </mc:Choice>
  </mc:AlternateContent>
  <xr:revisionPtr revIDLastSave="0" documentId="13_ncr:1_{04A26302-5F13-4EF5-9AA0-18CBBBE61B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oring rubric" sheetId="1" r:id="rId1"/>
    <sheet name="Independent ratings" sheetId="2" r:id="rId2"/>
    <sheet name="Figure 5 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C6" i="3"/>
  <c r="B6" i="3"/>
  <c r="G6" i="3" s="1"/>
  <c r="F5" i="3"/>
  <c r="E5" i="3"/>
  <c r="D5" i="3"/>
  <c r="C5" i="3"/>
  <c r="B5" i="3"/>
  <c r="G5" i="3" s="1"/>
  <c r="F4" i="3"/>
  <c r="E4" i="3"/>
  <c r="D4" i="3"/>
  <c r="C4" i="3"/>
  <c r="G4" i="3" s="1"/>
  <c r="B4" i="3"/>
  <c r="F3" i="3"/>
  <c r="E3" i="3"/>
  <c r="D3" i="3"/>
  <c r="G3" i="3" s="1"/>
  <c r="C3" i="3"/>
  <c r="B3" i="3"/>
  <c r="F2" i="3"/>
  <c r="F7" i="3" s="1"/>
  <c r="E2" i="3"/>
  <c r="E7" i="3" s="1"/>
  <c r="D2" i="3"/>
  <c r="D7" i="3" s="1"/>
  <c r="C2" i="3"/>
  <c r="C7" i="3" s="1"/>
  <c r="B2" i="3"/>
  <c r="B7" i="3" s="1"/>
  <c r="G2" i="3" l="1"/>
  <c r="G7" i="3" s="1"/>
</calcChain>
</file>

<file path=xl/sharedStrings.xml><?xml version="1.0" encoding="utf-8"?>
<sst xmlns="http://schemas.openxmlformats.org/spreadsheetml/2006/main" count="276" uniqueCount="211">
  <si>
    <t>Axis</t>
  </si>
  <si>
    <t>Level</t>
  </si>
  <si>
    <t>Operational label</t>
  </si>
  <si>
    <t>Rule used for scoring</t>
  </si>
  <si>
    <t>Validation depth</t>
  </si>
  <si>
    <t>Laboratory proof of concept</t>
  </si>
  <si>
    <t>Material, yarn, swatch or textile tested only on laboratory equipment; no original on-body human test.</t>
  </si>
  <si>
    <t>On-body feasibility demonstration</t>
  </si>
  <si>
    <t>Original on-body signal traces are shown, but there is no predefined quantitative task evaluation, participant protocol or external reference.</t>
  </si>
  <si>
    <t>Quantified task-level validation</t>
  </si>
  <si>
    <t>A defined movement/task, angle, speed, repetition set or recognition output is evaluated quantitatively, but without a structured multi-participant/session design or a valid external reference.</t>
  </si>
  <si>
    <t>Structured evaluation</t>
  </si>
  <si>
    <t>At least one strong design feature is present: a defined participant cohort and protocol, repeated sessions with quantitative analysis, or comparison against an independent reference method.</t>
  </si>
  <si>
    <t>Near-deployment validation</t>
  </si>
  <si>
    <t>Representative intended-use testing combines multiple users and/or sessions, an independent reference, uncertainty/error reporting, and realistic use conditions. Laboratory durability alone cannot earn this level.</t>
  </si>
  <si>
    <t>Deployment readiness</t>
  </si>
  <si>
    <t>Material or sensing element</t>
  </si>
  <si>
    <t>Sensor exists as a material, fibre/yarn or unsupported swatch; wearable integration is only proposed.</t>
  </si>
  <si>
    <t>Textile-integrated prototype</t>
  </si>
  <si>
    <t>Sensor is constructed in or on a textile substrate, but the study does not demonstrate a functional worn system.</t>
  </si>
  <si>
    <t>On-body prototype</t>
  </si>
  <si>
    <t>A functional sensor is fixed to the body or used as a body-worn band/patch, but it is not integrated into a complete garment or wearable accessory.</t>
  </si>
  <si>
    <t>Garment/accessory prototype</t>
  </si>
  <si>
    <t>A functional sensor is integrated into an actual garment or wearable accessory, such as a glove, sleeve, brace, tracksuit or trousers, and used on body.</t>
  </si>
  <si>
    <t>Advanced prototype</t>
  </si>
  <si>
    <t>A garment/accessory-level system is combined with repeated-use evidence and at least one textile-relevant robustness test such as washing, sweat, wet use or abrasion.</t>
  </si>
  <si>
    <t>Decision rule</t>
  </si>
  <si>
    <t>Score only evidence reported in the full text; do not infer a higher level from the title, abstract claim or proposed future use.</t>
  </si>
  <si>
    <t>Boundary rule</t>
  </si>
  <si>
    <t>A simple waveform from a worn sensor is level 2 validation. Level 3 requires a defined quantitative task, angle, speed, repetition set or recognition output.</t>
  </si>
  <si>
    <t>Laboratory cycle testing strengthens durability evidence but does not by itself increase validation depth.</t>
  </si>
  <si>
    <t>Scope rule</t>
  </si>
  <si>
    <t>Fan et al. 2024 remains provisional because its measured stimulus and applications are primarily pressure/self-powered switching.</t>
  </si>
  <si>
    <t>No.</t>
  </si>
  <si>
    <t>PDF</t>
  </si>
  <si>
    <t>Study</t>
  </si>
  <si>
    <t>Year</t>
  </si>
  <si>
    <t>Validation evidence</t>
  </si>
  <si>
    <t>PDF page(s)</t>
  </si>
  <si>
    <t>Readiness evidence</t>
  </si>
  <si>
    <t>Scope / uncertainty</t>
  </si>
  <si>
    <t>1.pdf</t>
  </si>
  <si>
    <t>Tangsirinaruenart &amp; Stylios</t>
  </si>
  <si>
    <t>All reported evaluation is bench electromechanical testing, including 100 tensile cycles; garment use is discussed as a future application.</t>
  </si>
  <si>
    <t>pp. 7, 16</t>
  </si>
  <si>
    <t>Conductive thread was stitched directly onto knitted fabric substrates, but no worn prototype was evaluated.</t>
  </si>
  <si>
    <t>pp. 1, 16</t>
  </si>
  <si>
    <t>None</t>
  </si>
  <si>
    <t>2.pdf</t>
  </si>
  <si>
    <t>Li et al.</t>
  </si>
  <si>
    <t>Ten participants (5 male, 5 female) completed four activities under a fixed protocol; gait recognition was evaluated quantitatively.</t>
  </si>
  <si>
    <t>pp. 3, 10-11</t>
  </si>
  <si>
    <t>Ten sensors were knitted directly into elastic sweatpants and evaluated while worn.</t>
  </si>
  <si>
    <t>pp. 1-3</t>
  </si>
  <si>
    <t>3.pdf</t>
  </si>
  <si>
    <t>Bi et al.</t>
  </si>
  <si>
    <t>The study shows signals from several body locations and activities, but no participant protocol, reference measurement or task-level accuracy analysis is reported.</t>
  </si>
  <si>
    <t>pp. 6-7</t>
  </si>
  <si>
    <t>The fabric sensor was used directly on finger, wrist, elbow, knee, ankle and muscles; it was not integrated into a complete garment.</t>
  </si>
  <si>
    <t>4.pdf</t>
  </si>
  <si>
    <t>Warncke et al.</t>
  </si>
  <si>
    <t>The ethics statement confirms that no humans were involved; sensors were evaluated using controlled laboratory elongation cycles.</t>
  </si>
  <si>
    <t>pp. 4, 12</t>
  </si>
  <si>
    <t>The knitted textile sensor was produced and tested as a laboratory specimen, not as a worn system.</t>
  </si>
  <si>
    <t>pp. 3-5</t>
  </si>
  <si>
    <t>5.pdf</t>
  </si>
  <si>
    <t>Ko et al.</t>
  </si>
  <si>
    <t>The glove test used controlled finger angles from 0 to 90 degrees and cyclic finger motion, but no participant cohort or independent reference was reported.</t>
  </si>
  <si>
    <t>p. 11</t>
  </si>
  <si>
    <t>The sensor was integrated into a functional firefighting glove with readout hardware.</t>
  </si>
  <si>
    <t>6.pdf</t>
  </si>
  <si>
    <t>Tang L. et al.</t>
  </si>
  <si>
    <t>On-body motion and physiological signals were tested; repeated-word recognition was quantified above 90%, but no participant cohort or independent comparator was reported.</t>
  </si>
  <si>
    <t>pp. 10-11</t>
  </si>
  <si>
    <t>The fibre sensor was attached to the wrist, abdomen and throat; no garment-integrated sensing system was demonstrated.</t>
  </si>
  <si>
    <t>7.pdf</t>
  </si>
  <si>
    <t>Yang et al.</t>
  </si>
  <si>
    <t>The study evaluated repeated finger bending, different bending angles and underwater movement, providing a defined task-level test without a structured cohort or external reference.</t>
  </si>
  <si>
    <t>p. 8</t>
  </si>
  <si>
    <t>The fabric sensor was fixed directly to body locations; no complete garment/accessory prototype was evaluated.</t>
  </si>
  <si>
    <t>8.pdf</t>
  </si>
  <si>
    <t>Park et al.</t>
  </si>
  <si>
    <t>The sensor produced on-body traces for joints, pulse, breathing and a squat demonstration, but no quantitative task accuracy, participant protocol or independent reference was provided.</t>
  </si>
  <si>
    <t>pp. 5-7</t>
  </si>
  <si>
    <t>Sensors were attached to the body with sports tape and linked to Bluetooth readout; they were not garment-integrated.</t>
  </si>
  <si>
    <t>p. 6</t>
  </si>
  <si>
    <t>9.pdf</t>
  </si>
  <si>
    <t>Zhang et al.</t>
  </si>
  <si>
    <t>Motion monitoring included controlled joint angles of 30, 60 and 90 degrees, but no structured participant/session protocol or independent comparator was reported.</t>
  </si>
  <si>
    <t>pp. 7-8</t>
  </si>
  <si>
    <t>The conductive silk textile was applied at several body joints; the sensing demonstration was not a complete garment.</t>
  </si>
  <si>
    <t>10.pdf</t>
  </si>
  <si>
    <t>Zheng et al.</t>
  </si>
  <si>
    <t>Finger, wrist, elbow and squat traces demonstrate feasibility, but the paper does not report a quantitative human protocol, cohort or external reference.</t>
  </si>
  <si>
    <t>pp. 9-10</t>
  </si>
  <si>
    <t>The fabric sensors were attached directly to the body at several joints, not integrated into a garment.</t>
  </si>
  <si>
    <t>p. 9</t>
  </si>
  <si>
    <t>11.pdf</t>
  </si>
  <si>
    <t>Fan et al.</t>
  </si>
  <si>
    <t>The running test compares the 3D piezoelectric fabric with a commercial PVDF sensor, but the reported measurement is pressure-responsive rather than tensile-strain calibration; the rating is therefore provisional.</t>
  </si>
  <si>
    <t>p. 7</t>
  </si>
  <si>
    <t>The 3D piezoelectric fabric and commercial sensor were pasted to volunteers' arms; no garment-level sensing prototype was tested.</t>
  </si>
  <si>
    <t>12.pdf</t>
  </si>
  <si>
    <t>Verma et al.</t>
  </si>
  <si>
    <t>A dataset from 30 participants at three finger angles was split into training/test sets; KNN achieved 89.82% accuracy, and additional activities were tested.</t>
  </si>
  <si>
    <t>pp. 5-6</t>
  </si>
  <si>
    <t>The sensor was mounted on the finger, wrist and knee but was not integrated into a complete garment or accessory.</t>
  </si>
  <si>
    <t>13.pdf</t>
  </si>
  <si>
    <t>Yousif et al.</t>
  </si>
  <si>
    <t>Multiple on-body motions and a strain-resistance model were evaluated, but no defined human cohort, repeated-session design or independent human-motion reference was reported.</t>
  </si>
  <si>
    <t>The yarn sensor was fixed to skin with medical tape; glove/textile integration was described as an available route rather than the tested human setup.</t>
  </si>
  <si>
    <t>14.pdf</t>
  </si>
  <si>
    <t>Liu et al.</t>
  </si>
  <si>
    <t>Finger bending and voice signals from volunteers were demonstrated, but there was no quantitative task protocol, cohort analysis or external reference.</t>
  </si>
  <si>
    <t>The nonwoven sensor was placed on the finger and at the voice-sensing position; it functioned on body but was not garment-integrated.</t>
  </si>
  <si>
    <t>15.pdf</t>
  </si>
  <si>
    <t>Wu et al.</t>
  </si>
  <si>
    <t>Pulse, facial, throat and finger signals were shown as feasibility demonstrations without a structured participant protocol or external reference.</t>
  </si>
  <si>
    <t>Five sensing yarns were woven into the finger sections of a functional glove and used to monitor finger motion.</t>
  </si>
  <si>
    <t>16.pdf</t>
  </si>
  <si>
    <t>Lolaki et al.</t>
  </si>
  <si>
    <t>A seated subject completed ten knee flexion-extension cycles over about 12 seconds, providing a defined task but not a structured cohort or reference comparison.</t>
  </si>
  <si>
    <t>p. 5</t>
  </si>
  <si>
    <t>The sensor was sewn onto an elastic sports knee brace and tested while worn.</t>
  </si>
  <si>
    <t>17.pdf</t>
  </si>
  <si>
    <t>Zhao M. et al.</t>
  </si>
  <si>
    <t>Elbow, wrist and knee signals were demonstrated after direct attachment, without a quantitative task protocol, participant cohort or external reference.</t>
  </si>
  <si>
    <t>pp. 1, 6</t>
  </si>
  <si>
    <t>The yarn device was attached directly to body joints; no garment/accessory integration was tested.</t>
  </si>
  <si>
    <t>18.pdf</t>
  </si>
  <si>
    <t>Isaia et al.</t>
  </si>
  <si>
    <t>A consented volunteer completed 50 flexion-extension cycles after defined wash intervals; repeatability, timing and resistance changes were analysed quantitatively.</t>
  </si>
  <si>
    <t>pp. 1, 9, 12-17</t>
  </si>
  <si>
    <t>A smart elbow sleeve was tested through repeated use after 1, 5, 15, 25, 50 and 75 washes.</t>
  </si>
  <si>
    <t>pp. 1, 12-18</t>
  </si>
  <si>
    <t>19.pdf</t>
  </si>
  <si>
    <t>Cho et al.</t>
  </si>
  <si>
    <t>Knee motion was recorded by a 60-fps camera and angle was independently tracked with Kinovea while sensor resistance was measured.</t>
  </si>
  <si>
    <t>The embroidered sensor was stitched onto athletic cloth and used as a worn knee-motion system.</t>
  </si>
  <si>
    <t>pp. 1, 9</t>
  </si>
  <si>
    <t>20.pdf</t>
  </si>
  <si>
    <t>Zhou et al.</t>
  </si>
  <si>
    <t>A participant used three wearable products; signal response was related quantitatively to bending angle, but no cohort, repeated-session design or external reference was reported.</t>
  </si>
  <si>
    <t>pp. 8-9</t>
  </si>
  <si>
    <t>Fingerstall, elbow support and kneecap prototypes were seamlessly knitted and supported by 10,000-cycle plus wet/wash/bend/rub robustness testing.</t>
  </si>
  <si>
    <t>pp. 1, 7-9</t>
  </si>
  <si>
    <t>21.pdf</t>
  </si>
  <si>
    <t>Chen et al.</t>
  </si>
  <si>
    <t>Joint motion was assessed at specified angles and included voice and mouse-click tasks, but no structured participant cohort or external reference was reported.</t>
  </si>
  <si>
    <t>The graphene woven-fabric sensor was attached to body locations; it was not integrated into a garment/accessory.</t>
  </si>
  <si>
    <t>22.pdf</t>
  </si>
  <si>
    <t>Tang et al.</t>
  </si>
  <si>
    <t>A volunteer demonstrated glove-based finger motion, respiration and joint signals, but the paper did not provide a structured participant protocol or independent reference.</t>
  </si>
  <si>
    <t>The fibre sensor was assembled into a commercial glove and a wearable respiration band.</t>
  </si>
  <si>
    <t>23.pdf</t>
  </si>
  <si>
    <t>Wu H. et al.</t>
  </si>
  <si>
    <t>The sensor was taped to several joints for motion and speech demonstrations, without a quantitative human protocol, cohort or external comparator.</t>
  </si>
  <si>
    <t>pp. 3, 7-8</t>
  </si>
  <si>
    <t>The fibre sensor was attached directly to the body with insulating tape; knitted textile fabrication was used for thermal-management demonstrations rather than a sensing garment.</t>
  </si>
  <si>
    <t>pp. 2-3, 7-8</t>
  </si>
  <si>
    <t>24.pdf</t>
  </si>
  <si>
    <t>Ai et al.</t>
  </si>
  <si>
    <t>Predefined glove sensing units distinguished gestures and drove a textile display, but no participant cohort, session analysis or external reference was reported.</t>
  </si>
  <si>
    <t>A functional electronic glove was combined with 100,000-cycle testing and washing, temperature, bending, pressing and twisting robustness evidence.</t>
  </si>
  <si>
    <t>pp. 2, 5-8</t>
  </si>
  <si>
    <t>25.pdf</t>
  </si>
  <si>
    <t>Reddy K. et al.</t>
  </si>
  <si>
    <t>Multiple joint, pulse and respiration signals, including underwater motion, were demonstrated; no defined cohort/task-accuracy or external comparison was reported.</t>
  </si>
  <si>
    <t>pp. 7-10</t>
  </si>
  <si>
    <t>The knitted elastic-band sensor was mounted directly on body locations, not integrated into a complete garment.</t>
  </si>
  <si>
    <t>26.pdf</t>
  </si>
  <si>
    <t>Tian et al.</t>
  </si>
  <si>
    <t>The smart sleeve-glove was tested at finger angles of 30, 60 and 90 degrees and at three movement speeds with repeated cycles, but without a cohort or external reference.</t>
  </si>
  <si>
    <t>pp. 14-16</t>
  </si>
  <si>
    <t>A functional smart sleeve-glove incorporating woven sensing fabric was fabricated and worn.</t>
  </si>
  <si>
    <t>27.pdf</t>
  </si>
  <si>
    <t>Zhao K. et al.</t>
  </si>
  <si>
    <t>The study presents signals from several body locations, but no defined quantitative human task, participant cohort or external reference.</t>
  </si>
  <si>
    <t>The knitted fabric sensor was attached directly to skin. Sewing it into garments was proposed, not demonstrated.</t>
  </si>
  <si>
    <t>pp. 1, 10-11</t>
  </si>
  <si>
    <t>28.pdf</t>
  </si>
  <si>
    <t>Jang et al.</t>
  </si>
  <si>
    <t>The worn tracksuit measured defined breathing rates and arm motion in both dry and wet conditions, but no cohort-level or external-reference analysis was reported.</t>
  </si>
  <si>
    <t>pp. 6-8</t>
  </si>
  <si>
    <t>Sensors, wireless electronics and readout were integrated into a tracksuit, with more than 10,000 cycles and functional testing under wet conditions.</t>
  </si>
  <si>
    <t>pp. 2-3, 6-8</t>
  </si>
  <si>
    <t>29.pdf</t>
  </si>
  <si>
    <t>Wang et al.</t>
  </si>
  <si>
    <t>The embroidered bandage produced repeatable signals at several joints, but no defined participant protocol, quantitative task accuracy or external reference was reported.</t>
  </si>
  <si>
    <t>The sensor was embroidered onto an elastic bandage and applied to joints; it was not a complete garment/accessory system.</t>
  </si>
  <si>
    <t>pp. 5, 10-11</t>
  </si>
  <si>
    <t>30.pdf</t>
  </si>
  <si>
    <t>The work is an electromechanical study of yarn samples; no original on-body evaluation is reported.</t>
  </si>
  <si>
    <t>pp. 1, 4-12</t>
  </si>
  <si>
    <t>The sensing element remained a yarn. Incorporation into textiles was described as a future capability, not demonstrated.</t>
  </si>
  <si>
    <t>pp. 1, 12</t>
  </si>
  <si>
    <t>Our Figure 5 distribution</t>
  </si>
  <si>
    <t>Readiness 1</t>
  </si>
  <si>
    <t>Readiness 2</t>
  </si>
  <si>
    <t>Readiness 3</t>
  </si>
  <si>
    <t>Readiness 4</t>
  </si>
  <si>
    <t>Readiness 5</t>
  </si>
  <si>
    <t>Row total</t>
  </si>
  <si>
    <t>Validation 1</t>
  </si>
  <si>
    <t>Validation 2</t>
  </si>
  <si>
    <t>Validation 3</t>
  </si>
  <si>
    <t>Validation 4</t>
  </si>
  <si>
    <t>Validation 5</t>
  </si>
  <si>
    <t>Column total</t>
  </si>
  <si>
    <t>Validation</t>
  </si>
  <si>
    <t>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</si>
</sst>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selection activeCell="G13" sqref="G13"/>
    </sheetView>
  </sheetViews>
  <sheetFormatPr defaultColWidth="8.83203125" defaultRowHeight="14"/>
  <cols>
    <col min="1" max="1" width="18" style="7" customWidth="1"/>
    <col min="2" max="2" width="8" style="7" customWidth="1"/>
    <col min="3" max="3" width="24" style="7" customWidth="1"/>
    <col min="4" max="4" width="72" style="7" customWidth="1"/>
    <col min="5" max="16384" width="8.83203125" style="7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 ht="25.5">
      <c r="A2" s="8" t="s">
        <v>4</v>
      </c>
      <c r="B2" s="8">
        <v>1</v>
      </c>
      <c r="C2" s="8" t="s">
        <v>5</v>
      </c>
      <c r="D2" s="8" t="s">
        <v>6</v>
      </c>
    </row>
    <row r="3" spans="1:4" ht="25.5">
      <c r="A3" s="8" t="s">
        <v>4</v>
      </c>
      <c r="B3" s="8">
        <v>2</v>
      </c>
      <c r="C3" s="8" t="s">
        <v>7</v>
      </c>
      <c r="D3" s="8" t="s">
        <v>8</v>
      </c>
    </row>
    <row r="4" spans="1:4" ht="38">
      <c r="A4" s="8" t="s">
        <v>4</v>
      </c>
      <c r="B4" s="8">
        <v>3</v>
      </c>
      <c r="C4" s="8" t="s">
        <v>9</v>
      </c>
      <c r="D4" s="8" t="s">
        <v>10</v>
      </c>
    </row>
    <row r="5" spans="1:4" ht="38">
      <c r="A5" s="8" t="s">
        <v>4</v>
      </c>
      <c r="B5" s="8">
        <v>4</v>
      </c>
      <c r="C5" s="8" t="s">
        <v>11</v>
      </c>
      <c r="D5" s="8" t="s">
        <v>12</v>
      </c>
    </row>
    <row r="6" spans="1:4" ht="38">
      <c r="A6" s="8" t="s">
        <v>4</v>
      </c>
      <c r="B6" s="8">
        <v>5</v>
      </c>
      <c r="C6" s="8" t="s">
        <v>13</v>
      </c>
      <c r="D6" s="8" t="s">
        <v>14</v>
      </c>
    </row>
    <row r="7" spans="1:4" ht="25.5">
      <c r="A7" s="8" t="s">
        <v>15</v>
      </c>
      <c r="B7" s="8">
        <v>1</v>
      </c>
      <c r="C7" s="8" t="s">
        <v>16</v>
      </c>
      <c r="D7" s="8" t="s">
        <v>17</v>
      </c>
    </row>
    <row r="8" spans="1:4" ht="25.5">
      <c r="A8" s="8" t="s">
        <v>15</v>
      </c>
      <c r="B8" s="8">
        <v>2</v>
      </c>
      <c r="C8" s="8" t="s">
        <v>18</v>
      </c>
      <c r="D8" s="8" t="s">
        <v>19</v>
      </c>
    </row>
    <row r="9" spans="1:4" ht="25.5">
      <c r="A9" s="8" t="s">
        <v>15</v>
      </c>
      <c r="B9" s="8">
        <v>3</v>
      </c>
      <c r="C9" s="8" t="s">
        <v>20</v>
      </c>
      <c r="D9" s="8" t="s">
        <v>21</v>
      </c>
    </row>
    <row r="10" spans="1:4" ht="25.5">
      <c r="A10" s="8" t="s">
        <v>15</v>
      </c>
      <c r="B10" s="8">
        <v>4</v>
      </c>
      <c r="C10" s="8" t="s">
        <v>22</v>
      </c>
      <c r="D10" s="8" t="s">
        <v>23</v>
      </c>
    </row>
    <row r="11" spans="1:4" ht="25.5">
      <c r="A11" s="8" t="s">
        <v>15</v>
      </c>
      <c r="B11" s="8">
        <v>5</v>
      </c>
      <c r="C11" s="8" t="s">
        <v>24</v>
      </c>
      <c r="D11" s="8" t="s">
        <v>25</v>
      </c>
    </row>
    <row r="12" spans="1:4">
      <c r="A12" s="8"/>
      <c r="B12" s="8"/>
      <c r="C12" s="8"/>
      <c r="D12" s="8"/>
    </row>
    <row r="13" spans="1:4" ht="25.5">
      <c r="A13" s="8" t="s">
        <v>26</v>
      </c>
      <c r="B13" s="8"/>
      <c r="C13" s="8"/>
      <c r="D13" s="8" t="s">
        <v>27</v>
      </c>
    </row>
    <row r="14" spans="1:4" ht="25.5">
      <c r="A14" s="8" t="s">
        <v>28</v>
      </c>
      <c r="B14" s="8"/>
      <c r="C14" s="8"/>
      <c r="D14" s="8" t="s">
        <v>29</v>
      </c>
    </row>
    <row r="15" spans="1:4" ht="25.5">
      <c r="A15" s="8" t="s">
        <v>28</v>
      </c>
      <c r="B15" s="8"/>
      <c r="C15" s="8"/>
      <c r="D15" s="8" t="s">
        <v>30</v>
      </c>
    </row>
    <row r="16" spans="1:4" ht="25.5">
      <c r="A16" s="8" t="s">
        <v>31</v>
      </c>
      <c r="B16" s="8"/>
      <c r="C16" s="8"/>
      <c r="D16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showGridLines="0" topLeftCell="C2" workbookViewId="0">
      <selection activeCell="F8" sqref="F8"/>
    </sheetView>
  </sheetViews>
  <sheetFormatPr defaultColWidth="8.83203125" defaultRowHeight="14"/>
  <cols>
    <col min="1" max="1" width="6" style="5" customWidth="1"/>
    <col min="2" max="2" width="10" style="5" customWidth="1"/>
    <col min="3" max="3" width="28" style="5" customWidth="1"/>
    <col min="4" max="4" width="8" style="5" customWidth="1"/>
    <col min="5" max="5" width="13" style="5" customWidth="1"/>
    <col min="6" max="6" width="70" style="5" customWidth="1"/>
    <col min="7" max="8" width="13" style="5" customWidth="1"/>
    <col min="9" max="9" width="64" style="5" customWidth="1"/>
    <col min="10" max="10" width="13" style="5" customWidth="1"/>
    <col min="11" max="11" width="44" style="5" customWidth="1"/>
    <col min="12" max="16384" width="8.83203125" style="5"/>
  </cols>
  <sheetData>
    <row r="1" spans="1:11">
      <c r="A1" s="3" t="s">
        <v>33</v>
      </c>
      <c r="B1" s="3" t="s">
        <v>34</v>
      </c>
      <c r="C1" s="3" t="s">
        <v>35</v>
      </c>
      <c r="D1" s="3" t="s">
        <v>36</v>
      </c>
      <c r="E1" s="3" t="s">
        <v>209</v>
      </c>
      <c r="F1" s="3" t="s">
        <v>37</v>
      </c>
      <c r="G1" s="3" t="s">
        <v>38</v>
      </c>
      <c r="H1" s="3" t="s">
        <v>210</v>
      </c>
      <c r="I1" s="3" t="s">
        <v>39</v>
      </c>
      <c r="J1" s="3" t="s">
        <v>38</v>
      </c>
      <c r="K1" s="3" t="s">
        <v>40</v>
      </c>
    </row>
    <row r="2" spans="1:11" ht="42" customHeight="1">
      <c r="A2" s="4">
        <v>1</v>
      </c>
      <c r="B2" s="4" t="s">
        <v>41</v>
      </c>
      <c r="C2" s="4" t="s">
        <v>42</v>
      </c>
      <c r="D2" s="4">
        <v>2019</v>
      </c>
      <c r="E2" s="4">
        <v>1</v>
      </c>
      <c r="F2" s="4" t="s">
        <v>43</v>
      </c>
      <c r="G2" s="4" t="s">
        <v>44</v>
      </c>
      <c r="H2" s="4">
        <v>2</v>
      </c>
      <c r="I2" s="4" t="s">
        <v>45</v>
      </c>
      <c r="J2" s="4" t="s">
        <v>46</v>
      </c>
      <c r="K2" s="4" t="s">
        <v>47</v>
      </c>
    </row>
    <row r="3" spans="1:11" ht="42" customHeight="1">
      <c r="A3" s="4">
        <v>2</v>
      </c>
      <c r="B3" s="4" t="s">
        <v>48</v>
      </c>
      <c r="C3" s="4" t="s">
        <v>49</v>
      </c>
      <c r="D3" s="4">
        <v>2020</v>
      </c>
      <c r="E3" s="4">
        <v>4</v>
      </c>
      <c r="F3" s="4" t="s">
        <v>50</v>
      </c>
      <c r="G3" s="4" t="s">
        <v>51</v>
      </c>
      <c r="H3" s="4">
        <v>4</v>
      </c>
      <c r="I3" s="4" t="s">
        <v>52</v>
      </c>
      <c r="J3" s="4" t="s">
        <v>53</v>
      </c>
      <c r="K3" s="4" t="s">
        <v>47</v>
      </c>
    </row>
    <row r="4" spans="1:11" ht="42" customHeight="1">
      <c r="A4" s="4">
        <v>3</v>
      </c>
      <c r="B4" s="4" t="s">
        <v>54</v>
      </c>
      <c r="C4" s="4" t="s">
        <v>55</v>
      </c>
      <c r="D4" s="4">
        <v>2021</v>
      </c>
      <c r="E4" s="4">
        <v>2</v>
      </c>
      <c r="F4" s="4" t="s">
        <v>56</v>
      </c>
      <c r="G4" s="4" t="s">
        <v>57</v>
      </c>
      <c r="H4" s="4">
        <v>3</v>
      </c>
      <c r="I4" s="4" t="s">
        <v>58</v>
      </c>
      <c r="J4" s="4" t="s">
        <v>57</v>
      </c>
      <c r="K4" s="4" t="s">
        <v>47</v>
      </c>
    </row>
    <row r="5" spans="1:11" ht="42" customHeight="1">
      <c r="A5" s="4">
        <v>4</v>
      </c>
      <c r="B5" s="4" t="s">
        <v>59</v>
      </c>
      <c r="C5" s="4" t="s">
        <v>60</v>
      </c>
      <c r="D5" s="4">
        <v>2023</v>
      </c>
      <c r="E5" s="4">
        <v>1</v>
      </c>
      <c r="F5" s="4" t="s">
        <v>61</v>
      </c>
      <c r="G5" s="4" t="s">
        <v>62</v>
      </c>
      <c r="H5" s="4">
        <v>2</v>
      </c>
      <c r="I5" s="4" t="s">
        <v>63</v>
      </c>
      <c r="J5" s="4" t="s">
        <v>64</v>
      </c>
      <c r="K5" s="4" t="s">
        <v>47</v>
      </c>
    </row>
    <row r="6" spans="1:11" ht="42" customHeight="1">
      <c r="A6" s="4">
        <v>5</v>
      </c>
      <c r="B6" s="4" t="s">
        <v>65</v>
      </c>
      <c r="C6" s="4" t="s">
        <v>66</v>
      </c>
      <c r="D6" s="4">
        <v>2021</v>
      </c>
      <c r="E6" s="4">
        <v>3</v>
      </c>
      <c r="F6" s="4" t="s">
        <v>67</v>
      </c>
      <c r="G6" s="4" t="s">
        <v>68</v>
      </c>
      <c r="H6" s="4">
        <v>4</v>
      </c>
      <c r="I6" s="4" t="s">
        <v>69</v>
      </c>
      <c r="J6" s="4" t="s">
        <v>68</v>
      </c>
      <c r="K6" s="4" t="s">
        <v>47</v>
      </c>
    </row>
    <row r="7" spans="1:11" ht="42" customHeight="1">
      <c r="A7" s="4">
        <v>6</v>
      </c>
      <c r="B7" s="4" t="s">
        <v>70</v>
      </c>
      <c r="C7" s="4" t="s">
        <v>71</v>
      </c>
      <c r="D7" s="4">
        <v>2025</v>
      </c>
      <c r="E7" s="4">
        <v>3</v>
      </c>
      <c r="F7" s="4" t="s">
        <v>72</v>
      </c>
      <c r="G7" s="4" t="s">
        <v>73</v>
      </c>
      <c r="H7" s="4">
        <v>3</v>
      </c>
      <c r="I7" s="4" t="s">
        <v>74</v>
      </c>
      <c r="J7" s="4" t="s">
        <v>73</v>
      </c>
      <c r="K7" s="4" t="s">
        <v>47</v>
      </c>
    </row>
    <row r="8" spans="1:11" ht="42" customHeight="1">
      <c r="A8" s="4">
        <v>7</v>
      </c>
      <c r="B8" s="4" t="s">
        <v>75</v>
      </c>
      <c r="C8" s="4" t="s">
        <v>76</v>
      </c>
      <c r="D8" s="4">
        <v>2023</v>
      </c>
      <c r="E8" s="4">
        <v>3</v>
      </c>
      <c r="F8" s="4" t="s">
        <v>77</v>
      </c>
      <c r="G8" s="4" t="s">
        <v>78</v>
      </c>
      <c r="H8" s="4">
        <v>3</v>
      </c>
      <c r="I8" s="4" t="s">
        <v>79</v>
      </c>
      <c r="J8" s="4" t="s">
        <v>78</v>
      </c>
      <c r="K8" s="4" t="s">
        <v>47</v>
      </c>
    </row>
    <row r="9" spans="1:11" ht="42" customHeight="1">
      <c r="A9" s="4">
        <v>8</v>
      </c>
      <c r="B9" s="4" t="s">
        <v>80</v>
      </c>
      <c r="C9" s="4" t="s">
        <v>81</v>
      </c>
      <c r="D9" s="4">
        <v>2021</v>
      </c>
      <c r="E9" s="4">
        <v>2</v>
      </c>
      <c r="F9" s="4" t="s">
        <v>82</v>
      </c>
      <c r="G9" s="4" t="s">
        <v>83</v>
      </c>
      <c r="H9" s="4">
        <v>3</v>
      </c>
      <c r="I9" s="4" t="s">
        <v>84</v>
      </c>
      <c r="J9" s="4" t="s">
        <v>85</v>
      </c>
      <c r="K9" s="4" t="s">
        <v>47</v>
      </c>
    </row>
    <row r="10" spans="1:11" ht="42" customHeight="1">
      <c r="A10" s="4">
        <v>9</v>
      </c>
      <c r="B10" s="4" t="s">
        <v>86</v>
      </c>
      <c r="C10" s="4" t="s">
        <v>87</v>
      </c>
      <c r="D10" s="4">
        <v>2026</v>
      </c>
      <c r="E10" s="4">
        <v>3</v>
      </c>
      <c r="F10" s="4" t="s">
        <v>88</v>
      </c>
      <c r="G10" s="4" t="s">
        <v>89</v>
      </c>
      <c r="H10" s="4">
        <v>3</v>
      </c>
      <c r="I10" s="4" t="s">
        <v>90</v>
      </c>
      <c r="J10" s="4" t="s">
        <v>78</v>
      </c>
      <c r="K10" s="4" t="s">
        <v>47</v>
      </c>
    </row>
    <row r="11" spans="1:11" ht="42" customHeight="1">
      <c r="A11" s="4">
        <v>10</v>
      </c>
      <c r="B11" s="4" t="s">
        <v>91</v>
      </c>
      <c r="C11" s="4" t="s">
        <v>92</v>
      </c>
      <c r="D11" s="4">
        <v>2020</v>
      </c>
      <c r="E11" s="4">
        <v>2</v>
      </c>
      <c r="F11" s="4" t="s">
        <v>93</v>
      </c>
      <c r="G11" s="4" t="s">
        <v>94</v>
      </c>
      <c r="H11" s="4">
        <v>3</v>
      </c>
      <c r="I11" s="4" t="s">
        <v>95</v>
      </c>
      <c r="J11" s="4" t="s">
        <v>96</v>
      </c>
      <c r="K11" s="4" t="s">
        <v>47</v>
      </c>
    </row>
    <row r="12" spans="1:11" ht="42" customHeight="1">
      <c r="A12" s="4">
        <v>11</v>
      </c>
      <c r="B12" s="4" t="s">
        <v>97</v>
      </c>
      <c r="C12" s="4" t="s">
        <v>98</v>
      </c>
      <c r="D12" s="4">
        <v>2024</v>
      </c>
      <c r="E12" s="4">
        <v>3</v>
      </c>
      <c r="F12" s="4" t="s">
        <v>99</v>
      </c>
      <c r="G12" s="4" t="s">
        <v>100</v>
      </c>
      <c r="H12" s="4">
        <v>3</v>
      </c>
      <c r="I12" s="4" t="s">
        <v>101</v>
      </c>
      <c r="J12" s="4" t="s">
        <v>100</v>
      </c>
      <c r="K12" s="4" t="s">
        <v>47</v>
      </c>
    </row>
    <row r="13" spans="1:11" ht="42" customHeight="1">
      <c r="A13" s="4">
        <v>12</v>
      </c>
      <c r="B13" s="4" t="s">
        <v>102</v>
      </c>
      <c r="C13" s="4" t="s">
        <v>103</v>
      </c>
      <c r="D13" s="4">
        <v>2023</v>
      </c>
      <c r="E13" s="4">
        <v>4</v>
      </c>
      <c r="F13" s="4" t="s">
        <v>104</v>
      </c>
      <c r="G13" s="4" t="s">
        <v>105</v>
      </c>
      <c r="H13" s="4">
        <v>3</v>
      </c>
      <c r="I13" s="4" t="s">
        <v>106</v>
      </c>
      <c r="J13" s="4" t="s">
        <v>105</v>
      </c>
      <c r="K13" s="4" t="s">
        <v>47</v>
      </c>
    </row>
    <row r="14" spans="1:11" ht="42" customHeight="1">
      <c r="A14" s="4">
        <v>13</v>
      </c>
      <c r="B14" s="4" t="s">
        <v>107</v>
      </c>
      <c r="C14" s="4" t="s">
        <v>108</v>
      </c>
      <c r="D14" s="4">
        <v>2026</v>
      </c>
      <c r="E14" s="4">
        <v>3</v>
      </c>
      <c r="F14" s="4" t="s">
        <v>109</v>
      </c>
      <c r="G14" s="4" t="s">
        <v>83</v>
      </c>
      <c r="H14" s="4">
        <v>3</v>
      </c>
      <c r="I14" s="4" t="s">
        <v>110</v>
      </c>
      <c r="J14" s="4" t="s">
        <v>57</v>
      </c>
      <c r="K14" s="4" t="s">
        <v>47</v>
      </c>
    </row>
    <row r="15" spans="1:11" ht="42" customHeight="1">
      <c r="A15" s="4">
        <v>14</v>
      </c>
      <c r="B15" s="4" t="s">
        <v>111</v>
      </c>
      <c r="C15" s="4" t="s">
        <v>112</v>
      </c>
      <c r="D15" s="4">
        <v>2022</v>
      </c>
      <c r="E15" s="4">
        <v>2</v>
      </c>
      <c r="F15" s="4" t="s">
        <v>113</v>
      </c>
      <c r="G15" s="4" t="s">
        <v>73</v>
      </c>
      <c r="H15" s="4">
        <v>3</v>
      </c>
      <c r="I15" s="4" t="s">
        <v>114</v>
      </c>
      <c r="J15" s="4" t="s">
        <v>73</v>
      </c>
      <c r="K15" s="4" t="s">
        <v>47</v>
      </c>
    </row>
    <row r="16" spans="1:11" ht="42" customHeight="1">
      <c r="A16" s="4">
        <v>15</v>
      </c>
      <c r="B16" s="4" t="s">
        <v>115</v>
      </c>
      <c r="C16" s="4" t="s">
        <v>116</v>
      </c>
      <c r="D16" s="4">
        <v>2016</v>
      </c>
      <c r="E16" s="4">
        <v>2</v>
      </c>
      <c r="F16" s="4" t="s">
        <v>117</v>
      </c>
      <c r="G16" s="4" t="s">
        <v>83</v>
      </c>
      <c r="H16" s="4">
        <v>4</v>
      </c>
      <c r="I16" s="4" t="s">
        <v>118</v>
      </c>
      <c r="J16" s="4" t="s">
        <v>100</v>
      </c>
      <c r="K16" s="4" t="s">
        <v>47</v>
      </c>
    </row>
    <row r="17" spans="1:11" ht="42" customHeight="1">
      <c r="A17" s="4">
        <v>16</v>
      </c>
      <c r="B17" s="4" t="s">
        <v>119</v>
      </c>
      <c r="C17" s="4" t="s">
        <v>120</v>
      </c>
      <c r="D17" s="4">
        <v>2025</v>
      </c>
      <c r="E17" s="4">
        <v>3</v>
      </c>
      <c r="F17" s="4" t="s">
        <v>121</v>
      </c>
      <c r="G17" s="4" t="s">
        <v>122</v>
      </c>
      <c r="H17" s="4">
        <v>4</v>
      </c>
      <c r="I17" s="4" t="s">
        <v>123</v>
      </c>
      <c r="J17" s="4" t="s">
        <v>122</v>
      </c>
      <c r="K17" s="4" t="s">
        <v>47</v>
      </c>
    </row>
    <row r="18" spans="1:11" ht="42" customHeight="1">
      <c r="A18" s="4">
        <v>17</v>
      </c>
      <c r="B18" s="4" t="s">
        <v>124</v>
      </c>
      <c r="C18" s="4" t="s">
        <v>125</v>
      </c>
      <c r="D18" s="4">
        <v>2019</v>
      </c>
      <c r="E18" s="4">
        <v>2</v>
      </c>
      <c r="F18" s="4" t="s">
        <v>126</v>
      </c>
      <c r="G18" s="4" t="s">
        <v>127</v>
      </c>
      <c r="H18" s="4">
        <v>3</v>
      </c>
      <c r="I18" s="4" t="s">
        <v>128</v>
      </c>
      <c r="J18" s="4" t="s">
        <v>127</v>
      </c>
      <c r="K18" s="4" t="s">
        <v>47</v>
      </c>
    </row>
    <row r="19" spans="1:11" ht="42" customHeight="1">
      <c r="A19" s="4">
        <v>18</v>
      </c>
      <c r="B19" s="4" t="s">
        <v>129</v>
      </c>
      <c r="C19" s="4" t="s">
        <v>130</v>
      </c>
      <c r="D19" s="4">
        <v>2022</v>
      </c>
      <c r="E19" s="4">
        <v>4</v>
      </c>
      <c r="F19" s="4" t="s">
        <v>131</v>
      </c>
      <c r="G19" s="4" t="s">
        <v>132</v>
      </c>
      <c r="H19" s="4">
        <v>5</v>
      </c>
      <c r="I19" s="4" t="s">
        <v>133</v>
      </c>
      <c r="J19" s="4" t="s">
        <v>134</v>
      </c>
      <c r="K19" s="4" t="s">
        <v>47</v>
      </c>
    </row>
    <row r="20" spans="1:11" ht="42" customHeight="1">
      <c r="A20" s="4">
        <v>19</v>
      </c>
      <c r="B20" s="4" t="s">
        <v>135</v>
      </c>
      <c r="C20" s="4" t="s">
        <v>136</v>
      </c>
      <c r="D20" s="4">
        <v>2022</v>
      </c>
      <c r="E20" s="4">
        <v>4</v>
      </c>
      <c r="F20" s="4" t="s">
        <v>137</v>
      </c>
      <c r="G20" s="4" t="s">
        <v>96</v>
      </c>
      <c r="H20" s="4">
        <v>4</v>
      </c>
      <c r="I20" s="4" t="s">
        <v>138</v>
      </c>
      <c r="J20" s="4" t="s">
        <v>139</v>
      </c>
      <c r="K20" s="4" t="s">
        <v>47</v>
      </c>
    </row>
    <row r="21" spans="1:11" ht="42" customHeight="1">
      <c r="A21" s="4">
        <v>20</v>
      </c>
      <c r="B21" s="4" t="s">
        <v>140</v>
      </c>
      <c r="C21" s="4" t="s">
        <v>141</v>
      </c>
      <c r="D21" s="4">
        <v>2022</v>
      </c>
      <c r="E21" s="4">
        <v>3</v>
      </c>
      <c r="F21" s="4" t="s">
        <v>142</v>
      </c>
      <c r="G21" s="4" t="s">
        <v>143</v>
      </c>
      <c r="H21" s="4">
        <v>5</v>
      </c>
      <c r="I21" s="4" t="s">
        <v>144</v>
      </c>
      <c r="J21" s="4" t="s">
        <v>145</v>
      </c>
      <c r="K21" s="4" t="s">
        <v>47</v>
      </c>
    </row>
    <row r="22" spans="1:11" ht="42" customHeight="1">
      <c r="A22" s="4">
        <v>21</v>
      </c>
      <c r="B22" s="4" t="s">
        <v>146</v>
      </c>
      <c r="C22" s="4" t="s">
        <v>147</v>
      </c>
      <c r="D22" s="4">
        <v>2025</v>
      </c>
      <c r="E22" s="4">
        <v>3</v>
      </c>
      <c r="F22" s="4" t="s">
        <v>148</v>
      </c>
      <c r="G22" s="4" t="s">
        <v>89</v>
      </c>
      <c r="H22" s="4">
        <v>3</v>
      </c>
      <c r="I22" s="4" t="s">
        <v>149</v>
      </c>
      <c r="J22" s="4" t="s">
        <v>89</v>
      </c>
      <c r="K22" s="4" t="s">
        <v>47</v>
      </c>
    </row>
    <row r="23" spans="1:11" ht="42" customHeight="1">
      <c r="A23" s="4">
        <v>22</v>
      </c>
      <c r="B23" s="4" t="s">
        <v>150</v>
      </c>
      <c r="C23" s="4" t="s">
        <v>151</v>
      </c>
      <c r="D23" s="4">
        <v>2018</v>
      </c>
      <c r="E23" s="4">
        <v>2</v>
      </c>
      <c r="F23" s="4" t="s">
        <v>152</v>
      </c>
      <c r="G23" s="4" t="s">
        <v>143</v>
      </c>
      <c r="H23" s="4">
        <v>4</v>
      </c>
      <c r="I23" s="4" t="s">
        <v>153</v>
      </c>
      <c r="J23" s="4" t="s">
        <v>143</v>
      </c>
      <c r="K23" s="4" t="s">
        <v>47</v>
      </c>
    </row>
    <row r="24" spans="1:11" ht="42" customHeight="1">
      <c r="A24" s="4">
        <v>23</v>
      </c>
      <c r="B24" s="4" t="s">
        <v>154</v>
      </c>
      <c r="C24" s="4" t="s">
        <v>155</v>
      </c>
      <c r="D24" s="4">
        <v>2024</v>
      </c>
      <c r="E24" s="4">
        <v>2</v>
      </c>
      <c r="F24" s="4" t="s">
        <v>156</v>
      </c>
      <c r="G24" s="4" t="s">
        <v>157</v>
      </c>
      <c r="H24" s="4">
        <v>3</v>
      </c>
      <c r="I24" s="4" t="s">
        <v>158</v>
      </c>
      <c r="J24" s="4" t="s">
        <v>159</v>
      </c>
      <c r="K24" s="4" t="s">
        <v>47</v>
      </c>
    </row>
    <row r="25" spans="1:11" ht="42" customHeight="1">
      <c r="A25" s="4">
        <v>24</v>
      </c>
      <c r="B25" s="4" t="s">
        <v>160</v>
      </c>
      <c r="C25" s="4" t="s">
        <v>161</v>
      </c>
      <c r="D25" s="4">
        <v>2024</v>
      </c>
      <c r="E25" s="4">
        <v>3</v>
      </c>
      <c r="F25" s="4" t="s">
        <v>162</v>
      </c>
      <c r="G25" s="4" t="s">
        <v>78</v>
      </c>
      <c r="H25" s="4">
        <v>5</v>
      </c>
      <c r="I25" s="4" t="s">
        <v>163</v>
      </c>
      <c r="J25" s="4" t="s">
        <v>164</v>
      </c>
      <c r="K25" s="4" t="s">
        <v>47</v>
      </c>
    </row>
    <row r="26" spans="1:11" ht="42" customHeight="1">
      <c r="A26" s="4">
        <v>25</v>
      </c>
      <c r="B26" s="4" t="s">
        <v>165</v>
      </c>
      <c r="C26" s="4" t="s">
        <v>166</v>
      </c>
      <c r="D26" s="4">
        <v>2019</v>
      </c>
      <c r="E26" s="4">
        <v>2</v>
      </c>
      <c r="F26" s="4" t="s">
        <v>167</v>
      </c>
      <c r="G26" s="4" t="s">
        <v>168</v>
      </c>
      <c r="H26" s="4">
        <v>3</v>
      </c>
      <c r="I26" s="4" t="s">
        <v>169</v>
      </c>
      <c r="J26" s="4" t="s">
        <v>89</v>
      </c>
      <c r="K26" s="4" t="s">
        <v>47</v>
      </c>
    </row>
    <row r="27" spans="1:11" ht="42" customHeight="1">
      <c r="A27" s="4">
        <v>26</v>
      </c>
      <c r="B27" s="4" t="s">
        <v>170</v>
      </c>
      <c r="C27" s="4" t="s">
        <v>171</v>
      </c>
      <c r="D27" s="4">
        <v>2020</v>
      </c>
      <c r="E27" s="4">
        <v>3</v>
      </c>
      <c r="F27" s="4" t="s">
        <v>172</v>
      </c>
      <c r="G27" s="4" t="s">
        <v>173</v>
      </c>
      <c r="H27" s="4">
        <v>4</v>
      </c>
      <c r="I27" s="4" t="s">
        <v>174</v>
      </c>
      <c r="J27" s="4" t="s">
        <v>173</v>
      </c>
      <c r="K27" s="4" t="s">
        <v>47</v>
      </c>
    </row>
    <row r="28" spans="1:11" ht="42" customHeight="1">
      <c r="A28" s="4">
        <v>27</v>
      </c>
      <c r="B28" s="4" t="s">
        <v>175</v>
      </c>
      <c r="C28" s="4" t="s">
        <v>176</v>
      </c>
      <c r="D28" s="4">
        <v>2020</v>
      </c>
      <c r="E28" s="4">
        <v>2</v>
      </c>
      <c r="F28" s="4" t="s">
        <v>177</v>
      </c>
      <c r="G28" s="4" t="s">
        <v>73</v>
      </c>
      <c r="H28" s="4">
        <v>3</v>
      </c>
      <c r="I28" s="4" t="s">
        <v>178</v>
      </c>
      <c r="J28" s="4" t="s">
        <v>179</v>
      </c>
      <c r="K28" s="4" t="s">
        <v>47</v>
      </c>
    </row>
    <row r="29" spans="1:11" ht="42" customHeight="1">
      <c r="A29" s="4">
        <v>28</v>
      </c>
      <c r="B29" s="4" t="s">
        <v>180</v>
      </c>
      <c r="C29" s="4" t="s">
        <v>181</v>
      </c>
      <c r="D29" s="4">
        <v>2021</v>
      </c>
      <c r="E29" s="4">
        <v>3</v>
      </c>
      <c r="F29" s="4" t="s">
        <v>182</v>
      </c>
      <c r="G29" s="4" t="s">
        <v>183</v>
      </c>
      <c r="H29" s="4">
        <v>5</v>
      </c>
      <c r="I29" s="4" t="s">
        <v>184</v>
      </c>
      <c r="J29" s="4" t="s">
        <v>185</v>
      </c>
      <c r="K29" s="4" t="s">
        <v>47</v>
      </c>
    </row>
    <row r="30" spans="1:11" ht="42" customHeight="1">
      <c r="A30" s="4">
        <v>29</v>
      </c>
      <c r="B30" s="4" t="s">
        <v>186</v>
      </c>
      <c r="C30" s="4" t="s">
        <v>187</v>
      </c>
      <c r="D30" s="4">
        <v>2026</v>
      </c>
      <c r="E30" s="4">
        <v>2</v>
      </c>
      <c r="F30" s="4" t="s">
        <v>188</v>
      </c>
      <c r="G30" s="4" t="s">
        <v>73</v>
      </c>
      <c r="H30" s="4">
        <v>3</v>
      </c>
      <c r="I30" s="4" t="s">
        <v>189</v>
      </c>
      <c r="J30" s="4" t="s">
        <v>190</v>
      </c>
      <c r="K30" s="4" t="s">
        <v>47</v>
      </c>
    </row>
    <row r="31" spans="1:11" ht="42" customHeight="1">
      <c r="A31" s="4">
        <v>30</v>
      </c>
      <c r="B31" s="4" t="s">
        <v>191</v>
      </c>
      <c r="C31" s="4" t="s">
        <v>49</v>
      </c>
      <c r="D31" s="4">
        <v>2017</v>
      </c>
      <c r="E31" s="4">
        <v>1</v>
      </c>
      <c r="F31" s="4" t="s">
        <v>192</v>
      </c>
      <c r="G31" s="4" t="s">
        <v>193</v>
      </c>
      <c r="H31" s="4">
        <v>1</v>
      </c>
      <c r="I31" s="4" t="s">
        <v>194</v>
      </c>
      <c r="J31" s="4" t="s">
        <v>195</v>
      </c>
      <c r="K31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workbookViewId="0">
      <selection sqref="A1:XFD1048576"/>
    </sheetView>
  </sheetViews>
  <sheetFormatPr defaultColWidth="8.83203125" defaultRowHeight="14"/>
  <cols>
    <col min="1" max="1" width="28" customWidth="1"/>
    <col min="2" max="7" width="15" customWidth="1"/>
  </cols>
  <sheetData>
    <row r="1" spans="1:7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</row>
    <row r="2" spans="1:7">
      <c r="A2" s="2" t="s">
        <v>203</v>
      </c>
      <c r="B2" s="2">
        <f>COUNTIFS('Independent ratings'!$E$2:$E$31,1,'Independent ratings'!$H$2:$H$31,1)</f>
        <v>1</v>
      </c>
      <c r="C2" s="2">
        <f>COUNTIFS('Independent ratings'!$E$2:$E$31,1,'Independent ratings'!$H$2:$H$31,2)</f>
        <v>2</v>
      </c>
      <c r="D2" s="2">
        <f>COUNTIFS('Independent ratings'!$E$2:$E$31,1,'Independent ratings'!$H$2:$H$31,3)</f>
        <v>0</v>
      </c>
      <c r="E2" s="2">
        <f>COUNTIFS('Independent ratings'!$E$2:$E$31,1,'Independent ratings'!$H$2:$H$31,4)</f>
        <v>0</v>
      </c>
      <c r="F2" s="2">
        <f>COUNTIFS('Independent ratings'!$E$2:$E$31,1,'Independent ratings'!$H$2:$H$31,5)</f>
        <v>0</v>
      </c>
      <c r="G2" s="2">
        <f>SUM(B2:F2)</f>
        <v>3</v>
      </c>
    </row>
    <row r="3" spans="1:7">
      <c r="A3" s="2" t="s">
        <v>204</v>
      </c>
      <c r="B3" s="2">
        <f>COUNTIFS('Independent ratings'!$E$2:$E$31,2,'Independent ratings'!$H$2:$H$31,1)</f>
        <v>0</v>
      </c>
      <c r="C3" s="2">
        <f>COUNTIFS('Independent ratings'!$E$2:$E$31,2,'Independent ratings'!$H$2:$H$31,2)</f>
        <v>0</v>
      </c>
      <c r="D3" s="2">
        <f>COUNTIFS('Independent ratings'!$E$2:$E$31,2,'Independent ratings'!$H$2:$H$31,3)</f>
        <v>9</v>
      </c>
      <c r="E3" s="2">
        <f>COUNTIFS('Independent ratings'!$E$2:$E$31,2,'Independent ratings'!$H$2:$H$31,4)</f>
        <v>2</v>
      </c>
      <c r="F3" s="2">
        <f>COUNTIFS('Independent ratings'!$E$2:$E$31,2,'Independent ratings'!$H$2:$H$31,5)</f>
        <v>0</v>
      </c>
      <c r="G3" s="2">
        <f>SUM(B3:F3)</f>
        <v>11</v>
      </c>
    </row>
    <row r="4" spans="1:7">
      <c r="A4" s="2" t="s">
        <v>205</v>
      </c>
      <c r="B4" s="2">
        <f>COUNTIFS('Independent ratings'!$E$2:$E$31,3,'Independent ratings'!$H$2:$H$31,1)</f>
        <v>0</v>
      </c>
      <c r="C4" s="2">
        <f>COUNTIFS('Independent ratings'!$E$2:$E$31,3,'Independent ratings'!$H$2:$H$31,2)</f>
        <v>0</v>
      </c>
      <c r="D4" s="2">
        <f>COUNTIFS('Independent ratings'!$E$2:$E$31,3,'Independent ratings'!$H$2:$H$31,3)</f>
        <v>6</v>
      </c>
      <c r="E4" s="2">
        <f>COUNTIFS('Independent ratings'!$E$2:$E$31,3,'Independent ratings'!$H$2:$H$31,4)</f>
        <v>3</v>
      </c>
      <c r="F4" s="2">
        <f>COUNTIFS('Independent ratings'!$E$2:$E$31,3,'Independent ratings'!$H$2:$H$31,5)</f>
        <v>3</v>
      </c>
      <c r="G4" s="2">
        <f>SUM(B4:F4)</f>
        <v>12</v>
      </c>
    </row>
    <row r="5" spans="1:7">
      <c r="A5" s="2" t="s">
        <v>206</v>
      </c>
      <c r="B5" s="2">
        <f>COUNTIFS('Independent ratings'!$E$2:$E$31,4,'Independent ratings'!$H$2:$H$31,1)</f>
        <v>0</v>
      </c>
      <c r="C5" s="2">
        <f>COUNTIFS('Independent ratings'!$E$2:$E$31,4,'Independent ratings'!$H$2:$H$31,2)</f>
        <v>0</v>
      </c>
      <c r="D5" s="2">
        <f>COUNTIFS('Independent ratings'!$E$2:$E$31,4,'Independent ratings'!$H$2:$H$31,3)</f>
        <v>1</v>
      </c>
      <c r="E5" s="2">
        <f>COUNTIFS('Independent ratings'!$E$2:$E$31,4,'Independent ratings'!$H$2:$H$31,4)</f>
        <v>2</v>
      </c>
      <c r="F5" s="2">
        <f>COUNTIFS('Independent ratings'!$E$2:$E$31,4,'Independent ratings'!$H$2:$H$31,5)</f>
        <v>1</v>
      </c>
      <c r="G5" s="2">
        <f>SUM(B5:F5)</f>
        <v>4</v>
      </c>
    </row>
    <row r="6" spans="1:7">
      <c r="A6" s="2" t="s">
        <v>207</v>
      </c>
      <c r="B6" s="2">
        <f>COUNTIFS('Independent ratings'!$E$2:$E$31,5,'Independent ratings'!$H$2:$H$31,1)</f>
        <v>0</v>
      </c>
      <c r="C6" s="2">
        <f>COUNTIFS('Independent ratings'!$E$2:$E$31,5,'Independent ratings'!$H$2:$H$31,2)</f>
        <v>0</v>
      </c>
      <c r="D6" s="2">
        <f>COUNTIFS('Independent ratings'!$E$2:$E$31,5,'Independent ratings'!$H$2:$H$31,3)</f>
        <v>0</v>
      </c>
      <c r="E6" s="2">
        <f>COUNTIFS('Independent ratings'!$E$2:$E$31,5,'Independent ratings'!$H$2:$H$31,4)</f>
        <v>0</v>
      </c>
      <c r="F6" s="2">
        <f>COUNTIFS('Independent ratings'!$E$2:$E$31,5,'Independent ratings'!$H$2:$H$31,5)</f>
        <v>0</v>
      </c>
      <c r="G6" s="2">
        <f>SUM(B6:F6)</f>
        <v>0</v>
      </c>
    </row>
    <row r="7" spans="1:7">
      <c r="A7" s="2" t="s">
        <v>208</v>
      </c>
      <c r="B7" s="2">
        <f t="shared" ref="B7:G7" si="0">SUM(B2:B6)</f>
        <v>1</v>
      </c>
      <c r="C7" s="2">
        <f t="shared" si="0"/>
        <v>2</v>
      </c>
      <c r="D7" s="2">
        <f t="shared" si="0"/>
        <v>16</v>
      </c>
      <c r="E7" s="2">
        <f t="shared" si="0"/>
        <v>7</v>
      </c>
      <c r="F7" s="2">
        <f t="shared" si="0"/>
        <v>4</v>
      </c>
      <c r="G7" s="2">
        <f t="shared" si="0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rubric</vt:lpstr>
      <vt:lpstr>Independent ratings</vt:lpstr>
      <vt:lpstr>Figure 5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Azza Elkhalifa</dc:creator>
  <cp:lastModifiedBy>Azza Elkhalifa</cp:lastModifiedBy>
  <dcterms:created xsi:type="dcterms:W3CDTF">2026-08-23T05:54:41Z</dcterms:created>
  <dcterms:modified xsi:type="dcterms:W3CDTF">2026-08-25T05:54:41Z</dcterms:modified>
</cp:coreProperties>
</file>